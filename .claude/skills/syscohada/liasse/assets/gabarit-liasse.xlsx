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47.xml.rels" ContentType="application/vnd.openxmlformats-package.relationships+xml"/>
  <Override PartName="/xl/worksheets/_rels/sheet10.xml.rels" ContentType="application/vnd.openxmlformats-package.relationships+xml"/>
  <Override PartName="/xl/worksheets/_rels/sheet32.xml.rels" ContentType="application/vnd.openxmlformats-package.relationships+xml"/>
  <Override PartName="/xl/worksheets/_rels/sheet33.xml.rels" ContentType="application/vnd.openxmlformats-package.relationships+xml"/>
  <Override PartName="/xl/worksheets/_rels/sheet5.xml.rels" ContentType="application/vnd.openxmlformats-package.relationships+xml"/>
  <Override PartName="/xl/worksheets/_rels/sheet34.xml.rels" ContentType="application/vnd.openxmlformats-package.relationships+xml"/>
  <Override PartName="/xl/worksheets/_rels/sheet6.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54.xml.rels" ContentType="application/vnd.openxmlformats-package.relationships+xml"/>
  <Override PartName="/xl/worksheets/_rels/sheet42.xml.rels" ContentType="application/vnd.openxmlformats-package.relationships+xml"/>
  <Override PartName="/xl/worksheets/_rels/sheet53.xml.rels" ContentType="application/vnd.openxmlformats-package.relationships+xml"/>
  <Override PartName="/xl/worksheets/_rels/sheet52.xml.rels" ContentType="application/vnd.openxmlformats-package.relationships+xml"/>
  <Override PartName="/xl/worksheets/_rels/sheet9.xml.rels" ContentType="application/vnd.openxmlformats-package.relationships+xml"/>
  <Override PartName="/xl/worksheets/_rels/sheet38.xml.rels" ContentType="application/vnd.openxmlformats-package.relationships+xml"/>
  <Override PartName="/xl/worksheets/_rels/sheet40.xml.rels" ContentType="application/vnd.openxmlformats-package.relationships+xml"/>
  <Override PartName="/xl/worksheets/_rels/sheet14.xml.rels" ContentType="application/vnd.openxmlformats-package.relationships+xml"/>
  <Override PartName="/xl/worksheets/_rels/sheet51.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50.xml.rels" ContentType="application/vnd.openxmlformats-package.relationships+xml"/>
  <Override PartName="/xl/worksheets/_rels/sheet41.xml.rels" ContentType="application/vnd.openxmlformats-package.relationships+xml"/>
  <Override PartName="/xl/worksheets/_rels/sheet39.xml.rels" ContentType="application/vnd.openxmlformats-package.relationships+xml"/>
  <Override PartName="/xl/worksheets/_rels/sheet28.xml.rels" ContentType="application/vnd.openxmlformats-package.relationships+xml"/>
  <Override PartName="/xl/worksheets/_rels/sheet30.xml.rels" ContentType="application/vnd.openxmlformats-package.relationships+xml"/>
  <Override PartName="/xl/worksheets/_rels/sheet29.xml.rels" ContentType="application/vnd.openxmlformats-package.relationships+xml"/>
  <Override PartName="/xl/worksheets/_rels/sheet20.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18.xml.rels" ContentType="application/vnd.openxmlformats-package.relationships+xml"/>
  <Override PartName="/xl/worksheets/_rels/sheet3.xml.rels" ContentType="application/vnd.openxmlformats-package.relationships+xml"/>
  <Override PartName="/xl/worksheets/_rels/sheet19.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49.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43.xml.rels" ContentType="application/vnd.openxmlformats-package.relationships+xml"/>
  <Override PartName="/xl/worksheets/_rels/sheet44.xml.rels" ContentType="application/vnd.openxmlformats-package.relationships+xml"/>
  <Override PartName="/xl/worksheets/_rels/sheet45.xml.rels" ContentType="application/vnd.openxmlformats-package.relationships+xml"/>
  <Override PartName="/xl/worksheets/_rels/sheet4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51.xml" ContentType="application/vnd.openxmlformats-officedocument.spreadsheetml.worksheet+xml"/>
  <Override PartName="/xl/worksheets/sheet40.xml" ContentType="application/vnd.openxmlformats-officedocument.spreadsheetml.worksheet+xml"/>
  <Override PartName="/xl/worksheets/sheet38.xml" ContentType="application/vnd.openxmlformats-officedocument.spreadsheetml.worksheet+xml"/>
  <Override PartName="/xl/worksheets/sheet52.xml" ContentType="application/vnd.openxmlformats-officedocument.spreadsheetml.worksheet+xml"/>
  <Override PartName="/xl/worksheets/sheet41.xml" ContentType="application/vnd.openxmlformats-officedocument.spreadsheetml.worksheet+xml"/>
  <Override PartName="/xl/worksheets/sheet39.xml" ContentType="application/vnd.openxmlformats-officedocument.spreadsheetml.worksheet+xml"/>
  <Override PartName="/xl/worksheets/sheet53.xml" ContentType="application/vnd.openxmlformats-officedocument.spreadsheetml.worksheet+xml"/>
  <Override PartName="/xl/worksheets/sheet42.xml" ContentType="application/vnd.openxmlformats-officedocument.spreadsheetml.worksheet+xml"/>
  <Override PartName="/xl/worksheets/sheet54.xml" ContentType="application/vnd.openxmlformats-officedocument.spreadsheetml.worksheet+xml"/>
  <Override PartName="/xl/worksheets/sheet43.xml" ContentType="application/vnd.openxmlformats-officedocument.spreadsheetml.worksheet+xml"/>
  <Override PartName="/xl/worksheets/sheet55.xml" ContentType="application/vnd.openxmlformats-officedocument.spreadsheetml.worksheet+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29.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5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40.xml" ContentType="application/vnd.openxmlformats-officedocument.drawing+xml"/>
  <Override PartName="/xl/drawings/drawing39.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34.xml" ContentType="application/vnd.openxmlformats-officedocument.drawing+xml"/>
  <Override PartName="/xl/drawings/drawing46.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drawing51.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49.xml" ContentType="application/vnd.openxmlformats-officedocument.drawing+xml"/>
  <Override PartName="/xl/drawings/drawing12.xml" ContentType="application/vnd.openxmlformats-officedocument.drawing+xml"/>
  <Override PartName="/xl/drawings/drawing50.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FICHE R1 " sheetId="1" state="visible" r:id="rId3"/>
    <sheet name="FICHE R2 " sheetId="2" state="visible" r:id="rId4"/>
    <sheet name="FICHE R3 " sheetId="3" state="visible" r:id="rId5"/>
    <sheet name="FICHE R4" sheetId="4" state="visible" r:id="rId6"/>
    <sheet name="ACTIF" sheetId="5" state="visible" r:id="rId7"/>
    <sheet name="PASSIF" sheetId="6" state="visible" r:id="rId8"/>
    <sheet name="Compte de Résultat" sheetId="7" state="visible" r:id="rId9"/>
    <sheet name="TFT" sheetId="8" state="visible" r:id="rId10"/>
    <sheet name="NOTE 1" sheetId="9" state="visible" r:id="rId11"/>
    <sheet name="NOTE 2" sheetId="10" state="visible" r:id="rId12"/>
    <sheet name="NOTE 3A" sheetId="11" state="visible" r:id="rId13"/>
    <sheet name="NOTE 3B" sheetId="12" state="visible" r:id="rId14"/>
    <sheet name="NOTE 3C" sheetId="13" state="visible" r:id="rId15"/>
    <sheet name="NOTE 3D" sheetId="14" state="visible" r:id="rId16"/>
    <sheet name="NOTE 3E" sheetId="15" state="visible" r:id="rId17"/>
    <sheet name="NOTE 4" sheetId="16" state="visible" r:id="rId18"/>
    <sheet name="NOTE 5" sheetId="17" state="visible" r:id="rId19"/>
    <sheet name="NOTE 6" sheetId="18" state="visible" r:id="rId20"/>
    <sheet name="NOTE 7" sheetId="19" state="visible" r:id="rId21"/>
    <sheet name="NOTE 8" sheetId="20" state="visible" r:id="rId22"/>
    <sheet name="NOTE 8A" sheetId="21" state="visible" r:id="rId23"/>
    <sheet name="NOTE 9" sheetId="22" state="visible" r:id="rId24"/>
    <sheet name="NOTE 10" sheetId="23" state="visible" r:id="rId25"/>
    <sheet name="NOTE 11" sheetId="24" state="visible" r:id="rId26"/>
    <sheet name="NOTE 12" sheetId="25" state="visible" r:id="rId27"/>
    <sheet name="NOTE 13" sheetId="26" state="visible" r:id="rId28"/>
    <sheet name="NOTE 14" sheetId="27" state="visible" r:id="rId29"/>
    <sheet name="NOTE 15A" sheetId="28" state="visible" r:id="rId30"/>
    <sheet name="NOTES 15B" sheetId="29" state="visible" r:id="rId31"/>
    <sheet name="NOTE 16A" sheetId="30" state="visible" r:id="rId32"/>
    <sheet name="NOTE 16B" sheetId="31" state="visible" r:id="rId33"/>
    <sheet name="NOTE 16B bis" sheetId="32" state="visible" r:id="rId34"/>
    <sheet name="NOTE 16C" sheetId="33" state="visible" r:id="rId35"/>
    <sheet name="NOTE 17" sheetId="34" state="visible" r:id="rId36"/>
    <sheet name="NOTE 18" sheetId="35" state="visible" r:id="rId37"/>
    <sheet name="NOTE 19" sheetId="36" state="visible" r:id="rId38"/>
    <sheet name="NOTE 20" sheetId="37" state="visible" r:id="rId39"/>
    <sheet name="NOTE 21" sheetId="38" state="visible" r:id="rId40"/>
    <sheet name="NOTE 22" sheetId="39" state="visible" r:id="rId41"/>
    <sheet name="NOTE 23" sheetId="40" state="visible" r:id="rId42"/>
    <sheet name="NOTE 24" sheetId="41" state="visible" r:id="rId43"/>
    <sheet name="NOTE 25" sheetId="42" state="visible" r:id="rId44"/>
    <sheet name="NOTE 26" sheetId="43" state="visible" r:id="rId45"/>
    <sheet name="NOTE 27A" sheetId="44" state="visible" r:id="rId46"/>
    <sheet name="NOTE 27B" sheetId="45" state="visible" r:id="rId47"/>
    <sheet name="NOTE 28" sheetId="46" state="visible" r:id="rId48"/>
    <sheet name="NOTE 29" sheetId="47" state="visible" r:id="rId49"/>
    <sheet name="NOTE 30" sheetId="48" state="visible" r:id="rId50"/>
    <sheet name="NOTE 31" sheetId="49" state="visible" r:id="rId51"/>
    <sheet name="NOTE 32" sheetId="50" state="visible" r:id="rId52"/>
    <sheet name="NOTE 33" sheetId="51" state="visible" r:id="rId53"/>
    <sheet name="NOTE 34" sheetId="52" state="visible" r:id="rId54"/>
    <sheet name="NOTE 35" sheetId="53" state="visible" r:id="rId55"/>
    <sheet name="NOTE 36" sheetId="54" state="visible" r:id="rId56"/>
    <sheet name="CODES" sheetId="55" state="visible" r:id="rId57"/>
  </sheets>
  <externalReferences>
    <externalReference r:id="rId58"/>
  </externalReferences>
  <definedNames>
    <definedName function="false" hidden="false" name="_centreImpot" vbProcedure="false">"CENTRE DES IMPOTS DE "</definedName>
    <definedName function="false" hidden="false" name="_dAn" vbProcedure="false">" 2012"</definedName>
    <definedName function="false" hidden="false" name="_dDeb" vbProcedure="false">40179</definedName>
    <definedName function="false" hidden="false" name="_dFin" vbProcedure="false">" 31/12/2016"</definedName>
    <definedName function="false" hidden="false" name="_insae" vbProcedure="false">" "</definedName>
    <definedName function="false" hidden="false" name="_Mois" vbProcedure="false">12</definedName>
    <definedName function="false" hidden="false" name="_nbMois" vbProcedure="false">12</definedName>
    <definedName function="false" hidden="false" name="_nCompletPays" vbProcedure="false">"REPUBLIQUE DU BENIN"</definedName>
    <definedName function="false" hidden="false" name="_nSo" vbProcedure="false">"Société de Matériel de Travaux Publics"</definedName>
    <definedName function="false" hidden="false" name="_Pays" vbProcedure="false">"REPUBLIQUE DU BENIN"</definedName>
    <definedName function="false" hidden="false" name="_regCom" vbProcedure="false">"COT 05-B-1694"</definedName>
    <definedName function="false" hidden="false" name="_sigle" vbProcedure="false">" "</definedName>
    <definedName function="false" hidden="false" name="_soAdr" vbProcedure="false">" "</definedName>
    <definedName function="false" hidden="false" name="_soAg1" vbProcedure="false">" "</definedName>
    <definedName function="false" hidden="false" name="_soAg2" vbProcedure="false">" "</definedName>
    <definedName function="false" hidden="false" name="_soNom" vbProcedure="false">"Ets ELYON FROID ELECTRICITE &amp; SERVICE"</definedName>
    <definedName function="false" hidden="false" name="_soNumFisc" vbProcedure="false">" "</definedName>
    <definedName function="false" hidden="false" name="_soSigle" vbProcedure="false">" "</definedName>
    <definedName function="false" hidden="false" name="_Ville" vbProcedure="false">"CENTRE DES IMPÔTS DE COTONOU"</definedName>
    <definedName function="false" hidden="false" name="_xlfn_IFERROR" vbProcedure="fals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<sst xmlns="http://schemas.openxmlformats.org/spreadsheetml/2006/main" count="2736" uniqueCount="1733">
  <si>
    <t xml:space="preserve">Dénomination sociale de l'entité:</t>
  </si>
  <si>
    <t xml:space="preserve">Sigle usuel :</t>
  </si>
  <si>
    <t xml:space="preserve">Adresse :</t>
  </si>
  <si>
    <t xml:space="preserve">N° d'identification fiscale :</t>
  </si>
  <si>
    <t xml:space="preserve">Exercice clos le :</t>
  </si>
  <si>
    <t xml:space="preserve">Durée (en mois) : </t>
  </si>
  <si>
    <t xml:space="preserve">ZA</t>
  </si>
  <si>
    <t xml:space="preserve">EXERCICE COMPTABLE:</t>
  </si>
  <si>
    <t xml:space="preserve">DU:</t>
  </si>
  <si>
    <t xml:space="preserve">AU</t>
  </si>
  <si>
    <t xml:space="preserve">ZB</t>
  </si>
  <si>
    <t xml:space="preserve">DATE D'ARRETE EFFECTIF DES COMPTES</t>
  </si>
  <si>
    <t xml:space="preserve">ZC</t>
  </si>
  <si>
    <t xml:space="preserve">EXERCICE PRECEDENT CLOS LE:</t>
  </si>
  <si>
    <t xml:space="preserve">DUREE EXERCICE PRECEDENT EN MOIS:</t>
  </si>
  <si>
    <t xml:space="preserve">ZD</t>
  </si>
  <si>
    <t xml:space="preserve">Greffe</t>
  </si>
  <si>
    <t xml:space="preserve">N° Registre du commerce</t>
  </si>
  <si>
    <t xml:space="preserve">N° Répertoire des entités</t>
  </si>
  <si>
    <t xml:space="preserve">ZE</t>
  </si>
  <si>
    <t xml:space="preserve">N° de caisse sociale</t>
  </si>
  <si>
    <t xml:space="preserve">N° Code Importateur</t>
  </si>
  <si>
    <t xml:space="preserve">Code activité principale</t>
  </si>
  <si>
    <t xml:space="preserve">ZF</t>
  </si>
  <si>
    <t xml:space="preserve">Désignation de l'entité</t>
  </si>
  <si>
    <t xml:space="preserve">Sigle</t>
  </si>
  <si>
    <t xml:space="preserve">ZG</t>
  </si>
  <si>
    <t xml:space="preserve">02</t>
  </si>
  <si>
    <t xml:space="preserve">N° de téléphone</t>
  </si>
  <si>
    <t xml:space="preserve">email</t>
  </si>
  <si>
    <t xml:space="preserve">Code</t>
  </si>
  <si>
    <t xml:space="preserve">Bote postale</t>
  </si>
  <si>
    <t xml:space="preserve">Ville</t>
  </si>
  <si>
    <t xml:space="preserve">ZH</t>
  </si>
  <si>
    <t xml:space="preserve">Adresse géographique complète (Immeuble, rue, quartier, ville, pays)</t>
  </si>
  <si>
    <t xml:space="preserve">ZI</t>
  </si>
  <si>
    <t xml:space="preserve">Désignation précise de l'activité principale exercée par l'entité</t>
  </si>
  <si>
    <t xml:space="preserve">Nom, adresse et qualité de la personne à contacter en cas de demande d'informations complémentaires </t>
  </si>
  <si>
    <t xml:space="preserve">Nom du professionnel salarié de l'entité ou</t>
  </si>
  <si>
    <t xml:space="preserve">Nom, adresse et téléhone du cabinet comptable ou du professionnel INSCRIT A L'ORDRE NATIONAL </t>
  </si>
  <si>
    <t xml:space="preserve">DES EXPERTS COMPTABLES ET DES COMPTABLES AGREES ayant établi les états financiers </t>
  </si>
  <si>
    <t xml:space="preserve">Visa de l'Expert comptable agrée</t>
  </si>
  <si>
    <t xml:space="preserve">Non</t>
  </si>
  <si>
    <t xml:space="preserve">Oui</t>
  </si>
  <si>
    <t xml:space="preserve">Etats financiers approuvés par l'Assemeblée Générale (cocher la case)</t>
  </si>
  <si>
    <t xml:space="preserve">Domiciliations bancaires:</t>
  </si>
  <si>
    <t xml:space="preserve">Nom du sigantaire des états financiers</t>
  </si>
  <si>
    <t xml:space="preserve">Banque</t>
  </si>
  <si>
    <t xml:space="preserve">Numéro de compte</t>
  </si>
  <si>
    <t xml:space="preserve">Date de signature</t>
  </si>
  <si>
    <t xml:space="preserve">Signature</t>
  </si>
  <si>
    <t xml:space="preserve">Désignation entité : </t>
  </si>
  <si>
    <r>
      <rPr>
        <sz val="10"/>
        <rFont val="Arial"/>
        <family val="2"/>
      </rPr>
      <t xml:space="preserve">Exercice clos le</t>
    </r>
    <r>
      <rPr>
        <b val="true"/>
        <sz val="10"/>
        <rFont val="Arial"/>
        <family val="2"/>
      </rPr>
      <t xml:space="preserve"> </t>
    </r>
  </si>
  <si>
    <t xml:space="preserve">Numéro d'identification : </t>
  </si>
  <si>
    <t xml:space="preserve">Durée (en mois) 12</t>
  </si>
  <si>
    <t xml:space="preserve">Contrôle de l'entité (cocher la case)</t>
  </si>
  <si>
    <t xml:space="preserve">ZK</t>
  </si>
  <si>
    <r>
      <rPr>
        <sz val="9"/>
        <rFont val="Arial"/>
        <family val="2"/>
      </rPr>
      <t xml:space="preserve">Forme juridique (</t>
    </r>
    <r>
      <rPr>
        <vertAlign val="superscript"/>
        <sz val="9"/>
        <rFont val="Arial"/>
        <family val="2"/>
      </rPr>
      <t xml:space="preserve">1</t>
    </r>
    <r>
      <rPr>
        <sz val="9"/>
        <rFont val="Arial"/>
        <family val="2"/>
      </rPr>
      <t xml:space="preserve">) :</t>
    </r>
  </si>
  <si>
    <t xml:space="preserve">ZQ</t>
  </si>
  <si>
    <t xml:space="preserve"> Entité sous contrôle public</t>
  </si>
  <si>
    <t xml:space="preserve">ZL</t>
  </si>
  <si>
    <r>
      <rPr>
        <sz val="9"/>
        <rFont val="Arial"/>
        <family val="2"/>
      </rPr>
      <t xml:space="preserve">Régime fiscal (</t>
    </r>
    <r>
      <rPr>
        <vertAlign val="superscript"/>
        <sz val="9"/>
        <rFont val="Arial"/>
        <family val="2"/>
      </rPr>
      <t xml:space="preserve">1</t>
    </r>
    <r>
      <rPr>
        <sz val="9"/>
        <rFont val="Arial"/>
        <family val="2"/>
      </rPr>
      <t xml:space="preserve">) :</t>
    </r>
  </si>
  <si>
    <t xml:space="preserve">ZR</t>
  </si>
  <si>
    <t xml:space="preserve"> Entité sous contrôle privé national</t>
  </si>
  <si>
    <t xml:space="preserve">ZM</t>
  </si>
  <si>
    <r>
      <rPr>
        <sz val="9"/>
        <rFont val="Arial"/>
        <family val="2"/>
      </rPr>
      <t xml:space="preserve">Pays du siège social (</t>
    </r>
    <r>
      <rPr>
        <vertAlign val="superscript"/>
        <sz val="9"/>
        <rFont val="Arial"/>
        <family val="2"/>
      </rPr>
      <t xml:space="preserve">1</t>
    </r>
    <r>
      <rPr>
        <sz val="9"/>
        <rFont val="Arial"/>
        <family val="2"/>
      </rPr>
      <t xml:space="preserve">) :</t>
    </r>
  </si>
  <si>
    <t xml:space="preserve">ZS</t>
  </si>
  <si>
    <t xml:space="preserve"> Entité sous contrôle privé étranger</t>
  </si>
  <si>
    <t xml:space="preserve">ZN</t>
  </si>
  <si>
    <t xml:space="preserve">Nombre d'établissements dans le pays :</t>
  </si>
  <si>
    <t xml:space="preserve">ZO</t>
  </si>
  <si>
    <t xml:space="preserve">Nombre d'établissements hors du pays pour </t>
  </si>
  <si>
    <t xml:space="preserve">lesquels une comptabilité distincte est tenue :</t>
  </si>
  <si>
    <t xml:space="preserve">ZP</t>
  </si>
  <si>
    <t xml:space="preserve">Première année d'exercice dans le pays :</t>
  </si>
  <si>
    <t xml:space="preserve">ACTIVITE DE L'ENTITE</t>
  </si>
  <si>
    <r>
      <rPr>
        <sz val="10"/>
        <rFont val="Arial"/>
        <family val="2"/>
      </rPr>
      <t xml:space="preserve">Désignation de l'activité (</t>
    </r>
    <r>
      <rPr>
        <vertAlign val="superscript"/>
        <sz val="10"/>
        <rFont val="Arial"/>
        <family val="2"/>
      </rPr>
      <t xml:space="preserve">2</t>
    </r>
    <r>
      <rPr>
        <sz val="10"/>
        <rFont val="Arial"/>
        <family val="2"/>
      </rPr>
      <t xml:space="preserve">)</t>
    </r>
  </si>
  <si>
    <t xml:space="preserve">Code nomenclature</t>
  </si>
  <si>
    <t xml:space="preserve">Chiffre d'affaires HT </t>
  </si>
  <si>
    <t xml:space="preserve">% activité</t>
  </si>
  <si>
    <r>
      <rPr>
        <sz val="10"/>
        <rFont val="Arial"/>
        <family val="2"/>
      </rPr>
      <t xml:space="preserve">d'activité (</t>
    </r>
    <r>
      <rPr>
        <vertAlign val="superscript"/>
        <sz val="10"/>
        <rFont val="Arial"/>
        <family val="2"/>
      </rPr>
      <t xml:space="preserve">1</t>
    </r>
    <r>
      <rPr>
        <sz val="10"/>
        <rFont val="Arial"/>
        <family val="2"/>
      </rPr>
      <t xml:space="preserve">)</t>
    </r>
  </si>
  <si>
    <t xml:space="preserve">(CA HT) </t>
  </si>
  <si>
    <t xml:space="preserve">dans le CA </t>
  </si>
  <si>
    <t xml:space="preserve">HT</t>
  </si>
  <si>
    <t xml:space="preserve">Divers</t>
  </si>
  <si>
    <t xml:space="preserve"> TOTAL</t>
  </si>
  <si>
    <r>
      <rPr>
        <sz val="8"/>
        <rFont val="Arial"/>
        <family val="2"/>
      </rPr>
      <t xml:space="preserve">(</t>
    </r>
    <r>
      <rPr>
        <vertAlign val="superscript"/>
        <sz val="8"/>
        <rFont val="Arial"/>
        <family val="2"/>
      </rPr>
      <t xml:space="preserve">1</t>
    </r>
    <r>
      <rPr>
        <sz val="8"/>
        <rFont val="Arial"/>
        <family val="2"/>
      </rPr>
      <t xml:space="preserve">) NOTE 36</t>
    </r>
  </si>
  <si>
    <r>
      <rPr>
        <sz val="8"/>
        <rFont val="Arial"/>
        <family val="2"/>
      </rPr>
      <t xml:space="preserve">(</t>
    </r>
    <r>
      <rPr>
        <vertAlign val="superscript"/>
        <sz val="8"/>
        <rFont val="Arial"/>
        <family val="2"/>
      </rPr>
      <t xml:space="preserve">2</t>
    </r>
    <r>
      <rPr>
        <sz val="8"/>
        <rFont val="Arial"/>
        <family val="2"/>
      </rPr>
      <t xml:space="preserve">) Lister de manière précise les activités dans l'ordre décroissant du C. A. HT, ou de la valeur ajoutée (V. A.).</t>
    </r>
  </si>
  <si>
    <r>
      <rPr>
        <sz val="10"/>
        <rFont val="Arial"/>
        <family val="2"/>
      </rPr>
      <t xml:space="preserve">Durée (en mois)</t>
    </r>
    <r>
      <rPr>
        <b val="true"/>
        <sz val="10"/>
        <rFont val="Arial"/>
        <family val="2"/>
      </rPr>
      <t xml:space="preserve"> </t>
    </r>
  </si>
  <si>
    <r>
      <rPr>
        <b val="true"/>
        <sz val="11"/>
        <rFont val="Arial"/>
        <family val="2"/>
      </rPr>
      <t xml:space="preserve">DIRIGEANTS (</t>
    </r>
    <r>
      <rPr>
        <b val="true"/>
        <vertAlign val="superscript"/>
        <sz val="11"/>
        <rFont val="Arial"/>
        <family val="2"/>
      </rPr>
      <t xml:space="preserve">1</t>
    </r>
    <r>
      <rPr>
        <b val="true"/>
        <sz val="11"/>
        <rFont val="Arial"/>
        <family val="2"/>
      </rPr>
      <t xml:space="preserve">)</t>
    </r>
  </si>
  <si>
    <t xml:space="preserve">Nom</t>
  </si>
  <si>
    <t xml:space="preserve">Prénoms</t>
  </si>
  <si>
    <t xml:space="preserve">Qualité</t>
  </si>
  <si>
    <t xml:space="preserve">N° identification fiscale</t>
  </si>
  <si>
    <t xml:space="preserve">Adresse (BP, ville, pays)</t>
  </si>
  <si>
    <t xml:space="preserve"> </t>
  </si>
  <si>
    <r>
      <rPr>
        <sz val="8"/>
        <rFont val="Arial"/>
        <family val="2"/>
      </rPr>
      <t xml:space="preserve">(</t>
    </r>
    <r>
      <rPr>
        <vertAlign val="superscript"/>
        <sz val="8"/>
        <rFont val="Arial"/>
        <family val="2"/>
      </rPr>
      <t xml:space="preserve">1</t>
    </r>
    <r>
      <rPr>
        <sz val="8"/>
        <rFont val="Arial"/>
        <family val="2"/>
      </rPr>
      <t xml:space="preserve">) Dirigeants = Président Directeur Général, Directeur Général, Administrateur Général, Gérant, Autres.</t>
    </r>
  </si>
  <si>
    <t xml:space="preserve">MEMBRES DU CONSEIL D'ADMINISTRATION</t>
  </si>
  <si>
    <t xml:space="preserve">Désignation entité :   </t>
  </si>
  <si>
    <r>
      <rPr>
        <sz val="9"/>
        <color rgb="FF000000"/>
        <rFont val="Arial"/>
        <family val="2"/>
      </rPr>
      <t xml:space="preserve">Exercice clos le</t>
    </r>
    <r>
      <rPr>
        <b val="true"/>
        <sz val="9"/>
        <color rgb="FF000000"/>
        <rFont val="Arial"/>
        <family val="2"/>
      </rPr>
      <t xml:space="preserve"> </t>
    </r>
    <r>
      <rPr>
        <sz val="9"/>
        <color rgb="FF000000"/>
        <rFont val="Arial"/>
        <family val="2"/>
      </rPr>
      <t xml:space="preserve">                            </t>
    </r>
  </si>
  <si>
    <r>
      <rPr>
        <sz val="10"/>
        <color rgb="FF000000"/>
        <rFont val="Arial"/>
        <family val="2"/>
      </rPr>
      <t xml:space="preserve">Numéro d’identification : </t>
    </r>
    <r>
      <rPr>
        <b val="true"/>
        <sz val="10"/>
        <color rgb="FF000000"/>
        <rFont val="Arial"/>
        <family val="2"/>
      </rPr>
      <t xml:space="preserve">  </t>
    </r>
  </si>
  <si>
    <t xml:space="preserve">Durée (en mois)</t>
  </si>
  <si>
    <t xml:space="preserve">NOTES</t>
  </si>
  <si>
    <t xml:space="preserve">INTITULES</t>
  </si>
  <si>
    <t xml:space="preserve">A</t>
  </si>
  <si>
    <t xml:space="preserve">N/A</t>
  </si>
  <si>
    <t xml:space="preserve">NOTE 1</t>
  </si>
  <si>
    <t xml:space="preserve">DETTES GARANTIES PAR DES SURETTES REELLES</t>
  </si>
  <si>
    <t xml:space="preserve">NOTE 2</t>
  </si>
  <si>
    <t xml:space="preserve">INFORMATIONS OBLIGTOIRES</t>
  </si>
  <si>
    <t xml:space="preserve">NOTE 3A</t>
  </si>
  <si>
    <t xml:space="preserve">IMMOBILISATION BRUTE</t>
  </si>
  <si>
    <t xml:space="preserve">NOTE 3B</t>
  </si>
  <si>
    <t xml:space="preserve">BIENS PRIS EN LOCATION ACQUISITION </t>
  </si>
  <si>
    <t xml:space="preserve">NOTE 3C</t>
  </si>
  <si>
    <t xml:space="preserve">IMMOBILISATIONS : AMORTISSEMENTS</t>
  </si>
  <si>
    <t xml:space="preserve">NOTE 3D</t>
  </si>
  <si>
    <t xml:space="preserve">IMMOBLISATIONS : PLUS-VALUES ET MOINS VALUE DE CESSION</t>
  </si>
  <si>
    <t xml:space="preserve">NOTE 3E</t>
  </si>
  <si>
    <t xml:space="preserve">INFORMATIONS SUR LES REEVALUATIONS EFFECTUEES PAR L’ENTITE</t>
  </si>
  <si>
    <t xml:space="preserve">NOTE 3F</t>
  </si>
  <si>
    <t xml:space="preserve">TABLEAU D’ETALEMENT DES CHARGES IMMOBILISEES</t>
  </si>
  <si>
    <t xml:space="preserve">NOTE 4</t>
  </si>
  <si>
    <t xml:space="preserve">IMMOBILISATIONS FINANCIERES</t>
  </si>
  <si>
    <t xml:space="preserve">NOTE 5</t>
  </si>
  <si>
    <t xml:space="preserve">ACTIF CIRCULANT HAO</t>
  </si>
  <si>
    <t xml:space="preserve">NOTE 6</t>
  </si>
  <si>
    <t xml:space="preserve">STOCKS ET ENCOURS</t>
  </si>
  <si>
    <t xml:space="preserve">NOTE 7</t>
  </si>
  <si>
    <t xml:space="preserve">CLIENTS</t>
  </si>
  <si>
    <t xml:space="preserve">NOTE 8</t>
  </si>
  <si>
    <t xml:space="preserve">AUTRES CREANCES</t>
  </si>
  <si>
    <t xml:space="preserve">NOTE 9</t>
  </si>
  <si>
    <t xml:space="preserve">TITRES DE PLACEMENT</t>
  </si>
  <si>
    <t xml:space="preserve">NOTE 10</t>
  </si>
  <si>
    <t xml:space="preserve">VALEUR A ENCAISSER</t>
  </si>
  <si>
    <t xml:space="preserve">NOTE 11</t>
  </si>
  <si>
    <t xml:space="preserve">DISPONIBILITES</t>
  </si>
  <si>
    <t xml:space="preserve">NOTE 12</t>
  </si>
  <si>
    <t xml:space="preserve">ECARTS DE CONVERSION</t>
  </si>
  <si>
    <t xml:space="preserve">NOTE 13</t>
  </si>
  <si>
    <t xml:space="preserve">CAPITAL : VALEUR NOMINALE DES ACTIONS OU PARTS  </t>
  </si>
  <si>
    <t xml:space="preserve">NOTE 14</t>
  </si>
  <si>
    <t xml:space="preserve">PRIMES ET RESERVES</t>
  </si>
  <si>
    <t xml:space="preserve">NOTE 15A</t>
  </si>
  <si>
    <t xml:space="preserve">SUBVENTIONS ET PROVISIONS REGLEMENTEES</t>
  </si>
  <si>
    <t xml:space="preserve">NOTE 15B</t>
  </si>
  <si>
    <t xml:space="preserve">AUTRES FONDS PROPRES</t>
  </si>
  <si>
    <t xml:space="preserve">NOTE 16A</t>
  </si>
  <si>
    <t xml:space="preserve">DETTES FINANCIERES ET RESSOURCES ASSIMILEES</t>
  </si>
  <si>
    <t xml:space="preserve">NOTE 16B</t>
  </si>
  <si>
    <t xml:space="preserve">ENGAGEMENTS DE RETRAITE ET AVANTAGES ASSIMILEES (METHODE ACTUARIELLE)</t>
  </si>
  <si>
    <t xml:space="preserve">NOTE 16B bis</t>
  </si>
  <si>
    <t xml:space="preserve">NOTE 16C</t>
  </si>
  <si>
    <t xml:space="preserve">ACTIFS ET PASSIFS EVENTUELS</t>
  </si>
  <si>
    <t xml:space="preserve">NOTE 17</t>
  </si>
  <si>
    <t xml:space="preserve">FOURNISSEURS D’EXPLOITATION</t>
  </si>
  <si>
    <t xml:space="preserve">NOTE 18</t>
  </si>
  <si>
    <t xml:space="preserve">DETTES FISCALES ET SOCIALES</t>
  </si>
  <si>
    <t xml:space="preserve">NOTE 19</t>
  </si>
  <si>
    <t xml:space="preserve">AUTRES DETTES ET PROVISIONS POUR RISQUES A COURT TERME</t>
  </si>
  <si>
    <t xml:space="preserve">NOTE 20</t>
  </si>
  <si>
    <t xml:space="preserve">BANQUES, CREDITS D’ESCOMPTE ET DE TRESORERIE</t>
  </si>
  <si>
    <t xml:space="preserve">NOTE 21</t>
  </si>
  <si>
    <t xml:space="preserve">CHIFFRE D’AFFAIRES ET AUTRES PRODUITS</t>
  </si>
  <si>
    <t xml:space="preserve">NOTE 22</t>
  </si>
  <si>
    <t xml:space="preserve">ACHATS</t>
  </si>
  <si>
    <t xml:space="preserve">NOTE 23</t>
  </si>
  <si>
    <t xml:space="preserve">TRANSPORTS</t>
  </si>
  <si>
    <t xml:space="preserve">NOTE 24</t>
  </si>
  <si>
    <t xml:space="preserve">SERVICES EXTERIEURS</t>
  </si>
  <si>
    <t xml:space="preserve">NOTE 25</t>
  </si>
  <si>
    <t xml:space="preserve">IMPOTS ET TAXES</t>
  </si>
  <si>
    <t xml:space="preserve">NOTE 26</t>
  </si>
  <si>
    <t xml:space="preserve">AUTRES CHARGES</t>
  </si>
  <si>
    <t xml:space="preserve">NOTE 27A</t>
  </si>
  <si>
    <t xml:space="preserve">CHARGES DE PERSONNEL</t>
  </si>
  <si>
    <t xml:space="preserve">NOTE 27B</t>
  </si>
  <si>
    <t xml:space="preserve">EFFECTIFS, MASSE SALARIALE ET PERSONNEL EXTERIEUR</t>
  </si>
  <si>
    <t xml:space="preserve">NOTE 28</t>
  </si>
  <si>
    <t xml:space="preserve">PROVISIONS  ET DEPRECIATIONS INSCRITES AU BILAN</t>
  </si>
  <si>
    <t xml:space="preserve">NOTE 29</t>
  </si>
  <si>
    <t xml:space="preserve">CHARGES ET REVENUS FINANCIERES</t>
  </si>
  <si>
    <t xml:space="preserve">NOTE 30</t>
  </si>
  <si>
    <t xml:space="preserve">AUTRES CHARGES ET PRODUITS HAO</t>
  </si>
  <si>
    <t xml:space="preserve">NOTE 31</t>
  </si>
  <si>
    <t xml:space="preserve">REPARTITION DU RESULTAT ET AUTRES ELEMENTS CARACTERISTIQUES DES CINQ DERNIERES EXERCICES</t>
  </si>
  <si>
    <t xml:space="preserve">NOTE 32</t>
  </si>
  <si>
    <t xml:space="preserve">PRODUCTION DE L’EXERCICE</t>
  </si>
  <si>
    <t xml:space="preserve">NOTE 33</t>
  </si>
  <si>
    <t xml:space="preserve">ACHATS DESTINES A LA PRODUCTION</t>
  </si>
  <si>
    <t xml:space="preserve">NOTE 34</t>
  </si>
  <si>
    <t xml:space="preserve">FICHE DE SYNTHESE DES PRINCIPAUX INDICATEURS FINANCIERS</t>
  </si>
  <si>
    <t xml:space="preserve">NOTE 35</t>
  </si>
  <si>
    <t xml:space="preserve">LISTE DES INFORMATIONS SOCIALES, ENVIRONNEMENTALES ET SOCIETALES A FOURNIR</t>
  </si>
  <si>
    <t xml:space="preserve">NOTE 36</t>
  </si>
  <si>
    <t xml:space="preserve">TABLES DES CODES</t>
  </si>
  <si>
    <t xml:space="preserve">A : Applicable                        N/A : Non Applicable.</t>
  </si>
  <si>
    <t xml:space="preserve">Désignation entité :    </t>
  </si>
  <si>
    <r>
      <rPr>
        <sz val="10"/>
        <color rgb="FF000000"/>
        <rFont val="Arial"/>
        <family val="2"/>
      </rPr>
      <t xml:space="preserve">Exercice clos le</t>
    </r>
    <r>
      <rPr>
        <b val="true"/>
        <sz val="10"/>
        <color rgb="FF000000"/>
        <rFont val="Arial"/>
        <family val="2"/>
      </rPr>
      <t xml:space="preserve"> </t>
    </r>
    <r>
      <rPr>
        <sz val="10"/>
        <color rgb="FF000000"/>
        <rFont val="Arial"/>
        <family val="2"/>
      </rPr>
      <t xml:space="preserve">                            </t>
    </r>
  </si>
  <si>
    <t xml:space="preserve">Numéro d’identification : </t>
  </si>
  <si>
    <t xml:space="preserve">BILAN AU 31 DECEMBRE N</t>
  </si>
  <si>
    <r>
      <rPr>
        <b val="true"/>
        <sz val="11"/>
        <color rgb="FF000000"/>
        <rFont val="Arial"/>
        <family val="2"/>
      </rPr>
      <t xml:space="preserve"> </t>
    </r>
    <r>
      <rPr>
        <b val="true"/>
        <sz val="10"/>
        <color rgb="FFFFFFFF"/>
        <rFont val="Arial"/>
        <family val="2"/>
      </rPr>
      <t xml:space="preserve">REF </t>
    </r>
  </si>
  <si>
    <t xml:space="preserve">ACTIF </t>
  </si>
  <si>
    <t xml:space="preserve">Note  </t>
  </si>
  <si>
    <t xml:space="preserve">EXERCICE AU 31/12/ N </t>
  </si>
  <si>
    <t xml:space="preserve">EXERCICE AU</t>
  </si>
  <si>
    <t xml:space="preserve">31/12/N-1 </t>
  </si>
  <si>
    <t xml:space="preserve">BRUT </t>
  </si>
  <si>
    <t xml:space="preserve">AMORT ET DEPREC </t>
  </si>
  <si>
    <t xml:space="preserve">NET </t>
  </si>
  <si>
    <t xml:space="preserve">AD</t>
  </si>
  <si>
    <t xml:space="preserve">IMMOBILISATIONS INCORPORELLES </t>
  </si>
  <si>
    <t xml:space="preserve">AE</t>
  </si>
  <si>
    <t xml:space="preserve">Frais de développement et de prospection </t>
  </si>
  <si>
    <t xml:space="preserve">  </t>
  </si>
  <si>
    <t xml:space="preserve">AF</t>
  </si>
  <si>
    <t xml:space="preserve">Brevets, licences, logiciels, et  droits similaires </t>
  </si>
  <si>
    <t xml:space="preserve">AG</t>
  </si>
  <si>
    <t xml:space="preserve">Fonds commercial et droit au bail </t>
  </si>
  <si>
    <t xml:space="preserve">AH</t>
  </si>
  <si>
    <t xml:space="preserve">Autres immobilisations incorporelles </t>
  </si>
  <si>
    <t xml:space="preserve">AI</t>
  </si>
  <si>
    <t xml:space="preserve">IMMOBILISATIONS CORPORELLES </t>
  </si>
  <si>
    <t xml:space="preserve">AJ</t>
  </si>
  <si>
    <t xml:space="preserve">Terrains (1)                                                               </t>
  </si>
  <si>
    <t xml:space="preserve">(1) dont Placement en  Net………../………… </t>
  </si>
  <si>
    <t xml:space="preserve">AK </t>
  </si>
  <si>
    <t xml:space="preserve">Bâtiments                                                                  </t>
  </si>
  <si>
    <t xml:space="preserve">(1) dont Placement en  Net…........./…...…........ </t>
  </si>
  <si>
    <t xml:space="preserve">AL </t>
  </si>
  <si>
    <t xml:space="preserve">Aménagements, agencements et installations </t>
  </si>
  <si>
    <t xml:space="preserve">AM </t>
  </si>
  <si>
    <t xml:space="preserve">Matériel, mobilier et actifs biologiques </t>
  </si>
  <si>
    <t xml:space="preserve">AN </t>
  </si>
  <si>
    <t xml:space="preserve">Matériel de transport </t>
  </si>
  <si>
    <t xml:space="preserve">AP </t>
  </si>
  <si>
    <t xml:space="preserve">Avances et acomptes versés sur immobilisations </t>
  </si>
  <si>
    <t xml:space="preserve">AQ </t>
  </si>
  <si>
    <t xml:space="preserve">IMMOBILISATIONS FINANCIERES </t>
  </si>
  <si>
    <t xml:space="preserve">AR </t>
  </si>
  <si>
    <t xml:space="preserve">Titres de participation </t>
  </si>
  <si>
    <t xml:space="preserve">AS </t>
  </si>
  <si>
    <t xml:space="preserve">Autres immobilisations financières </t>
  </si>
  <si>
    <t xml:space="preserve">AZ </t>
  </si>
  <si>
    <t xml:space="preserve">TOTAL ACTIF IMMOBILISE </t>
  </si>
  <si>
    <t xml:space="preserve">BA </t>
  </si>
  <si>
    <t xml:space="preserve">ACTIF CIRCULANT HAO </t>
  </si>
  <si>
    <t xml:space="preserve">BB </t>
  </si>
  <si>
    <t xml:space="preserve">STOCKS ET ENCOURS </t>
  </si>
  <si>
    <t xml:space="preserve">BG </t>
  </si>
  <si>
    <t xml:space="preserve">CREANCES ET EMPLOIS ASSIMILES </t>
  </si>
  <si>
    <t xml:space="preserve">BH </t>
  </si>
  <si>
    <t xml:space="preserve">Fournisseurs avances versées </t>
  </si>
  <si>
    <t xml:space="preserve">BI </t>
  </si>
  <si>
    <t xml:space="preserve">Clients </t>
  </si>
  <si>
    <t xml:space="preserve">BJ </t>
  </si>
  <si>
    <t xml:space="preserve">Autres créances </t>
  </si>
  <si>
    <t xml:space="preserve">BK </t>
  </si>
  <si>
    <t xml:space="preserve">TOTAL ACTIF CIRCULANT </t>
  </si>
  <si>
    <t xml:space="preserve">BQ </t>
  </si>
  <si>
    <t xml:space="preserve">Titres de placement </t>
  </si>
  <si>
    <t xml:space="preserve">BR </t>
  </si>
  <si>
    <t xml:space="preserve">Valeurs à encaisser  </t>
  </si>
  <si>
    <t xml:space="preserve">BS </t>
  </si>
  <si>
    <t xml:space="preserve">Banques, chèques postaux, caisse et assimilés </t>
  </si>
  <si>
    <t xml:space="preserve">BT </t>
  </si>
  <si>
    <t xml:space="preserve">TOTAL TRESORERIE-ACTIF </t>
  </si>
  <si>
    <t xml:space="preserve">BU </t>
  </si>
  <si>
    <t xml:space="preserve">Ecart de conversion-Actif </t>
  </si>
  <si>
    <t xml:space="preserve">BZ </t>
  </si>
  <si>
    <t xml:space="preserve">TOTAL GENERAL </t>
  </si>
  <si>
    <t xml:space="preserve">Exercice clos le  :               </t>
  </si>
  <si>
    <t xml:space="preserve">REF </t>
  </si>
  <si>
    <t xml:space="preserve">PASSIF </t>
  </si>
  <si>
    <t xml:space="preserve">EXERCICE AU  </t>
  </si>
  <si>
    <t xml:space="preserve">EXERCICE AU   </t>
  </si>
  <si>
    <t xml:space="preserve">31/12/N </t>
  </si>
  <si>
    <t xml:space="preserve">CA </t>
  </si>
  <si>
    <t xml:space="preserve">Capital  </t>
  </si>
  <si>
    <t xml:space="preserve">CB </t>
  </si>
  <si>
    <t xml:space="preserve">Apporteurs capital non appelé                                                        (-) </t>
  </si>
  <si>
    <t xml:space="preserve">CD </t>
  </si>
  <si>
    <t xml:space="preserve">Primes liées au capital social </t>
  </si>
  <si>
    <t xml:space="preserve">CE </t>
  </si>
  <si>
    <t xml:space="preserve">Ecarts de réévaluation </t>
  </si>
  <si>
    <t xml:space="preserve">3e </t>
  </si>
  <si>
    <t xml:space="preserve">CF </t>
  </si>
  <si>
    <t xml:space="preserve">Réserves indisponibles </t>
  </si>
  <si>
    <t xml:space="preserve">CG </t>
  </si>
  <si>
    <t xml:space="preserve">Réserves libres </t>
  </si>
  <si>
    <t xml:space="preserve">CH </t>
  </si>
  <si>
    <t xml:space="preserve">Report à nouveau                         (+ ou -)  </t>
  </si>
  <si>
    <t xml:space="preserve">CJ </t>
  </si>
  <si>
    <t xml:space="preserve">Résultat net de l'exercice (bénéfice + ou perte -) </t>
  </si>
  <si>
    <t xml:space="preserve">CL </t>
  </si>
  <si>
    <t xml:space="preserve">Subventions d'investissement </t>
  </si>
  <si>
    <t xml:space="preserve">CM </t>
  </si>
  <si>
    <t xml:space="preserve">Provisions réglementées </t>
  </si>
  <si>
    <t xml:space="preserve">CP </t>
  </si>
  <si>
    <t xml:space="preserve">TOTAL CAPITAUX PROPRES ET RESSOURCES ASSIMILEES </t>
  </si>
  <si>
    <t xml:space="preserve">DA </t>
  </si>
  <si>
    <t xml:space="preserve">Emprunts et dettes financières diverses </t>
  </si>
  <si>
    <t xml:space="preserve">DB </t>
  </si>
  <si>
    <t xml:space="preserve">Dettes de location acquisition </t>
  </si>
  <si>
    <t xml:space="preserve">DC </t>
  </si>
  <si>
    <t xml:space="preserve">Provisions pour risques et charges </t>
  </si>
  <si>
    <t xml:space="preserve">DD </t>
  </si>
  <si>
    <t xml:space="preserve">TOTAL DETTES FINANCIERES ET RESSOURCES ASSIMILEES </t>
  </si>
  <si>
    <t xml:space="preserve">DF </t>
  </si>
  <si>
    <t xml:space="preserve">TOTAL RESSOURCES STABLES </t>
  </si>
  <si>
    <t xml:space="preserve">DH </t>
  </si>
  <si>
    <t xml:space="preserve">Dettes circulantes HAO </t>
  </si>
  <si>
    <t xml:space="preserve">DI </t>
  </si>
  <si>
    <t xml:space="preserve">Clients, avances reçues </t>
  </si>
  <si>
    <t xml:space="preserve">DJ </t>
  </si>
  <si>
    <t xml:space="preserve">Fournisseurs d'exploitation </t>
  </si>
  <si>
    <t xml:space="preserve">DK </t>
  </si>
  <si>
    <t xml:space="preserve">Dettes fiscales et sociales </t>
  </si>
  <si>
    <t xml:space="preserve">DM </t>
  </si>
  <si>
    <t xml:space="preserve">Autres dettes </t>
  </si>
  <si>
    <t xml:space="preserve">DN </t>
  </si>
  <si>
    <t xml:space="preserve">Provisions pour risques à court terme </t>
  </si>
  <si>
    <t xml:space="preserve">DP </t>
  </si>
  <si>
    <t xml:space="preserve">TOTAL PASSIF CIRCULANT </t>
  </si>
  <si>
    <t xml:space="preserve">DQ </t>
  </si>
  <si>
    <t xml:space="preserve">Banques, crédits d'escompte  </t>
  </si>
  <si>
    <t xml:space="preserve">DR </t>
  </si>
  <si>
    <t xml:space="preserve">Banques, établissements financiers et crédits de trésorerie </t>
  </si>
  <si>
    <t xml:space="preserve">DT </t>
  </si>
  <si>
    <t xml:space="preserve">TOTAL TRESORERIE-PASSIF  </t>
  </si>
  <si>
    <t xml:space="preserve">DV </t>
  </si>
  <si>
    <t xml:space="preserve">Ecart de conversion-Passif </t>
  </si>
  <si>
    <t xml:space="preserve">DZ </t>
  </si>
  <si>
    <r>
      <rPr>
        <sz val="10"/>
        <color rgb="FF000000"/>
        <rFont val="Arial"/>
        <family val="2"/>
      </rPr>
      <t xml:space="preserve">Désignation entité :</t>
    </r>
    <r>
      <rPr>
        <b val="true"/>
        <sz val="10"/>
        <color rgb="FF000000"/>
        <rFont val="Arial"/>
        <family val="2"/>
      </rPr>
      <t xml:space="preserve">  </t>
    </r>
  </si>
  <si>
    <t xml:space="preserve">Numéro d’identification :  </t>
  </si>
  <si>
    <t xml:space="preserve">COMPTE DE RESULTAT AU 31 DECEMBRE N</t>
  </si>
  <si>
    <r>
      <rPr>
        <b val="true"/>
        <sz val="8"/>
        <color rgb="FFFFFFFF"/>
        <rFont val="Arial"/>
        <family val="2"/>
      </rPr>
      <t xml:space="preserve">LIBELLES  </t>
    </r>
    <r>
      <rPr>
        <sz val="8"/>
        <color rgb="FFFFFFFF"/>
        <rFont val="Arial"/>
        <family val="2"/>
      </rPr>
      <t xml:space="preserve">  </t>
    </r>
  </si>
  <si>
    <t xml:space="preserve">NOTE</t>
  </si>
  <si>
    <t xml:space="preserve">EXERCICE AU 31/12/N</t>
  </si>
  <si>
    <t xml:space="preserve">EXERCICE AU 31/12/N-1</t>
  </si>
  <si>
    <t xml:space="preserve">TA</t>
  </si>
  <si>
    <r>
      <rPr>
        <sz val="9"/>
        <color rgb="FF000000"/>
        <rFont val="Arial"/>
        <family val="2"/>
      </rPr>
      <t xml:space="preserve">Ventes de marchandises                                                                         </t>
    </r>
    <r>
      <rPr>
        <b val="true"/>
        <sz val="9"/>
        <color rgb="FF000000"/>
        <rFont val="Arial"/>
        <family val="2"/>
      </rPr>
      <t xml:space="preserve">A </t>
    </r>
  </si>
  <si>
    <t xml:space="preserve">+ </t>
  </si>
  <si>
    <t xml:space="preserve">RA</t>
  </si>
  <si>
    <t xml:space="preserve">Achats de marchandises    </t>
  </si>
  <si>
    <t xml:space="preserve">-</t>
  </si>
  <si>
    <t xml:space="preserve">RB</t>
  </si>
  <si>
    <t xml:space="preserve">Variation de stocks de marchandises                                                    </t>
  </si>
  <si>
    <t xml:space="preserve">-/+  </t>
  </si>
  <si>
    <t xml:space="preserve">XA</t>
  </si>
  <si>
    <t xml:space="preserve">MARGE  COMMERCIALE  (Somme TA à RB) </t>
  </si>
  <si>
    <t xml:space="preserve">TB</t>
  </si>
  <si>
    <r>
      <rPr>
        <sz val="9"/>
        <color rgb="FF000000"/>
        <rFont val="Arial"/>
        <family val="2"/>
      </rPr>
      <t xml:space="preserve">Ventes de produits fabriqués                                                                 </t>
    </r>
    <r>
      <rPr>
        <b val="true"/>
        <sz val="9"/>
        <color rgb="FF000000"/>
        <rFont val="Arial"/>
        <family val="2"/>
      </rPr>
      <t xml:space="preserve">B </t>
    </r>
  </si>
  <si>
    <t xml:space="preserve">TC</t>
  </si>
  <si>
    <r>
      <rPr>
        <sz val="9"/>
        <color rgb="FF000000"/>
        <rFont val="Arial"/>
        <family val="2"/>
      </rPr>
      <t xml:space="preserve">Travaux, services vendus                                                                        </t>
    </r>
    <r>
      <rPr>
        <b val="true"/>
        <sz val="9"/>
        <color rgb="FF000000"/>
        <rFont val="Arial"/>
        <family val="2"/>
      </rPr>
      <t xml:space="preserve">C </t>
    </r>
  </si>
  <si>
    <t xml:space="preserve">TD</t>
  </si>
  <si>
    <r>
      <rPr>
        <sz val="9"/>
        <color rgb="FF000000"/>
        <rFont val="Arial"/>
        <family val="2"/>
      </rPr>
      <t xml:space="preserve">Produits accessoires                                                                               </t>
    </r>
    <r>
      <rPr>
        <b val="true"/>
        <sz val="9"/>
        <color rgb="FF000000"/>
        <rFont val="Arial"/>
        <family val="2"/>
      </rPr>
      <t xml:space="preserve">D </t>
    </r>
  </si>
  <si>
    <t xml:space="preserve">XB</t>
  </si>
  <si>
    <t xml:space="preserve">        CHIFFRE D'AFFAIRES (A + B + C + D)   </t>
  </si>
  <si>
    <t xml:space="preserve">TE</t>
  </si>
  <si>
    <t xml:space="preserve">Production stockée (ou déstockage)    </t>
  </si>
  <si>
    <t xml:space="preserve">TF</t>
  </si>
  <si>
    <t xml:space="preserve">Production immobilisée   </t>
  </si>
  <si>
    <t xml:space="preserve">TG</t>
  </si>
  <si>
    <t xml:space="preserve">Subventions d’exploitation   </t>
  </si>
  <si>
    <t xml:space="preserve">TH</t>
  </si>
  <si>
    <t xml:space="preserve">Autres produits    </t>
  </si>
  <si>
    <t xml:space="preserve">TI</t>
  </si>
  <si>
    <t xml:space="preserve">Transferts de charges d'exploitation     </t>
  </si>
  <si>
    <t xml:space="preserve">RC</t>
  </si>
  <si>
    <t xml:space="preserve"> Achats de matières premières et fournitures liées    </t>
  </si>
  <si>
    <t xml:space="preserve"> - </t>
  </si>
  <si>
    <t xml:space="preserve">RD</t>
  </si>
  <si>
    <t xml:space="preserve">Variation de stocks de matières premières et fournitures liées    </t>
  </si>
  <si>
    <t xml:space="preserve">RE</t>
  </si>
  <si>
    <t xml:space="preserve">Autres achats    </t>
  </si>
  <si>
    <t xml:space="preserve">RF</t>
  </si>
  <si>
    <t xml:space="preserve">Variation de stocks d’autres approvisionnements                        </t>
  </si>
  <si>
    <t xml:space="preserve"> -/+  </t>
  </si>
  <si>
    <t xml:space="preserve">RG</t>
  </si>
  <si>
    <t xml:space="preserve">Transports    </t>
  </si>
  <si>
    <t xml:space="preserve">RH</t>
  </si>
  <si>
    <t xml:space="preserve">Services extérieurs    </t>
  </si>
  <si>
    <t xml:space="preserve">RI</t>
  </si>
  <si>
    <t xml:space="preserve"> Impôts et taxes    </t>
  </si>
  <si>
    <t xml:space="preserve">RJ</t>
  </si>
  <si>
    <t xml:space="preserve">Autres charges    </t>
  </si>
  <si>
    <t xml:space="preserve">XC</t>
  </si>
  <si>
    <t xml:space="preserve">             VALEUR AJOUTEE    (XB +RA+RB) + (somme TE à RJ)  </t>
  </si>
  <si>
    <t xml:space="preserve">RK</t>
  </si>
  <si>
    <t xml:space="preserve">Charges de personnel    </t>
  </si>
  <si>
    <t xml:space="preserve">XD</t>
  </si>
  <si>
    <t xml:space="preserve"> EXCEDENT BRUT D'EXPLOITATION (XC+RK)    </t>
  </si>
  <si>
    <t xml:space="preserve">TJ</t>
  </si>
  <si>
    <t xml:space="preserve">Reprises d’amortissements, provisions et dépréciations  </t>
  </si>
  <si>
    <t xml:space="preserve">RL</t>
  </si>
  <si>
    <t xml:space="preserve">Dotations aux amortissements, aux provisions et dépréciations </t>
  </si>
  <si>
    <t xml:space="preserve">3C&amp;28</t>
  </si>
  <si>
    <t xml:space="preserve">XE</t>
  </si>
  <si>
    <t xml:space="preserve">   RESULTAT D'EXPLOITATION (XD+TJ+ RL)    </t>
  </si>
  <si>
    <t xml:space="preserve">TK</t>
  </si>
  <si>
    <t xml:space="preserve">Revenus financiers et assimilés    </t>
  </si>
  <si>
    <t xml:space="preserve">TL</t>
  </si>
  <si>
    <t xml:space="preserve">Reprises de provisions  et dépréciations financières </t>
  </si>
  <si>
    <t xml:space="preserve"> + </t>
  </si>
  <si>
    <t xml:space="preserve">TM</t>
  </si>
  <si>
    <t xml:space="preserve">Transferts de charges financières    </t>
  </si>
  <si>
    <t xml:space="preserve">RM</t>
  </si>
  <si>
    <t xml:space="preserve">Frais financiers et charges assimilées    </t>
  </si>
  <si>
    <t xml:space="preserve">RN</t>
  </si>
  <si>
    <t xml:space="preserve">Dotations aux provisions et aux dépréciations financières </t>
  </si>
  <si>
    <t xml:space="preserve">3C&amp;28 </t>
  </si>
  <si>
    <t xml:space="preserve">XF</t>
  </si>
  <si>
    <t xml:space="preserve">RESULTAT  FINANCIER  (somme TK à RN)    </t>
  </si>
  <si>
    <t xml:space="preserve">XG</t>
  </si>
  <si>
    <t xml:space="preserve">RESULTAT  DES ACTIVITES ORDINAIRES (XE+XF)   </t>
  </si>
  <si>
    <t xml:space="preserve">TN</t>
  </si>
  <si>
    <t xml:space="preserve">Produits des cessions d'immobilisations    </t>
  </si>
  <si>
    <t xml:space="preserve">3D </t>
  </si>
  <si>
    <t xml:space="preserve">TO</t>
  </si>
  <si>
    <t xml:space="preserve">Autres Produits HAO   </t>
  </si>
  <si>
    <t xml:space="preserve">RO</t>
  </si>
  <si>
    <t xml:space="preserve">Valeurs comptables des cessions d'immobilisations    </t>
  </si>
  <si>
    <t xml:space="preserve">RP</t>
  </si>
  <si>
    <t xml:space="preserve">Autres Charges HAO   </t>
  </si>
  <si>
    <t xml:space="preserve">XH</t>
  </si>
  <si>
    <t xml:space="preserve">RESULTAT HORS ACTIVITES ORDINAIRES (somme TN à RP)</t>
  </si>
  <si>
    <t xml:space="preserve">RQ</t>
  </si>
  <si>
    <t xml:space="preserve">Participation des travailleurs    </t>
  </si>
  <si>
    <t xml:space="preserve">RS</t>
  </si>
  <si>
    <t xml:space="preserve"> Impôts sur le résultat    </t>
  </si>
  <si>
    <t xml:space="preserve">XI</t>
  </si>
  <si>
    <t xml:space="preserve">RESULTAT NET (XG+XH+RQ+RS)   </t>
  </si>
  <si>
    <r>
      <rPr>
        <sz val="10"/>
        <color rgb="FF000000"/>
        <rFont val="Arial"/>
        <family val="2"/>
      </rPr>
      <t xml:space="preserve">Désignation entité :</t>
    </r>
    <r>
      <rPr>
        <b val="true"/>
        <sz val="10"/>
        <color rgb="FF000000"/>
        <rFont val="Arial"/>
        <family val="2"/>
      </rPr>
      <t xml:space="preserve"> </t>
    </r>
    <r>
      <rPr>
        <sz val="10"/>
        <color rgb="FF000000"/>
        <rFont val="Arial"/>
        <family val="2"/>
      </rPr>
      <t xml:space="preserve">               </t>
    </r>
  </si>
  <si>
    <r>
      <rPr>
        <sz val="10"/>
        <color rgb="FF000000"/>
        <rFont val="Arial"/>
        <family val="2"/>
      </rPr>
      <t xml:space="preserve">Numéro d’identification :</t>
    </r>
    <r>
      <rPr>
        <b val="true"/>
        <sz val="10"/>
        <color rgb="FF000000"/>
        <rFont val="Arial"/>
        <family val="2"/>
      </rPr>
      <t xml:space="preserve">  </t>
    </r>
  </si>
  <si>
    <t xml:space="preserve">TABLEAU DES FLUX DE TRESORERIE AU 31 DECEMBRE N</t>
  </si>
  <si>
    <r>
      <rPr>
        <b val="true"/>
        <sz val="9"/>
        <color rgb="FF33CCCC"/>
        <rFont val="Arial"/>
        <family val="2"/>
      </rPr>
      <t xml:space="preserve"> </t>
    </r>
    <r>
      <rPr>
        <b val="true"/>
        <sz val="9"/>
        <color rgb="FFFFFFFF"/>
        <rFont val="Arial"/>
        <family val="2"/>
      </rPr>
      <t xml:space="preserve">REF </t>
    </r>
  </si>
  <si>
    <t xml:space="preserve">LIBELLES </t>
  </si>
  <si>
    <t xml:space="preserve">Note </t>
  </si>
  <si>
    <t xml:space="preserve">EXERCICE </t>
  </si>
  <si>
    <t xml:space="preserve">N </t>
  </si>
  <si>
    <t xml:space="preserve">N-1 </t>
  </si>
  <si>
    <r>
      <rPr>
        <b val="true"/>
        <sz val="9"/>
        <color rgb="FFFFFFFF"/>
        <rFont val="Arial"/>
        <family val="2"/>
      </rPr>
      <t xml:space="preserve">Trésorerie nette au 1</t>
    </r>
    <r>
      <rPr>
        <b val="true"/>
        <vertAlign val="superscript"/>
        <sz val="9"/>
        <color rgb="FFFFFFFF"/>
        <rFont val="Arial"/>
        <family val="2"/>
      </rPr>
      <t xml:space="preserve">er</t>
    </r>
    <r>
      <rPr>
        <b val="true"/>
        <sz val="9"/>
        <color rgb="FFFFFFFF"/>
        <rFont val="Arial"/>
        <family val="2"/>
      </rPr>
      <t xml:space="preserve"> janvier </t>
    </r>
  </si>
  <si>
    <r>
      <rPr>
        <b val="true"/>
        <sz val="9"/>
        <color rgb="FFFFFFFF"/>
        <rFont val="Arial"/>
        <family val="2"/>
      </rPr>
      <t xml:space="preserve"> </t>
    </r>
    <r>
      <rPr>
        <sz val="9"/>
        <color rgb="FFFFFFFF"/>
        <rFont val="Arial"/>
        <family val="2"/>
      </rPr>
      <t xml:space="preserve">(Trésorerie actif N-1 - Trésorerie passif N-1)</t>
    </r>
    <r>
      <rPr>
        <b val="true"/>
        <sz val="9"/>
        <color rgb="FFFFFFFF"/>
        <rFont val="Arial"/>
        <family val="2"/>
      </rPr>
      <t xml:space="preserve"> </t>
    </r>
  </si>
  <si>
    <t xml:space="preserve">Flux de trésorerie provenant des activités opérationnelles </t>
  </si>
  <si>
    <t xml:space="preserve">FA</t>
  </si>
  <si>
    <t xml:space="preserve">  Capacité d'Autofinancement Globale (CAFG) </t>
  </si>
  <si>
    <t xml:space="preserve">FB</t>
  </si>
  <si>
    <r>
      <rPr>
        <sz val="9"/>
        <color rgb="FF000000"/>
        <rFont val="Arial"/>
        <family val="2"/>
      </rPr>
      <t xml:space="preserve">- Variation Actif circulant HAO </t>
    </r>
    <r>
      <rPr>
        <vertAlign val="superscript"/>
        <sz val="9"/>
        <color rgb="FF000000"/>
        <rFont val="Arial"/>
        <family val="2"/>
      </rPr>
      <t xml:space="preserve">(1)</t>
    </r>
    <r>
      <rPr>
        <b val="true"/>
        <sz val="9"/>
        <color rgb="FF000000"/>
        <rFont val="Arial"/>
        <family val="2"/>
      </rPr>
      <t xml:space="preserve"> </t>
    </r>
  </si>
  <si>
    <t xml:space="preserve">FC</t>
  </si>
  <si>
    <r>
      <rPr>
        <b val="true"/>
        <sz val="9"/>
        <color rgb="FF000000"/>
        <rFont val="Arial"/>
        <family val="2"/>
      </rPr>
      <t xml:space="preserve">-</t>
    </r>
    <r>
      <rPr>
        <sz val="9"/>
        <color rgb="FF000000"/>
        <rFont val="Arial"/>
        <family val="2"/>
      </rPr>
      <t xml:space="preserve"> Variation des stocks</t>
    </r>
    <r>
      <rPr>
        <b val="true"/>
        <sz val="9"/>
        <color rgb="FF000000"/>
        <rFont val="Arial"/>
        <family val="2"/>
      </rPr>
      <t xml:space="preserve"> </t>
    </r>
  </si>
  <si>
    <t xml:space="preserve">FD</t>
  </si>
  <si>
    <r>
      <rPr>
        <b val="true"/>
        <sz val="9"/>
        <color rgb="FF000000"/>
        <rFont val="Arial"/>
        <family val="2"/>
      </rPr>
      <t xml:space="preserve">-  </t>
    </r>
    <r>
      <rPr>
        <sz val="9"/>
        <color rgb="FF000000"/>
        <rFont val="Arial"/>
        <family val="2"/>
      </rPr>
      <t xml:space="preserve">Variation des créances  </t>
    </r>
    <r>
      <rPr>
        <b val="true"/>
        <sz val="9"/>
        <color rgb="FF000000"/>
        <rFont val="Arial"/>
        <family val="2"/>
      </rPr>
      <t xml:space="preserve"> </t>
    </r>
  </si>
  <si>
    <t xml:space="preserve">FE</t>
  </si>
  <si>
    <r>
      <rPr>
        <b val="true"/>
        <sz val="9"/>
        <color rgb="FF000000"/>
        <rFont val="Arial"/>
        <family val="2"/>
      </rPr>
      <t xml:space="preserve">+ </t>
    </r>
    <r>
      <rPr>
        <sz val="9"/>
        <color rgb="FF000000"/>
        <rFont val="Arial"/>
        <family val="2"/>
      </rPr>
      <t xml:space="preserve">Variation du passif circulant </t>
    </r>
    <r>
      <rPr>
        <b val="true"/>
        <vertAlign val="superscript"/>
        <sz val="9"/>
        <color rgb="FF000000"/>
        <rFont val="Arial"/>
        <family val="2"/>
      </rPr>
      <t xml:space="preserve">(1)</t>
    </r>
    <r>
      <rPr>
        <b val="true"/>
        <sz val="9"/>
        <color rgb="FF000000"/>
        <rFont val="Arial"/>
        <family val="2"/>
      </rPr>
      <t xml:space="preserve"> </t>
    </r>
  </si>
  <si>
    <t xml:space="preserve">Variation du BF lié aux activités opérationnelles  (FB+FC+FD+FE) :</t>
  </si>
  <si>
    <t xml:space="preserve">Flux de trésorerie provenant des activités opérationnelles (somme FA à FE) </t>
  </si>
  <si>
    <t xml:space="preserve">B</t>
  </si>
  <si>
    <t xml:space="preserve">Flux de trésorerie provenant des activités d’investissements </t>
  </si>
  <si>
    <t xml:space="preserve">FF</t>
  </si>
  <si>
    <r>
      <rPr>
        <b val="true"/>
        <sz val="9"/>
        <color rgb="FF000000"/>
        <rFont val="Arial"/>
        <family val="2"/>
      </rPr>
      <t xml:space="preserve">- </t>
    </r>
    <r>
      <rPr>
        <sz val="9"/>
        <color rgb="FF000000"/>
        <rFont val="Arial"/>
        <family val="2"/>
      </rPr>
      <t xml:space="preserve">Décaissements liés aux acquisitions d'immobilisations incorporelles</t>
    </r>
    <r>
      <rPr>
        <b val="true"/>
        <sz val="9"/>
        <color rgb="FF000000"/>
        <rFont val="Arial"/>
        <family val="2"/>
      </rPr>
      <t xml:space="preserve"> </t>
    </r>
  </si>
  <si>
    <t xml:space="preserve">FG</t>
  </si>
  <si>
    <r>
      <rPr>
        <b val="true"/>
        <sz val="9"/>
        <color rgb="FF000000"/>
        <rFont val="Arial"/>
        <family val="2"/>
      </rPr>
      <t xml:space="preserve">- </t>
    </r>
    <r>
      <rPr>
        <sz val="9"/>
        <color rgb="FF000000"/>
        <rFont val="Arial"/>
        <family val="2"/>
      </rPr>
      <t xml:space="preserve">Décaissements liés aux acquisitions d'immobilisations corporelles</t>
    </r>
    <r>
      <rPr>
        <b val="true"/>
        <sz val="9"/>
        <color rgb="FF000000"/>
        <rFont val="Arial"/>
        <family val="2"/>
      </rPr>
      <t xml:space="preserve"> </t>
    </r>
  </si>
  <si>
    <t xml:space="preserve">FH</t>
  </si>
  <si>
    <r>
      <rPr>
        <b val="true"/>
        <sz val="9"/>
        <color rgb="FF000000"/>
        <rFont val="Arial"/>
        <family val="2"/>
      </rPr>
      <t xml:space="preserve">- </t>
    </r>
    <r>
      <rPr>
        <sz val="9"/>
        <color rgb="FF000000"/>
        <rFont val="Arial"/>
        <family val="2"/>
      </rPr>
      <t xml:space="preserve">Décaissements liés aux acquisitions d'immobilisations financières</t>
    </r>
    <r>
      <rPr>
        <b val="true"/>
        <sz val="9"/>
        <color rgb="FF000000"/>
        <rFont val="Arial"/>
        <family val="2"/>
      </rPr>
      <t xml:space="preserve"> </t>
    </r>
  </si>
  <si>
    <t xml:space="preserve">FI</t>
  </si>
  <si>
    <r>
      <rPr>
        <sz val="9"/>
        <color rgb="FF000000"/>
        <rFont val="Arial"/>
        <family val="2"/>
      </rPr>
      <t xml:space="preserve">+ Encaissements liés aux cessions d’immobilisations incorporelles et corporelles </t>
    </r>
    <r>
      <rPr>
        <b val="true"/>
        <sz val="9"/>
        <color rgb="FF000000"/>
        <rFont val="Arial"/>
        <family val="2"/>
      </rPr>
      <t xml:space="preserve"> </t>
    </r>
  </si>
  <si>
    <t xml:space="preserve">FJ</t>
  </si>
  <si>
    <r>
      <rPr>
        <b val="true"/>
        <sz val="9"/>
        <color rgb="FF000000"/>
        <rFont val="Arial"/>
        <family val="2"/>
      </rPr>
      <t xml:space="preserve">+</t>
    </r>
    <r>
      <rPr>
        <sz val="9"/>
        <color rgb="FF000000"/>
        <rFont val="Arial"/>
        <family val="2"/>
      </rPr>
      <t xml:space="preserve"> Encaissements liés aux cessions d’immobilisations financières</t>
    </r>
    <r>
      <rPr>
        <b val="true"/>
        <sz val="9"/>
        <color rgb="FF000000"/>
        <rFont val="Arial"/>
        <family val="2"/>
      </rPr>
      <t xml:space="preserve"> </t>
    </r>
  </si>
  <si>
    <t xml:space="preserve">Flux de trésorerie provenant des activités d’investissement (somme FF à FJ) </t>
  </si>
  <si>
    <t xml:space="preserve">C</t>
  </si>
  <si>
    <t xml:space="preserve">Flux de trésorerie provenant du financement par les capitaux propres </t>
  </si>
  <si>
    <t xml:space="preserve">FK</t>
  </si>
  <si>
    <t xml:space="preserve">+ Augmentations de capital par apports nouveaux </t>
  </si>
  <si>
    <t xml:space="preserve">FL</t>
  </si>
  <si>
    <r>
      <rPr>
        <b val="true"/>
        <sz val="9"/>
        <color rgb="FF000000"/>
        <rFont val="Arial"/>
        <family val="2"/>
      </rPr>
      <t xml:space="preserve">+ </t>
    </r>
    <r>
      <rPr>
        <sz val="9"/>
        <color rgb="FF000000"/>
        <rFont val="Arial"/>
        <family val="2"/>
      </rPr>
      <t xml:space="preserve">Subventions d'investissement reçues</t>
    </r>
    <r>
      <rPr>
        <b val="true"/>
        <sz val="9"/>
        <color rgb="FF000000"/>
        <rFont val="Arial"/>
        <family val="2"/>
      </rPr>
      <t xml:space="preserve"> </t>
    </r>
  </si>
  <si>
    <t xml:space="preserve">FM</t>
  </si>
  <si>
    <r>
      <rPr>
        <b val="true"/>
        <sz val="9"/>
        <color rgb="FF000000"/>
        <rFont val="Arial"/>
        <family val="2"/>
      </rPr>
      <t xml:space="preserve">- </t>
    </r>
    <r>
      <rPr>
        <sz val="9"/>
        <color rgb="FF000000"/>
        <rFont val="Arial"/>
        <family val="2"/>
      </rPr>
      <t xml:space="preserve">Prélèvements sur le capital </t>
    </r>
    <r>
      <rPr>
        <b val="true"/>
        <sz val="9"/>
        <color rgb="FF000000"/>
        <rFont val="Arial"/>
        <family val="2"/>
      </rPr>
      <t xml:space="preserve"> </t>
    </r>
  </si>
  <si>
    <t xml:space="preserve">FN</t>
  </si>
  <si>
    <r>
      <rPr>
        <b val="true"/>
        <sz val="9"/>
        <color rgb="FF000000"/>
        <rFont val="Arial"/>
        <family val="2"/>
      </rPr>
      <t xml:space="preserve">- </t>
    </r>
    <r>
      <rPr>
        <sz val="9"/>
        <color rgb="FF000000"/>
        <rFont val="Arial"/>
        <family val="2"/>
      </rPr>
      <t xml:space="preserve">Dividendes versés</t>
    </r>
    <r>
      <rPr>
        <b val="true"/>
        <sz val="9"/>
        <color rgb="FF000000"/>
        <rFont val="Arial"/>
        <family val="2"/>
      </rPr>
      <t xml:space="preserve"> </t>
    </r>
  </si>
  <si>
    <r>
      <rPr>
        <b val="true"/>
        <sz val="9"/>
        <color rgb="FF000000"/>
        <rFont val="Arial"/>
        <family val="2"/>
      </rPr>
      <t xml:space="preserve">Flux de trésorerie provenant des capitaux propres (somme FK à FN)                                        </t>
    </r>
    <r>
      <rPr>
        <b val="true"/>
        <sz val="9"/>
        <color rgb="FFFFFFFF"/>
        <rFont val="Arial"/>
        <family val="2"/>
      </rPr>
      <t xml:space="preserve"> </t>
    </r>
  </si>
  <si>
    <t xml:space="preserve">D</t>
  </si>
  <si>
    <t xml:space="preserve">Trésorerie provenant du financement par les capitaux étrangers </t>
  </si>
  <si>
    <t xml:space="preserve">FO</t>
  </si>
  <si>
    <t xml:space="preserve">+ Emprunts </t>
  </si>
  <si>
    <t xml:space="preserve">FP</t>
  </si>
  <si>
    <r>
      <rPr>
        <b val="true"/>
        <sz val="9"/>
        <color rgb="FF000000"/>
        <rFont val="Arial"/>
        <family val="2"/>
      </rPr>
      <t xml:space="preserve">+ </t>
    </r>
    <r>
      <rPr>
        <sz val="9"/>
        <color rgb="FF000000"/>
        <rFont val="Arial"/>
        <family val="2"/>
      </rPr>
      <t xml:space="preserve">Autres dettes financières</t>
    </r>
    <r>
      <rPr>
        <b val="true"/>
        <sz val="9"/>
        <color rgb="FF000000"/>
        <rFont val="Arial"/>
        <family val="2"/>
      </rPr>
      <t xml:space="preserve"> </t>
    </r>
  </si>
  <si>
    <t xml:space="preserve">FQ</t>
  </si>
  <si>
    <r>
      <rPr>
        <b val="true"/>
        <sz val="9"/>
        <color rgb="FF000000"/>
        <rFont val="Arial"/>
        <family val="2"/>
      </rPr>
      <t xml:space="preserve">- </t>
    </r>
    <r>
      <rPr>
        <sz val="9"/>
        <color rgb="FF000000"/>
        <rFont val="Arial"/>
        <family val="2"/>
      </rPr>
      <t xml:space="preserve">Remboursements des emprunts et autres dettes financières</t>
    </r>
    <r>
      <rPr>
        <b val="true"/>
        <sz val="9"/>
        <color rgb="FF000000"/>
        <rFont val="Arial"/>
        <family val="2"/>
      </rPr>
      <t xml:space="preserve"> </t>
    </r>
  </si>
  <si>
    <r>
      <rPr>
        <b val="true"/>
        <sz val="9"/>
        <color rgb="FF000000"/>
        <rFont val="Arial"/>
        <family val="2"/>
      </rPr>
      <t xml:space="preserve">Flux de trésorerie provenant des capitaux étrangers (somme FO à FQ)</t>
    </r>
    <r>
      <rPr>
        <b val="true"/>
        <sz val="9"/>
        <color rgb="FFFFFFFF"/>
        <rFont val="Arial"/>
        <family val="2"/>
      </rPr>
      <t xml:space="preserve"> </t>
    </r>
  </si>
  <si>
    <t xml:space="preserve">E</t>
  </si>
  <si>
    <t xml:space="preserve">Flux de trésorerie provenant des activités de financement (D+E) </t>
  </si>
  <si>
    <t xml:space="preserve">F</t>
  </si>
  <si>
    <t xml:space="preserve">VARIATION DE LA TRÉSORERIE NETTE DE LA PÉRIODE (B+C+F) </t>
  </si>
  <si>
    <t xml:space="preserve">G</t>
  </si>
  <si>
    <t xml:space="preserve">Trésorerie nette au 31 Décembre (G+A) </t>
  </si>
  <si>
    <t xml:space="preserve">H</t>
  </si>
  <si>
    <t xml:space="preserve">Contrôle : Trésorerie actif N - Trésorerie passif N =  </t>
  </si>
  <si>
    <r>
      <rPr>
        <b val="true"/>
        <sz val="8"/>
        <color rgb="FF000000"/>
        <rFont val="Arial"/>
        <family val="2"/>
      </rPr>
      <t xml:space="preserve">[</t>
    </r>
    <r>
      <rPr>
        <b val="true"/>
        <vertAlign val="superscript"/>
        <sz val="8"/>
        <color rgb="FF000000"/>
        <rFont val="Arial"/>
        <family val="2"/>
      </rPr>
      <t xml:space="preserve">1</t>
    </r>
    <r>
      <rPr>
        <b val="true"/>
        <sz val="8"/>
        <color rgb="FF000000"/>
        <rFont val="Arial"/>
        <family val="2"/>
      </rPr>
      <t xml:space="preserve">]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r>
  </si>
  <si>
    <r>
      <rPr>
        <sz val="10"/>
        <color rgb="FF000000"/>
        <rFont val="Arial"/>
        <family val="2"/>
      </rPr>
      <t xml:space="preserve">Désignation entité : </t>
    </r>
    <r>
      <rPr>
        <b val="true"/>
        <sz val="10"/>
        <color rgb="FF000000"/>
        <rFont val="Arial"/>
        <family val="2"/>
      </rPr>
      <t xml:space="preserve"> </t>
    </r>
  </si>
  <si>
    <t xml:space="preserve">DETTES GARANTIES PAR DES SURETES REELLES  </t>
  </si>
  <si>
    <t xml:space="preserve">Montant brut </t>
  </si>
  <si>
    <t xml:space="preserve">SURETES REELLES </t>
  </si>
  <si>
    <t xml:space="preserve">Hypothèques </t>
  </si>
  <si>
    <t xml:space="preserve">Nantissements </t>
  </si>
  <si>
    <t xml:space="preserve">Gages/ autres </t>
  </si>
  <si>
    <r>
      <rPr>
        <b val="true"/>
        <sz val="9"/>
        <color rgb="FF000000"/>
        <rFont val="Arial"/>
        <family val="2"/>
      </rPr>
      <t xml:space="preserve">Dettes financières et ressources </t>
    </r>
    <r>
      <rPr>
        <b val="true"/>
        <u val="single"/>
        <sz val="9"/>
        <color rgb="FF000000"/>
        <rFont val="Arial"/>
        <family val="2"/>
      </rPr>
      <t xml:space="preserve">assimilées</t>
    </r>
    <r>
      <rPr>
        <b val="true"/>
        <sz val="9"/>
        <color rgb="FF000000"/>
        <rFont val="Arial"/>
        <family val="2"/>
      </rPr>
      <t xml:space="preserve"> : </t>
    </r>
  </si>
  <si>
    <t xml:space="preserve">Emprunts obligataires convertibles  </t>
  </si>
  <si>
    <t xml:space="preserve">Autres emprunts obligataires </t>
  </si>
  <si>
    <t xml:space="preserve">Emprunts et dettes des établissements de crédit  </t>
  </si>
  <si>
    <t xml:space="preserve">Autres dettes financières </t>
  </si>
  <si>
    <t xml:space="preserve">SOUS TOTAL (1) </t>
  </si>
  <si>
    <t xml:space="preserve">Dettes de location-acquisition : </t>
  </si>
  <si>
    <t xml:space="preserve">Dettes de crédit-bail immobilier </t>
  </si>
  <si>
    <t xml:space="preserve">Dettes de crédit-bail mobilier </t>
  </si>
  <si>
    <t xml:space="preserve">Dettes sur contrats de location-vente </t>
  </si>
  <si>
    <t xml:space="preserve">Dettes sur contrats de location-acquisition </t>
  </si>
  <si>
    <t xml:space="preserve">SOUS TOTAL (2) </t>
  </si>
  <si>
    <t xml:space="preserve">Dettes du passif circulant : </t>
  </si>
  <si>
    <t xml:space="preserve">Fournisseurs et comptes rattachés </t>
  </si>
  <si>
    <t xml:space="preserve">Personnel </t>
  </si>
  <si>
    <t xml:space="preserve">Sécurité sociale et organismes sociaux </t>
  </si>
  <si>
    <t xml:space="preserve">Etat </t>
  </si>
  <si>
    <t xml:space="preserve">Organismes internationaux </t>
  </si>
  <si>
    <t xml:space="preserve">Associés et groupe </t>
  </si>
  <si>
    <t xml:space="preserve">Créditeurs divers </t>
  </si>
  <si>
    <t xml:space="preserve">SOUS TOTAL (3) </t>
  </si>
  <si>
    <t xml:space="preserve">TOTAL (1) + (2) + (3) </t>
  </si>
  <si>
    <t xml:space="preserve"> ENGAGEMENTS FINANCIERS </t>
  </si>
  <si>
    <t xml:space="preserve">Engagements donnés </t>
  </si>
  <si>
    <t xml:space="preserve">Engagements reçus </t>
  </si>
  <si>
    <t xml:space="preserve">Engagements consentis à des entités liées </t>
  </si>
  <si>
    <t xml:space="preserve">Primes de remboursement non échues </t>
  </si>
  <si>
    <t xml:space="preserve">Avals, cautions, garanties       </t>
  </si>
  <si>
    <t xml:space="preserve">hypothèques, nantissements, gages, autres       </t>
  </si>
  <si>
    <t xml:space="preserve">Effets escomptés non échus       </t>
  </si>
  <si>
    <t xml:space="preserve">Créances commerciales et professionnelles cédées    </t>
  </si>
  <si>
    <t xml:space="preserve">Abandons de créances conditionnels       </t>
  </si>
  <si>
    <r>
      <rPr>
        <b val="true"/>
        <sz val="9"/>
        <color rgb="FFFFFFFF"/>
        <rFont val="Arial"/>
        <family val="2"/>
      </rPr>
      <t xml:space="preserve">TOTAL  </t>
    </r>
    <r>
      <rPr>
        <sz val="9"/>
        <color rgb="FFFFFFFF"/>
        <rFont val="Arial"/>
        <family val="2"/>
      </rPr>
      <t xml:space="preserve">        </t>
    </r>
  </si>
  <si>
    <r>
      <rPr>
        <b val="true"/>
        <sz val="9"/>
        <color rgb="FF000000"/>
        <rFont val="Arial"/>
        <family val="2"/>
      </rPr>
      <t xml:space="preserve">Commentaire :</t>
    </r>
    <r>
      <rPr>
        <sz val="9"/>
        <color rgb="FF000000"/>
        <rFont val="Arial"/>
        <family val="2"/>
      </rPr>
      <t xml:space="preserve">   </t>
    </r>
  </si>
  <si>
    <r>
      <rPr>
        <sz val="9"/>
        <color rgb="FF000000"/>
        <rFont val="Arial"/>
        <family val="2"/>
      </rPr>
      <t xml:space="preserve">•</t>
    </r>
    <r>
      <rPr>
        <sz val="9"/>
        <color rgb="FF000000"/>
        <rFont val="Times New Roman"/>
        <family val="1"/>
      </rPr>
      <t xml:space="preserve">      </t>
    </r>
    <r>
      <rPr>
        <i val="true"/>
        <sz val="9"/>
        <color rgb="FF000000"/>
        <rFont val="Arial"/>
        <family val="2"/>
      </rPr>
      <t xml:space="preserve">Indiquer la raison d'être des suretés.</t>
    </r>
    <r>
      <rPr>
        <sz val="9"/>
        <color rgb="FF000000"/>
        <rFont val="Arial"/>
        <family val="2"/>
      </rPr>
      <t xml:space="preserve"> </t>
    </r>
  </si>
  <si>
    <r>
      <rPr>
        <b val="true"/>
        <u val="single"/>
        <sz val="11"/>
        <color rgb="FF003366"/>
        <rFont val="Arial"/>
        <family val="2"/>
      </rPr>
      <t xml:space="preserve">NOTE</t>
    </r>
    <r>
      <rPr>
        <b val="true"/>
        <sz val="11"/>
        <color rgb="FF003366"/>
        <rFont val="Arial"/>
        <family val="2"/>
      </rPr>
      <t xml:space="preserve">  2 </t>
    </r>
  </si>
  <si>
    <t xml:space="preserve"> INFORMATIONS OBLIGATOIRES </t>
  </si>
  <si>
    <r>
      <rPr>
        <b val="true"/>
        <sz val="11"/>
        <color rgb="FFFFFFFF"/>
        <rFont val="Arial"/>
        <family val="2"/>
      </rPr>
      <t xml:space="preserve">A - DECLARATION DE CONFORMITE AU SYSCOHADA</t>
    </r>
    <r>
      <rPr>
        <b val="true"/>
        <sz val="11"/>
        <color rgb="FF000000"/>
        <rFont val="Arial"/>
        <family val="2"/>
      </rPr>
      <t xml:space="preserve"> </t>
    </r>
  </si>
  <si>
    <r>
      <rPr>
        <b val="true"/>
        <sz val="11"/>
        <color rgb="FFFFFFFF"/>
        <rFont val="Arial"/>
        <family val="2"/>
      </rPr>
      <t xml:space="preserve">B - REGLES ET METHODES COMPTABLES</t>
    </r>
    <r>
      <rPr>
        <b val="true"/>
        <sz val="11"/>
        <color rgb="FF000000"/>
        <rFont val="Arial"/>
        <family val="2"/>
      </rPr>
      <t xml:space="preserve"> </t>
    </r>
  </si>
  <si>
    <r>
      <rPr>
        <b val="true"/>
        <sz val="11"/>
        <color rgb="FFFFFFFF"/>
        <rFont val="Arial"/>
        <family val="2"/>
      </rPr>
      <t xml:space="preserve">C- DEROGATION AUX POSTULATS ET CONVENTIONS COMPTABLES</t>
    </r>
    <r>
      <rPr>
        <b val="true"/>
        <sz val="11"/>
        <color rgb="FF000000"/>
        <rFont val="Arial"/>
        <family val="2"/>
      </rPr>
      <t xml:space="preserve"> </t>
    </r>
  </si>
  <si>
    <t xml:space="preserve">D - INFORMATIONS COMPLEMENTAIRES RELATIVES AU BILAN, AU COMPTE DE </t>
  </si>
  <si>
    <r>
      <rPr>
        <b val="true"/>
        <sz val="11"/>
        <color rgb="FFFFFFFF"/>
        <rFont val="Arial"/>
        <family val="2"/>
      </rPr>
      <t xml:space="preserve">RESULTAT ET AU TABLEAU DES FLUX DE TRESORERIE</t>
    </r>
    <r>
      <rPr>
        <b val="true"/>
        <sz val="11"/>
        <color rgb="FF000000"/>
        <rFont val="Arial"/>
        <family val="2"/>
      </rPr>
      <t xml:space="preserve"> </t>
    </r>
  </si>
  <si>
    <r>
      <rPr>
        <sz val="10"/>
        <color rgb="FF000000"/>
        <rFont val="Arial"/>
        <family val="2"/>
      </rPr>
      <t xml:space="preserve">Désignation entité :</t>
    </r>
    <r>
      <rPr>
        <b val="true"/>
        <sz val="10"/>
        <color rgb="FF000000"/>
        <rFont val="Arial"/>
        <family val="2"/>
      </rPr>
      <t xml:space="preserve"> </t>
    </r>
    <r>
      <rPr>
        <sz val="10"/>
        <color rgb="FF000000"/>
        <rFont val="Arial"/>
        <family val="2"/>
      </rPr>
      <t xml:space="preserve">          </t>
    </r>
  </si>
  <si>
    <t xml:space="preserve">                      </t>
  </si>
  <si>
    <r>
      <rPr>
        <b val="true"/>
        <u val="single"/>
        <sz val="11"/>
        <color rgb="FF003366"/>
        <rFont val="Arial"/>
        <family val="2"/>
      </rPr>
      <t xml:space="preserve">NOTE 3A</t>
    </r>
    <r>
      <rPr>
        <b val="true"/>
        <sz val="11"/>
        <color rgb="FF003366"/>
        <rFont val="Arial"/>
        <family val="2"/>
      </rPr>
      <t xml:space="preserve">    </t>
    </r>
  </si>
  <si>
    <t xml:space="preserve">                   IMMOBILISATION BRUTE</t>
  </si>
  <si>
    <t xml:space="preserve">                                              SITUATIONS ET MOUVEMENTS </t>
  </si>
  <si>
    <t xml:space="preserve">MONTANT</t>
  </si>
  <si>
    <t xml:space="preserve">Acquisitions</t>
  </si>
  <si>
    <t xml:space="preserve">Virements</t>
  </si>
  <si>
    <t xml:space="preserve">Suite à une</t>
  </si>
  <si>
    <t xml:space="preserve">Cessions</t>
  </si>
  <si>
    <t xml:space="preserve">BRUT  A</t>
  </si>
  <si>
    <t xml:space="preserve">Apports</t>
  </si>
  <si>
    <t xml:space="preserve">de</t>
  </si>
  <si>
    <t xml:space="preserve">réévaluation</t>
  </si>
  <si>
    <t xml:space="preserve">Scissions</t>
  </si>
  <si>
    <t xml:space="preserve">BRUT A LA</t>
  </si>
  <si>
    <t xml:space="preserve">RUBRIQUES</t>
  </si>
  <si>
    <t xml:space="preserve">L'OUVERTURE DE </t>
  </si>
  <si>
    <t xml:space="preserve">Créations</t>
  </si>
  <si>
    <t xml:space="preserve">poste à poste</t>
  </si>
  <si>
    <t xml:space="preserve">Pratiquée au cours</t>
  </si>
  <si>
    <t xml:space="preserve">Hors service</t>
  </si>
  <si>
    <t xml:space="preserve">poste à</t>
  </si>
  <si>
    <t xml:space="preserve">CLOTURE DE </t>
  </si>
  <si>
    <t xml:space="preserve">L’EXERCICE</t>
  </si>
  <si>
    <t xml:space="preserve">de l’exercice</t>
  </si>
  <si>
    <t xml:space="preserve">poste</t>
  </si>
  <si>
    <t xml:space="preserve">Brevets, licences, logiciels, et droits similaires </t>
  </si>
  <si>
    <t xml:space="preserve">Terrains hors immeuble de placement </t>
  </si>
  <si>
    <t xml:space="preserve">Terrains - immeuble de placement </t>
  </si>
  <si>
    <t xml:space="preserve">Bâtiments hors immeuble de placement </t>
  </si>
  <si>
    <t xml:space="preserve">Bâtiments - immeuble de placement </t>
  </si>
  <si>
    <t xml:space="preserve">Matériel,  mobilier et actifs biologiques </t>
  </si>
  <si>
    <t xml:space="preserve">AVANCES ET ACOMPTES VERSES SUR IMMOBILISATIONS </t>
  </si>
  <si>
    <t xml:space="preserve">Immobilisations incorporelles </t>
  </si>
  <si>
    <t xml:space="preserve">Immobilisations corporelles </t>
  </si>
  <si>
    <t xml:space="preserve">Commentaire :   </t>
  </si>
  <si>
    <r>
      <rPr>
        <sz val="7.5"/>
        <color rgb="FF000000"/>
        <rFont val="Verdana"/>
        <family val="2"/>
      </rPr>
      <t xml:space="preserve">• Toute variation significative doit être commentée. 
• Détailler les éléments constitutifs du fonds commercial et indiquer la date d'acquisition. 
• Pour l'immobilisation incorporelle relative à la concession faire un descriptif de l'accord.
</t>
    </r>
    <r>
      <rPr>
        <i val="true"/>
        <sz val="7.5"/>
        <color rgb="FF000000"/>
        <rFont val="Verdana"/>
        <family val="2"/>
      </rPr>
      <t xml:space="preserve">  Indiquer : 
</t>
    </r>
    <r>
      <rPr>
        <sz val="7.5"/>
        <color rgb="FF000000"/>
        <rFont val="Verdana"/>
        <family val="2"/>
      </rPr>
      <t xml:space="preserve">- la nature de la créance ;
- la durée de la concession ; 
- l'échéance. 
• Indiquer les créances du groupe  avec nature et date d'échéance. 
• Pour les banques, DAT indiquer le nom de la banque le montant et la date d'échéance. 
</t>
    </r>
  </si>
  <si>
    <t xml:space="preserve">NOTE 3B </t>
  </si>
  <si>
    <t xml:space="preserve">SITUATIONS ET MOUVEMENTS</t>
  </si>
  <si>
    <t xml:space="preserve">NATURE</t>
  </si>
  <si>
    <t xml:space="preserve">A </t>
  </si>
  <si>
    <t xml:space="preserve">AUGMENTATIONS  B </t>
  </si>
  <si>
    <t xml:space="preserve">DIMINUTIONS  C </t>
  </si>
  <si>
    <t xml:space="preserve">D = A + B - C </t>
  </si>
  <si>
    <t xml:space="preserve">DU CONTRAT</t>
  </si>
  <si>
    <t xml:space="preserve">(I ; M ; A)  </t>
  </si>
  <si>
    <t xml:space="preserve">[1]</t>
  </si>
  <si>
    <t xml:space="preserve">MONTANT </t>
  </si>
  <si>
    <t xml:space="preserve">Virements de</t>
  </si>
  <si>
    <t xml:space="preserve">Suite à une </t>
  </si>
  <si>
    <t xml:space="preserve">Cessions </t>
  </si>
  <si>
    <t xml:space="preserve">BRUT A</t>
  </si>
  <si>
    <t xml:space="preserve">poste à poste </t>
  </si>
  <si>
    <t xml:space="preserve">Réévaluation</t>
  </si>
  <si>
    <t xml:space="preserve">poste à </t>
  </si>
  <si>
    <t xml:space="preserve">L'OUVERTURE  </t>
  </si>
  <si>
    <t xml:space="preserve">Pratiquée</t>
  </si>
  <si>
    <t xml:space="preserve">CLOTURE  DE</t>
  </si>
  <si>
    <t xml:space="preserve">DE  L'EXERCICE</t>
  </si>
  <si>
    <t xml:space="preserve">au cours</t>
  </si>
  <si>
    <t xml:space="preserve">L'EXERCICE</t>
  </si>
  <si>
    <t xml:space="preserve">de l'exercice</t>
  </si>
  <si>
    <t xml:space="preserve">Brevets, licences, logiciels et droits similaires </t>
  </si>
  <si>
    <t xml:space="preserve"> SOUS TOTAL : IMMOBILISATIONS INCORPORELLES </t>
  </si>
  <si>
    <t xml:space="preserve">Terrains </t>
  </si>
  <si>
    <t xml:space="preserve">Bâtiments </t>
  </si>
  <si>
    <t xml:space="preserve">SOUS TOTAL : IMMOBILISATIONS CORPORELLES </t>
  </si>
  <si>
    <r>
      <rPr>
        <sz val="8"/>
        <color rgb="FF000000"/>
        <rFont val="Verdana"/>
        <family val="2"/>
      </rPr>
      <t xml:space="preserve">[</t>
    </r>
    <r>
      <rPr>
        <vertAlign val="superscript"/>
        <sz val="8"/>
        <color rgb="FF000000"/>
        <rFont val="Verdana"/>
        <family val="2"/>
      </rPr>
      <t xml:space="preserve">1</t>
    </r>
    <r>
      <rPr>
        <sz val="8"/>
        <color rgb="FF000000"/>
        <rFont val="Verdana"/>
        <family val="2"/>
      </rPr>
      <t xml:space="preserve">] I : Crédit-bail immobilier ; M : Crédit-bail mobilier ; A : Autres contrats (dédoubler le poste si montants significatifs) </t>
    </r>
  </si>
  <si>
    <t xml:space="preserve">Commentaire : </t>
  </si>
  <si>
    <t xml:space="preserve">Indiquer la nature du bien, le nom du bailleur et la durée du bail. </t>
  </si>
  <si>
    <r>
      <rPr>
        <sz val="10"/>
        <color rgb="FF000000"/>
        <rFont val="Arial"/>
        <family val="2"/>
      </rPr>
      <t xml:space="preserve">Numéro d’identification :</t>
    </r>
    <r>
      <rPr>
        <b val="true"/>
        <sz val="10"/>
        <color rgb="FF000000"/>
        <rFont val="Arial"/>
        <family val="2"/>
      </rPr>
      <t xml:space="preserve"> </t>
    </r>
  </si>
  <si>
    <r>
      <rPr>
        <sz val="10"/>
        <color rgb="FF000000"/>
        <rFont val="Arial"/>
        <family val="2"/>
      </rPr>
      <t xml:space="preserve">Durée</t>
    </r>
    <r>
      <rPr>
        <sz val="9"/>
        <color rgb="FF000000"/>
        <rFont val="Arial"/>
        <family val="2"/>
      </rPr>
      <t xml:space="preserve"> (en mois)</t>
    </r>
  </si>
  <si>
    <r>
      <rPr>
        <b val="true"/>
        <u val="single"/>
        <sz val="11"/>
        <color rgb="FF003366"/>
        <rFont val="Cambria"/>
        <family val="1"/>
      </rPr>
      <t xml:space="preserve">NOTE</t>
    </r>
    <r>
      <rPr>
        <b val="true"/>
        <sz val="11"/>
        <color rgb="FF003366"/>
        <rFont val="Cambria"/>
        <family val="1"/>
      </rPr>
      <t xml:space="preserve"> 3C</t>
    </r>
  </si>
  <si>
    <t xml:space="preserve">IMMOBILISATION (AMORTISSEMENTS)</t>
  </si>
  <si>
    <t xml:space="preserve">DIMINUTIONS : Amortissements relatifs aux éléments sortis de l’actif</t>
  </si>
  <si>
    <t xml:space="preserve">E= A + B +C-D</t>
  </si>
  <si>
    <t xml:space="preserve">AMORTISSEMENTS CUMULES A L’OUVERTURE DE L’EXERCICE</t>
  </si>
  <si>
    <t xml:space="preserve">AUGMENTATIONS : DOTATIONS DE l’EXERCICE</t>
  </si>
  <si>
    <t xml:space="preserve">COMPLEMENT D AMORTISSEMENT</t>
  </si>
  <si>
    <t xml:space="preserve">CUMUL DES AMORTISSEMENTS A LA CLOTURE DE L’EXERCICE</t>
  </si>
  <si>
    <t xml:space="preserve">Frais de développement et de prospection</t>
  </si>
  <si>
    <t xml:space="preserve">Brevets, licences, logiciels et droits similaires</t>
  </si>
  <si>
    <t xml:space="preserve">Fonds commercial et droit au bail</t>
  </si>
  <si>
    <t xml:space="preserve">Autres immobilisations incorporelles</t>
  </si>
  <si>
    <t xml:space="preserve">SOUS TOTAL : IMMOBILISATIONS INCORPORELLES</t>
  </si>
  <si>
    <t xml:space="preserve">Terrains hors immeuble de placement</t>
  </si>
  <si>
    <t xml:space="preserve">Terrains-immeuble de placement</t>
  </si>
  <si>
    <t xml:space="preserve">Bâtiments hors immeuble de placement</t>
  </si>
  <si>
    <t xml:space="preserve">Bâtiments-immeuble de placement</t>
  </si>
  <si>
    <t xml:space="preserve">Aménagements, agencements et installations</t>
  </si>
  <si>
    <t xml:space="preserve">Matériel, mobilier et actifs biologiques</t>
  </si>
  <si>
    <t xml:space="preserve">Matériel de transport</t>
  </si>
  <si>
    <t xml:space="preserve">SOUS TOTAL : IMMOBILISATIONS CORPORELLES</t>
  </si>
  <si>
    <t xml:space="preserve">TOTAL GENERAL</t>
  </si>
  <si>
    <t xml:space="preserve">Commentaire :</t>
  </si>
  <si>
    <t xml:space="preserve">• Indiquer   
- les modes d'amortissement utilisés ; 
- la durée de vie ou  les taux d'amortissements utilisés. 
</t>
  </si>
  <si>
    <r>
      <rPr>
        <b val="true"/>
        <sz val="9"/>
        <color rgb="FFFFFFFF"/>
        <rFont val="Cambria"/>
        <family val="1"/>
      </rPr>
      <t xml:space="preserve">NOTE 3D : IMMOBILISATIONS (PLUS-VALUES ET MOINS VALUE DE CESSION)</t>
    </r>
    <r>
      <rPr>
        <sz val="9"/>
        <color rgb="FF000000"/>
        <rFont val="Calibri"/>
        <family val="2"/>
      </rPr>
      <t xml:space="preserve"> </t>
    </r>
  </si>
  <si>
    <r>
      <rPr>
        <b val="true"/>
        <sz val="11"/>
        <color rgb="FF000000"/>
        <rFont val="Times New Roman"/>
        <family val="1"/>
      </rPr>
      <t xml:space="preserve">                                                                           </t>
    </r>
    <r>
      <rPr>
        <b val="true"/>
        <u val="single"/>
        <sz val="11"/>
        <color rgb="FF003366"/>
        <rFont val="Times New Roman"/>
        <family val="1"/>
      </rPr>
      <t xml:space="preserve">NOTE</t>
    </r>
    <r>
      <rPr>
        <b val="true"/>
        <sz val="11"/>
        <color rgb="FF003366"/>
        <rFont val="Times New Roman"/>
        <family val="1"/>
      </rPr>
      <t xml:space="preserve"> 3D</t>
    </r>
  </si>
  <si>
    <t xml:space="preserve">IMMOBILISATIONS : PLUS-VALUES ET MOINS VALUE DE CESSION</t>
  </si>
  <si>
    <t xml:space="preserve">AMORTISSEMENTS </t>
  </si>
  <si>
    <t xml:space="preserve">VALEUR </t>
  </si>
  <si>
    <t xml:space="preserve">PRIX  </t>
  </si>
  <si>
    <t xml:space="preserve">PLUS-VALUE </t>
  </si>
  <si>
    <t xml:space="preserve">PRATIQUES </t>
  </si>
  <si>
    <t xml:space="preserve">COMPTABLE </t>
  </si>
  <si>
    <t xml:space="preserve">DE </t>
  </si>
  <si>
    <t xml:space="preserve">OU MOINS-VALUE </t>
  </si>
  <si>
    <t xml:space="preserve">NETTE </t>
  </si>
  <si>
    <t xml:space="preserve">CESSION </t>
  </si>
  <si>
    <t xml:space="preserve">B </t>
  </si>
  <si>
    <t xml:space="preserve">C = A - B </t>
  </si>
  <si>
    <t xml:space="preserve">D </t>
  </si>
  <si>
    <t xml:space="preserve">E = D - C </t>
  </si>
  <si>
    <t xml:space="preserve">Aménagements, agencements  et installations </t>
  </si>
  <si>
    <t xml:space="preserve"> SOUS TOTAL : IMMOBILISATIONS CORPORELLES </t>
  </si>
  <si>
    <t xml:space="preserve">Titres de participations </t>
  </si>
  <si>
    <t xml:space="preserve">SOUS TOTAL : IMMOBILISATIONS FINANCIERES </t>
  </si>
  <si>
    <r>
      <rPr>
        <b val="true"/>
        <sz val="8"/>
        <color rgb="FF000000"/>
        <rFont val="Verdana"/>
        <family val="2"/>
      </rPr>
      <t xml:space="preserve">Commentaire</t>
    </r>
    <r>
      <rPr>
        <sz val="8"/>
        <color rgb="FF000000"/>
        <rFont val="Verdana"/>
        <family val="2"/>
      </rPr>
      <t xml:space="preserve"> :  </t>
    </r>
  </si>
  <si>
    <t xml:space="preserve">. Mentionner la justification de la cession ainsi que la date et la date de sortie.</t>
  </si>
  <si>
    <r>
      <rPr>
        <sz val="10"/>
        <color rgb="FF000000"/>
        <rFont val="Arial"/>
        <family val="2"/>
      </rPr>
      <t xml:space="preserve">Désignation entité :</t>
    </r>
    <r>
      <rPr>
        <b val="true"/>
        <sz val="10"/>
        <color rgb="FF000000"/>
        <rFont val="Arial"/>
        <family val="2"/>
      </rPr>
      <t xml:space="preserve">                                                           </t>
    </r>
    <r>
      <rPr>
        <b val="true"/>
        <sz val="12"/>
        <color rgb="FF000000"/>
        <rFont val="Arial"/>
        <family val="2"/>
      </rPr>
      <t xml:space="preserve">                                    </t>
    </r>
    <r>
      <rPr>
        <b val="true"/>
        <sz val="10"/>
        <color rgb="FF000000"/>
        <rFont val="Arial"/>
        <family val="2"/>
      </rPr>
      <t xml:space="preserve"> </t>
    </r>
    <r>
      <rPr>
        <sz val="10"/>
        <color rgb="FF000000"/>
        <rFont val="Arial"/>
        <family val="2"/>
      </rPr>
      <t xml:space="preserve">                                                          </t>
    </r>
  </si>
  <si>
    <t xml:space="preserve"> Exercice clos le         </t>
  </si>
  <si>
    <r>
      <rPr>
        <sz val="10"/>
        <color rgb="FF000000"/>
        <rFont val="Arial"/>
        <family val="2"/>
      </rPr>
      <t xml:space="preserve"> Durée</t>
    </r>
    <r>
      <rPr>
        <sz val="9"/>
        <color rgb="FF000000"/>
        <rFont val="Arial"/>
        <family val="2"/>
      </rPr>
      <t xml:space="preserve"> (en mois)</t>
    </r>
  </si>
  <si>
    <r>
      <rPr>
        <b val="true"/>
        <sz val="9"/>
        <color rgb="FFFFFFFF"/>
        <rFont val="Cambria"/>
        <family val="1"/>
      </rPr>
      <t xml:space="preserve">NOTE 3E : INFORMATIONS SUR LES REEVALUATIONS EFFECTUEES </t>
    </r>
    <r>
      <rPr>
        <b val="true"/>
        <vertAlign val="subscript"/>
        <sz val="9"/>
        <color rgb="FF000000"/>
        <rFont val="Times New Roman"/>
        <family val="1"/>
      </rPr>
      <t xml:space="preserve"> </t>
    </r>
  </si>
  <si>
    <r>
      <rPr>
        <b val="true"/>
        <u val="single"/>
        <sz val="11"/>
        <color rgb="FF003366"/>
        <rFont val="Times New Roman"/>
        <family val="1"/>
      </rPr>
      <t xml:space="preserve">NOTE</t>
    </r>
    <r>
      <rPr>
        <b val="true"/>
        <sz val="11"/>
        <color rgb="FF003366"/>
        <rFont val="Times New Roman"/>
        <family val="1"/>
      </rPr>
      <t xml:space="preserve"> 3E </t>
    </r>
  </si>
  <si>
    <t xml:space="preserve">INFORMATIONS SUR LES REEVALUATIONS EFFECTUEES PAR L'ENTITE </t>
  </si>
  <si>
    <r>
      <rPr>
        <b val="true"/>
        <sz val="9"/>
        <color rgb="FF000000"/>
        <rFont val="Arial"/>
        <family val="2"/>
      </rPr>
      <t xml:space="preserve">Nature et date des réévaluations :  </t>
    </r>
    <r>
      <rPr>
        <sz val="9"/>
        <color rgb="FF000000"/>
        <rFont val="Arial"/>
        <family val="2"/>
      </rPr>
      <t xml:space="preserve">         </t>
    </r>
  </si>
  <si>
    <r>
      <rPr>
        <b val="true"/>
        <sz val="9"/>
        <color rgb="FF000000"/>
        <rFont val="Arial"/>
        <family val="2"/>
      </rPr>
      <t xml:space="preserve">   </t>
    </r>
    <r>
      <rPr>
        <sz val="9"/>
        <color rgb="FF000000"/>
        <rFont val="Arial"/>
        <family val="2"/>
      </rPr>
      <t xml:space="preserve">  </t>
    </r>
  </si>
  <si>
    <t xml:space="preserve">Eléments réévalués par postes du bilan</t>
  </si>
  <si>
    <t xml:space="preserve">Montants coûts historiques</t>
  </si>
  <si>
    <t xml:space="preserve">Amortissements supplémentaires</t>
  </si>
  <si>
    <t xml:space="preserve">             </t>
  </si>
  <si>
    <r>
      <rPr>
        <b val="true"/>
        <sz val="9"/>
        <color rgb="FF000000"/>
        <rFont val="Arial"/>
        <family val="2"/>
      </rPr>
      <t xml:space="preserve">Méthode de réévaluation utilisée :  </t>
    </r>
    <r>
      <rPr>
        <sz val="9"/>
        <color rgb="FF000000"/>
        <rFont val="Arial"/>
        <family val="2"/>
      </rPr>
      <t xml:space="preserve">         </t>
    </r>
  </si>
  <si>
    <r>
      <rPr>
        <b val="true"/>
        <sz val="9"/>
        <color rgb="FF000000"/>
        <rFont val="Arial"/>
        <family val="2"/>
      </rPr>
      <t xml:space="preserve">   </t>
    </r>
    <r>
      <rPr>
        <sz val="9"/>
        <color rgb="FF000000"/>
        <rFont val="Arial"/>
        <family val="2"/>
      </rPr>
      <t xml:space="preserve">               </t>
    </r>
  </si>
  <si>
    <r>
      <rPr>
        <b val="true"/>
        <sz val="9"/>
        <color rgb="FF000000"/>
        <rFont val="Arial"/>
        <family val="2"/>
      </rPr>
      <t xml:space="preserve">Traitement fiscal de l'écart de réévaluation et des amortissements supplémentaires :  </t>
    </r>
    <r>
      <rPr>
        <sz val="9"/>
        <color rgb="FF000000"/>
        <rFont val="Arial"/>
        <family val="2"/>
      </rPr>
      <t xml:space="preserve">  </t>
    </r>
  </si>
  <si>
    <t xml:space="preserve">Montant de l'écart incorporé au capital : </t>
  </si>
  <si>
    <r>
      <rPr>
        <sz val="10"/>
        <color rgb="FF000000"/>
        <rFont val="Arial"/>
        <family val="2"/>
      </rPr>
      <t xml:space="preserve">Désignation entité :</t>
    </r>
    <r>
      <rPr>
        <b val="true"/>
        <sz val="10"/>
        <color rgb="FF000000"/>
        <rFont val="Arial"/>
        <family val="2"/>
      </rPr>
      <t xml:space="preserve">  </t>
    </r>
    <r>
      <rPr>
        <sz val="10"/>
        <color rgb="FF000000"/>
        <rFont val="Arial"/>
        <family val="2"/>
      </rPr>
      <t xml:space="preserve"> </t>
    </r>
  </si>
  <si>
    <r>
      <rPr>
        <b val="true"/>
        <sz val="11"/>
        <color rgb="FF000000"/>
        <rFont val="Times New Roman"/>
        <family val="1"/>
      </rPr>
      <t xml:space="preserve">                </t>
    </r>
    <r>
      <rPr>
        <b val="true"/>
        <u val="single"/>
        <sz val="11"/>
        <color rgb="FF003366"/>
        <rFont val="Times New Roman"/>
        <family val="1"/>
      </rPr>
      <t xml:space="preserve">NOTE</t>
    </r>
    <r>
      <rPr>
        <b val="true"/>
        <sz val="11"/>
        <color rgb="FF003366"/>
        <rFont val="Times New Roman"/>
        <family val="1"/>
      </rPr>
      <t xml:space="preserve"> 4</t>
    </r>
  </si>
  <si>
    <t xml:space="preserve">Libellés </t>
  </si>
  <si>
    <t xml:space="preserve">Année N </t>
  </si>
  <si>
    <t xml:space="preserve">Année N-1 </t>
  </si>
  <si>
    <t xml:space="preserve">Variation en % </t>
  </si>
  <si>
    <t xml:space="preserve">Créances à un an au plus </t>
  </si>
  <si>
    <t xml:space="preserve">Créances à plus d'un an et à </t>
  </si>
  <si>
    <t xml:space="preserve">Créances à plus de deux ans </t>
  </si>
  <si>
    <t xml:space="preserve">deux ans au plus </t>
  </si>
  <si>
    <t xml:space="preserve">Prêts et créances </t>
  </si>
  <si>
    <t xml:space="preserve">Prêt au personnel </t>
  </si>
  <si>
    <t xml:space="preserve">Créances sur  l'état </t>
  </si>
  <si>
    <t xml:space="preserve">Titres immobilisés </t>
  </si>
  <si>
    <t xml:space="preserve">Dépôts et cautionnements </t>
  </si>
  <si>
    <t xml:space="preserve">Intérêts courus </t>
  </si>
  <si>
    <r>
      <rPr>
        <b val="true"/>
        <sz val="8"/>
        <color rgb="FF000000"/>
        <rFont val="Arial"/>
        <family val="2"/>
      </rPr>
      <t xml:space="preserve">TOTAL BRUT</t>
    </r>
    <r>
      <rPr>
        <b val="true"/>
        <sz val="8"/>
        <color rgb="FFDD0806"/>
        <rFont val="Arial"/>
        <family val="2"/>
      </rPr>
      <t xml:space="preserve"> </t>
    </r>
  </si>
  <si>
    <t xml:space="preserve">Dépréciations  titres de participation </t>
  </si>
  <si>
    <t xml:space="preserve">Dépréciations autres immobilisations </t>
  </si>
  <si>
    <t xml:space="preserve">TOTAL NET DE DEPRECIATION </t>
  </si>
  <si>
    <t xml:space="preserve"> Liste des filiales et participations : </t>
  </si>
  <si>
    <t xml:space="preserve">Dénomination sociale </t>
  </si>
  <si>
    <t xml:space="preserve">Localisation (ville / pays) </t>
  </si>
  <si>
    <t xml:space="preserve">Valeur d'acquisition</t>
  </si>
  <si>
    <t xml:space="preserve">% Détenu</t>
  </si>
  <si>
    <t xml:space="preserve">Montant des </t>
  </si>
  <si>
    <t xml:space="preserve">Résultat dernier </t>
  </si>
  <si>
    <t xml:space="preserve">capitaux propres filiale </t>
  </si>
  <si>
    <t xml:space="preserve">exercice filiale  </t>
  </si>
  <si>
    <t xml:space="preserve">     </t>
  </si>
  <si>
    <r>
      <rPr>
        <sz val="8"/>
        <color rgb="FF000000"/>
        <rFont val="Verdana"/>
        <family val="2"/>
      </rPr>
      <t xml:space="preserve">•      </t>
    </r>
    <r>
      <rPr>
        <i val="true"/>
        <sz val="8"/>
        <color rgb="FF000000"/>
        <rFont val="Verdana"/>
        <family val="2"/>
      </rPr>
      <t xml:space="preserve">Justifier toute  variation  significative. </t>
    </r>
  </si>
  <si>
    <r>
      <rPr>
        <sz val="8"/>
        <color rgb="FF000000"/>
        <rFont val="Verdana"/>
        <family val="2"/>
      </rPr>
      <t xml:space="preserve">•      </t>
    </r>
    <r>
      <rPr>
        <i val="true"/>
        <sz val="8"/>
        <color rgb="FF000000"/>
        <rFont val="Verdana"/>
        <family val="2"/>
      </rPr>
      <t xml:space="preserve">Commenter toutes les créances anciennes. </t>
    </r>
  </si>
  <si>
    <r>
      <rPr>
        <sz val="8"/>
        <color rgb="FF000000"/>
        <rFont val="Verdana"/>
        <family val="2"/>
      </rPr>
      <t xml:space="preserve">•      </t>
    </r>
    <r>
      <rPr>
        <i val="true"/>
        <sz val="8"/>
        <color rgb="FF000000"/>
        <rFont val="Verdana"/>
        <family val="2"/>
      </rPr>
      <t xml:space="preserve">Pour les créances relatives à la concession, faire un descriptif de l'accord.  </t>
    </r>
  </si>
  <si>
    <r>
      <rPr>
        <sz val="8"/>
        <color rgb="FF000000"/>
        <rFont val="Verdana"/>
        <family val="2"/>
      </rPr>
      <t xml:space="preserve">•      </t>
    </r>
    <r>
      <rPr>
        <i val="true"/>
        <sz val="8"/>
        <color rgb="FF000000"/>
        <rFont val="Verdana"/>
        <family val="2"/>
      </rPr>
      <t xml:space="preserve">Indiquer : </t>
    </r>
  </si>
  <si>
    <r>
      <rPr>
        <sz val="8"/>
        <color rgb="FF000000"/>
        <rFont val="Verdana"/>
        <family val="2"/>
      </rPr>
      <t xml:space="preserve">- </t>
    </r>
    <r>
      <rPr>
        <i val="true"/>
        <sz val="8"/>
        <color rgb="FF000000"/>
        <rFont val="Verdana"/>
        <family val="2"/>
      </rPr>
      <t xml:space="preserve">la nature de la créance ; </t>
    </r>
  </si>
  <si>
    <r>
      <rPr>
        <sz val="8"/>
        <color rgb="FF000000"/>
        <rFont val="Verdana"/>
        <family val="2"/>
      </rPr>
      <t xml:space="preserve">- </t>
    </r>
    <r>
      <rPr>
        <i val="true"/>
        <sz val="8"/>
        <color rgb="FF000000"/>
        <rFont val="Verdana"/>
        <family val="2"/>
      </rPr>
      <t xml:space="preserve">la durée de la concession ; </t>
    </r>
  </si>
  <si>
    <r>
      <rPr>
        <sz val="8"/>
        <color rgb="FF000000"/>
        <rFont val="Verdana"/>
        <family val="2"/>
      </rPr>
      <t xml:space="preserve">- </t>
    </r>
    <r>
      <rPr>
        <i val="true"/>
        <sz val="8"/>
        <color rgb="FF000000"/>
        <rFont val="Verdana"/>
        <family val="2"/>
      </rPr>
      <t xml:space="preserve">l'échéance. </t>
    </r>
  </si>
  <si>
    <r>
      <rPr>
        <sz val="8"/>
        <color rgb="FF000000"/>
        <rFont val="Verdana"/>
        <family val="2"/>
      </rPr>
      <t xml:space="preserve">•      </t>
    </r>
    <r>
      <rPr>
        <i val="true"/>
        <sz val="8"/>
        <color rgb="FF000000"/>
        <rFont val="Verdana"/>
        <family val="2"/>
      </rPr>
      <t xml:space="preserve">Indiquer le nombre et la date d'acquisition des actions ou parts propres. </t>
    </r>
  </si>
  <si>
    <r>
      <rPr>
        <sz val="8"/>
        <color rgb="FF000000"/>
        <rFont val="Verdana"/>
        <family val="2"/>
      </rPr>
      <t xml:space="preserve">•      </t>
    </r>
    <r>
      <rPr>
        <i val="true"/>
        <sz val="8"/>
        <color rgb="FF000000"/>
        <rFont val="Verdana"/>
        <family val="2"/>
      </rPr>
      <t xml:space="preserve">Dépréciation : indiquer les évènements et les circonstances qui ont motivé la  dépréciation ou la reprise. </t>
    </r>
  </si>
  <si>
    <r>
      <rPr>
        <sz val="10"/>
        <color rgb="FF000000"/>
        <rFont val="Arial"/>
        <family val="2"/>
      </rPr>
      <t xml:space="preserve">Désignation entité :</t>
    </r>
    <r>
      <rPr>
        <b val="true"/>
        <sz val="9"/>
        <color rgb="FF000000"/>
        <rFont val="Arial"/>
        <family val="2"/>
      </rPr>
      <t xml:space="preserve"> </t>
    </r>
    <r>
      <rPr>
        <sz val="10"/>
        <color rgb="FF000000"/>
        <rFont val="Arial"/>
        <family val="2"/>
      </rPr>
      <t xml:space="preserve"> </t>
    </r>
  </si>
  <si>
    <r>
      <rPr>
        <b val="true"/>
        <u val="single"/>
        <sz val="11"/>
        <color rgb="FF003366"/>
        <rFont val="Arial"/>
        <family val="2"/>
      </rPr>
      <t xml:space="preserve">NOTE</t>
    </r>
    <r>
      <rPr>
        <b val="true"/>
        <sz val="11"/>
        <color rgb="FF003366"/>
        <rFont val="Arial"/>
        <family val="2"/>
      </rPr>
      <t xml:space="preserve"> 5 </t>
    </r>
  </si>
  <si>
    <t xml:space="preserve">Variation en %</t>
  </si>
  <si>
    <t xml:space="preserve">Créances sur cessions d'immobilisations </t>
  </si>
  <si>
    <t xml:space="preserve">Autres créances hors activités ordinaires </t>
  </si>
  <si>
    <t xml:space="preserve"> TOTAL BRUT </t>
  </si>
  <si>
    <t xml:space="preserve">Dépréciations des créances HAO </t>
  </si>
  <si>
    <r>
      <rPr>
        <b val="true"/>
        <i val="true"/>
        <sz val="8"/>
        <color rgb="FF000000"/>
        <rFont val="Verdana"/>
        <family val="2"/>
      </rPr>
      <t xml:space="preserve">Commentaire</t>
    </r>
    <r>
      <rPr>
        <i val="true"/>
        <sz val="8"/>
        <color rgb="FF000000"/>
        <rFont val="Verdana"/>
        <family val="2"/>
      </rPr>
      <t xml:space="preserve">:  </t>
    </r>
  </si>
  <si>
    <t xml:space="preserve">•       Commenter toute  variation  significative. </t>
  </si>
  <si>
    <t xml:space="preserve">•       Dépréciation : indiquer les évènements et les circonstances qui ont motivé la dépréciation ou la reprise.  </t>
  </si>
  <si>
    <t xml:space="preserve">DETTES  CIRCULANTES HAO</t>
  </si>
  <si>
    <t xml:space="preserve">Fournisseurs d'investissements </t>
  </si>
  <si>
    <t xml:space="preserve">Fournisseurs d'investissements effets à payer </t>
  </si>
  <si>
    <t xml:space="preserve">Versements restant à effectuer sur titres de participation et titres immobilisés non libérés </t>
  </si>
  <si>
    <t xml:space="preserve">Autres dettes hors activités ordinaires </t>
  </si>
  <si>
    <t xml:space="preserve">TOTAL  </t>
  </si>
  <si>
    <r>
      <rPr>
        <b val="true"/>
        <sz val="8"/>
        <color rgb="FF000000"/>
        <rFont val="Verdana"/>
        <family val="2"/>
      </rPr>
      <t xml:space="preserve">Commentaire </t>
    </r>
    <r>
      <rPr>
        <sz val="8"/>
        <color rgb="FF000000"/>
        <rFont val="Verdana"/>
        <family val="2"/>
      </rPr>
      <t xml:space="preserve">:  </t>
    </r>
  </si>
  <si>
    <r>
      <rPr>
        <sz val="8"/>
        <color rgb="FF000000"/>
        <rFont val="Verdana"/>
        <family val="2"/>
      </rPr>
      <t xml:space="preserve">•      </t>
    </r>
    <r>
      <rPr>
        <i val="true"/>
        <sz val="8"/>
        <color rgb="FF000000"/>
        <rFont val="Verdana"/>
        <family val="2"/>
      </rPr>
      <t xml:space="preserve">Indiquer la date de cession et la nature de l'immobilisation achetée et/ou cédée. </t>
    </r>
  </si>
  <si>
    <r>
      <rPr>
        <sz val="8"/>
        <color rgb="FF000000"/>
        <rFont val="Verdana"/>
        <family val="2"/>
      </rPr>
      <t xml:space="preserve">•      </t>
    </r>
    <r>
      <rPr>
        <i val="true"/>
        <sz val="8"/>
        <color rgb="FF000000"/>
        <rFont val="Verdana"/>
        <family val="2"/>
      </rPr>
      <t xml:space="preserve">Expliciter toute variation significative.</t>
    </r>
    <r>
      <rPr>
        <sz val="8"/>
        <color rgb="FF000000"/>
        <rFont val="Verdana"/>
        <family val="2"/>
      </rPr>
      <t xml:space="preserve"> </t>
    </r>
  </si>
  <si>
    <t xml:space="preserve">   </t>
  </si>
  <si>
    <r>
      <rPr>
        <sz val="10"/>
        <color rgb="FF000000"/>
        <rFont val="Arial"/>
        <family val="2"/>
      </rPr>
      <t xml:space="preserve">Désignation entité :</t>
    </r>
    <r>
      <rPr>
        <b val="true"/>
        <sz val="12"/>
        <color rgb="FF000000"/>
        <rFont val="Arial"/>
        <family val="2"/>
      </rPr>
      <t xml:space="preserve"> </t>
    </r>
    <r>
      <rPr>
        <sz val="10"/>
        <color rgb="FF000000"/>
        <rFont val="Arial"/>
        <family val="2"/>
      </rPr>
      <t xml:space="preserve">      </t>
    </r>
  </si>
  <si>
    <r>
      <rPr>
        <b val="true"/>
        <u val="single"/>
        <sz val="11"/>
        <color rgb="FF003366"/>
        <rFont val="Times New Roman"/>
        <family val="1"/>
      </rPr>
      <t xml:space="preserve">NOTE</t>
    </r>
    <r>
      <rPr>
        <b val="true"/>
        <sz val="11"/>
        <color rgb="FF003366"/>
        <rFont val="Times New Roman"/>
        <family val="1"/>
      </rPr>
      <t xml:space="preserve"> 6</t>
    </r>
  </si>
  <si>
    <r>
      <rPr>
        <b val="true"/>
        <sz val="11"/>
        <color rgb="FF33CCCC"/>
        <rFont val="Times New Roman"/>
        <family val="1"/>
      </rPr>
      <t xml:space="preserve">STOCKS ET EN COURS </t>
    </r>
    <r>
      <rPr>
        <b val="true"/>
        <vertAlign val="superscript"/>
        <sz val="11"/>
        <color rgb="FF33CCCC"/>
        <rFont val="Times New Roman"/>
        <family val="1"/>
      </rPr>
      <t xml:space="preserve">(1)</t>
    </r>
  </si>
  <si>
    <t xml:space="preserve">Marchandises </t>
  </si>
  <si>
    <t xml:space="preserve">Matières premières et fournitures liées </t>
  </si>
  <si>
    <t xml:space="preserve">Autres approvisionnements </t>
  </si>
  <si>
    <t xml:space="preserve">Produits en cours </t>
  </si>
  <si>
    <t xml:space="preserve">Services en cours </t>
  </si>
  <si>
    <t xml:space="preserve">Produits finis </t>
  </si>
  <si>
    <t xml:space="preserve">Produits intermédiaires </t>
  </si>
  <si>
    <t xml:space="preserve">Stocks en cours de route, en consignation ou en dépôt </t>
  </si>
  <si>
    <t xml:space="preserve">TOTAL BRUT STOCKS ET EN COURS </t>
  </si>
  <si>
    <t xml:space="preserve">Dépréciations des stocks </t>
  </si>
  <si>
    <t xml:space="preserve">(1) Les stocks H.A.O. seront inscrits dans l'actif circulant H.A.O. que lorsque leur montant total est significatif (supérieur à 5 % du total de l'actif circulant). </t>
  </si>
  <si>
    <r>
      <rPr>
        <b val="true"/>
        <sz val="8"/>
        <color rgb="FF000000"/>
        <rFont val="Verdana"/>
        <family val="2"/>
      </rPr>
      <t xml:space="preserve"> Commentaire </t>
    </r>
    <r>
      <rPr>
        <sz val="8"/>
        <color rgb="FF000000"/>
        <rFont val="Verdana"/>
        <family val="2"/>
      </rPr>
      <t xml:space="preserve">:  </t>
    </r>
  </si>
  <si>
    <r>
      <rPr>
        <sz val="8"/>
        <color rgb="FF000000"/>
        <rFont val="Verdana"/>
        <family val="2"/>
      </rPr>
      <t xml:space="preserve">• </t>
    </r>
    <r>
      <rPr>
        <i val="true"/>
        <sz val="8"/>
        <color rgb="FF000000"/>
        <rFont val="Verdana"/>
        <family val="2"/>
      </rPr>
      <t xml:space="preserve">Indiquer la date de prise d'inventaire et décrire brièvement la procédure, les méthodes comptables adoptées pour évaluer le stock. </t>
    </r>
  </si>
  <si>
    <r>
      <rPr>
        <sz val="8"/>
        <color rgb="FF000000"/>
        <rFont val="Verdana"/>
        <family val="2"/>
      </rPr>
      <t xml:space="preserve">• </t>
    </r>
    <r>
      <rPr>
        <i val="true"/>
        <sz val="8"/>
        <color rgb="FF000000"/>
        <rFont val="Verdana"/>
        <family val="2"/>
      </rPr>
      <t xml:space="preserve">Commenter toute variation significative des stocks. </t>
    </r>
  </si>
  <si>
    <r>
      <rPr>
        <sz val="8"/>
        <color rgb="FF000000"/>
        <rFont val="Verdana"/>
        <family val="2"/>
      </rPr>
      <t xml:space="preserve">• </t>
    </r>
    <r>
      <rPr>
        <i val="true"/>
        <sz val="8"/>
        <color rgb="FF000000"/>
        <rFont val="Verdana"/>
        <family val="2"/>
      </rPr>
      <t xml:space="preserve">Indiquer le détail des stocks dépréciés et les évènements et circonstances qui ont conduit à la dépréciation et à la reprise.</t>
    </r>
    <r>
      <rPr>
        <sz val="8"/>
        <color rgb="FF000000"/>
        <rFont val="Verdana"/>
        <family val="2"/>
      </rPr>
      <t xml:space="preserve"> </t>
    </r>
  </si>
  <si>
    <r>
      <rPr>
        <b val="true"/>
        <sz val="11"/>
        <color rgb="FF000000"/>
        <rFont val="Times New Roman"/>
        <family val="1"/>
      </rPr>
      <t xml:space="preserve"> </t>
    </r>
    <r>
      <rPr>
        <b val="true"/>
        <u val="single"/>
        <sz val="11"/>
        <color rgb="FF003366"/>
        <rFont val="Times New Roman"/>
        <family val="1"/>
      </rPr>
      <t xml:space="preserve">NOTE</t>
    </r>
    <r>
      <rPr>
        <b val="true"/>
        <sz val="11"/>
        <color rgb="FF003366"/>
        <rFont val="Times New Roman"/>
        <family val="1"/>
      </rPr>
      <t xml:space="preserve"> 7 </t>
    </r>
  </si>
  <si>
    <t xml:space="preserve">Année  N </t>
  </si>
  <si>
    <t xml:space="preserve">Année  N-1 </t>
  </si>
  <si>
    <t xml:space="preserve">Créances à plus </t>
  </si>
  <si>
    <t xml:space="preserve">d'un an </t>
  </si>
  <si>
    <t xml:space="preserve">et à deux </t>
  </si>
  <si>
    <t xml:space="preserve">ans au plus </t>
  </si>
  <si>
    <t xml:space="preserve">Clients (hors réserves de propriété Groupe) </t>
  </si>
  <si>
    <t xml:space="preserve">Clients effets à recevoir (hors réserves de propriété groupe) </t>
  </si>
  <si>
    <t xml:space="preserve">Clients et effets à recevoir  avec réserves de propriété  </t>
  </si>
  <si>
    <t xml:space="preserve">Clients et effets à recevoir Groupe  </t>
  </si>
  <si>
    <t xml:space="preserve">Créances sur cession d'immobilisations </t>
  </si>
  <si>
    <t xml:space="preserve">Clients effets escomptés et non échus </t>
  </si>
  <si>
    <t xml:space="preserve">Créances litigieuses ou douteuses </t>
  </si>
  <si>
    <t xml:space="preserve">Clients produits à recevoir </t>
  </si>
  <si>
    <t xml:space="preserve">TOTAL BRUT CLIENTS </t>
  </si>
  <si>
    <t xml:space="preserve">Dépréciations des comptes clients </t>
  </si>
  <si>
    <t xml:space="preserve">Clients, avances reçues hors groupe </t>
  </si>
  <si>
    <t xml:space="preserve">Clients, avances reçues  groupe </t>
  </si>
  <si>
    <t xml:space="preserve">Autres clients créditeurs  </t>
  </si>
  <si>
    <t xml:space="preserve">TOTAL CLIENTS CREDITEURS </t>
  </si>
  <si>
    <r>
      <rPr>
        <b val="true"/>
        <sz val="9"/>
        <color rgb="FF000000"/>
        <rFont val="Times New Roman"/>
        <family val="1"/>
      </rPr>
      <t xml:space="preserve"> </t>
    </r>
    <r>
      <rPr>
        <b val="true"/>
        <sz val="9"/>
        <color rgb="FF000000"/>
        <rFont val="Arial"/>
        <family val="2"/>
      </rPr>
      <t xml:space="preserve">Commentaire </t>
    </r>
    <r>
      <rPr>
        <sz val="9"/>
        <color rgb="FF000000"/>
        <rFont val="Arial"/>
        <family val="2"/>
      </rPr>
      <t xml:space="preserve">: </t>
    </r>
  </si>
  <si>
    <t xml:space="preserve">• Commenter toutes  variations significatives. 
• Indiquer pour  les créances du groupe, le nom de la société du groupe et le % de titres  détenus. 
• Commenter les créances anciennes. 
• Indiquer les événements et circonstances qui ont conduit à la dépréciation et à la reprise. 
</t>
  </si>
  <si>
    <t xml:space="preserve">Désignation entité :</t>
  </si>
  <si>
    <r>
      <rPr>
        <b val="true"/>
        <u val="single"/>
        <sz val="9"/>
        <color rgb="FF003366"/>
        <rFont val="Arial"/>
        <family val="2"/>
      </rPr>
      <t xml:space="preserve">NOTE</t>
    </r>
    <r>
      <rPr>
        <b val="true"/>
        <sz val="9"/>
        <color rgb="FF003366"/>
        <rFont val="Arial"/>
        <family val="2"/>
      </rPr>
      <t xml:space="preserve"> 8 </t>
    </r>
  </si>
  <si>
    <t xml:space="preserve">Organismes sociaux </t>
  </si>
  <si>
    <t xml:space="preserve">Etat et Collectivités publiques </t>
  </si>
  <si>
    <t xml:space="preserve">Apporteurs, associés et groupe </t>
  </si>
  <si>
    <t xml:space="preserve">Compte transitoire ajustement spécial lié à la révision du SYSCOHADA </t>
  </si>
  <si>
    <t xml:space="preserve">Autres débiteurs divers </t>
  </si>
  <si>
    <t xml:space="preserve">Comptes permanents non bloqués des établissements et des succursales </t>
  </si>
  <si>
    <t xml:space="preserve">Comptes de liaison charges et produits </t>
  </si>
  <si>
    <t xml:space="preserve">Comptes de liaison des sociétés en participation </t>
  </si>
  <si>
    <t xml:space="preserve">TOTAL BRUT AUTRES CREANCES </t>
  </si>
  <si>
    <t xml:space="preserve">Dépréciations des autres créances </t>
  </si>
  <si>
    <r>
      <rPr>
        <sz val="8"/>
        <color rgb="FF000000"/>
        <rFont val="Verdana"/>
        <family val="2"/>
      </rPr>
      <t xml:space="preserve">•      </t>
    </r>
    <r>
      <rPr>
        <i val="true"/>
        <sz val="8"/>
        <color rgb="FF000000"/>
        <rFont val="Verdana"/>
        <family val="2"/>
      </rPr>
      <t xml:space="preserve">Justifier toute variation significative. </t>
    </r>
  </si>
  <si>
    <r>
      <rPr>
        <sz val="8"/>
        <color rgb="FF000000"/>
        <rFont val="Verdana"/>
        <family val="2"/>
      </rPr>
      <t xml:space="preserve">•      </t>
    </r>
    <r>
      <rPr>
        <i val="true"/>
        <sz val="8"/>
        <color rgb="FF000000"/>
        <rFont val="Verdana"/>
        <family val="2"/>
      </rPr>
      <t xml:space="preserve">Détailler les créances dont le montant est significatif. </t>
    </r>
  </si>
  <si>
    <r>
      <rPr>
        <sz val="8"/>
        <color rgb="FF000000"/>
        <rFont val="Verdana"/>
        <family val="2"/>
      </rPr>
      <t xml:space="preserve">•      </t>
    </r>
    <r>
      <rPr>
        <i val="true"/>
        <sz val="8"/>
        <color rgb="FF000000"/>
        <rFont val="Verdana"/>
        <family val="2"/>
      </rPr>
      <t xml:space="preserve">Justifier les créances anciennes. </t>
    </r>
  </si>
  <si>
    <r>
      <rPr>
        <sz val="8"/>
        <color rgb="FF000000"/>
        <rFont val="Verdana"/>
        <family val="2"/>
      </rPr>
      <t xml:space="preserve">•      </t>
    </r>
    <r>
      <rPr>
        <i val="true"/>
        <sz val="8"/>
        <color rgb="FF000000"/>
        <rFont val="Verdana"/>
        <family val="2"/>
      </rPr>
      <t xml:space="preserve">Indiquer  les événements et circonstances qui ont conduit à la dépréciation et à la reprise. </t>
    </r>
  </si>
  <si>
    <r>
      <rPr>
        <sz val="8"/>
        <color rgb="FF000000"/>
        <rFont val="Verdana"/>
        <family val="2"/>
      </rPr>
      <t xml:space="preserve">•      </t>
    </r>
    <r>
      <rPr>
        <i val="true"/>
        <sz val="8"/>
        <color rgb="FF000000"/>
        <rFont val="Verdana"/>
        <family val="2"/>
      </rPr>
      <t xml:space="preserve">Compte transitoire ajustement spécial, indiquer le détail du compte et la durée restant pour l'apurement. </t>
    </r>
  </si>
  <si>
    <t xml:space="preserve">NOTE 8A: TABLEAU D’ETALEMENT DES CHARGES IMMOBILISEES</t>
  </si>
  <si>
    <r>
      <rPr>
        <b val="true"/>
        <u val="single"/>
        <sz val="11"/>
        <color rgb="FF003366"/>
        <rFont val="Times New Roman"/>
        <family val="1"/>
      </rPr>
      <t xml:space="preserve">NOTE</t>
    </r>
    <r>
      <rPr>
        <b val="true"/>
        <sz val="11"/>
        <color rgb="FF003366"/>
        <rFont val="Times New Roman"/>
        <family val="1"/>
      </rPr>
      <t xml:space="preserve"> 8A</t>
    </r>
    <r>
      <rPr>
        <b val="true"/>
        <sz val="11"/>
        <color rgb="FF000000"/>
        <rFont val="Times New Roman"/>
        <family val="1"/>
      </rPr>
      <t xml:space="preserve"> </t>
    </r>
  </si>
  <si>
    <r>
      <rPr>
        <b val="true"/>
        <sz val="9"/>
        <color rgb="FF00ABEA"/>
        <rFont val="Times New Roman"/>
        <family val="1"/>
      </rPr>
      <t xml:space="preserve">TABLEAU D’ETALEMENT DES CHARGES IMMOBILISEES </t>
    </r>
    <r>
      <rPr>
        <sz val="9"/>
        <color rgb="FF000000"/>
        <rFont val="Calibri"/>
        <family val="2"/>
      </rPr>
      <t xml:space="preserve"> </t>
    </r>
  </si>
  <si>
    <t xml:space="preserve">Frais d'établissement </t>
  </si>
  <si>
    <t xml:space="preserve">Charges à repartir sur plusieurs exercices </t>
  </si>
  <si>
    <t xml:space="preserve">Primes de remboursement des obligations </t>
  </si>
  <si>
    <r>
      <rPr>
        <b val="true"/>
        <sz val="9"/>
        <color rgb="FF000000"/>
        <rFont val="Arial"/>
        <family val="2"/>
      </rPr>
      <t xml:space="preserve">Montant global à étaler au 1</t>
    </r>
    <r>
      <rPr>
        <b val="true"/>
        <vertAlign val="superscript"/>
        <sz val="9"/>
        <color rgb="FF000000"/>
        <rFont val="Arial"/>
        <family val="2"/>
      </rPr>
      <t xml:space="preserve">er</t>
    </r>
    <r>
      <rPr>
        <b val="true"/>
        <sz val="9"/>
        <color rgb="FF000000"/>
        <rFont val="Arial"/>
        <family val="2"/>
      </rPr>
      <t xml:space="preserve"> janvier 2018 </t>
    </r>
  </si>
  <si>
    <t xml:space="preserve">Durée d'étalement retenue </t>
  </si>
  <si>
    <t xml:space="preserve">Exercice 2018 </t>
  </si>
  <si>
    <t xml:space="preserve">Comptes  </t>
  </si>
  <si>
    <t xml:space="preserve">Montants </t>
  </si>
  <si>
    <t xml:space="preserve">Comptes </t>
  </si>
  <si>
    <t xml:space="preserve">60... </t>
  </si>
  <si>
    <t xml:space="preserve">61... </t>
  </si>
  <si>
    <t xml:space="preserve">62... </t>
  </si>
  <si>
    <t xml:space="preserve">63... </t>
  </si>
  <si>
    <t xml:space="preserve">... </t>
  </si>
  <si>
    <t xml:space="preserve">Total exercice 2018 </t>
  </si>
  <si>
    <t xml:space="preserve">Total exercice 2019 </t>
  </si>
  <si>
    <t xml:space="preserve">Total exercice 2020 </t>
  </si>
  <si>
    <t xml:space="preserve">Total exercice 2021 </t>
  </si>
  <si>
    <t xml:space="preserve">Total exercice 2022 </t>
  </si>
  <si>
    <t xml:space="preserve">Désignation entité :             </t>
  </si>
  <si>
    <r>
      <rPr>
        <b val="true"/>
        <sz val="11"/>
        <color rgb="FF003366"/>
        <rFont val="Times New Roman"/>
        <family val="1"/>
      </rPr>
      <t xml:space="preserve"> </t>
    </r>
    <r>
      <rPr>
        <b val="true"/>
        <u val="single"/>
        <sz val="11"/>
        <color rgb="FF003366"/>
        <rFont val="Times New Roman"/>
        <family val="1"/>
      </rPr>
      <t xml:space="preserve">NOTE</t>
    </r>
    <r>
      <rPr>
        <b val="true"/>
        <sz val="11"/>
        <color rgb="FF003366"/>
        <rFont val="Times New Roman"/>
        <family val="1"/>
      </rPr>
      <t xml:space="preserve"> 9 </t>
    </r>
  </si>
  <si>
    <r>
      <rPr>
        <b val="true"/>
        <sz val="9"/>
        <color rgb="FF33CCCC"/>
        <rFont val="Arial"/>
        <family val="2"/>
      </rPr>
      <t xml:space="preserve"> </t>
    </r>
    <r>
      <rPr>
        <b val="true"/>
        <sz val="9"/>
        <color rgb="FFFFFFFF"/>
        <rFont val="Arial"/>
        <family val="2"/>
      </rPr>
      <t xml:space="preserve">Libellés </t>
    </r>
  </si>
  <si>
    <t xml:space="preserve">Année N</t>
  </si>
  <si>
    <t xml:space="preserve">Année</t>
  </si>
  <si>
    <r>
      <rPr>
        <b val="true"/>
        <sz val="9"/>
        <color rgb="FFFFFFFF"/>
        <rFont val="Arial"/>
        <family val="2"/>
      </rPr>
      <t xml:space="preserve">Variation en</t>
    </r>
    <r>
      <rPr>
        <sz val="9"/>
        <color rgb="FF000000"/>
        <rFont val="Arial"/>
        <family val="2"/>
      </rPr>
      <t xml:space="preserve"> </t>
    </r>
    <r>
      <rPr>
        <b val="true"/>
        <sz val="9"/>
        <color rgb="FFFFFFFF"/>
        <rFont val="Arial"/>
        <family val="2"/>
      </rPr>
      <t xml:space="preserve">%</t>
    </r>
  </si>
  <si>
    <t xml:space="preserve">N-1</t>
  </si>
  <si>
    <t xml:space="preserve">Titres de trésor et bons de caisse à court terme </t>
  </si>
  <si>
    <t xml:space="preserve">Actions </t>
  </si>
  <si>
    <t xml:space="preserve">Obligations </t>
  </si>
  <si>
    <t xml:space="preserve">Bons de souscription </t>
  </si>
  <si>
    <t xml:space="preserve">Titres négociables hors régions </t>
  </si>
  <si>
    <t xml:space="preserve">Autres valeurs assimilés </t>
  </si>
  <si>
    <t xml:space="preserve">TOTAL BRUT TITRES </t>
  </si>
  <si>
    <t xml:space="preserve">Dépréciations des titres  </t>
  </si>
  <si>
    <r>
      <rPr>
        <b val="true"/>
        <sz val="8"/>
        <color rgb="FF000000"/>
        <rFont val="Verdana"/>
        <family val="2"/>
      </rPr>
      <t xml:space="preserve">Commentaires</t>
    </r>
    <r>
      <rPr>
        <sz val="8"/>
        <color rgb="FF000000"/>
        <rFont val="Verdana"/>
        <family val="2"/>
      </rPr>
      <t xml:space="preserve">:  </t>
    </r>
  </si>
  <si>
    <r>
      <rPr>
        <sz val="8"/>
        <color rgb="FF000000"/>
        <rFont val="Verdana"/>
        <family val="2"/>
      </rPr>
      <t xml:space="preserve">•      </t>
    </r>
    <r>
      <rPr>
        <i val="true"/>
        <sz val="8"/>
        <color rgb="FF000000"/>
        <rFont val="Verdana"/>
        <family val="2"/>
      </rPr>
      <t xml:space="preserve">Pour les titres cotés à une bourse de valeur : indiquer le nombre, le prix unitaire d'acquisition et le cours de la bourse au 31 décembre. </t>
    </r>
  </si>
  <si>
    <r>
      <rPr>
        <sz val="8"/>
        <color rgb="FF000000"/>
        <rFont val="Verdana"/>
        <family val="2"/>
      </rPr>
      <t xml:space="preserve">•      </t>
    </r>
    <r>
      <rPr>
        <i val="true"/>
        <sz val="8"/>
        <color rgb="FF000000"/>
        <rFont val="Verdana"/>
        <family val="2"/>
      </rPr>
      <t xml:space="preserve">Faire ressortir les actions ou parts propres et indiquer la date d'acquisition et le nombre de titres détenus. </t>
    </r>
  </si>
  <si>
    <r>
      <rPr>
        <sz val="10"/>
        <color rgb="FF000000"/>
        <rFont val="Arial"/>
        <family val="2"/>
      </rPr>
      <t xml:space="preserve">Désignation entité :</t>
    </r>
    <r>
      <rPr>
        <b val="true"/>
        <sz val="12"/>
        <color rgb="FF000000"/>
        <rFont val="Arial"/>
        <family val="2"/>
      </rPr>
      <t xml:space="preserve">  </t>
    </r>
    <r>
      <rPr>
        <sz val="10"/>
        <color rgb="FF000000"/>
        <rFont val="Arial"/>
        <family val="2"/>
      </rPr>
      <t xml:space="preserve">                                 </t>
    </r>
  </si>
  <si>
    <r>
      <rPr>
        <sz val="10"/>
        <color rgb="FF000000"/>
        <rFont val="Arial"/>
        <family val="2"/>
      </rPr>
      <t xml:space="preserve">         Exercice clos le</t>
    </r>
    <r>
      <rPr>
        <b val="true"/>
        <sz val="10"/>
        <color rgb="FF000000"/>
        <rFont val="Arial"/>
        <family val="2"/>
      </rPr>
      <t xml:space="preserve"> </t>
    </r>
    <r>
      <rPr>
        <sz val="10"/>
        <color rgb="FF000000"/>
        <rFont val="Arial"/>
        <family val="2"/>
      </rPr>
      <t xml:space="preserve">                            </t>
    </r>
  </si>
  <si>
    <t xml:space="preserve">        Durée (en mois)</t>
  </si>
  <si>
    <r>
      <rPr>
        <b val="true"/>
        <u val="single"/>
        <sz val="11"/>
        <color rgb="FF003366"/>
        <rFont val="Times New Roman"/>
        <family val="1"/>
      </rPr>
      <t xml:space="preserve">NOTE</t>
    </r>
    <r>
      <rPr>
        <b val="true"/>
        <sz val="11"/>
        <color rgb="FF003366"/>
        <rFont val="Times New Roman"/>
        <family val="1"/>
      </rPr>
      <t xml:space="preserve"> 10 </t>
    </r>
  </si>
  <si>
    <t xml:space="preserve">VALEURS A ENCAISSER</t>
  </si>
  <si>
    <t xml:space="preserve">Effets à encaisser </t>
  </si>
  <si>
    <t xml:space="preserve">Effets à l'encaissement </t>
  </si>
  <si>
    <t xml:space="preserve">Chèques à encaisser </t>
  </si>
  <si>
    <t xml:space="preserve">Chèques à l'encaissement </t>
  </si>
  <si>
    <t xml:space="preserve">Cartes de crédit à encaisser </t>
  </si>
  <si>
    <t xml:space="preserve">Autres valeurs à encaisser </t>
  </si>
  <si>
    <t xml:space="preserve">TOTAL BRUT VALEURS A ENCAISSER </t>
  </si>
  <si>
    <t xml:space="preserve">Dépréciations des valeurs à encaisser </t>
  </si>
  <si>
    <r>
      <rPr>
        <b val="true"/>
        <sz val="8"/>
        <color rgb="FF000000"/>
        <rFont val="Verdana"/>
        <family val="2"/>
      </rPr>
      <t xml:space="preserve">Commentaires </t>
    </r>
    <r>
      <rPr>
        <sz val="8"/>
        <color rgb="FF000000"/>
        <rFont val="Verdana"/>
        <family val="2"/>
      </rPr>
      <t xml:space="preserve">:  </t>
    </r>
  </si>
  <si>
    <r>
      <rPr>
        <sz val="7"/>
        <color rgb="FF000000"/>
        <rFont val="Verdana"/>
        <family val="2"/>
      </rPr>
      <t xml:space="preserve">•      </t>
    </r>
    <r>
      <rPr>
        <i val="true"/>
        <sz val="7"/>
        <color rgb="FF000000"/>
        <rFont val="Verdana"/>
        <family val="2"/>
      </rPr>
      <t xml:space="preserve">Commenter toute variation significative ; </t>
    </r>
  </si>
  <si>
    <r>
      <rPr>
        <sz val="7"/>
        <color rgb="FF000000"/>
        <rFont val="Verdana"/>
        <family val="2"/>
      </rPr>
      <t xml:space="preserve">•      </t>
    </r>
    <r>
      <rPr>
        <i val="true"/>
        <sz val="7"/>
        <color rgb="FF000000"/>
        <rFont val="Verdana"/>
        <family val="2"/>
      </rPr>
      <t xml:space="preserve">Indiquer  les événements et circonstances qui ont conduit à la dépréciation et  à la reprise. </t>
    </r>
  </si>
  <si>
    <t xml:space="preserve">NOTE 11 : BANQUES, CHEQUES POSTAUX ET CHEQUES</t>
  </si>
  <si>
    <t xml:space="preserve">Désignation entité :         </t>
  </si>
  <si>
    <r>
      <rPr>
        <b val="true"/>
        <sz val="11"/>
        <color rgb="FF000000"/>
        <rFont val="Times New Roman"/>
        <family val="1"/>
      </rPr>
      <t xml:space="preserve"> </t>
    </r>
    <r>
      <rPr>
        <b val="true"/>
        <u val="single"/>
        <sz val="11"/>
        <color rgb="FF003366"/>
        <rFont val="Times New Roman"/>
        <family val="1"/>
      </rPr>
      <t xml:space="preserve">NOTE</t>
    </r>
    <r>
      <rPr>
        <b val="true"/>
        <sz val="11"/>
        <color rgb="FF003366"/>
        <rFont val="Times New Roman"/>
        <family val="1"/>
      </rPr>
      <t xml:space="preserve"> 11</t>
    </r>
  </si>
  <si>
    <t xml:space="preserve">Variation </t>
  </si>
  <si>
    <t xml:space="preserve">en % </t>
  </si>
  <si>
    <t xml:space="preserve">Banques locales </t>
  </si>
  <si>
    <t xml:space="preserve">Banques autres états région </t>
  </si>
  <si>
    <t xml:space="preserve">Banques, dépôt à terme </t>
  </si>
  <si>
    <t xml:space="preserve">Autres Banques </t>
  </si>
  <si>
    <t xml:space="preserve">Banques intérêts courus </t>
  </si>
  <si>
    <t xml:space="preserve">Chèques postaux </t>
  </si>
  <si>
    <t xml:space="preserve">Autres établissement financiers </t>
  </si>
  <si>
    <t xml:space="preserve">Etablissement financiers intérêts courus </t>
  </si>
  <si>
    <t xml:space="preserve">Instruments de trésorerie </t>
  </si>
  <si>
    <t xml:space="preserve">Caisse  </t>
  </si>
  <si>
    <t xml:space="preserve">Caisse électronique mobile </t>
  </si>
  <si>
    <t xml:space="preserve">Régies d'avances et virements accréditifs </t>
  </si>
  <si>
    <t xml:space="preserve">TOTAL BRUT DISPONIBILITES </t>
  </si>
  <si>
    <t xml:space="preserve">Dépréciations </t>
  </si>
  <si>
    <t xml:space="preserve">TOTAL NET DE DEPRECIATIONS </t>
  </si>
  <si>
    <r>
      <rPr>
        <sz val="8"/>
        <color rgb="FF000000"/>
        <rFont val="Verdana"/>
        <family val="2"/>
      </rPr>
      <t xml:space="preserve">•      </t>
    </r>
    <r>
      <rPr>
        <i val="true"/>
        <sz val="8"/>
        <color rgb="FF000000"/>
        <rFont val="Verdana"/>
        <family val="2"/>
      </rPr>
      <t xml:space="preserve">Indiquer la date de rapprochement des comptes bancaires. </t>
    </r>
  </si>
  <si>
    <r>
      <rPr>
        <sz val="8"/>
        <color rgb="FF000000"/>
        <rFont val="Verdana"/>
        <family val="2"/>
      </rPr>
      <t xml:space="preserve">•      </t>
    </r>
    <r>
      <rPr>
        <i val="true"/>
        <sz val="8"/>
        <color rgb="FF000000"/>
        <rFont val="Verdana"/>
        <family val="2"/>
      </rPr>
      <t xml:space="preserve">Indiquer la date d'inventaire de la caisse et des instruments de monnaie électronique. </t>
    </r>
  </si>
  <si>
    <r>
      <rPr>
        <sz val="8"/>
        <color rgb="FF000000"/>
        <rFont val="Verdana"/>
        <family val="2"/>
      </rPr>
      <t xml:space="preserve">•      </t>
    </r>
    <r>
      <rPr>
        <i val="true"/>
        <sz val="8"/>
        <color rgb="FF000000"/>
        <rFont val="Verdana"/>
        <family val="2"/>
      </rPr>
      <t xml:space="preserve">Détailler les instruments de monnaie électronique si le montant est significatif. </t>
    </r>
  </si>
  <si>
    <r>
      <rPr>
        <sz val="8"/>
        <color rgb="FF000000"/>
        <rFont val="Verdana"/>
        <family val="2"/>
      </rPr>
      <t xml:space="preserve">•      </t>
    </r>
    <r>
      <rPr>
        <i val="true"/>
        <sz val="8"/>
        <color rgb="FF000000"/>
        <rFont val="Verdana"/>
        <family val="2"/>
      </rPr>
      <t xml:space="preserve">Indiquer  les événements et circonstances qui ont conduit à la dépréciation et  à la reprise. </t>
    </r>
  </si>
  <si>
    <t xml:space="preserve">NB : Banques et intérêts courus  et Etablissement financiers intérêts courus figurent dans cette rubrique en négatif si le compte principal attaché est débiteur. </t>
  </si>
  <si>
    <r>
      <rPr>
        <sz val="10"/>
        <color rgb="FF000000"/>
        <rFont val="Arial"/>
        <family val="2"/>
      </rPr>
      <t xml:space="preserve">Désignation entité :</t>
    </r>
    <r>
      <rPr>
        <b val="true"/>
        <sz val="12"/>
        <color rgb="FF000000"/>
        <rFont val="Arial"/>
        <family val="2"/>
      </rPr>
      <t xml:space="preserve">  </t>
    </r>
    <r>
      <rPr>
        <sz val="10"/>
        <color rgb="FF000000"/>
        <rFont val="Arial"/>
        <family val="2"/>
      </rPr>
      <t xml:space="preserve">   </t>
    </r>
    <r>
      <rPr>
        <b val="true"/>
        <sz val="10"/>
        <color rgb="FF000000"/>
        <rFont val="Arial"/>
        <family val="2"/>
      </rPr>
      <t xml:space="preserve"> </t>
    </r>
    <r>
      <rPr>
        <sz val="10"/>
        <color rgb="FF000000"/>
        <rFont val="Arial"/>
        <family val="2"/>
      </rPr>
      <t xml:space="preserve">                             </t>
    </r>
  </si>
  <si>
    <r>
      <rPr>
        <b val="true"/>
        <u val="single"/>
        <sz val="9"/>
        <color rgb="FF003366"/>
        <rFont val="Arial"/>
        <family val="2"/>
      </rPr>
      <t xml:space="preserve">NOTE</t>
    </r>
    <r>
      <rPr>
        <b val="true"/>
        <sz val="9"/>
        <color rgb="FF003366"/>
        <rFont val="Arial"/>
        <family val="2"/>
      </rPr>
      <t xml:space="preserve"> 12 </t>
    </r>
  </si>
  <si>
    <t xml:space="preserve">ECARTS DE CONVERSION </t>
  </si>
  <si>
    <t xml:space="preserve">Devises </t>
  </si>
  <si>
    <t xml:space="preserve">Montant en devises </t>
  </si>
  <si>
    <t xml:space="preserve">Cours </t>
  </si>
  <si>
    <t xml:space="preserve">Variation en valeur absolue </t>
  </si>
  <si>
    <t xml:space="preserve">UML </t>
  </si>
  <si>
    <t xml:space="preserve">Année acquisition </t>
  </si>
  <si>
    <t xml:space="preserve">Ecarts de conversion actif : </t>
  </si>
  <si>
    <r>
      <rPr>
        <i val="true"/>
        <sz val="9"/>
        <color rgb="FF000000"/>
        <rFont val="Arial"/>
        <family val="2"/>
      </rPr>
      <t xml:space="preserve">détailler les créances et dettes concernées</t>
    </r>
    <r>
      <rPr>
        <sz val="9"/>
        <color rgb="FF000000"/>
        <rFont val="Arial"/>
        <family val="2"/>
      </rPr>
      <t xml:space="preserve"> </t>
    </r>
  </si>
  <si>
    <r>
      <rPr>
        <sz val="9"/>
        <color rgb="FF000000"/>
        <rFont val="Arial"/>
        <family val="2"/>
      </rPr>
      <t xml:space="preserve">Ecart de conversion passif :</t>
    </r>
    <r>
      <rPr>
        <i val="true"/>
        <sz val="9"/>
        <color rgb="FF000000"/>
        <rFont val="Arial"/>
        <family val="2"/>
      </rPr>
      <t xml:space="preserve"> détailler les créances et dettes concernées</t>
    </r>
    <r>
      <rPr>
        <sz val="9"/>
        <color rgb="FF000000"/>
        <rFont val="Arial"/>
        <family val="2"/>
      </rPr>
      <t xml:space="preserve"> </t>
    </r>
  </si>
  <si>
    <r>
      <rPr>
        <b val="true"/>
        <sz val="9"/>
        <color rgb="FF000000"/>
        <rFont val="Arial"/>
        <family val="2"/>
      </rPr>
      <t xml:space="preserve"> Commentaire</t>
    </r>
    <r>
      <rPr>
        <sz val="9"/>
        <color rgb="FF000000"/>
        <rFont val="Arial"/>
        <family val="2"/>
      </rPr>
      <t xml:space="preserve">:   </t>
    </r>
  </si>
  <si>
    <r>
      <rPr>
        <sz val="9"/>
        <color rgb="FF000000"/>
        <rFont val="Arial"/>
        <family val="2"/>
      </rPr>
      <t xml:space="preserve"> </t>
    </r>
    <r>
      <rPr>
        <i val="true"/>
        <sz val="9"/>
        <color rgb="FF000000"/>
        <rFont val="Arial"/>
        <family val="2"/>
      </rPr>
      <t xml:space="preserve">Faire un commentaire. </t>
    </r>
  </si>
  <si>
    <r>
      <rPr>
        <b val="true"/>
        <sz val="9"/>
        <color rgb="FF33CCCC"/>
        <rFont val="Arial"/>
        <family val="2"/>
      </rPr>
      <t xml:space="preserve">TRANSFERTS DE CHARGES</t>
    </r>
    <r>
      <rPr>
        <b val="true"/>
        <sz val="9"/>
        <color rgb="FF000000"/>
        <rFont val="Arial"/>
        <family val="2"/>
      </rPr>
      <t xml:space="preserve"> </t>
    </r>
  </si>
  <si>
    <t xml:space="preserve">Transferts de charges d'exploitation : </t>
  </si>
  <si>
    <r>
      <rPr>
        <i val="true"/>
        <sz val="9"/>
        <color rgb="FF000000"/>
        <rFont val="Arial"/>
        <family val="2"/>
      </rPr>
      <t xml:space="preserve">détailler la nature des charges transférer</t>
    </r>
    <r>
      <rPr>
        <sz val="9"/>
        <color rgb="FF000000"/>
        <rFont val="Arial"/>
        <family val="2"/>
      </rPr>
      <t xml:space="preserve"> </t>
    </r>
  </si>
  <si>
    <r>
      <rPr>
        <sz val="9"/>
        <color rgb="FF000000"/>
        <rFont val="Arial"/>
        <family val="2"/>
      </rPr>
      <t xml:space="preserve">Transferts de charges financières : </t>
    </r>
    <r>
      <rPr>
        <i val="true"/>
        <sz val="9"/>
        <color rgb="FF000000"/>
        <rFont val="Arial"/>
        <family val="2"/>
      </rPr>
      <t xml:space="preserve">détailler la nature des charges transférer</t>
    </r>
    <r>
      <rPr>
        <sz val="9"/>
        <color rgb="FF000000"/>
        <rFont val="Arial"/>
        <family val="2"/>
      </rPr>
      <t xml:space="preserve"> </t>
    </r>
  </si>
  <si>
    <r>
      <rPr>
        <b val="true"/>
        <sz val="9"/>
        <color rgb="FF000000"/>
        <rFont val="Arial"/>
        <family val="2"/>
      </rPr>
      <t xml:space="preserve">Commentaire</t>
    </r>
    <r>
      <rPr>
        <sz val="9"/>
        <color rgb="FF000000"/>
        <rFont val="Arial"/>
        <family val="2"/>
      </rPr>
      <t xml:space="preserve">:   </t>
    </r>
  </si>
  <si>
    <r>
      <rPr>
        <sz val="9"/>
        <color rgb="FF000000"/>
        <rFont val="Arial"/>
        <family val="2"/>
      </rPr>
      <t xml:space="preserve">•</t>
    </r>
    <r>
      <rPr>
        <sz val="9"/>
        <color rgb="FF000000"/>
        <rFont val="Times New Roman"/>
        <family val="1"/>
      </rPr>
      <t xml:space="preserve">      </t>
    </r>
    <r>
      <rPr>
        <i val="true"/>
        <sz val="9"/>
        <color rgb="FF000000"/>
        <rFont val="Arial"/>
        <family val="2"/>
      </rPr>
      <t xml:space="preserve">Faire un commentaire </t>
    </r>
  </si>
  <si>
    <r>
      <rPr>
        <b val="true"/>
        <u val="single"/>
        <sz val="11"/>
        <color rgb="FF000000"/>
        <rFont val="Cambria"/>
        <family val="1"/>
      </rPr>
      <t xml:space="preserve">NOTE</t>
    </r>
    <r>
      <rPr>
        <b val="true"/>
        <sz val="11"/>
        <color rgb="FF000000"/>
        <rFont val="Cambria"/>
        <family val="1"/>
      </rPr>
      <t xml:space="preserve"> 13 </t>
    </r>
  </si>
  <si>
    <t xml:space="preserve">CAPITAL</t>
  </si>
  <si>
    <t xml:space="preserve">Valeur nominale des actions ou parts :</t>
  </si>
  <si>
    <t xml:space="preserve">Nom et Prénoms</t>
  </si>
  <si>
    <t xml:space="preserve">Nationalité</t>
  </si>
  <si>
    <t xml:space="preserve">Nature des actions ou parts (ordinaires ou préférences)</t>
  </si>
  <si>
    <t xml:space="preserve">Nombre</t>
  </si>
  <si>
    <t xml:space="preserve">Montant total</t>
  </si>
  <si>
    <t xml:space="preserve">Cessions ou rembourse-ments </t>
  </si>
  <si>
    <t xml:space="preserve">en cours </t>
  </si>
  <si>
    <t xml:space="preserve">d’exercice</t>
  </si>
  <si>
    <t xml:space="preserve">Apporteurs, capital non appelé</t>
  </si>
  <si>
    <t xml:space="preserve">TOTAL</t>
  </si>
  <si>
    <r>
      <rPr>
        <sz val="8"/>
        <color rgb="FF000000"/>
        <rFont val="Symbol"/>
        <family val="1"/>
      </rPr>
      <t xml:space="preserve">·</t>
    </r>
    <r>
      <rPr>
        <sz val="8"/>
        <color rgb="FF000000"/>
        <rFont val="Times New Roman"/>
        <family val="1"/>
      </rPr>
      <t xml:space="preserve">         </t>
    </r>
    <r>
      <rPr>
        <i val="true"/>
        <sz val="8"/>
        <color rgb="FF000000"/>
        <rFont val="Arial"/>
        <family val="2"/>
      </rPr>
      <t xml:space="preserve">Indiquer si possible le montant du capital à la constitution.</t>
    </r>
  </si>
  <si>
    <r>
      <rPr>
        <sz val="8"/>
        <color rgb="FF000000"/>
        <rFont val="Symbol"/>
        <family val="1"/>
      </rPr>
      <t xml:space="preserve">·</t>
    </r>
    <r>
      <rPr>
        <sz val="8"/>
        <color rgb="FF000000"/>
        <rFont val="Times New Roman"/>
        <family val="1"/>
      </rPr>
      <t xml:space="preserve">         </t>
    </r>
    <r>
      <rPr>
        <i val="true"/>
        <sz val="8"/>
        <color rgb="FF000000"/>
        <rFont val="Arial"/>
        <family val="2"/>
      </rPr>
      <t xml:space="preserve">Indiquer si possible les dates des AGE et le montant du capital augmenté en cas d’augmentation de capital.</t>
    </r>
  </si>
  <si>
    <r>
      <rPr>
        <sz val="8"/>
        <color rgb="FF000000"/>
        <rFont val="Symbol"/>
        <family val="1"/>
      </rPr>
      <t xml:space="preserve">·</t>
    </r>
    <r>
      <rPr>
        <sz val="8"/>
        <color rgb="FF000000"/>
        <rFont val="Times New Roman"/>
        <family val="1"/>
      </rPr>
      <t xml:space="preserve">         </t>
    </r>
    <r>
      <rPr>
        <i val="true"/>
        <sz val="8"/>
        <color rgb="FF000000"/>
        <rFont val="Arial"/>
        <family val="2"/>
      </rPr>
      <t xml:space="preserve">Indiquer si possible les dates des AGE et le montant du capital diminué en cas de réduction de capital.</t>
    </r>
  </si>
  <si>
    <r>
      <rPr>
        <sz val="8"/>
        <color rgb="FF000000"/>
        <rFont val="Symbol"/>
        <family val="1"/>
      </rPr>
      <t xml:space="preserve">·</t>
    </r>
    <r>
      <rPr>
        <sz val="8"/>
        <color rgb="FF000000"/>
        <rFont val="Times New Roman"/>
        <family val="1"/>
      </rPr>
      <t xml:space="preserve">         </t>
    </r>
    <r>
      <rPr>
        <i val="true"/>
        <sz val="8"/>
        <color rgb="FF000000"/>
        <rFont val="Arial"/>
        <family val="2"/>
      </rPr>
      <t xml:space="preserve">Indiquer les avantages accordés aux actions de préférence.</t>
    </r>
  </si>
  <si>
    <r>
      <rPr>
        <sz val="8"/>
        <color rgb="FF000000"/>
        <rFont val="Symbol"/>
        <family val="1"/>
      </rPr>
      <t xml:space="preserve">·</t>
    </r>
    <r>
      <rPr>
        <sz val="8"/>
        <color rgb="FF000000"/>
        <rFont val="Times New Roman"/>
        <family val="1"/>
      </rPr>
      <t xml:space="preserve">         </t>
    </r>
    <r>
      <rPr>
        <i val="true"/>
        <sz val="8"/>
        <color rgb="FF000000"/>
        <rFont val="Arial"/>
        <family val="2"/>
      </rPr>
      <t xml:space="preserve">Apporteurs, capital non appelé : indiquer le délai restant pour appeler le capital.</t>
    </r>
  </si>
  <si>
    <t xml:space="preserve">Désignation entité :                                         </t>
  </si>
  <si>
    <r>
      <rPr>
        <b val="true"/>
        <sz val="11"/>
        <color rgb="FF003366"/>
        <rFont val="Arial"/>
        <family val="2"/>
      </rPr>
      <t xml:space="preserve">  </t>
    </r>
    <r>
      <rPr>
        <b val="true"/>
        <u val="single"/>
        <sz val="11"/>
        <color rgb="FF003366"/>
        <rFont val="Arial"/>
        <family val="2"/>
      </rPr>
      <t xml:space="preserve">NOTE</t>
    </r>
    <r>
      <rPr>
        <b val="true"/>
        <sz val="11"/>
        <color rgb="FF003366"/>
        <rFont val="Arial"/>
        <family val="2"/>
      </rPr>
      <t xml:space="preserve"> 14 </t>
    </r>
  </si>
  <si>
    <r>
      <rPr>
        <b val="true"/>
        <sz val="9"/>
        <color rgb="FF33CCCC"/>
        <rFont val="Arial"/>
        <family val="2"/>
      </rPr>
      <t xml:space="preserve"> </t>
    </r>
    <r>
      <rPr>
        <sz val="9"/>
        <color rgb="FFFFFFFF"/>
        <rFont val="Arial"/>
        <family val="2"/>
      </rPr>
      <t xml:space="preserve">Libellés </t>
    </r>
  </si>
  <si>
    <t xml:space="preserve">Année    N-1 </t>
  </si>
  <si>
    <t xml:space="preserve">Prime d'apport  </t>
  </si>
  <si>
    <t xml:space="preserve">Primes d'émission </t>
  </si>
  <si>
    <t xml:space="preserve">Prime de fusion </t>
  </si>
  <si>
    <t xml:space="preserve">Prime de conversion </t>
  </si>
  <si>
    <t xml:space="preserve">Autres primes </t>
  </si>
  <si>
    <t xml:space="preserve">TOTAL PRIMES </t>
  </si>
  <si>
    <t xml:space="preserve">Réserves légales </t>
  </si>
  <si>
    <t xml:space="preserve">Réserves statutaires </t>
  </si>
  <si>
    <t xml:space="preserve">Réserves de plus-values nettes à long terme </t>
  </si>
  <si>
    <t xml:space="preserve">Réserves d’attribution gratuite d’actions au personnel salarié et aux dirigeants </t>
  </si>
  <si>
    <t xml:space="preserve">Autres réserves réglementées </t>
  </si>
  <si>
    <t xml:space="preserve">TOTAL RESERVES INDISPONIBLES </t>
  </si>
  <si>
    <t xml:space="preserve">Report à nouveau </t>
  </si>
  <si>
    <r>
      <rPr>
        <b val="true"/>
        <sz val="9"/>
        <color rgb="FF000000"/>
        <rFont val="Arial"/>
        <family val="2"/>
      </rPr>
      <t xml:space="preserve">Commentaires</t>
    </r>
    <r>
      <rPr>
        <sz val="9"/>
        <color rgb="FF000000"/>
        <rFont val="Arial"/>
        <family val="2"/>
      </rPr>
      <t xml:space="preserve">:  </t>
    </r>
  </si>
  <si>
    <r>
      <rPr>
        <sz val="9"/>
        <color rgb="FF000000"/>
        <rFont val="Arial"/>
        <family val="2"/>
      </rPr>
      <t xml:space="preserve">•      </t>
    </r>
    <r>
      <rPr>
        <i val="true"/>
        <sz val="9"/>
        <color rgb="FF000000"/>
        <rFont val="Arial"/>
        <family val="2"/>
      </rPr>
      <t xml:space="preserve">Indiquer les dates de l'AGE qui a décidé des primes d'apport, d'émission de fusion. </t>
    </r>
  </si>
  <si>
    <r>
      <rPr>
        <sz val="9"/>
        <color rgb="FF000000"/>
        <rFont val="Arial"/>
        <family val="2"/>
      </rPr>
      <t xml:space="preserve">•      </t>
    </r>
    <r>
      <rPr>
        <i val="true"/>
        <sz val="9"/>
        <color rgb="FF000000"/>
        <rFont val="Arial"/>
        <family val="2"/>
      </rPr>
      <t xml:space="preserve">Indiquer le détail des réserves libres. </t>
    </r>
  </si>
  <si>
    <r>
      <rPr>
        <sz val="9"/>
        <color rgb="FF000000"/>
        <rFont val="Arial"/>
        <family val="2"/>
      </rPr>
      <t xml:space="preserve">•      </t>
    </r>
    <r>
      <rPr>
        <i val="true"/>
        <sz val="9"/>
        <color rgb="FF000000"/>
        <rFont val="Arial"/>
        <family val="2"/>
      </rPr>
      <t xml:space="preserve">Indiquer le montant restant à doter et le taux de dotation de la réserve légale. </t>
    </r>
  </si>
  <si>
    <r>
      <rPr>
        <sz val="9"/>
        <color rgb="FF000000"/>
        <rFont val="Arial"/>
        <family val="2"/>
      </rPr>
      <t xml:space="preserve">•      </t>
    </r>
    <r>
      <rPr>
        <i val="true"/>
        <sz val="9"/>
        <color rgb="FF000000"/>
        <rFont val="Arial"/>
        <family val="2"/>
      </rPr>
      <t xml:space="preserve">Indiquer la date de l'AGO qui justifie la variation des réserves et du report à nouveau. </t>
    </r>
  </si>
  <si>
    <t xml:space="preserve">Désignation entité :                               </t>
  </si>
  <si>
    <r>
      <rPr>
        <b val="true"/>
        <sz val="11"/>
        <color rgb="FF000000"/>
        <rFont val="Arial"/>
        <family val="2"/>
      </rPr>
      <t xml:space="preserve">           </t>
    </r>
    <r>
      <rPr>
        <b val="true"/>
        <u val="single"/>
        <sz val="11"/>
        <color rgb="FF003366"/>
        <rFont val="Arial"/>
        <family val="2"/>
      </rPr>
      <t xml:space="preserve">NOTE</t>
    </r>
    <r>
      <rPr>
        <b val="true"/>
        <sz val="11"/>
        <color rgb="FF003366"/>
        <rFont val="Arial"/>
        <family val="2"/>
      </rPr>
      <t xml:space="preserve"> 15 A </t>
    </r>
  </si>
  <si>
    <t xml:space="preserve">TOTAL SUBVENTIONS ET PROVISIONS REGLEMENTEES</t>
  </si>
  <si>
    <t xml:space="preserve">NOTE </t>
  </si>
  <si>
    <t xml:space="preserve">Régime fiscal </t>
  </si>
  <si>
    <t xml:space="preserve">Echéances </t>
  </si>
  <si>
    <t xml:space="preserve">État </t>
  </si>
  <si>
    <t xml:space="preserve">Régions </t>
  </si>
  <si>
    <t xml:space="preserve">Départements </t>
  </si>
  <si>
    <t xml:space="preserve">Communes et collectivités publiques décentralisées </t>
  </si>
  <si>
    <t xml:space="preserve">Entités publiques ou mixtes </t>
  </si>
  <si>
    <t xml:space="preserve">Entités  et organismes privés </t>
  </si>
  <si>
    <t xml:space="preserve">Autres  </t>
  </si>
  <si>
    <t xml:space="preserve">TOTAL SUBVENTIONS  </t>
  </si>
  <si>
    <t xml:space="preserve">Amortissements dérogatoires </t>
  </si>
  <si>
    <t xml:space="preserve">Plus-value de cession à réinvestir </t>
  </si>
  <si>
    <t xml:space="preserve">Provision spéciale de réévaluation </t>
  </si>
  <si>
    <t xml:space="preserve">Provisions réglementées relatives aux immobilisations </t>
  </si>
  <si>
    <t xml:space="preserve">Provisions réglementés relatives aux stocks </t>
  </si>
  <si>
    <t xml:space="preserve">Provisions pour investissement </t>
  </si>
  <si>
    <t xml:space="preserve">Autres provisions et fonds réglementées </t>
  </si>
  <si>
    <t xml:space="preserve">TOTAL PROVISIONS REGLEMENTEES </t>
  </si>
  <si>
    <t xml:space="preserve">TOTAL SUBVENTIONS ET </t>
  </si>
  <si>
    <t xml:space="preserve">PROVISIONS REGLEMENTEES </t>
  </si>
  <si>
    <r>
      <rPr>
        <b val="true"/>
        <sz val="10"/>
        <color rgb="FF000000"/>
        <rFont val="Arial"/>
        <family val="2"/>
      </rPr>
      <t xml:space="preserve">Commentaire</t>
    </r>
    <r>
      <rPr>
        <sz val="10"/>
        <color rgb="FF000000"/>
        <rFont val="Arial"/>
        <family val="2"/>
      </rPr>
      <t xml:space="preserve">:  </t>
    </r>
  </si>
  <si>
    <t xml:space="preserve">Indiquer pour la subvention la date d’octroi, la nature, les obligations éventuelles. Pour les provisions réglementées, indiquer le texte de référence, les obligations. Commenter toute variation significative. </t>
  </si>
  <si>
    <r>
      <rPr>
        <sz val="10"/>
        <color rgb="FF000000"/>
        <rFont val="Arial"/>
        <family val="2"/>
      </rPr>
      <t xml:space="preserve">Désignation entité :</t>
    </r>
    <r>
      <rPr>
        <b val="true"/>
        <sz val="10"/>
        <color rgb="FF000000"/>
        <rFont val="Arial"/>
        <family val="2"/>
      </rPr>
      <t xml:space="preserve"> </t>
    </r>
    <r>
      <rPr>
        <sz val="10"/>
        <color rgb="FF000000"/>
        <rFont val="Arial"/>
        <family val="2"/>
      </rPr>
      <t xml:space="preserve"> </t>
    </r>
  </si>
  <si>
    <r>
      <rPr>
        <b val="true"/>
        <u val="single"/>
        <sz val="11"/>
        <color rgb="FF003366"/>
        <rFont val="Times New Roman"/>
        <family val="1"/>
      </rPr>
      <t xml:space="preserve">NOTE</t>
    </r>
    <r>
      <rPr>
        <b val="true"/>
        <sz val="11"/>
        <color rgb="FF003366"/>
        <rFont val="Times New Roman"/>
        <family val="1"/>
      </rPr>
      <t xml:space="preserve"> 15 B </t>
    </r>
  </si>
  <si>
    <t xml:space="preserve">AUTRES FONDS PROPRES (1) </t>
  </si>
  <si>
    <r>
      <rPr>
        <b val="true"/>
        <sz val="11"/>
        <color rgb="FF000000"/>
        <rFont val="Arial"/>
        <family val="2"/>
      </rPr>
      <t xml:space="preserve"> </t>
    </r>
    <r>
      <rPr>
        <sz val="11"/>
        <color rgb="FFFFFFFF"/>
        <rFont val="Arial"/>
        <family val="2"/>
      </rPr>
      <t xml:space="preserve">Libellés </t>
    </r>
  </si>
  <si>
    <t xml:space="preserve">Titres participatifs </t>
  </si>
  <si>
    <r>
      <rPr>
        <sz val="11"/>
        <color rgb="FF000000"/>
        <rFont val="Arial"/>
        <family val="2"/>
      </rPr>
      <t xml:space="preserve">Avances conditionnées </t>
    </r>
    <r>
      <rPr>
        <vertAlign val="superscript"/>
        <sz val="11"/>
        <color rgb="FF000000"/>
        <rFont val="Arial"/>
        <family val="2"/>
      </rPr>
      <t xml:space="preserve">(1)</t>
    </r>
  </si>
  <si>
    <t xml:space="preserve">Titres subordonnés à durée indéterminée (T.S.D.I.) </t>
  </si>
  <si>
    <t xml:space="preserve">Obligations remboursables en actions (O.R.A.) </t>
  </si>
  <si>
    <t xml:space="preserve">TOTAL AUTRES FONDS PROPRES </t>
  </si>
  <si>
    <r>
      <rPr>
        <b val="true"/>
        <sz val="11"/>
        <color rgb="FF000000"/>
        <rFont val="Times New Roman"/>
        <family val="1"/>
      </rPr>
      <t xml:space="preserve"> </t>
    </r>
    <r>
      <rPr>
        <b val="true"/>
        <sz val="11"/>
        <color rgb="FF000000"/>
        <rFont val="Arial"/>
        <family val="2"/>
      </rPr>
      <t xml:space="preserve">Commentaire : </t>
    </r>
  </si>
  <si>
    <r>
      <rPr>
        <b val="true"/>
        <sz val="10"/>
        <color rgb="FF000000"/>
        <rFont val="Arial"/>
        <family val="2"/>
      </rPr>
      <t xml:space="preserve"> </t>
    </r>
    <r>
      <rPr>
        <vertAlign val="superscript"/>
        <sz val="10"/>
        <color rgb="FF000000"/>
        <rFont val="Arial"/>
        <family val="2"/>
      </rPr>
      <t xml:space="preserve">(1)</t>
    </r>
    <r>
      <rPr>
        <sz val="10"/>
        <color rgb="FF000000"/>
        <rFont val="Arial"/>
        <family val="2"/>
      </rPr>
      <t xml:space="preserve"> Le  cas  échéant,  une  rubrique  "Autres  fonds  propres"  (montant des émissions de titres participatifs, avances conditionnées, ...) sur une ligne séparée est  intercalée  entre  les  rubriques "TOTAL CAPITAUX PROPRES ET RESSOURCES ASSIMILEES" et  "emprunts et dettes financières" si le montant des autres fonds propres est significatif. </t>
    </r>
  </si>
  <si>
    <r>
      <rPr>
        <b val="true"/>
        <sz val="10"/>
        <color rgb="FF000000"/>
        <rFont val="Arial"/>
        <family val="2"/>
      </rPr>
      <t xml:space="preserve">Commentaires </t>
    </r>
    <r>
      <rPr>
        <sz val="10"/>
        <color rgb="FF000000"/>
        <rFont val="Arial"/>
        <family val="2"/>
      </rPr>
      <t xml:space="preserve">:  </t>
    </r>
  </si>
  <si>
    <r>
      <rPr>
        <sz val="10"/>
        <color rgb="FF000000"/>
        <rFont val="Times New Roman"/>
        <family val="1"/>
      </rPr>
      <t xml:space="preserve">* </t>
    </r>
    <r>
      <rPr>
        <i val="true"/>
        <sz val="10"/>
        <color rgb="FF000000"/>
        <rFont val="Arial"/>
        <family val="2"/>
      </rPr>
      <t xml:space="preserve">Justifier l'inscription de ces dettes dans une rubrique spécifique du passif du bilan "autres fonds propres" (faible probabilité de remboursement, absence d’échéancier…;</t>
    </r>
  </si>
  <si>
    <t xml:space="preserve">*Justifier le caractère significatif du montant total de cette rubrique Commenter toute variation significative. </t>
  </si>
  <si>
    <r>
      <rPr>
        <sz val="10"/>
        <color rgb="FF000000"/>
        <rFont val="Arial"/>
        <family val="2"/>
      </rPr>
      <t xml:space="preserve">Désignation entité :</t>
    </r>
    <r>
      <rPr>
        <b val="true"/>
        <sz val="10"/>
        <color rgb="FF000000"/>
        <rFont val="Arial"/>
        <family val="2"/>
      </rPr>
      <t xml:space="preserve">  </t>
    </r>
    <r>
      <rPr>
        <sz val="10"/>
        <color rgb="FF000000"/>
        <rFont val="Arial"/>
        <family val="2"/>
      </rPr>
      <t xml:space="preserve">                           </t>
    </r>
  </si>
  <si>
    <r>
      <rPr>
        <b val="true"/>
        <u val="single"/>
        <sz val="9"/>
        <color rgb="FF000000"/>
        <rFont val="Cambria"/>
        <family val="1"/>
      </rPr>
      <t xml:space="preserve">NOTE</t>
    </r>
    <r>
      <rPr>
        <b val="true"/>
        <sz val="9"/>
        <color rgb="FF000000"/>
        <rFont val="Cambria"/>
        <family val="1"/>
      </rPr>
      <t xml:space="preserve"> 16A</t>
    </r>
  </si>
  <si>
    <t xml:space="preserve">Libellés</t>
  </si>
  <si>
    <t xml:space="preserve">Année N-1</t>
  </si>
  <si>
    <t xml:space="preserve">Variation en valeur absolue</t>
  </si>
  <si>
    <t xml:space="preserve">Dettes à un an au plus</t>
  </si>
  <si>
    <t xml:space="preserve">Dettes à plus d’un an et à deux ans au plus</t>
  </si>
  <si>
    <t xml:space="preserve">Dettes à plus de deux ans</t>
  </si>
  <si>
    <t xml:space="preserve">Emprunts obligataires</t>
  </si>
  <si>
    <t xml:space="preserve">Emprunts et dettes auprès des établissements de crédit</t>
  </si>
  <si>
    <t xml:space="preserve">Avances reçues de l’Etat</t>
  </si>
  <si>
    <t xml:space="preserve">Avances reçues et comptes courants bloqués</t>
  </si>
  <si>
    <t xml:space="preserve">Dépôts et cautionnements reçus</t>
  </si>
  <si>
    <t xml:space="preserve">Intérêt courus </t>
  </si>
  <si>
    <t xml:space="preserve">Avances assorties de conditions particulières</t>
  </si>
  <si>
    <t xml:space="preserve">Autres emprunts et dettes</t>
  </si>
  <si>
    <t xml:space="preserve">Dettes liées à des participations</t>
  </si>
  <si>
    <t xml:space="preserve">Comptes permanents bloqués des établissements et succursales</t>
  </si>
  <si>
    <t xml:space="preserve">TOTAL EMPRUNTS ET DETTES FINANCIERES</t>
  </si>
  <si>
    <t xml:space="preserve">Crédit-bail immobilier</t>
  </si>
  <si>
    <t xml:space="preserve">Crédit-bail mobilier</t>
  </si>
  <si>
    <t xml:space="preserve">Location-vente</t>
  </si>
  <si>
    <t xml:space="preserve">Intérêts courus</t>
  </si>
  <si>
    <t xml:space="preserve">Autres dettes de location acquisition</t>
  </si>
  <si>
    <t xml:space="preserve">TOTAL DETTES DE LOCATION ACQUISITION </t>
  </si>
  <si>
    <t xml:space="preserve">Provisions pour litiges</t>
  </si>
  <si>
    <t xml:space="preserve">Provisions pour garantie donnés aux clients</t>
  </si>
  <si>
    <t xml:space="preserve">Provisions pour pertes sur marchés à achèvement futur</t>
  </si>
  <si>
    <t xml:space="preserve">Provisions pour pertes de change</t>
  </si>
  <si>
    <t xml:space="preserve">Provisions pour impôts</t>
  </si>
  <si>
    <t xml:space="preserve">Provisions pour pensions et obligations assimilées</t>
  </si>
  <si>
    <t xml:space="preserve">Actif du régime de retraite</t>
  </si>
  <si>
    <t xml:space="preserve">Provisions pour restructuration </t>
  </si>
  <si>
    <t xml:space="preserve">Provisions pour amendes et pénalités</t>
  </si>
  <si>
    <t xml:space="preserve">Provisions de propre assureur</t>
  </si>
  <si>
    <t xml:space="preserve">Provisions pour démantèlement et remise en état</t>
  </si>
  <si>
    <t xml:space="preserve">Provisions de droits à déduction</t>
  </si>
  <si>
    <t xml:space="preserve">Autres provisions</t>
  </si>
  <si>
    <t xml:space="preserve">TOTAL PROVISIONS POUR RISQUES ET CHARGES</t>
  </si>
  <si>
    <r>
      <rPr>
        <b val="true"/>
        <sz val="9"/>
        <color rgb="FF000000"/>
        <rFont val="Arial"/>
        <family val="2"/>
      </rPr>
      <t xml:space="preserve">Commentaire</t>
    </r>
    <r>
      <rPr>
        <sz val="9"/>
        <color rgb="FF000000"/>
        <rFont val="Arial"/>
        <family val="2"/>
      </rPr>
      <t xml:space="preserve"> :</t>
    </r>
  </si>
  <si>
    <t xml:space="preserve">Pour chaque emprunt et dette de location acquisition: mentionner la date d'octroi,  le nom de l'organisme financier, le montant initial de l'emprunt ou de la dette, la durée  du crédit, les garanties données par la société. 
Indiquer  les événements et circonstances qui ont conduit à la provision et à la reprise. Pour les pensions et obligations de retraite indiquer : 
• indiquer la méthode d'évaluation retenue ; 
• pour les actifs du régime, indiquer le nom de la compagnie d'assurance ou du fonds de pension, le descriptif de la convention signée avec l'organisme, la périodicité des versements, le montant et la durée de la convention ; 
• indication de la valeur retenue pour les principales hypothèses actuarielle à la date de clôture et leur base de détermination. 
</t>
  </si>
  <si>
    <r>
      <rPr>
        <sz val="10"/>
        <color rgb="FF000000"/>
        <rFont val="Arial"/>
        <family val="2"/>
      </rPr>
      <t xml:space="preserve">Désignation entité :</t>
    </r>
    <r>
      <rPr>
        <b val="true"/>
        <sz val="10"/>
        <color rgb="FF000000"/>
        <rFont val="Arial"/>
        <family val="2"/>
      </rPr>
      <t xml:space="preserve"> </t>
    </r>
  </si>
  <si>
    <r>
      <rPr>
        <b val="true"/>
        <sz val="11"/>
        <color rgb="FF000000"/>
        <rFont val="Times New Roman"/>
        <family val="1"/>
      </rPr>
      <t xml:space="preserve"> </t>
    </r>
    <r>
      <rPr>
        <b val="true"/>
        <u val="single"/>
        <sz val="11"/>
        <color rgb="FF003366"/>
        <rFont val="Times New Roman"/>
        <family val="1"/>
      </rPr>
      <t xml:space="preserve">NOTE</t>
    </r>
    <r>
      <rPr>
        <b val="true"/>
        <sz val="11"/>
        <color rgb="FF003366"/>
        <rFont val="Times New Roman"/>
        <family val="1"/>
      </rPr>
      <t xml:space="preserve"> 16B </t>
    </r>
  </si>
  <si>
    <r>
      <rPr>
        <b val="true"/>
        <sz val="11"/>
        <color rgb="FF33CCCC"/>
        <rFont val="Times New Roman"/>
        <family val="1"/>
      </rPr>
      <t xml:space="preserve">ENGAGEMENTS DE RETRAITE ET AVANTAGES ASSIMILES</t>
    </r>
    <r>
      <rPr>
        <b val="true"/>
        <sz val="11"/>
        <color rgb="FF000000"/>
        <rFont val="Times New Roman"/>
        <family val="1"/>
      </rPr>
      <t xml:space="preserve"> </t>
    </r>
  </si>
  <si>
    <t xml:space="preserve">HYPOTHESES ACTUARIELLES</t>
  </si>
  <si>
    <t xml:space="preserve">Taux d'augmentation des salaires </t>
  </si>
  <si>
    <t xml:space="preserve">Taux d'actualisation </t>
  </si>
  <si>
    <t xml:space="preserve">Taux d'inflation </t>
  </si>
  <si>
    <t xml:space="preserve">Probabilité d'être présent dans l'entité à la date de départ à la retraite (expérience passée) </t>
  </si>
  <si>
    <t xml:space="preserve">Probabilité d'être en vie à l'âge de départ à la retraite (table de mortalité) </t>
  </si>
  <si>
    <t xml:space="preserve">Taux de rendement effectif des actifs du régime </t>
  </si>
  <si>
    <r>
      <rPr>
        <b val="true"/>
        <sz val="9"/>
        <color rgb="FF000000"/>
        <rFont val="Arial"/>
        <family val="2"/>
      </rPr>
      <t xml:space="preserve">Commentaire </t>
    </r>
    <r>
      <rPr>
        <sz val="9"/>
        <color rgb="FF000000"/>
        <rFont val="Arial"/>
        <family val="2"/>
      </rPr>
      <t xml:space="preserve">:  </t>
    </r>
  </si>
  <si>
    <r>
      <rPr>
        <sz val="9"/>
        <color rgb="FF000000"/>
        <rFont val="Arial"/>
        <family val="2"/>
      </rPr>
      <t xml:space="preserve">•</t>
    </r>
    <r>
      <rPr>
        <sz val="9"/>
        <color rgb="FF000000"/>
        <rFont val="Times New Roman"/>
        <family val="1"/>
      </rPr>
      <t xml:space="preserve">       </t>
    </r>
    <r>
      <rPr>
        <i val="true"/>
        <sz val="9"/>
        <color rgb="FF000000"/>
        <rFont val="Arial"/>
        <family val="2"/>
      </rPr>
      <t xml:space="preserve">Commenter les variations d'hypothèses actuarielles utilisées pour le calcul des engagements de retraite et avantages assimilés. </t>
    </r>
  </si>
  <si>
    <r>
      <rPr>
        <b val="true"/>
        <sz val="9"/>
        <color rgb="FFFFFFFF"/>
        <rFont val="Arial"/>
        <family val="2"/>
      </rPr>
      <t xml:space="preserve">VARIATION DE LA VALEUR DE L'ENGAGEMENT DE RETRAITE </t>
    </r>
    <r>
      <rPr>
        <sz val="9"/>
        <color rgb="FF000000"/>
        <rFont val="Arial"/>
        <family val="2"/>
      </rPr>
      <t xml:space="preserve"> </t>
    </r>
    <r>
      <rPr>
        <b val="true"/>
        <sz val="9"/>
        <color rgb="FFFFFFFF"/>
        <rFont val="Arial"/>
        <family val="2"/>
      </rPr>
      <t xml:space="preserve">AU COURS DE L'EXERCICE </t>
    </r>
  </si>
  <si>
    <r>
      <rPr>
        <b val="true"/>
        <sz val="9"/>
        <color rgb="FFFFFFFF"/>
        <rFont val="Arial"/>
        <family val="2"/>
      </rPr>
      <t xml:space="preserve">Libellés</t>
    </r>
    <r>
      <rPr>
        <b val="true"/>
        <sz val="9"/>
        <color rgb="FF000000"/>
        <rFont val="Arial"/>
        <family val="2"/>
      </rPr>
      <t xml:space="preserve"> </t>
    </r>
  </si>
  <si>
    <t xml:space="preserve">Obligation au titre des engagements de retraite  à l'ouverture </t>
  </si>
  <si>
    <t xml:space="preserve">Coût des services rendus au cours de l'exercice </t>
  </si>
  <si>
    <t xml:space="preserve">Coût financier </t>
  </si>
  <si>
    <t xml:space="preserve">Pertes actuarielles / (gain) </t>
  </si>
  <si>
    <t xml:space="preserve">Prestations payées au cours de l'exercice </t>
  </si>
  <si>
    <t xml:space="preserve">Coût des services passés </t>
  </si>
  <si>
    <t xml:space="preserve">Obligation au titre des engagements de retraite à la clôture </t>
  </si>
  <si>
    <r>
      <rPr>
        <sz val="9"/>
        <color rgb="FF000000"/>
        <rFont val="Arial"/>
        <family val="2"/>
      </rPr>
      <t xml:space="preserve">•</t>
    </r>
    <r>
      <rPr>
        <sz val="9"/>
        <color rgb="FF000000"/>
        <rFont val="Times New Roman"/>
        <family val="1"/>
      </rPr>
      <t xml:space="preserve">       </t>
    </r>
    <r>
      <rPr>
        <i val="true"/>
        <sz val="9"/>
        <color rgb="FF000000"/>
        <rFont val="Arial"/>
        <family val="2"/>
      </rPr>
      <t xml:space="preserve">Indiquer le montant de la charge par nature comptabilisée au cours de l'exercice </t>
    </r>
    <r>
      <rPr>
        <sz val="9"/>
        <color rgb="FF000000"/>
        <rFont val="Arial"/>
        <family val="2"/>
      </rPr>
      <t xml:space="preserve"> </t>
    </r>
  </si>
  <si>
    <t xml:space="preserve">ANALYSE DE SENSIBILITE DES HYPOTHESES ACTUARIELLES </t>
  </si>
  <si>
    <t xml:space="preserve">Augmentation </t>
  </si>
  <si>
    <t xml:space="preserve">Diminution </t>
  </si>
  <si>
    <t xml:space="preserve">(variation de ...%) </t>
  </si>
  <si>
    <t xml:space="preserve">Taux de progression des salaires         (variation de ...%) </t>
  </si>
  <si>
    <t xml:space="preserve">Taux de départ du personnel                 (variation de ...%) </t>
  </si>
  <si>
    <r>
      <rPr>
        <sz val="9"/>
        <color rgb="FF000000"/>
        <rFont val="Arial"/>
        <family val="2"/>
      </rPr>
      <t xml:space="preserve">•</t>
    </r>
    <r>
      <rPr>
        <sz val="9"/>
        <color rgb="FF000000"/>
        <rFont val="Times New Roman"/>
        <family val="1"/>
      </rPr>
      <t xml:space="preserve">       </t>
    </r>
    <r>
      <rPr>
        <i val="true"/>
        <sz val="9"/>
        <color rgb="FF000000"/>
        <rFont val="Arial"/>
        <family val="2"/>
      </rPr>
      <t xml:space="preserve">Indiquer l’impact des variations obtenues sur le montant des engagements de retraite.</t>
    </r>
    <r>
      <rPr>
        <sz val="9"/>
        <color rgb="FF000000"/>
        <rFont val="Arial"/>
        <family val="2"/>
      </rPr>
      <t xml:space="preserve"> </t>
    </r>
  </si>
  <si>
    <r>
      <rPr>
        <sz val="9"/>
        <color rgb="FF000000"/>
        <rFont val="Arial"/>
        <family val="2"/>
      </rPr>
      <t xml:space="preserve">•</t>
    </r>
    <r>
      <rPr>
        <sz val="9"/>
        <color rgb="FF000000"/>
        <rFont val="Times New Roman"/>
        <family val="1"/>
      </rPr>
      <t xml:space="preserve">      </t>
    </r>
    <r>
      <rPr>
        <i val="true"/>
        <sz val="9"/>
        <color rgb="FF000000"/>
        <rFont val="Arial"/>
        <family val="2"/>
      </rPr>
      <t xml:space="preserve">clôture et leur base de détermination. </t>
    </r>
  </si>
  <si>
    <r>
      <rPr>
        <b val="true"/>
        <sz val="9"/>
        <color rgb="FF000000"/>
        <rFont val="Times New Roman"/>
        <family val="1"/>
      </rPr>
      <t xml:space="preserve"> </t>
    </r>
    <r>
      <rPr>
        <b val="true"/>
        <u val="single"/>
        <sz val="9"/>
        <color rgb="FF003366"/>
        <rFont val="Times New Roman"/>
        <family val="1"/>
      </rPr>
      <t xml:space="preserve">NOTE</t>
    </r>
    <r>
      <rPr>
        <b val="true"/>
        <sz val="9"/>
        <color rgb="FF003366"/>
        <rFont val="Times New Roman"/>
        <family val="1"/>
      </rPr>
      <t xml:space="preserve"> 16B bis</t>
    </r>
  </si>
  <si>
    <r>
      <rPr>
        <b val="true"/>
        <sz val="9"/>
        <color rgb="FF33CCCC"/>
        <rFont val="Times New Roman"/>
        <family val="1"/>
      </rPr>
      <t xml:space="preserve">ENGAGEMENTS DE RETRAITE ET AVANTAGES ASSIMILES</t>
    </r>
    <r>
      <rPr>
        <b val="true"/>
        <sz val="9"/>
        <color rgb="FF000000"/>
        <rFont val="Times New Roman"/>
        <family val="1"/>
      </rPr>
      <t xml:space="preserve"> </t>
    </r>
    <r>
      <rPr>
        <sz val="9"/>
        <color rgb="FF33CCCC"/>
        <rFont val="Times New Roman"/>
        <family val="1"/>
      </rPr>
      <t xml:space="preserve"> </t>
    </r>
  </si>
  <si>
    <t xml:space="preserve">ACTIF/PASSIF NET COMPTABILISE AU TITRE DES REGIMES FINANCES </t>
  </si>
  <si>
    <t xml:space="preserve">Valeur actuelle de l'obligation résultant de régimes financés </t>
  </si>
  <si>
    <t xml:space="preserve">Valeur actuelle des actifs affectés aux plans de retraite </t>
  </si>
  <si>
    <t xml:space="preserve">Excédent / Déficit de régime </t>
  </si>
  <si>
    <r>
      <rPr>
        <sz val="9"/>
        <color rgb="FF000000"/>
        <rFont val="Arial"/>
        <family val="2"/>
      </rPr>
      <t xml:space="preserve">•</t>
    </r>
    <r>
      <rPr>
        <sz val="9"/>
        <color rgb="FF000000"/>
        <rFont val="Times New Roman"/>
        <family val="1"/>
      </rPr>
      <t xml:space="preserve">       </t>
    </r>
    <r>
      <rPr>
        <i val="true"/>
        <sz val="9"/>
        <color rgb="FF000000"/>
        <rFont val="Arial"/>
        <family val="2"/>
      </rPr>
      <t xml:space="preserve">Indiquer le montant comptabilisé au passif (ou actif) à la clôture de l'exercice</t>
    </r>
  </si>
  <si>
    <t xml:space="preserve">VALEUR ACTUELLE DES ACTIFS DU REGIME </t>
  </si>
  <si>
    <t xml:space="preserve">Rendement attendu </t>
  </si>
  <si>
    <t xml:space="preserve">Juste valeur des actifs </t>
  </si>
  <si>
    <t xml:space="preserve">Autres </t>
  </si>
  <si>
    <t xml:space="preserve">Total </t>
  </si>
  <si>
    <r>
      <rPr>
        <b val="true"/>
        <sz val="9"/>
        <color rgb="FF000000"/>
        <rFont val="Arial"/>
        <family val="2"/>
      </rPr>
      <t xml:space="preserve">Commentaires </t>
    </r>
    <r>
      <rPr>
        <sz val="9"/>
        <color rgb="FF000000"/>
        <rFont val="Arial"/>
        <family val="2"/>
      </rPr>
      <t xml:space="preserve">:  </t>
    </r>
  </si>
  <si>
    <r>
      <rPr>
        <sz val="9"/>
        <color rgb="FF000000"/>
        <rFont val="Arial"/>
        <family val="2"/>
      </rPr>
      <t xml:space="preserve">•</t>
    </r>
    <r>
      <rPr>
        <sz val="9"/>
        <color rgb="FF000000"/>
        <rFont val="Times New Roman"/>
        <family val="1"/>
      </rPr>
      <t xml:space="preserve">       </t>
    </r>
    <r>
      <rPr>
        <i val="true"/>
        <sz val="9"/>
        <color rgb="FF000000"/>
        <rFont val="Arial"/>
        <family val="2"/>
      </rPr>
      <t xml:space="preserve">Expliquer comment les taux de rendement par catégorie d’actifs et global ont été déterminés </t>
    </r>
  </si>
  <si>
    <t xml:space="preserve">•    Indiquer le montant des rendements réels des actifs affectés aux plans en N et N-1 </t>
  </si>
  <si>
    <r>
      <rPr>
        <sz val="9"/>
        <color rgb="FF000000"/>
        <rFont val="Arial"/>
        <family val="2"/>
      </rPr>
      <t xml:space="preserve">•</t>
    </r>
    <r>
      <rPr>
        <sz val="9"/>
        <color rgb="FF000000"/>
        <rFont val="Times New Roman"/>
        <family val="1"/>
      </rPr>
      <t xml:space="preserve">       </t>
    </r>
    <r>
      <rPr>
        <i val="true"/>
        <sz val="9"/>
        <color rgb="FF000000"/>
        <rFont val="Arial"/>
        <family val="2"/>
      </rPr>
      <t xml:space="preserve">Indiquer….</t>
    </r>
  </si>
  <si>
    <r>
      <rPr>
        <sz val="10"/>
        <color rgb="FF000000"/>
        <rFont val="Arial"/>
        <family val="2"/>
      </rPr>
      <t xml:space="preserve">Désignation entité :</t>
    </r>
    <r>
      <rPr>
        <b val="true"/>
        <sz val="10"/>
        <color rgb="FF000000"/>
        <rFont val="Arial"/>
        <family val="2"/>
      </rPr>
      <t xml:space="preserve"> </t>
    </r>
    <r>
      <rPr>
        <sz val="10"/>
        <color rgb="FF000000"/>
        <rFont val="Arial"/>
        <family val="2"/>
      </rPr>
      <t xml:space="preserve">                                     </t>
    </r>
  </si>
  <si>
    <r>
      <rPr>
        <b val="true"/>
        <u val="single"/>
        <sz val="11"/>
        <color rgb="FF003366"/>
        <rFont val="Arial"/>
        <family val="2"/>
      </rPr>
      <t xml:space="preserve">NOTE</t>
    </r>
    <r>
      <rPr>
        <b val="true"/>
        <sz val="11"/>
        <color rgb="FF003366"/>
        <rFont val="Arial"/>
        <family val="2"/>
      </rPr>
      <t xml:space="preserve"> 16C </t>
    </r>
  </si>
  <si>
    <r>
      <rPr>
        <b val="true"/>
        <sz val="11"/>
        <color rgb="FF33CCCC"/>
        <rFont val="Arial"/>
        <family val="2"/>
      </rPr>
      <t xml:space="preserve">ACTIFS ET PASSIFS EVENTUELS</t>
    </r>
    <r>
      <rPr>
        <b val="true"/>
        <sz val="11"/>
        <color rgb="FF000000"/>
        <rFont val="Arial"/>
        <family val="2"/>
      </rPr>
      <t xml:space="preserve"> </t>
    </r>
  </si>
  <si>
    <r>
      <rPr>
        <b val="true"/>
        <sz val="9"/>
        <color rgb="FF000000"/>
        <rFont val="Arial"/>
        <family val="2"/>
      </rPr>
      <t xml:space="preserve"> </t>
    </r>
    <r>
      <rPr>
        <b val="true"/>
        <sz val="9"/>
        <color rgb="FFFFFFFF"/>
        <rFont val="Arial"/>
        <family val="2"/>
      </rPr>
      <t xml:space="preserve">Libellés </t>
    </r>
  </si>
  <si>
    <t xml:space="preserve">Actif éventuel </t>
  </si>
  <si>
    <t xml:space="preserve">Litiges </t>
  </si>
  <si>
    <t xml:space="preserve">............. </t>
  </si>
  <si>
    <t xml:space="preserve">Passif éventuel </t>
  </si>
  <si>
    <r>
      <rPr>
        <b val="true"/>
        <sz val="9"/>
        <color rgb="FF000000"/>
        <rFont val="Arial"/>
        <family val="2"/>
      </rPr>
      <t xml:space="preserve">Commentaire</t>
    </r>
    <r>
      <rPr>
        <sz val="9"/>
        <color rgb="FF000000"/>
        <rFont val="Arial"/>
        <family val="2"/>
      </rPr>
      <t xml:space="preserve">:  </t>
    </r>
  </si>
  <si>
    <r>
      <rPr>
        <sz val="9"/>
        <color rgb="FF000000"/>
        <rFont val="Arial"/>
        <family val="2"/>
      </rPr>
      <t xml:space="preserve">•      </t>
    </r>
    <r>
      <rPr>
        <i val="true"/>
        <sz val="9"/>
        <color rgb="FF000000"/>
        <rFont val="Arial"/>
        <family val="2"/>
      </rPr>
      <t xml:space="preserve">Décrire les principales caractéristiques des actifs / passifs éventuels, l’horizon de temps auquel les encaissements / décaissements sont attendus et les éventuels remboursements à percevoir. </t>
    </r>
  </si>
  <si>
    <r>
      <rPr>
        <sz val="10"/>
        <color rgb="FF000000"/>
        <rFont val="Arial"/>
        <family val="2"/>
      </rPr>
      <t xml:space="preserve">Désignation entité :</t>
    </r>
    <r>
      <rPr>
        <b val="true"/>
        <sz val="8"/>
        <color rgb="FF000000"/>
        <rFont val="Arial"/>
        <family val="2"/>
      </rPr>
      <t xml:space="preserve"> </t>
    </r>
  </si>
  <si>
    <r>
      <rPr>
        <b val="true"/>
        <sz val="9"/>
        <color rgb="FF000000"/>
        <rFont val="Arial"/>
        <family val="2"/>
      </rPr>
      <t xml:space="preserve"> </t>
    </r>
    <r>
      <rPr>
        <b val="true"/>
        <u val="single"/>
        <sz val="9"/>
        <color rgb="FF003366"/>
        <rFont val="Arial"/>
        <family val="2"/>
      </rPr>
      <t xml:space="preserve">NOTE</t>
    </r>
    <r>
      <rPr>
        <b val="true"/>
        <sz val="9"/>
        <color rgb="FF003366"/>
        <rFont val="Arial"/>
        <family val="2"/>
      </rPr>
      <t xml:space="preserve"> 17</t>
    </r>
  </si>
  <si>
    <t xml:space="preserve">FOURNISSEURS D'EXPLOITATION </t>
  </si>
  <si>
    <t xml:space="preserve"> Année N-1 </t>
  </si>
  <si>
    <t xml:space="preserve"> Variation en % </t>
  </si>
  <si>
    <t xml:space="preserve">Dettes à un an au plus </t>
  </si>
  <si>
    <t xml:space="preserve">Dettes à plus d'un an et à deux ans au plus </t>
  </si>
  <si>
    <t xml:space="preserve">Dettes à plus de deux ans </t>
  </si>
  <si>
    <t xml:space="preserve">Fournisseurs dettes en compte  (hors groupe) </t>
  </si>
  <si>
    <t xml:space="preserve">Fournisseurs effets à payer  (hors groupe) </t>
  </si>
  <si>
    <t xml:space="preserve">Fournisseurs, dettes et effets à payer groupe </t>
  </si>
  <si>
    <t xml:space="preserve">Fournisseurs factures non parvenues (hors groupe) </t>
  </si>
  <si>
    <t xml:space="preserve">Fournisseurs factures non parvenues groupe </t>
  </si>
  <si>
    <t xml:space="preserve">TOTAL FOURNISSEURS </t>
  </si>
  <si>
    <t xml:space="preserve">Fournisseurs, avances et acomptes  (hors groupe) </t>
  </si>
  <si>
    <t xml:space="preserve">Fournisseurs, avances et acomptes groupe </t>
  </si>
  <si>
    <t xml:space="preserve">Autres fournisseurs débiteurs </t>
  </si>
  <si>
    <t xml:space="preserve">TOTAL FOURNISSEURS DEBITEURS </t>
  </si>
  <si>
    <t xml:space="preserve"> • Commenter toutes variations significatives 
• Indiquer pour  les dettes du groupe le nom de la société du groupe et le % de titres détenus. 
• Commenter les dettes anciennes. 
</t>
  </si>
  <si>
    <r>
      <rPr>
        <b val="true"/>
        <sz val="11"/>
        <color rgb="FF000000"/>
        <rFont val="Arial"/>
        <family val="2"/>
      </rPr>
      <t xml:space="preserve"> </t>
    </r>
    <r>
      <rPr>
        <b val="true"/>
        <u val="single"/>
        <sz val="11"/>
        <color rgb="FF003366"/>
        <rFont val="Arial"/>
        <family val="2"/>
      </rPr>
      <t xml:space="preserve">NOTE</t>
    </r>
    <r>
      <rPr>
        <b val="true"/>
        <sz val="11"/>
        <color rgb="FF003366"/>
        <rFont val="Arial"/>
        <family val="2"/>
      </rPr>
      <t xml:space="preserve"> 18</t>
    </r>
  </si>
  <si>
    <t xml:space="preserve">Dettes à plus d'un </t>
  </si>
  <si>
    <t xml:space="preserve">an et à deux ans au plus </t>
  </si>
  <si>
    <t xml:space="preserve">Personnel avances et acomptes</t>
  </si>
  <si>
    <t xml:space="preserve">Personnel rémunérations dues</t>
  </si>
  <si>
    <t xml:space="preserve">Autres personnel</t>
  </si>
  <si>
    <t xml:space="preserve">Caisse de sécurité sociale</t>
  </si>
  <si>
    <t xml:space="preserve">Caisse de retraite</t>
  </si>
  <si>
    <t xml:space="preserve">Autres organisme sociaux</t>
  </si>
  <si>
    <t xml:space="preserve">TOTAL DETTES SOCIALES</t>
  </si>
  <si>
    <t xml:space="preserve">Etat, impôts sur les bénéfices</t>
  </si>
  <si>
    <t xml:space="preserve">Etat, impôts et taxes</t>
  </si>
  <si>
    <t xml:space="preserve">Etat, TVA</t>
  </si>
  <si>
    <t xml:space="preserve">Etat, impôts retenus à la source</t>
  </si>
  <si>
    <t xml:space="preserve">Autres dettes Etat</t>
  </si>
  <si>
    <t xml:space="preserve">TOTAL DETTES FISCALES</t>
  </si>
  <si>
    <t xml:space="preserve">TOTAL DETTES SOCIALES ET FISCALES</t>
  </si>
  <si>
    <r>
      <rPr>
        <sz val="9"/>
        <color rgb="FF000000"/>
        <rFont val="Arial"/>
        <family val="2"/>
      </rPr>
      <t xml:space="preserve"> </t>
    </r>
    <r>
      <rPr>
        <i val="true"/>
        <sz val="9"/>
        <color rgb="FF000000"/>
        <rFont val="Arial"/>
        <family val="2"/>
      </rPr>
      <t xml:space="preserve">Commenter toute variation significative. </t>
    </r>
  </si>
  <si>
    <r>
      <rPr>
        <sz val="9"/>
        <color rgb="FF000000"/>
        <rFont val="Arial"/>
        <family val="2"/>
      </rPr>
      <t xml:space="preserve"> </t>
    </r>
    <r>
      <rPr>
        <i val="true"/>
        <sz val="9"/>
        <color rgb="FF000000"/>
        <rFont val="Arial"/>
        <family val="2"/>
      </rPr>
      <t xml:space="preserve">Commenter les dettes anciennes.</t>
    </r>
    <r>
      <rPr>
        <i val="true"/>
        <sz val="9"/>
        <color rgb="FF000000"/>
        <rFont val="Times New Roman"/>
        <family val="1"/>
      </rPr>
      <t xml:space="preserve"> </t>
    </r>
  </si>
  <si>
    <r>
      <rPr>
        <b val="true"/>
        <sz val="11"/>
        <color rgb="FF000000"/>
        <rFont val="Arial"/>
        <family val="2"/>
      </rPr>
      <t xml:space="preserve"> </t>
    </r>
    <r>
      <rPr>
        <b val="true"/>
        <u val="single"/>
        <sz val="11"/>
        <color rgb="FF003366"/>
        <rFont val="Arial"/>
        <family val="2"/>
      </rPr>
      <t xml:space="preserve">NOTE</t>
    </r>
    <r>
      <rPr>
        <b val="true"/>
        <sz val="11"/>
        <color rgb="FF003366"/>
        <rFont val="Arial"/>
        <family val="2"/>
      </rPr>
      <t xml:space="preserve"> 19</t>
    </r>
  </si>
  <si>
    <t xml:space="preserve">AUTRES DETTES ET PROVISIONS POUR RISQUES A COURT TERME </t>
  </si>
  <si>
    <t xml:space="preserve">Dettes à plus d'un an et à  deux ans au plus</t>
  </si>
  <si>
    <t xml:space="preserve">Apporteurs, opérations sur le capital </t>
  </si>
  <si>
    <t xml:space="preserve">Associés, compte courant </t>
  </si>
  <si>
    <t xml:space="preserve">Associés dividendes à payer </t>
  </si>
  <si>
    <t xml:space="preserve">Groupe, comptes courants </t>
  </si>
  <si>
    <t xml:space="preserve">Autres dettes associés </t>
  </si>
  <si>
    <t xml:space="preserve">TOTAL DETTES ASSOCIES </t>
  </si>
  <si>
    <t xml:space="preserve">Obligataires  </t>
  </si>
  <si>
    <t xml:space="preserve">Rémunérations d'administrateurs </t>
  </si>
  <si>
    <t xml:space="preserve">Compte du factor </t>
  </si>
  <si>
    <t xml:space="preserve">Versements restant à effectuer sur titres de placement non libérés </t>
  </si>
  <si>
    <t xml:space="preserve">Autres créditeurs divers </t>
  </si>
  <si>
    <t xml:space="preserve">TOTAL  CREDITEURS DIVERS </t>
  </si>
  <si>
    <t xml:space="preserve">TOTAL  COMPTES DE LIAISON </t>
  </si>
  <si>
    <t xml:space="preserve">TOTAL  AUTRES DETTES </t>
  </si>
  <si>
    <t xml:space="preserve">Provisions pour risques à court terme (voir note 28) </t>
  </si>
  <si>
    <r>
      <rPr>
        <b val="true"/>
        <sz val="9"/>
        <color rgb="FF000000"/>
        <rFont val="Arial"/>
        <family val="2"/>
      </rPr>
      <t xml:space="preserve">Commentaire</t>
    </r>
    <r>
      <rPr>
        <sz val="9"/>
        <color rgb="FF000000"/>
        <rFont val="Arial"/>
        <family val="2"/>
      </rPr>
      <t xml:space="preserve">s :  </t>
    </r>
  </si>
  <si>
    <r>
      <rPr>
        <sz val="9"/>
        <color rgb="FF000000"/>
        <rFont val="Arial"/>
        <family val="2"/>
      </rPr>
      <t xml:space="preserve">•      </t>
    </r>
    <r>
      <rPr>
        <i val="true"/>
        <sz val="9"/>
        <color rgb="FF000000"/>
        <rFont val="Arial"/>
        <family val="2"/>
      </rPr>
      <t xml:space="preserve">Commenter toute variation significative. </t>
    </r>
  </si>
  <si>
    <r>
      <rPr>
        <sz val="9"/>
        <color rgb="FF000000"/>
        <rFont val="Arial"/>
        <family val="2"/>
      </rPr>
      <t xml:space="preserve">•      </t>
    </r>
    <r>
      <rPr>
        <i val="true"/>
        <sz val="9"/>
        <color rgb="FF000000"/>
        <rFont val="Arial"/>
        <family val="2"/>
      </rPr>
      <t xml:space="preserve">Indiquer le taux de rémunération si compte courant rémunéré. </t>
    </r>
  </si>
  <si>
    <r>
      <rPr>
        <sz val="9"/>
        <color rgb="FF000000"/>
        <rFont val="Arial"/>
        <family val="2"/>
      </rPr>
      <t xml:space="preserve">•      </t>
    </r>
    <r>
      <rPr>
        <i val="true"/>
        <sz val="9"/>
        <color rgb="FF000000"/>
        <rFont val="Arial"/>
        <family val="2"/>
      </rPr>
      <t xml:space="preserve">Commenter les dettes anciennes. </t>
    </r>
  </si>
  <si>
    <r>
      <rPr>
        <sz val="9"/>
        <color rgb="FF000000"/>
        <rFont val="Arial"/>
        <family val="2"/>
      </rPr>
      <t xml:space="preserve">•      </t>
    </r>
    <r>
      <rPr>
        <i val="true"/>
        <sz val="9"/>
        <color rgb="FF000000"/>
        <rFont val="Arial"/>
        <family val="2"/>
      </rPr>
      <t xml:space="preserve">Compte transitoire ajustement spécial, indiquer le détail du compte et la durée restant pour l'apurement. </t>
    </r>
  </si>
  <si>
    <r>
      <rPr>
        <b val="true"/>
        <sz val="9"/>
        <color rgb="FF000000"/>
        <rFont val="Times New Roman"/>
        <family val="1"/>
      </rPr>
      <t xml:space="preserve"> </t>
    </r>
    <r>
      <rPr>
        <b val="true"/>
        <u val="single"/>
        <sz val="9"/>
        <color rgb="FF003366"/>
        <rFont val="Times New Roman"/>
        <family val="1"/>
      </rPr>
      <t xml:space="preserve">NOTE</t>
    </r>
    <r>
      <rPr>
        <b val="true"/>
        <sz val="9"/>
        <color rgb="FF003366"/>
        <rFont val="Times New Roman"/>
        <family val="1"/>
      </rPr>
      <t xml:space="preserve"> 20 </t>
    </r>
  </si>
  <si>
    <t xml:space="preserve">BANQUES, CREDIT D'ESCOMPTE ET DE TRESORERIE</t>
  </si>
  <si>
    <t xml:space="preserve">Variation en %  </t>
  </si>
  <si>
    <t xml:space="preserve">Escomptes de crédit de campagne </t>
  </si>
  <si>
    <t xml:space="preserve">Escomptes de crédit ordinaires </t>
  </si>
  <si>
    <t xml:space="preserve">TOTAL: BANQUES, CREDITS </t>
  </si>
  <si>
    <t xml:space="preserve">D'ESCOMPTE ET DE TRESORERIE </t>
  </si>
  <si>
    <t xml:space="preserve">Crédit de trésorerie </t>
  </si>
  <si>
    <t xml:space="preserve">TOTAL: BANQUES, CREDITS DE TRESORERIE </t>
  </si>
  <si>
    <r>
      <rPr>
        <sz val="9"/>
        <color rgb="FF000000"/>
        <rFont val="Arial"/>
        <family val="2"/>
      </rPr>
      <t xml:space="preserve">•</t>
    </r>
    <r>
      <rPr>
        <sz val="9"/>
        <color rgb="FF000000"/>
        <rFont val="Times New Roman"/>
        <family val="1"/>
      </rPr>
      <t xml:space="preserve">      </t>
    </r>
    <r>
      <rPr>
        <i val="true"/>
        <sz val="9"/>
        <color rgb="FF000000"/>
        <rFont val="Arial"/>
        <family val="2"/>
      </rPr>
      <t xml:space="preserve">Commenter toute variation significative. </t>
    </r>
  </si>
  <si>
    <r>
      <rPr>
        <sz val="9"/>
        <color rgb="FF000000"/>
        <rFont val="Arial"/>
        <family val="2"/>
      </rPr>
      <t xml:space="preserve">•</t>
    </r>
    <r>
      <rPr>
        <sz val="9"/>
        <color rgb="FF000000"/>
        <rFont val="Times New Roman"/>
        <family val="1"/>
      </rPr>
      <t xml:space="preserve">      </t>
    </r>
    <r>
      <rPr>
        <i val="true"/>
        <sz val="9"/>
        <color rgb="FF000000"/>
        <rFont val="Arial"/>
        <family val="2"/>
      </rPr>
      <t xml:space="preserve">Indiquer le nom de l'organisme les conditions de crédit, le taux d'intérêt, la durée  du crédit. </t>
    </r>
  </si>
  <si>
    <t xml:space="preserve">NB : Banques et intérêts courus figure dans cette rubrique si le compte principal attaché est créditeur. </t>
  </si>
  <si>
    <r>
      <rPr>
        <b val="true"/>
        <u val="single"/>
        <sz val="11"/>
        <color rgb="FF003366"/>
        <rFont val="Times New Roman"/>
        <family val="1"/>
      </rPr>
      <t xml:space="preserve">NOTE</t>
    </r>
    <r>
      <rPr>
        <b val="true"/>
        <sz val="11"/>
        <color rgb="FF003366"/>
        <rFont val="Times New Roman"/>
        <family val="1"/>
      </rPr>
      <t xml:space="preserve"> 21</t>
    </r>
  </si>
  <si>
    <t xml:space="preserve">CHIFFRE D’AFFAIRES et AUTRES PRODUITS </t>
  </si>
  <si>
    <t xml:space="preserve">Ventes dans la région </t>
  </si>
  <si>
    <t xml:space="preserve">Ventes hors région </t>
  </si>
  <si>
    <t xml:space="preserve">Ventes groupe </t>
  </si>
  <si>
    <t xml:space="preserve">Ventes sur internet </t>
  </si>
  <si>
    <t xml:space="preserve">TOTAL : VENTES MARCHANDISES </t>
  </si>
  <si>
    <t xml:space="preserve">TOTAL : VENTES DE PRODUITS FABRIQUES </t>
  </si>
  <si>
    <t xml:space="preserve">TOTAL : VENTES DE TRAVAUX ET SERVICES VENDUS </t>
  </si>
  <si>
    <t xml:space="preserve">Produits accessoires </t>
  </si>
  <si>
    <t xml:space="preserve">TOTAL : CHIFFRES D'AFFAIRES </t>
  </si>
  <si>
    <t xml:space="preserve">Production immobilisée </t>
  </si>
  <si>
    <t xml:space="preserve">Subventions d'exploitation </t>
  </si>
  <si>
    <t xml:space="preserve">Autres produits </t>
  </si>
  <si>
    <t xml:space="preserve">TOTAL : AUTRES PRODUITS </t>
  </si>
  <si>
    <t xml:space="preserve">TOTAL </t>
  </si>
  <si>
    <r>
      <rPr>
        <b val="true"/>
        <sz val="9"/>
        <color rgb="FF000000"/>
        <rFont val="Arial"/>
        <family val="2"/>
      </rPr>
      <t xml:space="preserve"> Commentaires</t>
    </r>
    <r>
      <rPr>
        <sz val="9"/>
        <color rgb="FF000000"/>
        <rFont val="Arial"/>
        <family val="2"/>
      </rPr>
      <t xml:space="preserve">:  </t>
    </r>
  </si>
  <si>
    <r>
      <rPr>
        <sz val="9"/>
        <color rgb="FF000000"/>
        <rFont val="Arial"/>
        <family val="2"/>
      </rPr>
      <t xml:space="preserve">•</t>
    </r>
    <r>
      <rPr>
        <sz val="9"/>
        <color rgb="FF000000"/>
        <rFont val="Times New Roman"/>
        <family val="1"/>
      </rPr>
      <t xml:space="preserve">      </t>
    </r>
    <r>
      <rPr>
        <i val="true"/>
        <sz val="9"/>
        <color rgb="FF000000"/>
        <rFont val="Arial"/>
        <family val="2"/>
      </rPr>
      <t xml:space="preserve">Justifier toute variation significative. </t>
    </r>
  </si>
  <si>
    <r>
      <rPr>
        <sz val="9"/>
        <color rgb="FF000000"/>
        <rFont val="Arial"/>
        <family val="2"/>
      </rPr>
      <t xml:space="preserve">•</t>
    </r>
    <r>
      <rPr>
        <sz val="9"/>
        <color rgb="FF000000"/>
        <rFont val="Times New Roman"/>
        <family val="1"/>
      </rPr>
      <t xml:space="preserve">      </t>
    </r>
    <r>
      <rPr>
        <i val="true"/>
        <sz val="9"/>
        <color rgb="FF000000"/>
        <rFont val="Arial"/>
        <family val="2"/>
      </rPr>
      <t xml:space="preserve">Détailler, produits, intermédiaires, produits résiduels, produits accessoires, autres produits si significatifs. </t>
    </r>
  </si>
  <si>
    <r>
      <rPr>
        <b val="true"/>
        <sz val="9"/>
        <color rgb="FF000000"/>
        <rFont val="Times New Roman"/>
        <family val="1"/>
      </rPr>
      <t xml:space="preserve"> </t>
    </r>
    <r>
      <rPr>
        <b val="true"/>
        <u val="single"/>
        <sz val="9"/>
        <color rgb="FF003366"/>
        <rFont val="Times New Roman"/>
        <family val="1"/>
      </rPr>
      <t xml:space="preserve">NOTE</t>
    </r>
    <r>
      <rPr>
        <b val="true"/>
        <sz val="9"/>
        <color rgb="FF003366"/>
        <rFont val="Times New Roman"/>
        <family val="1"/>
      </rPr>
      <t xml:space="preserve"> 22 </t>
    </r>
  </si>
  <si>
    <t xml:space="preserve">Achats dans la région </t>
  </si>
  <si>
    <t xml:space="preserve">Achats hors région </t>
  </si>
  <si>
    <t xml:space="preserve">Achats groupe </t>
  </si>
  <si>
    <t xml:space="preserve">TOTAL : ACHATS DE MARCHANDISES </t>
  </si>
  <si>
    <t xml:space="preserve">TOTAL : ACHATS MATIERES PREMIERES ET FOURNITURES LIEES </t>
  </si>
  <si>
    <t xml:space="preserve">Matières consommables  </t>
  </si>
  <si>
    <t xml:space="preserve">Matières combustibles </t>
  </si>
  <si>
    <t xml:space="preserve">Produits d'entretien </t>
  </si>
  <si>
    <t xml:space="preserve">Fournitures d'atelier, d'usine et de magasin  </t>
  </si>
  <si>
    <t xml:space="preserve">Eau </t>
  </si>
  <si>
    <t xml:space="preserve">Electricité </t>
  </si>
  <si>
    <t xml:space="preserve">Autres énergies </t>
  </si>
  <si>
    <t xml:space="preserve">Fourniture d'entretien </t>
  </si>
  <si>
    <t xml:space="preserve">Fourniture de bureau </t>
  </si>
  <si>
    <t xml:space="preserve">Petit matériel et outillages </t>
  </si>
  <si>
    <t xml:space="preserve">Achats études, prestations de services, de travaux matériels et équipements </t>
  </si>
  <si>
    <t xml:space="preserve">Achats d'emballages </t>
  </si>
  <si>
    <t xml:space="preserve">Frais sur achats </t>
  </si>
  <si>
    <t xml:space="preserve">Remises rabais, remises et ristournes  </t>
  </si>
  <si>
    <t xml:space="preserve">TOTAL : AUTRES ACHATS </t>
  </si>
  <si>
    <r>
      <rPr>
        <sz val="8"/>
        <color rgb="FF000000"/>
        <rFont val="Arial"/>
        <family val="2"/>
      </rPr>
      <t xml:space="preserve">Exercice clos le</t>
    </r>
    <r>
      <rPr>
        <b val="true"/>
        <sz val="8"/>
        <color rgb="FF000000"/>
        <rFont val="Arial"/>
        <family val="2"/>
      </rPr>
      <t xml:space="preserve"> </t>
    </r>
    <r>
      <rPr>
        <sz val="8"/>
        <color rgb="FF000000"/>
        <rFont val="Arial"/>
        <family val="2"/>
      </rPr>
      <t xml:space="preserve">                            </t>
    </r>
  </si>
  <si>
    <t xml:space="preserve">Numéro d’identification :</t>
  </si>
  <si>
    <r>
      <rPr>
        <b val="true"/>
        <sz val="11"/>
        <color rgb="FF000000"/>
        <rFont val="Times New Roman"/>
        <family val="1"/>
      </rPr>
      <t xml:space="preserve"> </t>
    </r>
    <r>
      <rPr>
        <b val="true"/>
        <u val="single"/>
        <sz val="11"/>
        <color rgb="FF003366"/>
        <rFont val="Times New Roman"/>
        <family val="1"/>
      </rPr>
      <t xml:space="preserve">NOTE</t>
    </r>
    <r>
      <rPr>
        <b val="true"/>
        <sz val="11"/>
        <color rgb="FF003366"/>
        <rFont val="Times New Roman"/>
        <family val="1"/>
      </rPr>
      <t xml:space="preserve"> 23 </t>
    </r>
  </si>
  <si>
    <t xml:space="preserve">Transports sur ventes </t>
  </si>
  <si>
    <t xml:space="preserve">Transports pour le compte de tiers </t>
  </si>
  <si>
    <t xml:space="preserve">Transport du personnel </t>
  </si>
  <si>
    <t xml:space="preserve">Transports de plis </t>
  </si>
  <si>
    <t xml:space="preserve">Autres transports </t>
  </si>
  <si>
    <r>
      <rPr>
        <b val="true"/>
        <sz val="11"/>
        <color rgb="FF003366"/>
        <rFont val="Times New Roman"/>
        <family val="1"/>
      </rPr>
      <t xml:space="preserve"> </t>
    </r>
    <r>
      <rPr>
        <b val="true"/>
        <u val="single"/>
        <sz val="11"/>
        <color rgb="FF003366"/>
        <rFont val="Times New Roman"/>
        <family val="1"/>
      </rPr>
      <t xml:space="preserve">NOTE</t>
    </r>
    <r>
      <rPr>
        <b val="true"/>
        <sz val="11"/>
        <color rgb="FF003366"/>
        <rFont val="Times New Roman"/>
        <family val="1"/>
      </rPr>
      <t xml:space="preserve"> 24 </t>
    </r>
  </si>
  <si>
    <t xml:space="preserve">SERVICES EXTERIEURS  </t>
  </si>
  <si>
    <t xml:space="preserve">Sous-traitance générale </t>
  </si>
  <si>
    <t xml:space="preserve">Locations et charges locatives </t>
  </si>
  <si>
    <t xml:space="preserve">Redevances de location acquisition </t>
  </si>
  <si>
    <t xml:space="preserve">Entretien, réparations et maintenance </t>
  </si>
  <si>
    <t xml:space="preserve">Primes d'assurance </t>
  </si>
  <si>
    <t xml:space="preserve">Etudes, recherches et documentation </t>
  </si>
  <si>
    <t xml:space="preserve">Publicité, publications, relations publiques </t>
  </si>
  <si>
    <t xml:space="preserve">Frais de télécommunications </t>
  </si>
  <si>
    <t xml:space="preserve">Frais bancaires </t>
  </si>
  <si>
    <t xml:space="preserve">Rémunérations d'intermédiaires et de conseils </t>
  </si>
  <si>
    <t xml:space="preserve">Frais de formation du personnel </t>
  </si>
  <si>
    <t xml:space="preserve">Redevances pour brevets, licences, logiciels, concession et droits similaires </t>
  </si>
  <si>
    <t xml:space="preserve">Cotisations </t>
  </si>
  <si>
    <t xml:space="preserve">Autres charges externes </t>
  </si>
  <si>
    <r>
      <rPr>
        <b val="true"/>
        <sz val="12"/>
        <color rgb="FF000000"/>
        <rFont val="Times New Roman"/>
        <family val="1"/>
      </rPr>
      <t xml:space="preserve"> </t>
    </r>
    <r>
      <rPr>
        <b val="true"/>
        <u val="single"/>
        <sz val="12"/>
        <color rgb="FF003366"/>
        <rFont val="Times New Roman"/>
        <family val="1"/>
      </rPr>
      <t xml:space="preserve">NOTE</t>
    </r>
    <r>
      <rPr>
        <b val="true"/>
        <sz val="12"/>
        <color rgb="FF003366"/>
        <rFont val="Times New Roman"/>
        <family val="1"/>
      </rPr>
      <t xml:space="preserve"> 25</t>
    </r>
  </si>
  <si>
    <t xml:space="preserve">IMPOTS ET TAXES  </t>
  </si>
  <si>
    <t xml:space="preserve">Impôts et taxes directs </t>
  </si>
  <si>
    <t xml:space="preserve">Impôts et taxes indirects </t>
  </si>
  <si>
    <t xml:space="preserve">Droits d'enregistrement </t>
  </si>
  <si>
    <t xml:space="preserve">Pénalités et amendes fiscales </t>
  </si>
  <si>
    <t xml:space="preserve">Autres impôts et taxes </t>
  </si>
  <si>
    <r>
      <rPr>
        <b val="true"/>
        <sz val="9"/>
        <color rgb="FF000000"/>
        <rFont val="Arial"/>
        <family val="2"/>
      </rPr>
      <t xml:space="preserve">TOTAL</t>
    </r>
    <r>
      <rPr>
        <b val="true"/>
        <sz val="9"/>
        <color rgb="FFFFFFFF"/>
        <rFont val="Arial"/>
        <family val="2"/>
      </rPr>
      <t xml:space="preserve"> </t>
    </r>
  </si>
  <si>
    <r>
      <rPr>
        <sz val="9"/>
        <color rgb="FF000000"/>
        <rFont val="Arial"/>
        <family val="2"/>
      </rPr>
      <t xml:space="preserve">•</t>
    </r>
    <r>
      <rPr>
        <sz val="9"/>
        <color rgb="FF000000"/>
        <rFont val="Times New Roman"/>
        <family val="1"/>
      </rPr>
      <t xml:space="preserve">      </t>
    </r>
    <r>
      <rPr>
        <i val="true"/>
        <sz val="9"/>
        <color rgb="FF000000"/>
        <rFont val="Arial"/>
        <family val="2"/>
      </rPr>
      <t xml:space="preserve">Détailler les pénalités et amendes et indiquer la cause</t>
    </r>
    <r>
      <rPr>
        <i val="true"/>
        <sz val="9"/>
        <color rgb="FF000000"/>
        <rFont val="Times New Roman"/>
        <family val="1"/>
      </rPr>
      <t xml:space="preserve">.</t>
    </r>
    <r>
      <rPr>
        <sz val="9"/>
        <color rgb="FF000000"/>
        <rFont val="Calibri"/>
        <family val="2"/>
      </rPr>
      <t xml:space="preserve"> </t>
    </r>
  </si>
  <si>
    <r>
      <rPr>
        <b val="true"/>
        <sz val="11"/>
        <color rgb="FF000000"/>
        <rFont val="Times New Roman"/>
        <family val="1"/>
      </rPr>
      <t xml:space="preserve"> </t>
    </r>
    <r>
      <rPr>
        <sz val="11"/>
        <color rgb="FF000000"/>
        <rFont val="Calibri"/>
        <family val="2"/>
      </rPr>
      <t xml:space="preserve"> </t>
    </r>
    <r>
      <rPr>
        <b val="true"/>
        <u val="single"/>
        <sz val="11"/>
        <color rgb="FF003366"/>
        <rFont val="Times New Roman"/>
        <family val="1"/>
      </rPr>
      <t xml:space="preserve">NOTE</t>
    </r>
    <r>
      <rPr>
        <b val="true"/>
        <sz val="11"/>
        <color rgb="FF003366"/>
        <rFont val="Times New Roman"/>
        <family val="1"/>
      </rPr>
      <t xml:space="preserve"> 26 </t>
    </r>
  </si>
  <si>
    <t xml:space="preserve">AUTRES CHARGES  </t>
  </si>
  <si>
    <t xml:space="preserve">Année N-1  </t>
  </si>
  <si>
    <t xml:space="preserve">Pertes sur créances clients  </t>
  </si>
  <si>
    <t xml:space="preserve">Pertes sur autres débiteurs </t>
  </si>
  <si>
    <t xml:space="preserve">Quote-part de résultat sur opérations faites en commun </t>
  </si>
  <si>
    <t xml:space="preserve">Valeur comptable des cessions courantes d'immobilisations </t>
  </si>
  <si>
    <t xml:space="preserve">Indemnités de fonction et autres rémunérations d'administrateurs </t>
  </si>
  <si>
    <t xml:space="preserve">Dons et mécénat </t>
  </si>
  <si>
    <t xml:space="preserve">Autres charges diverses </t>
  </si>
  <si>
    <t xml:space="preserve">Charges pour provisions et provisions pour risques à court terme d'exploitation (voir note 28) </t>
  </si>
  <si>
    <r>
      <rPr>
        <sz val="9"/>
        <color rgb="FF000000"/>
        <rFont val="Arial"/>
        <family val="2"/>
      </rPr>
      <t xml:space="preserve">•</t>
    </r>
    <r>
      <rPr>
        <sz val="9"/>
        <color rgb="FF000000"/>
        <rFont val="Times New Roman"/>
        <family val="1"/>
      </rPr>
      <t xml:space="preserve">      </t>
    </r>
    <r>
      <rPr>
        <i val="true"/>
        <sz val="9"/>
        <color rgb="FF000000"/>
        <rFont val="Arial"/>
        <family val="2"/>
      </rPr>
      <t xml:space="preserve">Indiquer la date du PV de l'AGO ou du CA qui fixe les rémunérations des administrateurs. </t>
    </r>
  </si>
  <si>
    <r>
      <rPr>
        <sz val="9"/>
        <color rgb="FF000000"/>
        <rFont val="Arial"/>
        <family val="2"/>
      </rPr>
      <t xml:space="preserve">•</t>
    </r>
    <r>
      <rPr>
        <sz val="9"/>
        <color rgb="FF000000"/>
        <rFont val="Times New Roman"/>
        <family val="1"/>
      </rPr>
      <t xml:space="preserve">      </t>
    </r>
    <r>
      <rPr>
        <i val="true"/>
        <sz val="9"/>
        <color rgb="FF000000"/>
        <rFont val="Arial"/>
        <family val="2"/>
      </rPr>
      <t xml:space="preserve">Indiquer les organismes bénéficiaires des dons.</t>
    </r>
    <r>
      <rPr>
        <i val="true"/>
        <sz val="9"/>
        <color rgb="FF000000"/>
        <rFont val="Times New Roman"/>
        <family val="1"/>
      </rPr>
      <t xml:space="preserve"> </t>
    </r>
  </si>
  <si>
    <r>
      <rPr>
        <sz val="10"/>
        <color rgb="FF000000"/>
        <rFont val="Arial"/>
        <family val="2"/>
      </rPr>
      <t xml:space="preserve">Désignation entité :</t>
    </r>
    <r>
      <rPr>
        <b val="true"/>
        <sz val="10"/>
        <color rgb="FF000000"/>
        <rFont val="Arial"/>
        <family val="2"/>
      </rPr>
      <t xml:space="preserve"> </t>
    </r>
    <r>
      <rPr>
        <sz val="10"/>
        <color rgb="FF000000"/>
        <rFont val="Arial"/>
        <family val="2"/>
      </rPr>
      <t xml:space="preserve">            </t>
    </r>
  </si>
  <si>
    <r>
      <rPr>
        <b val="true"/>
        <sz val="11"/>
        <color rgb="FF000000"/>
        <rFont val="Arial"/>
        <family val="2"/>
      </rPr>
      <t xml:space="preserve"> </t>
    </r>
    <r>
      <rPr>
        <b val="true"/>
        <u val="single"/>
        <sz val="11"/>
        <color rgb="FF003366"/>
        <rFont val="Arial"/>
        <family val="2"/>
      </rPr>
      <t xml:space="preserve">NOTE</t>
    </r>
    <r>
      <rPr>
        <b val="true"/>
        <sz val="11"/>
        <color rgb="FF003366"/>
        <rFont val="Arial"/>
        <family val="2"/>
      </rPr>
      <t xml:space="preserve"> 27A </t>
    </r>
  </si>
  <si>
    <r>
      <rPr>
        <b val="true"/>
        <sz val="11"/>
        <color rgb="FF33CCCC"/>
        <rFont val="Arial"/>
        <family val="2"/>
      </rPr>
      <t xml:space="preserve">CHARGES DE PERSONNEL </t>
    </r>
    <r>
      <rPr>
        <sz val="11"/>
        <color rgb="FF33CCCC"/>
        <rFont val="Arial"/>
        <family val="2"/>
      </rPr>
      <t xml:space="preserve"> </t>
    </r>
  </si>
  <si>
    <t xml:space="preserve">Rémunérations directes versées au personnel </t>
  </si>
  <si>
    <t xml:space="preserve">Indemnités forfaitaires versées au personnel </t>
  </si>
  <si>
    <t xml:space="preserve">Charges sociales </t>
  </si>
  <si>
    <t xml:space="preserve">Rémunérations et charges sociales de l'exploitant individuel </t>
  </si>
  <si>
    <t xml:space="preserve">Rémunération transférée de personnel extérieur </t>
  </si>
  <si>
    <t xml:space="preserve">Autres charges sociales </t>
  </si>
  <si>
    <r>
      <rPr>
        <sz val="9"/>
        <color rgb="FF000000"/>
        <rFont val="Arial"/>
        <family val="2"/>
      </rPr>
      <t xml:space="preserve">•      </t>
    </r>
    <r>
      <rPr>
        <i val="true"/>
        <sz val="9"/>
        <color rgb="FF000000"/>
        <rFont val="Arial"/>
        <family val="2"/>
      </rPr>
      <t xml:space="preserve">Indiquer la nature et la durée du contrat du personnel extérieur.</t>
    </r>
    <r>
      <rPr>
        <sz val="9"/>
        <color rgb="FF000000"/>
        <rFont val="Arial"/>
        <family val="2"/>
      </rPr>
      <t xml:space="preserve"> </t>
    </r>
  </si>
  <si>
    <r>
      <rPr>
        <b val="true"/>
        <u val="single"/>
        <sz val="10"/>
        <color rgb="FF000000"/>
        <rFont val="Cambria"/>
        <family val="1"/>
      </rPr>
      <t xml:space="preserve">NOTE</t>
    </r>
    <r>
      <rPr>
        <b val="true"/>
        <sz val="10"/>
        <color rgb="FF000000"/>
        <rFont val="Cambria"/>
        <family val="1"/>
      </rPr>
      <t xml:space="preserve"> 27B</t>
    </r>
  </si>
  <si>
    <t xml:space="preserve"> EFFECTIF ET MASSE SALARIALE</t>
  </si>
  <si>
    <t xml:space="preserve">EFFECTIFS</t>
  </si>
  <si>
    <t xml:space="preserve">MASSE SALARIALE</t>
  </si>
  <si>
    <t xml:space="preserve">                                     </t>
  </si>
  <si>
    <t xml:space="preserve">Nationaux</t>
  </si>
  <si>
    <t xml:space="preserve">Autres Etats de l’OHADA</t>
  </si>
  <si>
    <t xml:space="preserve">Hors OHADA</t>
  </si>
  <si>
    <t xml:space="preserve">QUALIFICATIONS</t>
  </si>
  <si>
    <t xml:space="preserve">M</t>
  </si>
  <si>
    <t xml:space="preserve">YA</t>
  </si>
  <si>
    <t xml:space="preserve">1. Cadres supérieurs</t>
  </si>
  <si>
    <t xml:space="preserve">YB</t>
  </si>
  <si>
    <t xml:space="preserve">2. Techniciens supérieurs et cadres moyens</t>
  </si>
  <si>
    <t xml:space="preserve">YC</t>
  </si>
  <si>
    <t xml:space="preserve">3. Techniciens, agents de maîtrise et ouvriers qualifiés</t>
  </si>
  <si>
    <t xml:space="preserve">YD</t>
  </si>
  <si>
    <t xml:space="preserve">4. Employés, manœuvres, ouvriers et apprentis</t>
  </si>
  <si>
    <t xml:space="preserve">YE</t>
  </si>
  <si>
    <t xml:space="preserve">TOTAL (1)</t>
  </si>
  <si>
    <t xml:space="preserve">YF</t>
  </si>
  <si>
    <t xml:space="preserve">Permanents </t>
  </si>
  <si>
    <t xml:space="preserve">YG</t>
  </si>
  <si>
    <t xml:space="preserve">Saisonniers </t>
  </si>
  <si>
    <t xml:space="preserve">Facturation à l’entité</t>
  </si>
  <si>
    <t xml:space="preserve">2. Personnel extérieur</t>
  </si>
  <si>
    <t xml:space="preserve">YH</t>
  </si>
  <si>
    <t xml:space="preserve">YI</t>
  </si>
  <si>
    <t xml:space="preserve">YJ</t>
  </si>
  <si>
    <t xml:space="preserve">YK</t>
  </si>
  <si>
    <t xml:space="preserve">M : Masculin           </t>
  </si>
  <si>
    <t xml:space="preserve">YL</t>
  </si>
  <si>
    <t xml:space="preserve">TOTAL (2)</t>
  </si>
  <si>
    <t xml:space="preserve">F: Féminin</t>
  </si>
  <si>
    <t xml:space="preserve">YM</t>
  </si>
  <si>
    <t xml:space="preserve">YN</t>
  </si>
  <si>
    <t xml:space="preserve">YO</t>
  </si>
  <si>
    <t xml:space="preserve">TOTAL (1 + 2)</t>
  </si>
  <si>
    <r>
      <rPr>
        <b val="true"/>
        <sz val="10"/>
        <color rgb="FF000000"/>
        <rFont val="Arial"/>
        <family val="2"/>
      </rPr>
      <t xml:space="preserve">Commentaire</t>
    </r>
    <r>
      <rPr>
        <sz val="10"/>
        <color rgb="FF000000"/>
        <rFont val="Arial"/>
        <family val="2"/>
      </rPr>
      <t xml:space="preserve"> :</t>
    </r>
  </si>
  <si>
    <r>
      <rPr>
        <sz val="10"/>
        <color rgb="FF000000"/>
        <rFont val="Symbol"/>
        <family val="1"/>
        <charset val="2"/>
      </rPr>
      <t xml:space="preserve">·</t>
    </r>
    <r>
      <rPr>
        <sz val="7"/>
        <color rgb="FF000000"/>
        <rFont val="Times New Roman"/>
        <family val="1"/>
      </rPr>
      <t xml:space="preserve">         </t>
    </r>
    <r>
      <rPr>
        <i val="true"/>
        <sz val="10"/>
        <color rgb="FF000000"/>
        <rFont val="Arial"/>
        <family val="2"/>
      </rPr>
      <t xml:space="preserve">Faire un commentaire si nécessaire en cas de mouvement significatif du personnel</t>
    </r>
    <r>
      <rPr>
        <sz val="10"/>
        <color rgb="FF000000"/>
        <rFont val="Arial"/>
        <family val="2"/>
      </rPr>
      <t xml:space="preserve">.</t>
    </r>
  </si>
  <si>
    <r>
      <rPr>
        <b val="true"/>
        <u val="single"/>
        <sz val="11"/>
        <color rgb="FF000000"/>
        <rFont val="Cambria"/>
        <family val="1"/>
      </rPr>
      <t xml:space="preserve">NOTE</t>
    </r>
    <r>
      <rPr>
        <b val="true"/>
        <sz val="11"/>
        <color rgb="FF000000"/>
        <rFont val="Cambria"/>
        <family val="1"/>
      </rPr>
      <t xml:space="preserve"> 28</t>
    </r>
  </si>
  <si>
    <t xml:space="preserve">PROVISIONS ET DEPRECIATIONS INSCRITES AU BILAN</t>
  </si>
  <si>
    <t xml:space="preserve">                                                                                                  SITUATION ET MOUVEMENTS                                                                                                                        </t>
  </si>
  <si>
    <t xml:space="preserve">D = A + B - C</t>
  </si>
  <si>
    <t xml:space="preserve">PROVISIONS A LOUVERTURE DE L’EXERCICE</t>
  </si>
  <si>
    <t xml:space="preserve">AUGMENTATIONS DOTATIONS</t>
  </si>
  <si>
    <t xml:space="preserve">DIMINUTIONS REPRISES</t>
  </si>
  <si>
    <t xml:space="preserve">PROVISIONS LA CLOTURE DE L’EXERCICE</t>
  </si>
  <si>
    <t xml:space="preserve">D’EXPLOITATION</t>
  </si>
  <si>
    <t xml:space="preserve">FINANCIERES</t>
  </si>
  <si>
    <t xml:space="preserve">HORS ACTIVITES ORDINAIRES</t>
  </si>
  <si>
    <t xml:space="preserve">D’E L’EXPLOI-TATION</t>
  </si>
  <si>
    <t xml:space="preserve">HORS ACTIVITES ORDINQIRES</t>
  </si>
  <si>
    <t xml:space="preserve">1. Provisions réglementées</t>
  </si>
  <si>
    <t xml:space="preserve">2. Provisions financières pour risques et charges </t>
  </si>
  <si>
    <t xml:space="preserve">3. Dépréciation des immobilisations</t>
  </si>
  <si>
    <t xml:space="preserve">TOTAL DOTATIONS</t>
  </si>
  <si>
    <t xml:space="preserve">4. Dépréciations des stocks</t>
  </si>
  <si>
    <t xml:space="preserve">5. Dépréciations actif circulant HAO</t>
  </si>
  <si>
    <t xml:space="preserve">6. Dépréciations fournisseurs</t>
  </si>
  <si>
    <t xml:space="preserve">7. Dépréciations clients</t>
  </si>
  <si>
    <t xml:space="preserve">5. Dépréciations fournisseurs</t>
  </si>
  <si>
    <t xml:space="preserve">7. Dépréciations autres créances</t>
  </si>
  <si>
    <t xml:space="preserve">8. Dépréciations titres de placement</t>
  </si>
  <si>
    <t xml:space="preserve">9. Dépréciations valeurs à encaisser</t>
  </si>
  <si>
    <t xml:space="preserve">10. Dépréciations disponibilité </t>
  </si>
  <si>
    <t xml:space="preserve">11. Dépréciations et provisions pour risques court termes d’exploitation </t>
  </si>
  <si>
    <t xml:space="preserve">12. Dépréciations et provisions pour risques à court termes à caractère financiers</t>
  </si>
  <si>
    <t xml:space="preserve">TOTAL : CHARGES POUR DEPRECIATIONS ET PROVISIONS A COURT TERME</t>
  </si>
  <si>
    <t xml:space="preserve">TOTAL PROVISIONS ET DEPRECIATIONS</t>
  </si>
  <si>
    <r>
      <rPr>
        <b val="true"/>
        <sz val="9"/>
        <color rgb="FF000000"/>
        <rFont val="Arial"/>
        <family val="2"/>
      </rPr>
      <t xml:space="preserve">Commentaire </t>
    </r>
    <r>
      <rPr>
        <sz val="9"/>
        <color rgb="FF000000"/>
        <rFont val="Arial"/>
        <family val="2"/>
      </rPr>
      <t xml:space="preserve">:</t>
    </r>
  </si>
  <si>
    <t xml:space="preserve">Indiquer les événements et circonstances qui ont conduit à la constitution et à la reprise de la dépréciation et de la provision.</t>
  </si>
  <si>
    <r>
      <rPr>
        <sz val="10"/>
        <color rgb="FF000000"/>
        <rFont val="Arial"/>
        <family val="2"/>
      </rPr>
      <t xml:space="preserve">Désignation entité :</t>
    </r>
    <r>
      <rPr>
        <b val="true"/>
        <sz val="10"/>
        <color rgb="FF000000"/>
        <rFont val="Arial"/>
        <family val="2"/>
      </rPr>
      <t xml:space="preserve"> </t>
    </r>
    <r>
      <rPr>
        <sz val="7"/>
        <color rgb="FF000000"/>
        <rFont val="Arial"/>
        <family val="2"/>
      </rPr>
      <t xml:space="preserve"> </t>
    </r>
  </si>
  <si>
    <r>
      <rPr>
        <b val="true"/>
        <sz val="11"/>
        <color rgb="FF000000"/>
        <rFont val="Times New Roman"/>
        <family val="1"/>
      </rPr>
      <t xml:space="preserve"> </t>
    </r>
    <r>
      <rPr>
        <b val="true"/>
        <u val="single"/>
        <sz val="11"/>
        <color rgb="FF003366"/>
        <rFont val="Times New Roman"/>
        <family val="1"/>
      </rPr>
      <t xml:space="preserve">NOTE</t>
    </r>
    <r>
      <rPr>
        <b val="true"/>
        <sz val="11"/>
        <color rgb="FF003366"/>
        <rFont val="Times New Roman"/>
        <family val="1"/>
      </rPr>
      <t xml:space="preserve"> 29 </t>
    </r>
  </si>
  <si>
    <t xml:space="preserve">CHARGES ET REVENUS FINANCIERS </t>
  </si>
  <si>
    <t xml:space="preserve">Intérêts des emprunts </t>
  </si>
  <si>
    <t xml:space="preserve">Intérêts dans loyers de locations acquisition </t>
  </si>
  <si>
    <t xml:space="preserve">Escomptes accordés </t>
  </si>
  <si>
    <t xml:space="preserve">Autres intérêts </t>
  </si>
  <si>
    <t xml:space="preserve">Escomptes des effets de commerce </t>
  </si>
  <si>
    <t xml:space="preserve">Pertes de change </t>
  </si>
  <si>
    <t xml:space="preserve">Pertes sur cessions de titres de placement </t>
  </si>
  <si>
    <t xml:space="preserve">Malis provenant d’attribution gratuite d’actions au personnel salarié et aux dirigeants </t>
  </si>
  <si>
    <t xml:space="preserve">Pertes sur risques financiers </t>
  </si>
  <si>
    <t xml:space="preserve">Charges pour dépréciation et provisions à court terme à caractère financier (voir note 28) </t>
  </si>
  <si>
    <t xml:space="preserve">SOUS TOTAL : FRAIS FINANCIERS </t>
  </si>
  <si>
    <t xml:space="preserve">Intérêts de prêts et créances diverses </t>
  </si>
  <si>
    <t xml:space="preserve">Revenus de participations </t>
  </si>
  <si>
    <t xml:space="preserve">Escomptes obtenus </t>
  </si>
  <si>
    <t xml:space="preserve">Revenus de placement </t>
  </si>
  <si>
    <t xml:space="preserve">Gains de change </t>
  </si>
  <si>
    <t xml:space="preserve">Gains sur cessions de titres de placement </t>
  </si>
  <si>
    <t xml:space="preserve">Gains sur risques financiers </t>
  </si>
  <si>
    <t xml:space="preserve">Reprises de charges pour dépréciation et provisions à court terme à caractère financier (voir note 28) </t>
  </si>
  <si>
    <t xml:space="preserve">SOUS TOTAL : REVENUS FINANCIERS </t>
  </si>
  <si>
    <r>
      <rPr>
        <b val="true"/>
        <sz val="9"/>
        <color rgb="FF000000"/>
        <rFont val="Arial"/>
        <family val="2"/>
      </rPr>
      <t xml:space="preserve">     Commentaires </t>
    </r>
    <r>
      <rPr>
        <sz val="9"/>
        <color rgb="FF000000"/>
        <rFont val="Arial"/>
        <family val="2"/>
      </rPr>
      <t xml:space="preserve">:  </t>
    </r>
  </si>
  <si>
    <r>
      <rPr>
        <sz val="9"/>
        <color rgb="FF000000"/>
        <rFont val="Arial"/>
        <family val="2"/>
      </rPr>
      <t xml:space="preserve">•</t>
    </r>
    <r>
      <rPr>
        <sz val="9"/>
        <color rgb="FF000000"/>
        <rFont val="Times New Roman"/>
        <family val="1"/>
      </rPr>
      <t xml:space="preserve">      </t>
    </r>
    <r>
      <rPr>
        <i val="true"/>
        <sz val="9"/>
        <color rgb="FF000000"/>
        <rFont val="Arial"/>
        <family val="2"/>
      </rPr>
      <t xml:space="preserve">Commenter toute variation significative </t>
    </r>
  </si>
  <si>
    <r>
      <rPr>
        <sz val="9"/>
        <color rgb="FF000000"/>
        <rFont val="Arial"/>
        <family val="2"/>
      </rPr>
      <t xml:space="preserve">•</t>
    </r>
    <r>
      <rPr>
        <sz val="9"/>
        <color rgb="FF000000"/>
        <rFont val="Times New Roman"/>
        <family val="1"/>
      </rPr>
      <t xml:space="preserve">      </t>
    </r>
    <r>
      <rPr>
        <i val="true"/>
        <sz val="9"/>
        <color rgb="FF000000"/>
        <rFont val="Arial"/>
        <family val="2"/>
      </rPr>
      <t xml:space="preserve">En cas de paiement à terme, indiquer le montant des intérêts non comptabilisés </t>
    </r>
  </si>
  <si>
    <r>
      <rPr>
        <sz val="10"/>
        <color rgb="FF000000"/>
        <rFont val="Arial"/>
        <family val="2"/>
      </rPr>
      <t xml:space="preserve">Désignation entité :</t>
    </r>
    <r>
      <rPr>
        <b val="true"/>
        <sz val="10"/>
        <color rgb="FF000000"/>
        <rFont val="Arial"/>
        <family val="2"/>
      </rPr>
      <t xml:space="preserve"> </t>
    </r>
    <r>
      <rPr>
        <sz val="10"/>
        <color rgb="FF000000"/>
        <rFont val="Arial"/>
        <family val="2"/>
      </rPr>
      <t xml:space="preserve">    </t>
    </r>
  </si>
  <si>
    <r>
      <rPr>
        <b val="true"/>
        <sz val="9"/>
        <color rgb="FF000000"/>
        <rFont val="Times New Roman"/>
        <family val="1"/>
      </rPr>
      <t xml:space="preserve">       </t>
    </r>
    <r>
      <rPr>
        <b val="true"/>
        <u val="single"/>
        <sz val="9"/>
        <color rgb="FF003366"/>
        <rFont val="Times New Roman"/>
        <family val="1"/>
      </rPr>
      <t xml:space="preserve">NOTE</t>
    </r>
    <r>
      <rPr>
        <b val="true"/>
        <sz val="9"/>
        <color rgb="FF003366"/>
        <rFont val="Times New Roman"/>
        <family val="1"/>
      </rPr>
      <t xml:space="preserve"> 30 </t>
    </r>
  </si>
  <si>
    <r>
      <rPr>
        <b val="true"/>
        <sz val="9"/>
        <color rgb="FF33CCCC"/>
        <rFont val="Times New Roman"/>
        <family val="1"/>
      </rPr>
      <t xml:space="preserve">AUTRES  CHARGES ET PRODUITS HAO </t>
    </r>
    <r>
      <rPr>
        <sz val="9"/>
        <color rgb="FF33CCCC"/>
        <rFont val="Times New Roman"/>
        <family val="1"/>
      </rPr>
      <t xml:space="preserve"> </t>
    </r>
  </si>
  <si>
    <r>
      <rPr>
        <sz val="9"/>
        <color rgb="FF000000"/>
        <rFont val="Arial"/>
        <family val="2"/>
      </rPr>
      <t xml:space="preserve">Charges HAO constatées (1) </t>
    </r>
    <r>
      <rPr>
        <b val="true"/>
        <sz val="9"/>
        <color rgb="FF000000"/>
        <rFont val="Arial"/>
        <family val="2"/>
      </rPr>
      <t xml:space="preserve">à détailler</t>
    </r>
    <r>
      <rPr>
        <sz val="9"/>
        <color rgb="FF000000"/>
        <rFont val="Arial"/>
        <family val="2"/>
      </rPr>
      <t xml:space="preserve"> </t>
    </r>
  </si>
  <si>
    <t xml:space="preserve">(1).................. </t>
  </si>
  <si>
    <t xml:space="preserve">Pertes sur créances HAO </t>
  </si>
  <si>
    <t xml:space="preserve">Dons et libéralités accordés </t>
  </si>
  <si>
    <t xml:space="preserve">Abandons de créances consentis </t>
  </si>
  <si>
    <t xml:space="preserve">Charges provisionnées HAO </t>
  </si>
  <si>
    <t xml:space="preserve">Dotations hors activités ordinaires </t>
  </si>
  <si>
    <t xml:space="preserve">Participation des travailleurs </t>
  </si>
  <si>
    <t xml:space="preserve">Subventions d'équilibre </t>
  </si>
  <si>
    <t xml:space="preserve">SOUS TOTAL : AUTRES CHARGES HAO </t>
  </si>
  <si>
    <r>
      <rPr>
        <sz val="9"/>
        <color rgb="FF000000"/>
        <rFont val="Arial"/>
        <family val="2"/>
      </rPr>
      <t xml:space="preserve">Produits HAO constatés (1) </t>
    </r>
    <r>
      <rPr>
        <b val="true"/>
        <sz val="9"/>
        <color rgb="FF000000"/>
        <rFont val="Arial"/>
        <family val="2"/>
      </rPr>
      <t xml:space="preserve">à détailler</t>
    </r>
    <r>
      <rPr>
        <sz val="9"/>
        <color rgb="FF000000"/>
        <rFont val="Arial"/>
        <family val="2"/>
      </rPr>
      <t xml:space="preserve"> </t>
    </r>
  </si>
  <si>
    <t xml:space="preserve">Dons et libéralités obtenus </t>
  </si>
  <si>
    <t xml:space="preserve">Abandons de créances obtenus </t>
  </si>
  <si>
    <t xml:space="preserve">Transferts de charges HAO </t>
  </si>
  <si>
    <t xml:space="preserve">Reprises des charges pour dépréciations et provisions à court terme HAO  </t>
  </si>
  <si>
    <t xml:space="preserve">Reprises hors activités ordinaires </t>
  </si>
  <si>
    <t xml:space="preserve">SOUS TOTAL : AUTRES PRODUITS HAO </t>
  </si>
  <si>
    <r>
      <rPr>
        <b val="true"/>
        <sz val="9"/>
        <color rgb="FF000000"/>
        <rFont val="Arial"/>
        <family val="2"/>
      </rPr>
      <t xml:space="preserve">      Commentaire </t>
    </r>
    <r>
      <rPr>
        <sz val="9"/>
        <color rgb="FF000000"/>
        <rFont val="Arial"/>
        <family val="2"/>
      </rPr>
      <t xml:space="preserve">:  </t>
    </r>
  </si>
  <si>
    <r>
      <rPr>
        <sz val="10"/>
        <color rgb="FF000000"/>
        <rFont val="Arial"/>
        <family val="2"/>
      </rPr>
      <t xml:space="preserve">Désignation entité :</t>
    </r>
    <r>
      <rPr>
        <b val="true"/>
        <sz val="10"/>
        <color rgb="FF000000"/>
        <rFont val="Arial"/>
        <family val="2"/>
      </rPr>
      <t xml:space="preserve"> </t>
    </r>
    <r>
      <rPr>
        <sz val="10"/>
        <color rgb="FF000000"/>
        <rFont val="Arial"/>
        <family val="2"/>
      </rPr>
      <t xml:space="preserve">   </t>
    </r>
  </si>
  <si>
    <r>
      <rPr>
        <sz val="10"/>
        <color rgb="FF000000"/>
        <rFont val="Arial"/>
        <family val="2"/>
      </rPr>
      <t xml:space="preserve">Numéro d’identification </t>
    </r>
    <r>
      <rPr>
        <b val="true"/>
        <sz val="10"/>
        <color rgb="FF000000"/>
        <rFont val="Arial"/>
        <family val="2"/>
      </rPr>
      <t xml:space="preserve">:</t>
    </r>
  </si>
  <si>
    <r>
      <rPr>
        <b val="true"/>
        <u val="single"/>
        <sz val="11"/>
        <color rgb="FF000000"/>
        <rFont val="Cambria"/>
        <family val="1"/>
      </rPr>
      <t xml:space="preserve">NOTE</t>
    </r>
    <r>
      <rPr>
        <b val="true"/>
        <sz val="11"/>
        <color rgb="FF000000"/>
        <rFont val="Cambria"/>
        <family val="1"/>
      </rPr>
      <t xml:space="preserve"> 31</t>
    </r>
  </si>
  <si>
    <t xml:space="preserve">REPARATION DU RESULTAT ET AUTRES ELEMENTS CARACTERISTIQUES DES CINQ DERNIERS EXERCICES</t>
  </si>
  <si>
    <r>
      <rPr>
        <b val="true"/>
        <sz val="10"/>
        <color rgb="FFFFFFFF"/>
        <rFont val="Arial"/>
        <family val="2"/>
      </rPr>
      <t xml:space="preserve">                                                                                                     EXERCICES CONCERNES (</t>
    </r>
    <r>
      <rPr>
        <b val="true"/>
        <vertAlign val="superscript"/>
        <sz val="10"/>
        <color rgb="FFFFFFFF"/>
        <rFont val="Arial"/>
        <family val="2"/>
      </rPr>
      <t xml:space="preserve">1</t>
    </r>
    <r>
      <rPr>
        <b val="true"/>
        <sz val="10"/>
        <color rgb="FFFFFFFF"/>
        <rFont val="Arial"/>
        <family val="2"/>
      </rPr>
      <t xml:space="preserve">)</t>
    </r>
  </si>
  <si>
    <t xml:space="preserve">N</t>
  </si>
  <si>
    <t xml:space="preserve">N-2</t>
  </si>
  <si>
    <t xml:space="preserve">N-3</t>
  </si>
  <si>
    <t xml:space="preserve">N-4</t>
  </si>
  <si>
    <r>
      <rPr>
        <b val="true"/>
        <sz val="10"/>
        <color rgb="FF000000"/>
        <rFont val="Arial"/>
        <family val="2"/>
      </rPr>
      <t xml:space="preserve">STRUCTURE DU CAPITAL A LA CLOTURE DE L’EXERCICE(</t>
    </r>
    <r>
      <rPr>
        <b val="true"/>
        <vertAlign val="superscript"/>
        <sz val="10"/>
        <color rgb="FF000000"/>
        <rFont val="Arial"/>
        <family val="2"/>
      </rPr>
      <t xml:space="preserve">2</t>
    </r>
    <r>
      <rPr>
        <b val="true"/>
        <sz val="10"/>
        <color rgb="FF000000"/>
        <rFont val="Arial"/>
        <family val="2"/>
      </rPr>
      <t xml:space="preserve">)</t>
    </r>
  </si>
  <si>
    <t xml:space="preserve">Capital social</t>
  </si>
  <si>
    <t xml:space="preserve">Actions ordinaires</t>
  </si>
  <si>
    <t xml:space="preserve">Actions à dividendes prioritaires (A.D.P) sans droit de vote</t>
  </si>
  <si>
    <t xml:space="preserve">Actions nouvelles à mettre :</t>
  </si>
  <si>
    <r>
      <rPr>
        <sz val="10"/>
        <color rgb="FF000000"/>
        <rFont val="Cambria"/>
        <family val="1"/>
      </rPr>
      <t xml:space="preserve">-</t>
    </r>
    <r>
      <rPr>
        <sz val="7"/>
        <color rgb="FF000000"/>
        <rFont val="Times New Roman"/>
        <family val="1"/>
      </rPr>
      <t xml:space="preserve">          </t>
    </r>
    <r>
      <rPr>
        <sz val="10"/>
        <color rgb="FF000000"/>
        <rFont val="Arial"/>
        <family val="2"/>
      </rPr>
      <t xml:space="preserve">Par conversion d’obligations</t>
    </r>
  </si>
  <si>
    <r>
      <rPr>
        <sz val="10"/>
        <color rgb="FF000000"/>
        <rFont val="Cambria"/>
        <family val="1"/>
      </rPr>
      <t xml:space="preserve">-</t>
    </r>
    <r>
      <rPr>
        <sz val="7"/>
        <color rgb="FF000000"/>
        <rFont val="Times New Roman"/>
        <family val="1"/>
      </rPr>
      <t xml:space="preserve">          </t>
    </r>
    <r>
      <rPr>
        <sz val="10"/>
        <color rgb="FF000000"/>
        <rFont val="Arial"/>
        <family val="2"/>
      </rPr>
      <t xml:space="preserve">Par exercice de droits de souscription</t>
    </r>
  </si>
  <si>
    <r>
      <rPr>
        <b val="true"/>
        <sz val="10"/>
        <color rgb="FF000000"/>
        <rFont val="Arial"/>
        <family val="2"/>
      </rPr>
      <t xml:space="preserve">OPERATION ET RESULTATS DE L’EXERCICE (</t>
    </r>
    <r>
      <rPr>
        <b val="true"/>
        <vertAlign val="superscript"/>
        <sz val="10"/>
        <color rgb="FF000000"/>
        <rFont val="Arial"/>
        <family val="2"/>
      </rPr>
      <t xml:space="preserve">3</t>
    </r>
    <r>
      <rPr>
        <b val="true"/>
        <sz val="10"/>
        <color rgb="FF000000"/>
        <rFont val="Arial"/>
        <family val="2"/>
      </rPr>
      <t xml:space="preserve">)</t>
    </r>
  </si>
  <si>
    <t xml:space="preserve">Chiffres d’affaire hors taxes</t>
  </si>
  <si>
    <t xml:space="preserve">Résultats des  activités ordinaires (R.A.O) hors dotation et reprises (exploitation et financières)</t>
  </si>
  <si>
    <t xml:space="preserve">Participation des travailleurs aux bénéfices</t>
  </si>
  <si>
    <t xml:space="preserve">Impôt sur le résultat</t>
  </si>
  <si>
    <r>
      <rPr>
        <sz val="10"/>
        <color rgb="FF000000"/>
        <rFont val="Arial"/>
        <family val="2"/>
      </rPr>
      <t xml:space="preserve">Résultat net(</t>
    </r>
    <r>
      <rPr>
        <vertAlign val="superscript"/>
        <sz val="10"/>
        <color rgb="FF000000"/>
        <rFont val="Arial"/>
        <family val="2"/>
      </rPr>
      <t xml:space="preserve">4</t>
    </r>
    <r>
      <rPr>
        <sz val="10"/>
        <color rgb="FF000000"/>
        <rFont val="Arial"/>
        <family val="2"/>
      </rPr>
      <t xml:space="preserve">)</t>
    </r>
  </si>
  <si>
    <t xml:space="preserve">RESULTAT ET DIVIDENDE DISTRIBUES</t>
  </si>
  <si>
    <r>
      <rPr>
        <sz val="10"/>
        <color rgb="FF000000"/>
        <rFont val="Arial"/>
        <family val="2"/>
      </rPr>
      <t xml:space="preserve">Résultat distribué (</t>
    </r>
    <r>
      <rPr>
        <vertAlign val="superscript"/>
        <sz val="10"/>
        <color rgb="FF000000"/>
        <rFont val="Arial"/>
        <family val="2"/>
      </rPr>
      <t xml:space="preserve">5</t>
    </r>
    <r>
      <rPr>
        <sz val="10"/>
        <color rgb="FF000000"/>
        <rFont val="Arial"/>
        <family val="2"/>
      </rPr>
      <t xml:space="preserve">)</t>
    </r>
  </si>
  <si>
    <t xml:space="preserve">Dividende attribué à chaque action</t>
  </si>
  <si>
    <t xml:space="preserve">PERSONNEL ET POLITIQUE SALARIALE</t>
  </si>
  <si>
    <r>
      <rPr>
        <sz val="10"/>
        <color rgb="FF000000"/>
        <rFont val="Arial"/>
        <family val="2"/>
      </rPr>
      <t xml:space="preserve">Effectif moyen des travailleurs au cours de l’exercice (</t>
    </r>
    <r>
      <rPr>
        <vertAlign val="superscript"/>
        <sz val="10"/>
        <color rgb="FF000000"/>
        <rFont val="Arial"/>
        <family val="2"/>
      </rPr>
      <t xml:space="preserve">6</t>
    </r>
    <r>
      <rPr>
        <sz val="10"/>
        <color rgb="FF000000"/>
        <rFont val="Arial"/>
        <family val="2"/>
      </rPr>
      <t xml:space="preserve">)</t>
    </r>
  </si>
  <si>
    <t xml:space="preserve">Effectif moyen de personnel extérieur</t>
  </si>
  <si>
    <r>
      <rPr>
        <sz val="10"/>
        <color rgb="FF000000"/>
        <rFont val="Arial"/>
        <family val="2"/>
      </rPr>
      <t xml:space="preserve">Masse salariale distribuée au cours de l’exercice (</t>
    </r>
    <r>
      <rPr>
        <vertAlign val="superscript"/>
        <sz val="10"/>
        <color rgb="FF000000"/>
        <rFont val="Arial"/>
        <family val="2"/>
      </rPr>
      <t xml:space="preserve">7</t>
    </r>
    <r>
      <rPr>
        <sz val="10"/>
        <color rgb="FF000000"/>
        <rFont val="Arial"/>
        <family val="2"/>
      </rPr>
      <t xml:space="preserve">)</t>
    </r>
  </si>
  <si>
    <r>
      <rPr>
        <sz val="10"/>
        <color rgb="FF000000"/>
        <rFont val="Arial"/>
        <family val="2"/>
      </rPr>
      <t xml:space="preserve">Avantages sociaux versés au cours de l’exercice (</t>
    </r>
    <r>
      <rPr>
        <vertAlign val="superscript"/>
        <sz val="10"/>
        <color rgb="FF000000"/>
        <rFont val="Arial"/>
        <family val="2"/>
      </rPr>
      <t xml:space="preserve">8</t>
    </r>
    <r>
      <rPr>
        <sz val="10"/>
        <color rgb="FF000000"/>
        <rFont val="Arial"/>
        <family val="2"/>
      </rPr>
      <t xml:space="preserve">)  [Sécurité sociale, œuvres sociales]</t>
    </r>
  </si>
  <si>
    <r>
      <rPr>
        <sz val="10"/>
        <color rgb="FF000000"/>
        <rFont val="Arial"/>
        <family val="2"/>
      </rPr>
      <t xml:space="preserve">Personnel extérieur facturé à l’entité (</t>
    </r>
    <r>
      <rPr>
        <vertAlign val="superscript"/>
        <sz val="10"/>
        <color rgb="FF000000"/>
        <rFont val="Arial"/>
        <family val="2"/>
      </rPr>
      <t xml:space="preserve">9</t>
    </r>
    <r>
      <rPr>
        <sz val="10"/>
        <color rgb="FF000000"/>
        <rFont val="Arial"/>
        <family val="2"/>
      </rPr>
      <t xml:space="preserve">)</t>
    </r>
  </si>
  <si>
    <t xml:space="preserve">(1)   Y compris l’exercice dont les états financiers sont soumis à l’approbation de l’Assemblée</t>
  </si>
  <si>
    <t xml:space="preserve">(6) Personnel propre</t>
  </si>
  <si>
    <t xml:space="preserve">(2)   Indication, en cas de libération partielle du capital, du montant du capital non appelé</t>
  </si>
  <si>
    <t xml:space="preserve">(7) Total des comptes 661, 662, 663</t>
  </si>
  <si>
    <t xml:space="preserve">(3)   Les éléments de cette rubrique sont ceux figurant au compte de résultat</t>
  </si>
  <si>
    <t xml:space="preserve">(8) Total des comptes 664,668</t>
  </si>
  <si>
    <t xml:space="preserve">(4)   Le résultat, lorsqu’il est  négatif, doit être mis entre parenthèses</t>
  </si>
  <si>
    <t xml:space="preserve">(9) Compte 667</t>
  </si>
  <si>
    <t xml:space="preserve">(5)   L’exercice N correspond au dividende proposé du dernier exercice</t>
  </si>
  <si>
    <r>
      <rPr>
        <b val="true"/>
        <u val="single"/>
        <sz val="11"/>
        <color rgb="FF000000"/>
        <rFont val="Cambria"/>
        <family val="1"/>
      </rPr>
      <t xml:space="preserve">NOTE</t>
    </r>
    <r>
      <rPr>
        <b val="true"/>
        <sz val="11"/>
        <color rgb="FF000000"/>
        <rFont val="Cambria"/>
        <family val="1"/>
      </rPr>
      <t xml:space="preserve"> 32</t>
    </r>
  </si>
  <si>
    <t xml:space="preserve">DESIGNATION DU PRODUIT</t>
  </si>
  <si>
    <t xml:space="preserve">UNITE DE QUANTITE CHOISIE</t>
  </si>
  <si>
    <t xml:space="preserve">PRODUCTION VENDUE DANS LE PAYS</t>
  </si>
  <si>
    <t xml:space="preserve">PRODUCTION VENDUE DANS LES AUTRES PAYS DE L’OHADA </t>
  </si>
  <si>
    <t xml:space="preserve">PRODUCTION VENDUE HORS OHADA</t>
  </si>
  <si>
    <t xml:space="preserve">PRODUCTION           IMMOBILISEE        </t>
  </si>
  <si>
    <t xml:space="preserve">STOCK OUVERTURE DE L’EXERCICE </t>
  </si>
  <si>
    <t xml:space="preserve">STOCK CLOTURE  DE L’EXERCICE</t>
  </si>
  <si>
    <t xml:space="preserve">Quantité</t>
  </si>
  <si>
    <t xml:space="preserve">Valeur</t>
  </si>
  <si>
    <t xml:space="preserve">NON VENTILE</t>
  </si>
  <si>
    <r>
      <rPr>
        <b val="true"/>
        <u val="single"/>
        <sz val="11"/>
        <color rgb="FF000000"/>
        <rFont val="Cambria"/>
        <family val="1"/>
      </rPr>
      <t xml:space="preserve">NOTE </t>
    </r>
    <r>
      <rPr>
        <b val="true"/>
        <sz val="11"/>
        <color rgb="FF000000"/>
        <rFont val="Cambria"/>
        <family val="1"/>
      </rPr>
      <t xml:space="preserve">33</t>
    </r>
  </si>
  <si>
    <r>
      <rPr>
        <b val="true"/>
        <sz val="11"/>
        <color rgb="FF000000"/>
        <rFont val="Cambria"/>
        <family val="1"/>
      </rPr>
      <t xml:space="preserve">                      </t>
    </r>
    <r>
      <rPr>
        <b val="true"/>
        <sz val="11"/>
        <color rgb="FF00ABEA"/>
        <rFont val="Cambria"/>
        <family val="1"/>
      </rPr>
      <t xml:space="preserve">ACHATS DESTINES A LA PRODUCTION</t>
    </r>
  </si>
  <si>
    <t xml:space="preserve">DESIGNATION DES MATIERES ET PRODUITS</t>
  </si>
  <si>
    <t xml:space="preserve">ACHATS EFFECTUES AU COURS DE L’EXERCICE</t>
  </si>
  <si>
    <t xml:space="preserve">PRODUITS DE L’ETAT</t>
  </si>
  <si>
    <t xml:space="preserve">PRODUITS IMPORTES</t>
  </si>
  <si>
    <t xml:space="preserve">VARIATION DES STOCKS</t>
  </si>
  <si>
    <t xml:space="preserve">ACHETES DANS L’ETAT</t>
  </si>
  <si>
    <t xml:space="preserve">ACHETES HORS DE L’ETAT</t>
  </si>
  <si>
    <t xml:space="preserve">(en valeur)</t>
  </si>
  <si>
    <t xml:space="preserve">NON VENTILES</t>
  </si>
  <si>
    <t xml:space="preserve">NOTE 34 : FICHE DE SYNTHESE DES PRINCIPAUX INDICATEURS FINANCIERS </t>
  </si>
  <si>
    <r>
      <rPr>
        <b val="true"/>
        <u val="single"/>
        <sz val="11"/>
        <color rgb="FF003366"/>
        <rFont val="Times New Roman"/>
        <family val="1"/>
      </rPr>
      <t xml:space="preserve">NOTE</t>
    </r>
    <r>
      <rPr>
        <b val="true"/>
        <sz val="11"/>
        <color rgb="FF003366"/>
        <rFont val="Times New Roman"/>
        <family val="1"/>
      </rPr>
      <t xml:space="preserve"> 34</t>
    </r>
  </si>
  <si>
    <t xml:space="preserve">SYNTHESE DES PRINCIPAUX INDICATEURS FINANCIERS</t>
  </si>
  <si>
    <t xml:space="preserve">   ( EN  MILLIERS DE FRANCS)              </t>
  </si>
  <si>
    <t xml:space="preserve">Année   N-1 </t>
  </si>
  <si>
    <r>
      <rPr>
        <b val="true"/>
        <sz val="8"/>
        <color rgb="FF000000"/>
        <rFont val="Arial"/>
        <family val="2"/>
      </rPr>
      <t xml:space="preserve">ANALYSE DE L'ACTIVITE </t>
    </r>
    <r>
      <rPr>
        <b val="true"/>
        <sz val="8"/>
        <color rgb="FFFFFFFF"/>
        <rFont val="Arial"/>
        <family val="2"/>
      </rPr>
      <t xml:space="preserve"> </t>
    </r>
  </si>
  <si>
    <t xml:space="preserve">SOLDES INTERMEDIAIRES DE GESTION </t>
  </si>
  <si>
    <t xml:space="preserve">CHIFFRE D'AFFAIRES </t>
  </si>
  <si>
    <t xml:space="preserve">MARGE COMMERCIALE </t>
  </si>
  <si>
    <t xml:space="preserve">VALEUR AJOUTEE </t>
  </si>
  <si>
    <t xml:space="preserve">EXCEDENT BRUT D'EXPLOITATION (EBE) </t>
  </si>
  <si>
    <t xml:space="preserve">RESULTAT D'EXPLOITATION </t>
  </si>
  <si>
    <t xml:space="preserve">RESULTAT FINANCIER </t>
  </si>
  <si>
    <t xml:space="preserve">RESULTAT DES ACTIVITES ORDINAIRES </t>
  </si>
  <si>
    <t xml:space="preserve">RESULTAT HORS ACTIVITES ORDINAIRES </t>
  </si>
  <si>
    <t xml:space="preserve">RESULTAT NET </t>
  </si>
  <si>
    <t xml:space="preserve">DETERMINATION DE LA CAPACITE D'AUTOFINANCEMENT </t>
  </si>
  <si>
    <r>
      <rPr>
        <b val="true"/>
        <sz val="8"/>
        <color rgb="FF000000"/>
        <rFont val="Arial"/>
        <family val="2"/>
      </rPr>
      <t xml:space="preserve">EBE  </t>
    </r>
    <r>
      <rPr>
        <sz val="8"/>
        <color rgb="FF000000"/>
        <rFont val="Arial"/>
        <family val="2"/>
      </rPr>
      <t xml:space="preserve">  </t>
    </r>
  </si>
  <si>
    <t xml:space="preserve">  + Valeurs comptables des cessions courantes d’immobilisation  (compte 654)    </t>
  </si>
  <si>
    <t xml:space="preserve">  - Produits des cessions courantes d’immobilisation (compte 754)    </t>
  </si>
  <si>
    <t xml:space="preserve">  = CAPACITE D'AUTOFINANCEMENT D'EXPLOITATION </t>
  </si>
  <si>
    <t xml:space="preserve">  + Revenus financiers    </t>
  </si>
  <si>
    <t xml:space="preserve">  + Gains de change    </t>
  </si>
  <si>
    <t xml:space="preserve">  + Transferts de charges financières   </t>
  </si>
  <si>
    <t xml:space="preserve">  + Produits HAO    </t>
  </si>
  <si>
    <t xml:space="preserve">  + Transferts de charges HAO   </t>
  </si>
  <si>
    <r>
      <rPr>
        <sz val="9"/>
        <color rgb="FF000000"/>
        <rFont val="Times New Roman"/>
        <family val="1"/>
      </rPr>
      <t xml:space="preserve">-</t>
    </r>
    <r>
      <rPr>
        <sz val="7"/>
        <color rgb="FF000000"/>
        <rFont val="Times New Roman"/>
        <family val="1"/>
      </rPr>
      <t xml:space="preserve">  </t>
    </r>
    <r>
      <rPr>
        <sz val="8"/>
        <color rgb="FF000000"/>
        <rFont val="Arial"/>
        <family val="2"/>
      </rPr>
      <t xml:space="preserve">Frais financiers     </t>
    </r>
  </si>
  <si>
    <r>
      <rPr>
        <sz val="9"/>
        <color rgb="FF000000"/>
        <rFont val="Times New Roman"/>
        <family val="1"/>
      </rPr>
      <t xml:space="preserve">-</t>
    </r>
    <r>
      <rPr>
        <sz val="7"/>
        <color rgb="FF000000"/>
        <rFont val="Times New Roman"/>
        <family val="1"/>
      </rPr>
      <t xml:space="preserve">  </t>
    </r>
    <r>
      <rPr>
        <sz val="8"/>
        <color rgb="FF000000"/>
        <rFont val="Arial"/>
        <family val="2"/>
      </rPr>
      <t xml:space="preserve">Pertes de change    </t>
    </r>
  </si>
  <si>
    <r>
      <rPr>
        <sz val="9"/>
        <color rgb="FF000000"/>
        <rFont val="Times New Roman"/>
        <family val="1"/>
      </rPr>
      <t xml:space="preserve">-</t>
    </r>
    <r>
      <rPr>
        <sz val="7"/>
        <color rgb="FF000000"/>
        <rFont val="Times New Roman"/>
        <family val="1"/>
      </rPr>
      <t xml:space="preserve">  </t>
    </r>
    <r>
      <rPr>
        <sz val="8"/>
        <color rgb="FF000000"/>
        <rFont val="Arial"/>
        <family val="2"/>
      </rPr>
      <t xml:space="preserve">Participation    </t>
    </r>
  </si>
  <si>
    <r>
      <rPr>
        <sz val="9"/>
        <color rgb="FF000000"/>
        <rFont val="Times New Roman"/>
        <family val="1"/>
      </rPr>
      <t xml:space="preserve">-</t>
    </r>
    <r>
      <rPr>
        <sz val="7"/>
        <color rgb="FF000000"/>
        <rFont val="Times New Roman"/>
        <family val="1"/>
      </rPr>
      <t xml:space="preserve">  </t>
    </r>
    <r>
      <rPr>
        <sz val="8"/>
        <color rgb="FF000000"/>
        <rFont val="Arial"/>
        <family val="2"/>
      </rPr>
      <t xml:space="preserve">Impôts sur les résultats    </t>
    </r>
  </si>
  <si>
    <t xml:space="preserve">  = CAPACITE D'AUTOFINANCEMENT GLOBALE (C.A.F.G.)    </t>
  </si>
  <si>
    <r>
      <rPr>
        <sz val="8"/>
        <color rgb="FF000000"/>
        <rFont val="Arial"/>
        <family val="2"/>
      </rPr>
      <t xml:space="preserve">  - </t>
    </r>
    <r>
      <rPr>
        <b val="true"/>
        <sz val="8"/>
        <color rgb="FF000000"/>
        <rFont val="Arial"/>
        <family val="2"/>
      </rPr>
      <t xml:space="preserve">Distributions de dividendes opérées durant l'exercice </t>
    </r>
    <r>
      <rPr>
        <sz val="8"/>
        <color rgb="FF000000"/>
        <rFont val="Arial"/>
        <family val="2"/>
      </rPr>
      <t xml:space="preserve">    </t>
    </r>
  </si>
  <si>
    <t xml:space="preserve">  = AUTOFINANCEMENT    </t>
  </si>
  <si>
    <r>
      <rPr>
        <b val="true"/>
        <sz val="8"/>
        <color rgb="FF000000"/>
        <rFont val="Arial"/>
        <family val="2"/>
      </rPr>
      <t xml:space="preserve">ANALYSE DE LA RENTABILITE</t>
    </r>
    <r>
      <rPr>
        <b val="true"/>
        <sz val="8"/>
        <color rgb="FFFFFFFF"/>
        <rFont val="Arial"/>
        <family val="2"/>
      </rPr>
      <t xml:space="preserve"> </t>
    </r>
  </si>
  <si>
    <t xml:space="preserve">Rentabilité économique = Résultat d’exploitation (a) /Capitaux propres + dettes financières  </t>
  </si>
  <si>
    <t xml:space="preserve">Rentabilité financière = Résultat net/Capitaux propres    </t>
  </si>
  <si>
    <r>
      <rPr>
        <b val="true"/>
        <sz val="8"/>
        <color rgb="FF000000"/>
        <rFont val="Arial"/>
        <family val="2"/>
      </rPr>
      <t xml:space="preserve">ANALYSE DE LA STRUCTURE FINANCIERE</t>
    </r>
    <r>
      <rPr>
        <b val="true"/>
        <sz val="8"/>
        <color rgb="FFFFFFFF"/>
        <rFont val="Arial"/>
        <family val="2"/>
      </rPr>
      <t xml:space="preserve"> </t>
    </r>
  </si>
  <si>
    <t xml:space="preserve">     Capitaux propres et ressources assimilées </t>
  </si>
  <si>
    <t xml:space="preserve">  + Dettes financières* et autres ressources assimilées (b) </t>
  </si>
  <si>
    <t xml:space="preserve">  = Ressources stables </t>
  </si>
  <si>
    <t xml:space="preserve">  - Actif immobilisé (b) </t>
  </si>
  <si>
    <t xml:space="preserve">  = FONDS DE ROULEMENT (1)    </t>
  </si>
  <si>
    <t xml:space="preserve">    Actif circulant d'exploitation (b) </t>
  </si>
  <si>
    <r>
      <rPr>
        <sz val="9"/>
        <color rgb="FF000000"/>
        <rFont val="Times New Roman"/>
        <family val="1"/>
      </rPr>
      <t xml:space="preserve">-</t>
    </r>
    <r>
      <rPr>
        <sz val="7"/>
        <color rgb="FF000000"/>
        <rFont val="Times New Roman"/>
        <family val="1"/>
      </rPr>
      <t xml:space="preserve">  </t>
    </r>
    <r>
      <rPr>
        <sz val="8"/>
        <color rgb="FF000000"/>
        <rFont val="Arial"/>
        <family val="2"/>
      </rPr>
      <t xml:space="preserve">Passif circulant d'exploitation (b) </t>
    </r>
  </si>
  <si>
    <t xml:space="preserve">  = BESOIN DE FINANCEMENT D'EXPLOITATION (2) </t>
  </si>
  <si>
    <t xml:space="preserve">    Actif circulant HAO (b) </t>
  </si>
  <si>
    <r>
      <rPr>
        <sz val="9"/>
        <color rgb="FF000000"/>
        <rFont val="Times New Roman"/>
        <family val="1"/>
      </rPr>
      <t xml:space="preserve">-</t>
    </r>
    <r>
      <rPr>
        <sz val="7"/>
        <color rgb="FF000000"/>
        <rFont val="Times New Roman"/>
        <family val="1"/>
      </rPr>
      <t xml:space="preserve">  </t>
    </r>
    <r>
      <rPr>
        <sz val="8"/>
        <color rgb="FF000000"/>
        <rFont val="Arial"/>
        <family val="2"/>
      </rPr>
      <t xml:space="preserve">Passif circulant HAO (b) </t>
    </r>
  </si>
  <si>
    <t xml:space="preserve">  = BESOIN DE FINANCEMENT HAO (3) </t>
  </si>
  <si>
    <t xml:space="preserve">BESOIN DE FINANCEMENT GLOBAL (4) = (2) + (3)   </t>
  </si>
  <si>
    <t xml:space="preserve">TRESORERIE NETTE (5) = (1) - (4)    </t>
  </si>
  <si>
    <t xml:space="preserve">CONTRÔLE : TRESORERIE NETTE = (TRESORERIE - ACTIF) - (TRESORERIE - PASSIF) </t>
  </si>
  <si>
    <r>
      <rPr>
        <b val="true"/>
        <sz val="8"/>
        <color rgb="FF000000"/>
        <rFont val="Arial"/>
        <family val="2"/>
      </rPr>
      <t xml:space="preserve">ANALYSE DE LA VARIATION DE LA TRESORERIE</t>
    </r>
    <r>
      <rPr>
        <b val="true"/>
        <sz val="8"/>
        <color rgb="FFFFFFFF"/>
        <rFont val="Arial"/>
        <family val="2"/>
      </rPr>
      <t xml:space="preserve"> </t>
    </r>
  </si>
  <si>
    <t xml:space="preserve">   Flux de trésorerie des activités opérationnelles </t>
  </si>
  <si>
    <t xml:space="preserve">  -Flux de trésorerie des activités d'investissement </t>
  </si>
  <si>
    <t xml:space="preserve">  +Flux de trésorerie des activités de financement </t>
  </si>
  <si>
    <t xml:space="preserve">  = VARIATION DE LA TRESORERIE NETTE DE LA PERIODE   </t>
  </si>
  <si>
    <r>
      <rPr>
        <b val="true"/>
        <sz val="8"/>
        <color rgb="FF000000"/>
        <rFont val="Arial"/>
        <family val="2"/>
      </rPr>
      <t xml:space="preserve">                        ANALYSE DE LA VARIATION DE L’ENDETTEMENT FINANCIER NET</t>
    </r>
    <r>
      <rPr>
        <b val="true"/>
        <sz val="8"/>
        <color rgb="FFFFFFFF"/>
        <rFont val="Arial"/>
        <family val="2"/>
      </rPr>
      <t xml:space="preserve"> </t>
    </r>
  </si>
  <si>
    <t xml:space="preserve">Endettement financiers brut (Dettes financières* + Trésorerie-Passif) </t>
  </si>
  <si>
    <t xml:space="preserve">  - Trésorerie-Actif</t>
  </si>
  <si>
    <t xml:space="preserve">= ENDETTEMENT NET</t>
  </si>
  <si>
    <r>
      <rPr>
        <sz val="9"/>
        <color rgb="FF000000"/>
        <rFont val="Arial"/>
        <family val="2"/>
      </rPr>
      <t xml:space="preserve">(a)</t>
    </r>
    <r>
      <rPr>
        <sz val="7"/>
        <color rgb="FF000000"/>
        <rFont val="Times New Roman"/>
        <family val="1"/>
      </rPr>
      <t xml:space="preserve">   </t>
    </r>
    <r>
      <rPr>
        <sz val="8"/>
        <color rgb="FF000000"/>
        <rFont val="Arial"/>
        <family val="2"/>
      </rPr>
      <t xml:space="preserve">Résultat d’exploitation après impôt théorique sur le bénéfice. </t>
    </r>
  </si>
  <si>
    <r>
      <rPr>
        <sz val="9"/>
        <color rgb="FF000000"/>
        <rFont val="Arial"/>
        <family val="2"/>
      </rPr>
      <t xml:space="preserve">(b)</t>
    </r>
    <r>
      <rPr>
        <sz val="7"/>
        <color rgb="FF000000"/>
        <rFont val="Times New Roman"/>
        <family val="1"/>
      </rPr>
      <t xml:space="preserve">   </t>
    </r>
    <r>
      <rPr>
        <sz val="8"/>
        <color rgb="FF000000"/>
        <rFont val="Arial"/>
        <family val="2"/>
      </rPr>
      <t xml:space="preserve">Les écarts de conversion doivent être éliminés afin de ramener les créances et les dettes concernées  à leur valeur initiale. </t>
    </r>
    <r>
      <rPr>
        <b val="true"/>
        <sz val="8"/>
        <color rgb="FF000000"/>
        <rFont val="Arial"/>
        <family val="2"/>
      </rPr>
      <t xml:space="preserve">  </t>
    </r>
  </si>
  <si>
    <r>
      <rPr>
        <sz val="9"/>
        <color rgb="FF000000"/>
        <rFont val="Calibri"/>
        <family val="2"/>
      </rPr>
      <t xml:space="preserve"> </t>
    </r>
    <r>
      <rPr>
        <b val="true"/>
        <sz val="9"/>
        <color rgb="FF000000"/>
        <rFont val="Calibri"/>
        <family val="2"/>
      </rPr>
      <t xml:space="preserve">Dettes financières*</t>
    </r>
    <r>
      <rPr>
        <sz val="9"/>
        <color rgb="FF000000"/>
        <rFont val="Calibri"/>
        <family val="2"/>
      </rPr>
      <t xml:space="preserve"> = emprunts et dettes financières diverses + dettes de location acquisition.</t>
    </r>
  </si>
  <si>
    <t xml:space="preserve">NOTE 35 : LISTE DES INFORMATIONS SOCIALES, ENVIRONNEMENTALES ET  </t>
  </si>
  <si>
    <r>
      <rPr>
        <sz val="10"/>
        <color rgb="FF000000"/>
        <rFont val="Arial"/>
        <family val="2"/>
      </rPr>
      <t xml:space="preserve">Désignation entité :</t>
    </r>
    <r>
      <rPr>
        <b val="true"/>
        <sz val="10"/>
        <color rgb="FF000000"/>
        <rFont val="Arial"/>
        <family val="2"/>
      </rPr>
      <t xml:space="preserve">                          </t>
    </r>
    <r>
      <rPr>
        <b val="true"/>
        <sz val="9"/>
        <color rgb="FF000000"/>
        <rFont val="Arial"/>
        <family val="2"/>
      </rPr>
      <t xml:space="preserve">   </t>
    </r>
    <r>
      <rPr>
        <sz val="10"/>
        <color rgb="FF000000"/>
        <rFont val="Arial"/>
        <family val="2"/>
      </rPr>
      <t xml:space="preserve">                                                   Exercice clos le     </t>
    </r>
    <r>
      <rPr>
        <b val="true"/>
        <sz val="10"/>
        <color rgb="FF000000"/>
        <rFont val="Arial"/>
        <family val="2"/>
      </rPr>
      <t xml:space="preserve"> </t>
    </r>
    <r>
      <rPr>
        <sz val="10"/>
        <color rgb="FF000000"/>
        <rFont val="Arial"/>
        <family val="2"/>
      </rPr>
      <t xml:space="preserve"> </t>
    </r>
    <r>
      <rPr>
        <b val="true"/>
        <sz val="10"/>
        <color rgb="FF000000"/>
        <rFont val="Arial"/>
        <family val="2"/>
      </rPr>
      <t xml:space="preserve">  </t>
    </r>
    <r>
      <rPr>
        <sz val="10"/>
        <color rgb="FF000000"/>
        <rFont val="Arial"/>
        <family val="2"/>
      </rPr>
      <t xml:space="preserve">                                        </t>
    </r>
  </si>
  <si>
    <t xml:space="preserve">Numéro d’identification :                                                                        Durée (en mois)             </t>
  </si>
  <si>
    <t xml:space="preserve">Note obligatoire pour les entités ayant un effectif de plus de 250 salariés</t>
  </si>
  <si>
    <t xml:space="preserve">Liste des informations sociales, environnementales et sociétales à fournir </t>
  </si>
  <si>
    <t xml:space="preserve">INFORMATIONS SOCIALES </t>
  </si>
  <si>
    <t xml:space="preserve">Emploi : </t>
  </si>
  <si>
    <r>
      <rPr>
        <sz val="9"/>
        <color rgb="FF000000"/>
        <rFont val="Times New Roman"/>
        <family val="1"/>
      </rPr>
      <t xml:space="preserve">•</t>
    </r>
    <r>
      <rPr>
        <sz val="7"/>
        <color rgb="FF000000"/>
        <rFont val="Times New Roman"/>
        <family val="1"/>
      </rPr>
      <t xml:space="preserve">   </t>
    </r>
    <r>
      <rPr>
        <sz val="9"/>
        <color rgb="FF000000"/>
        <rFont val="Arial"/>
        <family val="2"/>
      </rPr>
      <t xml:space="preserve">l'effectif total et la répartition des salariés par sexe, âge et zone géographique ; </t>
    </r>
  </si>
  <si>
    <r>
      <rPr>
        <sz val="9"/>
        <color rgb="FF000000"/>
        <rFont val="Times New Roman"/>
        <family val="1"/>
      </rPr>
      <t xml:space="preserve">•</t>
    </r>
    <r>
      <rPr>
        <sz val="7"/>
        <color rgb="FF000000"/>
        <rFont val="Times New Roman"/>
        <family val="1"/>
      </rPr>
      <t xml:space="preserve">   </t>
    </r>
    <r>
      <rPr>
        <sz val="9"/>
        <color rgb="FF000000"/>
        <rFont val="Arial"/>
        <family val="2"/>
      </rPr>
      <t xml:space="preserve">les embauches et les licenciements ; </t>
    </r>
  </si>
  <si>
    <r>
      <rPr>
        <sz val="9"/>
        <color rgb="FF000000"/>
        <rFont val="Times New Roman"/>
        <family val="1"/>
      </rPr>
      <t xml:space="preserve">•</t>
    </r>
    <r>
      <rPr>
        <sz val="7"/>
        <color rgb="FF000000"/>
        <rFont val="Times New Roman"/>
        <family val="1"/>
      </rPr>
      <t xml:space="preserve">   </t>
    </r>
    <r>
      <rPr>
        <sz val="9"/>
        <color rgb="FF000000"/>
        <rFont val="Arial"/>
        <family val="2"/>
      </rPr>
      <t xml:space="preserve">les rémunérations et leur évolution. </t>
    </r>
  </si>
  <si>
    <t xml:space="preserve">Relations sociales : </t>
  </si>
  <si>
    <r>
      <rPr>
        <sz val="11"/>
        <color rgb="FF000000"/>
        <rFont val="Times New Roman"/>
        <family val="1"/>
      </rPr>
      <t xml:space="preserve">•</t>
    </r>
    <r>
      <rPr>
        <sz val="7"/>
        <color rgb="FF000000"/>
        <rFont val="Times New Roman"/>
        <family val="1"/>
      </rPr>
      <t xml:space="preserve">  </t>
    </r>
    <r>
      <rPr>
        <sz val="9"/>
        <color rgb="FF000000"/>
        <rFont val="Arial"/>
        <family val="2"/>
      </rPr>
      <t xml:space="preserve">l'organisation du dialogue social ; </t>
    </r>
  </si>
  <si>
    <r>
      <rPr>
        <sz val="11"/>
        <color rgb="FF000000"/>
        <rFont val="Times New Roman"/>
        <family val="1"/>
      </rPr>
      <t xml:space="preserve">•</t>
    </r>
    <r>
      <rPr>
        <sz val="7"/>
        <color rgb="FF000000"/>
        <rFont val="Times New Roman"/>
        <family val="1"/>
      </rPr>
      <t xml:space="preserve">  </t>
    </r>
    <r>
      <rPr>
        <sz val="9"/>
        <color rgb="FF000000"/>
        <rFont val="Arial"/>
        <family val="2"/>
      </rPr>
      <t xml:space="preserve">le bilan des accords collectifs. </t>
    </r>
  </si>
  <si>
    <r>
      <rPr>
        <b val="true"/>
        <sz val="9"/>
        <color rgb="FF000000"/>
        <rFont val="Arial"/>
        <family val="2"/>
      </rPr>
      <t xml:space="preserve">Santé et sécurité : </t>
    </r>
    <r>
      <rPr>
        <sz val="9"/>
        <color rgb="FF000000"/>
        <rFont val="Arial"/>
        <family val="2"/>
      </rPr>
      <t xml:space="preserve">• les conditions de santé et de sécurité au travail ; </t>
    </r>
  </si>
  <si>
    <t xml:space="preserve">• le bilan des accords signés avec les organisations syndicales ou les représentants du personnel en matière de santé et de sécurité au travail. </t>
  </si>
  <si>
    <t xml:space="preserve">Formation : </t>
  </si>
  <si>
    <r>
      <rPr>
        <sz val="11"/>
        <color rgb="FF000000"/>
        <rFont val="Times New Roman"/>
        <family val="1"/>
      </rPr>
      <t xml:space="preserve">•</t>
    </r>
    <r>
      <rPr>
        <sz val="7"/>
        <color rgb="FF000000"/>
        <rFont val="Times New Roman"/>
        <family val="1"/>
      </rPr>
      <t xml:space="preserve">  </t>
    </r>
    <r>
      <rPr>
        <sz val="9"/>
        <color rgb="FF000000"/>
        <rFont val="Arial"/>
        <family val="2"/>
      </rPr>
      <t xml:space="preserve">les politiques mises en œuvre en matière de formation ; </t>
    </r>
  </si>
  <si>
    <r>
      <rPr>
        <sz val="11"/>
        <color rgb="FF000000"/>
        <rFont val="Times New Roman"/>
        <family val="1"/>
      </rPr>
      <t xml:space="preserve">•</t>
    </r>
    <r>
      <rPr>
        <sz val="7"/>
        <color rgb="FF000000"/>
        <rFont val="Times New Roman"/>
        <family val="1"/>
      </rPr>
      <t xml:space="preserve">  </t>
    </r>
    <r>
      <rPr>
        <sz val="9"/>
        <color rgb="FF000000"/>
        <rFont val="Arial"/>
        <family val="2"/>
      </rPr>
      <t xml:space="preserve">le nombre total d'heures de formation. </t>
    </r>
  </si>
  <si>
    <r>
      <rPr>
        <b val="true"/>
        <sz val="9"/>
        <color rgb="FF000000"/>
        <rFont val="Arial"/>
        <family val="2"/>
      </rPr>
      <t xml:space="preserve">Égalité de traitement</t>
    </r>
    <r>
      <rPr>
        <sz val="9"/>
        <color rgb="FF000000"/>
        <rFont val="Arial"/>
        <family val="2"/>
      </rPr>
      <t xml:space="preserve"> :</t>
    </r>
    <r>
      <rPr>
        <b val="true"/>
        <sz val="9"/>
        <color rgb="FF000000"/>
        <rFont val="Arial"/>
        <family val="2"/>
      </rPr>
      <t xml:space="preserve"> </t>
    </r>
  </si>
  <si>
    <r>
      <rPr>
        <sz val="11"/>
        <color rgb="FF000000"/>
        <rFont val="Times New Roman"/>
        <family val="1"/>
      </rPr>
      <t xml:space="preserve">•</t>
    </r>
    <r>
      <rPr>
        <sz val="7"/>
        <color rgb="FF000000"/>
        <rFont val="Times New Roman"/>
        <family val="1"/>
      </rPr>
      <t xml:space="preserve">  </t>
    </r>
    <r>
      <rPr>
        <sz val="9"/>
        <color rgb="FF000000"/>
        <rFont val="Arial"/>
        <family val="2"/>
      </rPr>
      <t xml:space="preserve">les mesures prises en faveur de l'égalité entre les femmes et les hommes ; </t>
    </r>
  </si>
  <si>
    <r>
      <rPr>
        <sz val="11"/>
        <color rgb="FF000000"/>
        <rFont val="Times New Roman"/>
        <family val="1"/>
      </rPr>
      <t xml:space="preserve">•</t>
    </r>
    <r>
      <rPr>
        <sz val="7"/>
        <color rgb="FF000000"/>
        <rFont val="Times New Roman"/>
        <family val="1"/>
      </rPr>
      <t xml:space="preserve">  </t>
    </r>
    <r>
      <rPr>
        <sz val="9"/>
        <color rgb="FF000000"/>
        <rFont val="Arial"/>
        <family val="2"/>
      </rPr>
      <t xml:space="preserve">les mesures prises en faveur de l'emploi et de l'insertion des personnes handicapées ; </t>
    </r>
  </si>
  <si>
    <t xml:space="preserve">INFORMATIONS ENVIRONNEMENTALES </t>
  </si>
  <si>
    <t xml:space="preserve">Politique générale en matière environnementale : </t>
  </si>
  <si>
    <r>
      <rPr>
        <sz val="9"/>
        <color rgb="FF000000"/>
        <rFont val="Times New Roman"/>
        <family val="1"/>
      </rPr>
      <t xml:space="preserve">•</t>
    </r>
    <r>
      <rPr>
        <sz val="7"/>
        <color rgb="FF000000"/>
        <rFont val="Times New Roman"/>
        <family val="1"/>
      </rPr>
      <t xml:space="preserve"> </t>
    </r>
    <r>
      <rPr>
        <sz val="9"/>
        <color rgb="FF000000"/>
        <rFont val="Arial"/>
        <family val="2"/>
      </rPr>
      <t xml:space="preserve"> l'organisation de la société pour prendre en compte les questions environnementales et, le cas échéant, les démarches d'évaluation ou de certification en matière d'environnement ; </t>
    </r>
  </si>
  <si>
    <r>
      <rPr>
        <sz val="9"/>
        <color rgb="FF000000"/>
        <rFont val="Times New Roman"/>
        <family val="1"/>
      </rPr>
      <t xml:space="preserve">•</t>
    </r>
    <r>
      <rPr>
        <sz val="7"/>
        <color rgb="FF000000"/>
        <rFont val="Times New Roman"/>
        <family val="1"/>
      </rPr>
      <t xml:space="preserve"> </t>
    </r>
    <r>
      <rPr>
        <sz val="9"/>
        <color rgb="FF000000"/>
        <rFont val="Arial"/>
        <family val="2"/>
      </rPr>
      <t xml:space="preserve"> les actions de formation et d'information des salariés menées en matière de protection de l'environnement ;</t>
    </r>
  </si>
  <si>
    <r>
      <rPr>
        <sz val="9"/>
        <color rgb="FF000000"/>
        <rFont val="Times New Roman"/>
        <family val="1"/>
      </rPr>
      <t xml:space="preserve">•</t>
    </r>
    <r>
      <rPr>
        <sz val="7"/>
        <color rgb="FF000000"/>
        <rFont val="Times New Roman"/>
        <family val="1"/>
      </rPr>
      <t xml:space="preserve"> </t>
    </r>
    <r>
      <rPr>
        <sz val="9"/>
        <color rgb="FF000000"/>
        <rFont val="Arial"/>
        <family val="2"/>
      </rPr>
      <t xml:space="preserve"> les moyens consacrés à la prévention des risques environnementaux et des pollutions. </t>
    </r>
  </si>
  <si>
    <t xml:space="preserve">Pollution et gestion des déchets : </t>
  </si>
  <si>
    <r>
      <rPr>
        <sz val="11"/>
        <color rgb="FF000000"/>
        <rFont val="Times New Roman"/>
        <family val="1"/>
      </rPr>
      <t xml:space="preserve">•</t>
    </r>
    <r>
      <rPr>
        <sz val="7"/>
        <color rgb="FF000000"/>
        <rFont val="Times New Roman"/>
        <family val="1"/>
      </rPr>
      <t xml:space="preserve">     </t>
    </r>
    <r>
      <rPr>
        <sz val="9"/>
        <color rgb="FF000000"/>
        <rFont val="Arial"/>
        <family val="2"/>
      </rPr>
      <t xml:space="preserve">les mesures de prévention, de réduction ou de réparation de rejets dans l'air, l'eau et le sol affectant gravement l'environnement ; </t>
    </r>
  </si>
  <si>
    <r>
      <rPr>
        <sz val="11"/>
        <color rgb="FF000000"/>
        <rFont val="Times New Roman"/>
        <family val="1"/>
      </rPr>
      <t xml:space="preserve">•</t>
    </r>
    <r>
      <rPr>
        <sz val="7"/>
        <color rgb="FF000000"/>
        <rFont val="Times New Roman"/>
        <family val="1"/>
      </rPr>
      <t xml:space="preserve">     </t>
    </r>
    <r>
      <rPr>
        <sz val="9"/>
        <color rgb="FF000000"/>
        <rFont val="Arial"/>
        <family val="2"/>
      </rPr>
      <t xml:space="preserve">les mesures de prévention, de recyclage et d'élimination des déchets ; </t>
    </r>
  </si>
  <si>
    <r>
      <rPr>
        <sz val="11"/>
        <color rgb="FF000000"/>
        <rFont val="Times New Roman"/>
        <family val="1"/>
      </rPr>
      <t xml:space="preserve">•</t>
    </r>
    <r>
      <rPr>
        <sz val="7"/>
        <color rgb="FF000000"/>
        <rFont val="Times New Roman"/>
        <family val="1"/>
      </rPr>
      <t xml:space="preserve">     </t>
    </r>
    <r>
      <rPr>
        <sz val="9"/>
        <color rgb="FF000000"/>
        <rFont val="Arial"/>
        <family val="2"/>
      </rPr>
      <t xml:space="preserve">la prise en compte des nuisances sonores et de toute autre forme de pollution spécifique à une activité. </t>
    </r>
  </si>
  <si>
    <t xml:space="preserve">Utilisation durable des ressources : </t>
  </si>
  <si>
    <r>
      <rPr>
        <sz val="9"/>
        <color rgb="FF000000"/>
        <rFont val="Times New Roman"/>
        <family val="1"/>
      </rPr>
      <t xml:space="preserve">•</t>
    </r>
    <r>
      <rPr>
        <sz val="7"/>
        <color rgb="FF000000"/>
        <rFont val="Times New Roman"/>
        <family val="1"/>
      </rPr>
      <t xml:space="preserve">     </t>
    </r>
    <r>
      <rPr>
        <sz val="9"/>
        <color rgb="FF000000"/>
        <rFont val="Arial"/>
        <family val="2"/>
      </rPr>
      <t xml:space="preserve">la consommation d'eau et l'approvisionnement en eau en fonction des contraintes locales ; </t>
    </r>
  </si>
  <si>
    <r>
      <rPr>
        <sz val="9"/>
        <color rgb="FF000000"/>
        <rFont val="Times New Roman"/>
        <family val="1"/>
      </rPr>
      <t xml:space="preserve">•</t>
    </r>
    <r>
      <rPr>
        <sz val="7"/>
        <color rgb="FF000000"/>
        <rFont val="Times New Roman"/>
        <family val="1"/>
      </rPr>
      <t xml:space="preserve">     </t>
    </r>
    <r>
      <rPr>
        <sz val="9"/>
        <color rgb="FF000000"/>
        <rFont val="Arial"/>
        <family val="2"/>
      </rPr>
      <t xml:space="preserve">la consommation de matières premières et les mesures prises pour améliorer l'efficacité dans leur utilisation ; </t>
    </r>
  </si>
  <si>
    <r>
      <rPr>
        <sz val="9"/>
        <color rgb="FF000000"/>
        <rFont val="Times New Roman"/>
        <family val="1"/>
      </rPr>
      <t xml:space="preserve">•</t>
    </r>
    <r>
      <rPr>
        <sz val="7"/>
        <color rgb="FF000000"/>
        <rFont val="Times New Roman"/>
        <family val="1"/>
      </rPr>
      <t xml:space="preserve">     </t>
    </r>
    <r>
      <rPr>
        <sz val="9"/>
        <color rgb="FF000000"/>
        <rFont val="Arial"/>
        <family val="2"/>
      </rPr>
      <t xml:space="preserve">la consommation d'énergie, les mesures prises pour améliorer l'efficacité énergétique et le recours aux énergies renouvelables. </t>
    </r>
  </si>
  <si>
    <t xml:space="preserve">Changement climatique : </t>
  </si>
  <si>
    <t xml:space="preserve">• les rejets de gaz à effet de serre. </t>
  </si>
  <si>
    <t xml:space="preserve">Protection de la biodiversité : </t>
  </si>
  <si>
    <t xml:space="preserve">• les mesures prises pour préserver ou développer la biodiversité. </t>
  </si>
  <si>
    <t xml:space="preserve">INFORMATIONS RELATIVES AUX ENGAGEMENTS SOCIÉTAUX EN FAVEUR DU </t>
  </si>
  <si>
    <t xml:space="preserve">DÉVELOPPEMENT DURABLE </t>
  </si>
  <si>
    <t xml:space="preserve">Impact territorial, économique et social de l'activité de la société : </t>
  </si>
  <si>
    <r>
      <rPr>
        <sz val="11"/>
        <color rgb="FF000000"/>
        <rFont val="Times New Roman"/>
        <family val="1"/>
      </rPr>
      <t xml:space="preserve">•</t>
    </r>
    <r>
      <rPr>
        <sz val="7"/>
        <color rgb="FF000000"/>
        <rFont val="Times New Roman"/>
        <family val="1"/>
      </rPr>
      <t xml:space="preserve">  </t>
    </r>
    <r>
      <rPr>
        <sz val="9"/>
        <color rgb="FF000000"/>
        <rFont val="Arial"/>
        <family val="2"/>
      </rPr>
      <t xml:space="preserve">en matière d'emploi et de développement régional ; </t>
    </r>
  </si>
  <si>
    <r>
      <rPr>
        <sz val="11"/>
        <color rgb="FF000000"/>
        <rFont val="Times New Roman"/>
        <family val="1"/>
      </rPr>
      <t xml:space="preserve">•</t>
    </r>
    <r>
      <rPr>
        <sz val="7"/>
        <color rgb="FF000000"/>
        <rFont val="Times New Roman"/>
        <family val="1"/>
      </rPr>
      <t xml:space="preserve">  </t>
    </r>
    <r>
      <rPr>
        <sz val="9"/>
        <color rgb="FF000000"/>
        <rFont val="Arial"/>
        <family val="2"/>
      </rPr>
      <t xml:space="preserve">sur les populations riveraines ou locales. </t>
    </r>
  </si>
  <si>
    <t xml:space="preserve">Relations entretenues avec les personnes ou les organisations intéressées par l'activité de la société (associations d'insertion, établissements d'enseignement...) : </t>
  </si>
  <si>
    <r>
      <rPr>
        <sz val="11"/>
        <color rgb="FF000000"/>
        <rFont val="Times New Roman"/>
        <family val="1"/>
      </rPr>
      <t xml:space="preserve">•</t>
    </r>
    <r>
      <rPr>
        <sz val="7"/>
        <color rgb="FF000000"/>
        <rFont val="Times New Roman"/>
        <family val="1"/>
      </rPr>
      <t xml:space="preserve">  </t>
    </r>
    <r>
      <rPr>
        <sz val="9"/>
        <color rgb="FF000000"/>
        <rFont val="Arial"/>
        <family val="2"/>
      </rPr>
      <t xml:space="preserve">les conditions du dialogue avec ces personnes ou organisations ; </t>
    </r>
  </si>
  <si>
    <r>
      <rPr>
        <sz val="11"/>
        <color rgb="FF000000"/>
        <rFont val="Times New Roman"/>
        <family val="1"/>
      </rPr>
      <t xml:space="preserve">•</t>
    </r>
    <r>
      <rPr>
        <sz val="7"/>
        <color rgb="FF000000"/>
        <rFont val="Times New Roman"/>
        <family val="1"/>
      </rPr>
      <t xml:space="preserve">  </t>
    </r>
    <r>
      <rPr>
        <sz val="9"/>
        <color rgb="FF000000"/>
        <rFont val="Arial"/>
        <family val="2"/>
      </rPr>
      <t xml:space="preserve">les actions de partenariat ou de mécénat. </t>
    </r>
  </si>
  <si>
    <t xml:space="preserve">Sous-traitance et fournisseurs : </t>
  </si>
  <si>
    <t xml:space="preserve">• la prise en compte dans la politique d'achat des enjeux sociaux et environnementaux. </t>
  </si>
  <si>
    <r>
      <rPr>
        <b val="true"/>
        <sz val="10"/>
        <color rgb="FF000000"/>
        <rFont val="Arial"/>
        <family val="2"/>
      </rPr>
      <t xml:space="preserve">1-Code  Forme  Juridique (</t>
    </r>
    <r>
      <rPr>
        <b val="true"/>
        <vertAlign val="superscript"/>
        <sz val="10"/>
        <color rgb="FF000000"/>
        <rFont val="Arial"/>
        <family val="2"/>
      </rPr>
      <t xml:space="preserve">1</t>
    </r>
    <r>
      <rPr>
        <b val="true"/>
        <sz val="10"/>
        <color rgb="FF000000"/>
        <rFont val="Arial"/>
        <family val="2"/>
      </rPr>
      <t xml:space="preserve">)</t>
    </r>
  </si>
  <si>
    <t xml:space="preserve">3- Code Pays du Siège Social</t>
  </si>
  <si>
    <t xml:space="preserve">Société  Anonyme (SA) à participation publique</t>
  </si>
  <si>
    <t xml:space="preserve">Pays OHADA (²)</t>
  </si>
  <si>
    <t xml:space="preserve">Société Anonyme (SA)</t>
  </si>
  <si>
    <t xml:space="preserve">Autres pays africains</t>
  </si>
  <si>
    <t xml:space="preserve">Société à Responsabilité Limitée (SARL)</t>
  </si>
  <si>
    <t xml:space="preserve">France</t>
  </si>
  <si>
    <t xml:space="preserve">Société en Commandite Simple (SCS)</t>
  </si>
  <si>
    <t xml:space="preserve">Autres pays de l’Union Européenne</t>
  </si>
  <si>
    <t xml:space="preserve">Société en Nom Collectif (SNC)</t>
  </si>
  <si>
    <t xml:space="preserve">U.S.A</t>
  </si>
  <si>
    <t xml:space="preserve">Société en Participation (SP)</t>
  </si>
  <si>
    <t xml:space="preserve">Canada</t>
  </si>
  <si>
    <t xml:space="preserve">Groupement d’Intérêt Economique (GIE)</t>
  </si>
  <si>
    <t xml:space="preserve">Autres pays américains</t>
  </si>
  <si>
    <t xml:space="preserve">Association</t>
  </si>
  <si>
    <t xml:space="preserve">Pays asiatiques</t>
  </si>
  <si>
    <t xml:space="preserve">Société par Actions Simplifiées (SAS)</t>
  </si>
  <si>
    <t xml:space="preserve">Autres pays</t>
  </si>
  <si>
    <t xml:space="preserve">Autre Forme Juridique (à préciser)</t>
  </si>
  <si>
    <t xml:space="preserve">2- Code  Régime Fiscal</t>
  </si>
  <si>
    <t xml:space="preserve">Réel Normal</t>
  </si>
  <si>
    <t xml:space="preserve">Réel simplifié</t>
  </si>
  <si>
    <t xml:space="preserve">Synthétique</t>
  </si>
  <si>
    <t xml:space="preserve">Forfait</t>
  </si>
  <si>
    <r>
      <rPr>
        <b val="true"/>
        <sz val="10"/>
        <color rgb="FF000000"/>
        <rFont val="Arial"/>
        <family val="2"/>
      </rPr>
      <t xml:space="preserve">(1)</t>
    </r>
    <r>
      <rPr>
        <b val="true"/>
        <sz val="7"/>
        <color rgb="FF000000"/>
        <rFont val="Times New Roman"/>
        <family val="1"/>
      </rPr>
      <t xml:space="preserve">   </t>
    </r>
    <r>
      <rPr>
        <sz val="7"/>
        <color rgb="FF000000"/>
        <rFont val="Times New Roman"/>
        <family val="1"/>
      </rPr>
      <t xml:space="preserve">  </t>
    </r>
    <r>
      <rPr>
        <sz val="10"/>
        <color rgb="FF000000"/>
        <rFont val="Arial"/>
        <family val="2"/>
      </rPr>
      <t xml:space="preserve">Remplacer le premier 0 par 1 si l’entité bénéficie d’un agrément prioritaire</t>
    </r>
  </si>
  <si>
    <r>
      <rPr>
        <b val="true"/>
        <sz val="10"/>
        <color rgb="FF000000"/>
        <rFont val="Arial"/>
        <family val="2"/>
      </rPr>
      <t xml:space="preserve">(2)</t>
    </r>
    <r>
      <rPr>
        <sz val="7"/>
        <color rgb="FF000000"/>
        <rFont val="Times New Roman"/>
        <family val="1"/>
      </rPr>
      <t xml:space="preserve">     </t>
    </r>
    <r>
      <rPr>
        <sz val="10"/>
        <color rgb="FF000000"/>
        <rFont val="Arial"/>
        <family val="2"/>
      </rPr>
      <t xml:space="preserve">Bénin = 01 ; Burkina = 02 ; Côte d’ivoire = 03 ; Guinée Bissau = 04 ; Mali = 05 ; Niger = 06 ; Sénégal = 07 ; Togo = 08 ; Cameroun = 09 ; Congo = 10 ; Gabon = 11 ; République Centrafricaine = 12 ; Tchad = 13 ; Comores = 14 ; Guinée = 15 ; Guinée Equatoriale = 16 ; Congo RDC = 17.</t>
    </r>
  </si>
  <si>
    <t xml:space="preserve">CODES  ACTIVITES ECONOMIQIES</t>
  </si>
  <si>
    <t xml:space="preserve">Agriculture  vivrière</t>
  </si>
  <si>
    <t xml:space="preserve">Industrie du caoutchouc et des plastiques</t>
  </si>
  <si>
    <t xml:space="preserve">001 001 Culture Céréalière</t>
  </si>
  <si>
    <t xml:space="preserve">022 001 Fabrication du caoutchouc naturel</t>
  </si>
  <si>
    <t xml:space="preserve">001 002 Culture de tubercules et plantains</t>
  </si>
  <si>
    <t xml:space="preserve">022 002 industries de caoutchouc</t>
  </si>
  <si>
    <t xml:space="preserve">001 003 Culture de légumes</t>
  </si>
  <si>
    <t xml:space="preserve">022 003 Fabrication de matières plastiques</t>
  </si>
  <si>
    <t xml:space="preserve">001 004 Culture de condiments</t>
  </si>
  <si>
    <t xml:space="preserve">Fabrication d’autres produits minéraux non métallique et de matériaux de construction</t>
  </si>
  <si>
    <t xml:space="preserve">001 005 Culture de fruits</t>
  </si>
  <si>
    <t xml:space="preserve">023 001 Industrie du verre</t>
  </si>
  <si>
    <t xml:space="preserve">001 006 Culture d’autres produits de l’agriculture vivrière</t>
  </si>
  <si>
    <t xml:space="preserve">023 002 Fabrication de produits minéraux pour la construction</t>
  </si>
  <si>
    <t xml:space="preserve">Agriculture Industrielle et d’exportation</t>
  </si>
  <si>
    <t xml:space="preserve">023 003 Fabrication d’autres produits minéraux non métalliques</t>
  </si>
  <si>
    <t xml:space="preserve">002 001 Culture de canne à sucre</t>
  </si>
  <si>
    <t xml:space="preserve">Métallurgie et travail des métaux</t>
  </si>
  <si>
    <t xml:space="preserve">002 002 Culture d’arachide d’huilerie</t>
  </si>
  <si>
    <t xml:space="preserve">024 001 Métallurgie</t>
  </si>
  <si>
    <t xml:space="preserve">002 003 Culture d’arachide de bouche</t>
  </si>
  <si>
    <r>
      <rPr>
        <sz val="6"/>
        <color rgb="FF000000"/>
        <rFont val="Arial"/>
        <family val="2"/>
      </rPr>
      <t xml:space="preserve">024 002 </t>
    </r>
    <r>
      <rPr>
        <b val="true"/>
        <sz val="6"/>
        <color rgb="FF000000"/>
        <rFont val="Arial"/>
        <family val="2"/>
      </rPr>
      <t xml:space="preserve">Travail des métaux</t>
    </r>
  </si>
  <si>
    <t xml:space="preserve">002 004 Culture de tabac</t>
  </si>
  <si>
    <t xml:space="preserve">Fabrication de machines, d’équipement et d’appareils électriques</t>
  </si>
  <si>
    <t xml:space="preserve">002 005 Culture de coton</t>
  </si>
  <si>
    <t xml:space="preserve">025 001 Fabrication de machines, et d’équipement</t>
  </si>
  <si>
    <t xml:space="preserve">002 006 Culture de blé</t>
  </si>
  <si>
    <t xml:space="preserve">£</t>
  </si>
  <si>
    <t xml:space="preserve">002 007 Culture de cacao</t>
  </si>
  <si>
    <t xml:space="preserve">¨LKJHCXWWC</t>
  </si>
  <si>
    <t xml:space="preserve">002 008 Culture de café</t>
  </si>
  <si>
    <t xml:space="preserve">Fabrication d’équipements et appareils audiovisuels et de communication ; fabrication d’instruments médicaux, d’optique et d’horlogerie</t>
  </si>
  <si>
    <t xml:space="preserve">002 009 Culture de banane d’exportation</t>
  </si>
  <si>
    <t xml:space="preserve">026 001 Fabrication d’équipements et appareils audiovisuels et de communication</t>
  </si>
  <si>
    <t xml:space="preserve">002 010 Culture d’ananas d’exportation</t>
  </si>
  <si>
    <t xml:space="preserve">026 002 Fabrication d’instruments médicaux, d’optique et d’horlogerie</t>
  </si>
  <si>
    <t xml:space="preserve">002 011 Autres cultures industrielles</t>
  </si>
  <si>
    <t xml:space="preserve">Fabrication de matériel de transport</t>
  </si>
  <si>
    <t xml:space="preserve">Elevage et Chasse</t>
  </si>
  <si>
    <t xml:space="preserve">027 001 Fabrication de véhicule routier</t>
  </si>
  <si>
    <t xml:space="preserve">003 001 Elevage bovin</t>
  </si>
  <si>
    <t xml:space="preserve">027 002 Fabrication d’autres matériels de transport</t>
  </si>
  <si>
    <t xml:space="preserve">003 002 Elevage ovin, caprin, équin</t>
  </si>
  <si>
    <t xml:space="preserve">Industrie diverses</t>
  </si>
  <si>
    <t xml:space="preserve">003 003 Elevage de volaille</t>
  </si>
  <si>
    <t xml:space="preserve">028 001 Fabrication de meubles</t>
  </si>
  <si>
    <t xml:space="preserve">003 004 Autres élevages</t>
  </si>
  <si>
    <r>
      <rPr>
        <sz val="6"/>
        <color rgb="FF000000"/>
        <rFont val="Arial"/>
        <family val="2"/>
      </rPr>
      <t xml:space="preserve">028 002</t>
    </r>
    <r>
      <rPr>
        <b val="true"/>
        <sz val="6"/>
        <color rgb="FF000000"/>
        <rFont val="Arial"/>
        <family val="2"/>
      </rPr>
      <t xml:space="preserve">  </t>
    </r>
    <r>
      <rPr>
        <sz val="6"/>
        <color rgb="FF000000"/>
        <rFont val="Arial"/>
        <family val="2"/>
      </rPr>
      <t xml:space="preserve">Industrie diverses</t>
    </r>
  </si>
  <si>
    <t xml:space="preserve">003 005 Chasse</t>
  </si>
  <si>
    <t xml:space="preserve">Production et distribution d’eau, d’électricité et de gaz</t>
  </si>
  <si>
    <t xml:space="preserve">Sylviculture, exploitation forestière</t>
  </si>
  <si>
    <r>
      <rPr>
        <sz val="6"/>
        <color rgb="FF000000"/>
        <rFont val="Arial"/>
        <family val="2"/>
      </rPr>
      <t xml:space="preserve">029 001</t>
    </r>
    <r>
      <rPr>
        <b val="true"/>
        <sz val="6"/>
        <color rgb="FF000000"/>
        <rFont val="Arial"/>
        <family val="2"/>
      </rPr>
      <t xml:space="preserve">  </t>
    </r>
    <r>
      <rPr>
        <sz val="6"/>
        <color rgb="FF000000"/>
        <rFont val="Arial"/>
        <family val="2"/>
      </rPr>
      <t xml:space="preserve">Production, transport et distribution d’électricité</t>
    </r>
  </si>
  <si>
    <t xml:space="preserve">004 001 Sylviculture</t>
  </si>
  <si>
    <r>
      <rPr>
        <sz val="6"/>
        <color rgb="FF000000"/>
        <rFont val="Arial"/>
        <family val="2"/>
      </rPr>
      <t xml:space="preserve">029 002</t>
    </r>
    <r>
      <rPr>
        <b val="true"/>
        <sz val="6"/>
        <color rgb="FF000000"/>
        <rFont val="Arial"/>
        <family val="2"/>
      </rPr>
      <t xml:space="preserve">  </t>
    </r>
    <r>
      <rPr>
        <sz val="6"/>
        <color rgb="FF000000"/>
        <rFont val="Arial"/>
        <family val="2"/>
      </rPr>
      <t xml:space="preserve">Captage, épuration et distribution d’eau</t>
    </r>
  </si>
  <si>
    <t xml:space="preserve">004 002 Exploitation forestière</t>
  </si>
  <si>
    <t xml:space="preserve">029 003 Production et distribution de gaz</t>
  </si>
  <si>
    <t xml:space="preserve">Pêche et aquaculture</t>
  </si>
  <si>
    <t xml:space="preserve">Construction</t>
  </si>
  <si>
    <t xml:space="preserve">005 001 Pêche de poisson</t>
  </si>
  <si>
    <t xml:space="preserve">030 001 Préparation de sites et construction d’ouvrages de bâtiments ou de génie civil</t>
  </si>
  <si>
    <t xml:space="preserve">005 002 autres pêches et aquaculture</t>
  </si>
  <si>
    <t xml:space="preserve">030 002 Travaux d’installation et de finition</t>
  </si>
  <si>
    <t xml:space="preserve">Industrie extractives</t>
  </si>
  <si>
    <t xml:space="preserve">Commerce</t>
  </si>
  <si>
    <t xml:space="preserve">006 001 Extraction d’hydrocarbure</t>
  </si>
  <si>
    <t xml:space="preserve">031 001 Commerce de véhicules, d’accessoires et de carburant</t>
  </si>
  <si>
    <t xml:space="preserve">006 002 Extraction d’autres produits</t>
  </si>
  <si>
    <t xml:space="preserve">031 002 Commerce de produits agricoles bruts et d’animaux vivants</t>
  </si>
  <si>
    <t xml:space="preserve">Production de viandes et de poissons</t>
  </si>
  <si>
    <t xml:space="preserve">031 003 Autres commerces</t>
  </si>
  <si>
    <t xml:space="preserve">007 001 Production de viandes et de produits à base de viande</t>
  </si>
  <si>
    <t xml:space="preserve">Réparations</t>
  </si>
  <si>
    <t xml:space="preserve">007 002 Production de poisson et de produits à base de poisson</t>
  </si>
  <si>
    <t xml:space="preserve">032 001 Entretien et réparation des véhicules automobile</t>
  </si>
  <si>
    <t xml:space="preserve">Travail de grains et fabrication de produits amylacés</t>
  </si>
  <si>
    <t xml:space="preserve">032 002 Réparation de biens personnels et domestiques</t>
  </si>
  <si>
    <t xml:space="preserve">008 000 Travail de grains et fabrication de produits amylacés</t>
  </si>
  <si>
    <t xml:space="preserve">Hôtels, restaurant</t>
  </si>
  <si>
    <t xml:space="preserve">Transformation du café et du cacao</t>
  </si>
  <si>
    <t xml:space="preserve">033 001 Hôtels</t>
  </si>
  <si>
    <t xml:space="preserve">009 001 Transformation du café</t>
  </si>
  <si>
    <t xml:space="preserve">033 002 Bars et restaurants</t>
  </si>
  <si>
    <t xml:space="preserve">009 002 Transformation du cacao</t>
  </si>
  <si>
    <t xml:space="preserve">Transport et communication</t>
  </si>
  <si>
    <t xml:space="preserve">Industrie des oléagineux</t>
  </si>
  <si>
    <t xml:space="preserve">034 001 Transport ferroviaire</t>
  </si>
  <si>
    <t xml:space="preserve">010 001 Huiles brutes et tourteaux</t>
  </si>
  <si>
    <t xml:space="preserve">034 002 Transport Transports routière, transport par conduite</t>
  </si>
  <si>
    <t xml:space="preserve">010 002 Autres corps gras</t>
  </si>
  <si>
    <t xml:space="preserve">034 003 Transport par eau </t>
  </si>
  <si>
    <t xml:space="preserve">Boulangerie, Pâtisserie et pâtes alimentaires</t>
  </si>
  <si>
    <t xml:space="preserve">034 004 Transport  aérien</t>
  </si>
  <si>
    <t xml:space="preserve">011 001 Fabrication de pains, de biscuits et de pâtisseries</t>
  </si>
  <si>
    <t xml:space="preserve">034 005 Services annexes et auxiliaire de transport</t>
  </si>
  <si>
    <t xml:space="preserve">011 002 Fabrication de pâtes alimentaires</t>
  </si>
  <si>
    <t xml:space="preserve">Postes, télécommunication </t>
  </si>
  <si>
    <t xml:space="preserve">Industrie laitière</t>
  </si>
  <si>
    <t xml:space="preserve">035 001 Postes</t>
  </si>
  <si>
    <t xml:space="preserve">012 000 Industrie laitière</t>
  </si>
  <si>
    <t xml:space="preserve">035 002 Télécommunication </t>
  </si>
  <si>
    <t xml:space="preserve">Transformation de fruits et légumes et fabrication d’autres produits alimentaires</t>
  </si>
  <si>
    <t xml:space="preserve">Activités financières</t>
  </si>
  <si>
    <t xml:space="preserve">013 001 Fabrication de sucre</t>
  </si>
  <si>
    <t xml:space="preserve">036 001 Services d’intermédiation financière</t>
  </si>
  <si>
    <t xml:space="preserve">013 002 Fabrication de produit à base de fruits et de légumes</t>
  </si>
  <si>
    <t xml:space="preserve">036 002 Assurances (sauf sécurité sociale)</t>
  </si>
  <si>
    <t xml:space="preserve">013 003 Fabrication d’autres produits alimentaires</t>
  </si>
  <si>
    <t xml:space="preserve">036 003 Auxiliaire financiers et d’assurances</t>
  </si>
  <si>
    <t xml:space="preserve">Industrie des boissons</t>
  </si>
  <si>
    <t xml:space="preserve">Activités Immobilières</t>
  </si>
  <si>
    <t xml:space="preserve">014 001 Brasseries et malteries</t>
  </si>
  <si>
    <t xml:space="preserve">037 001 Locations de biens immobiliers</t>
  </si>
  <si>
    <t xml:space="preserve">014 002 Fabrication d’autres boissons alcoolisées</t>
  </si>
  <si>
    <t xml:space="preserve">037 002 Autres services immobiliers</t>
  </si>
  <si>
    <t xml:space="preserve">014 003 Fabrication de boissons non alcoolisées et d’eaux minérales</t>
  </si>
  <si>
    <t xml:space="preserve">Services aux entités</t>
  </si>
  <si>
    <t xml:space="preserve">Industrie de Tabac</t>
  </si>
  <si>
    <t xml:space="preserve">038 001 Locations sans opérateurs</t>
  </si>
  <si>
    <t xml:space="preserve">015 000  Industrie de Tabac</t>
  </si>
  <si>
    <t xml:space="preserve">038 002 Activités informatiques</t>
  </si>
  <si>
    <t xml:space="preserve">Industrie textiles et habillement</t>
  </si>
  <si>
    <t xml:space="preserve">038 003 Services rendus principalement aux entités</t>
  </si>
  <si>
    <t xml:space="preserve">016 001 Industrie textiles</t>
  </si>
  <si>
    <t xml:space="preserve">Administration publiques</t>
  </si>
  <si>
    <t xml:space="preserve">016 002 Industrie de l’habillement</t>
  </si>
  <si>
    <t xml:space="preserve">039 001 Administration générale, économique et sociale</t>
  </si>
  <si>
    <t xml:space="preserve">Industrie de cuir et de la chaussure</t>
  </si>
  <si>
    <t xml:space="preserve">039 002 Services de prérogatives publiques</t>
  </si>
  <si>
    <t xml:space="preserve">017 001 Fabrication de cuir et articles en cuir</t>
  </si>
  <si>
    <t xml:space="preserve">039 003 Sécurité sociale obligatoire</t>
  </si>
  <si>
    <t xml:space="preserve">017 002 Fabrication de chaussures</t>
  </si>
  <si>
    <t xml:space="preserve">Education</t>
  </si>
  <si>
    <t xml:space="preserve">Industrie du bois</t>
  </si>
  <si>
    <t xml:space="preserve">040 000 Education </t>
  </si>
  <si>
    <t xml:space="preserve">018 001 Sciage, rabotage et imprégnation du bois</t>
  </si>
  <si>
    <t xml:space="preserve">Santé et action sociale</t>
  </si>
  <si>
    <t xml:space="preserve">018 002 Fabrication de panneaux en bois</t>
  </si>
  <si>
    <t xml:space="preserve">041 001 Activités pour la santé des hommes</t>
  </si>
  <si>
    <t xml:space="preserve">018 003 Fabrication d’article en bois assemblés</t>
  </si>
  <si>
    <t xml:space="preserve">041 002 Activités vétérinaires</t>
  </si>
  <si>
    <t xml:space="preserve">Industrie du papier et cartons, de l’édition et de l’imprimerie</t>
  </si>
  <si>
    <t xml:space="preserve">041 003 Action sociale</t>
  </si>
  <si>
    <t xml:space="preserve">019 001 Industrie du papier et cartons</t>
  </si>
  <si>
    <t xml:space="preserve">Services collectifs, sociaux et personnels </t>
  </si>
  <si>
    <t xml:space="preserve">019 002 Edition, imprimerie, reproduction</t>
  </si>
  <si>
    <t xml:space="preserve">042 001 Assainissement, voirie et gestion des déchets </t>
  </si>
  <si>
    <t xml:space="preserve">Raffinage du pétrole</t>
  </si>
  <si>
    <t xml:space="preserve">042 002 Activités associatives </t>
  </si>
  <si>
    <t xml:space="preserve">020 000 Raffinage du pétrole</t>
  </si>
  <si>
    <t xml:space="preserve">042 003 Activités récréatives, culturelles et sportives </t>
  </si>
  <si>
    <t xml:space="preserve">Industrie chimique</t>
  </si>
  <si>
    <t xml:space="preserve">042 004 Services personnels</t>
  </si>
  <si>
    <t xml:space="preserve">021 001 Industrie chimique</t>
  </si>
  <si>
    <t xml:space="preserve">042 005 Services domestiques</t>
  </si>
  <si>
    <t xml:space="preserve">021 002 Fabrication de savons, de détergents et de produits d’entretien</t>
  </si>
  <si>
    <t xml:space="preserve">Services d’intermédiation financière indirectement mesuré</t>
  </si>
  <si>
    <t xml:space="preserve">021 003  Fabrication de produit agro-chimiques</t>
  </si>
  <si>
    <t xml:space="preserve">043 000 Services d’intermédiation financière indirectement mesuré </t>
  </si>
  <si>
    <t xml:space="preserve">021 004  Industries pharmaceutiques</t>
  </si>
  <si>
    <t xml:space="preserve">Correction territoriale</t>
  </si>
  <si>
    <t xml:space="preserve">021 005  Fabrication d’autres produits chimiques</t>
  </si>
  <si>
    <t xml:space="preserve">044 000 Correction territoriale </t>
  </si>
</sst>
</file>

<file path=xl/styles.xml><?xml version="1.0" encoding="utf-8"?>
<styleSheet xmlns="http://schemas.openxmlformats.org/spreadsheetml/2006/main">
  <numFmts count="12">
    <numFmt numFmtId="164" formatCode="General"/>
    <numFmt numFmtId="165" formatCode="@"/>
    <numFmt numFmtId="166" formatCode="#,##0"/>
    <numFmt numFmtId="167" formatCode="0"/>
    <numFmt numFmtId="168" formatCode="[$-409]m/d/yyyy"/>
    <numFmt numFmtId="169" formatCode="_-* #,##0.00\ _€_-;\-* #,##0.00\ _€_-;_-* \-??\ _€_-;_-@_-"/>
    <numFmt numFmtId="170" formatCode="0.00"/>
    <numFmt numFmtId="171" formatCode="0%"/>
    <numFmt numFmtId="172" formatCode="_-* #,##0\ _€_-;\-* #,##0\ _€_-;_-* \-??\ _€_-;_-@_-"/>
    <numFmt numFmtId="173" formatCode="[$-409]d\-mmm"/>
    <numFmt numFmtId="174" formatCode="0.00%"/>
    <numFmt numFmtId="175" formatCode="General"/>
  </numFmts>
  <fonts count="158">
    <font>
      <sz val="11"/>
      <color rgb="FF000000"/>
      <name val="Calibri"/>
      <family val="2"/>
    </font>
    <font>
      <sz val="10"/>
      <name val="Arial"/>
      <family val="0"/>
    </font>
    <font>
      <sz val="10"/>
      <name val="Arial"/>
      <family val="0"/>
    </font>
    <font>
      <sz val="10"/>
      <name val="Arial"/>
      <family val="0"/>
    </font>
    <font>
      <sz val="10"/>
      <name val="Arial"/>
      <family val="2"/>
    </font>
    <font>
      <b val="true"/>
      <sz val="11"/>
      <name val="Arial"/>
      <family val="2"/>
    </font>
    <font>
      <sz val="11"/>
      <name val="Arial"/>
      <family val="2"/>
    </font>
    <font>
      <sz val="9"/>
      <name val="Arial"/>
      <family val="2"/>
    </font>
    <font>
      <b val="true"/>
      <sz val="10"/>
      <name val="Arial"/>
      <family val="2"/>
    </font>
    <font>
      <b val="true"/>
      <sz val="7"/>
      <name val="Arial"/>
      <family val="2"/>
    </font>
    <font>
      <b val="true"/>
      <sz val="8"/>
      <name val="Arial"/>
      <family val="2"/>
    </font>
    <font>
      <b val="true"/>
      <sz val="9"/>
      <name val="Arial"/>
      <family val="2"/>
    </font>
    <font>
      <sz val="8"/>
      <name val="Arial"/>
      <family val="2"/>
    </font>
    <font>
      <sz val="10"/>
      <color rgb="FF0000FF"/>
      <name val="Arial"/>
      <family val="2"/>
    </font>
    <font>
      <u val="single"/>
      <sz val="11"/>
      <color rgb="FF00ABEA"/>
      <name val="Calibri"/>
      <family val="2"/>
    </font>
    <font>
      <sz val="6"/>
      <name val="Arial"/>
      <family val="2"/>
    </font>
    <font>
      <b val="true"/>
      <sz val="12"/>
      <color rgb="FF000000"/>
      <name val="Times New Roman"/>
      <family val="0"/>
    </font>
    <font>
      <b val="true"/>
      <sz val="14"/>
      <color rgb="FFFFFFFF"/>
      <name val="Cambria"/>
      <family val="0"/>
    </font>
    <font>
      <vertAlign val="superscript"/>
      <sz val="9"/>
      <name val="Arial"/>
      <family val="2"/>
    </font>
    <font>
      <vertAlign val="superscript"/>
      <sz val="10"/>
      <name val="Arial"/>
      <family val="2"/>
    </font>
    <font>
      <vertAlign val="superscript"/>
      <sz val="8"/>
      <name val="Arial"/>
      <family val="2"/>
    </font>
    <font>
      <sz val="11"/>
      <color rgb="FF000000"/>
      <name val="Arial"/>
      <family val="2"/>
    </font>
    <font>
      <b val="true"/>
      <vertAlign val="superscript"/>
      <sz val="11"/>
      <name val="Arial"/>
      <family val="2"/>
    </font>
    <font>
      <b val="true"/>
      <sz val="11"/>
      <color rgb="FF000000"/>
      <name val="Arial"/>
      <family val="2"/>
    </font>
    <font>
      <b val="true"/>
      <sz val="10"/>
      <color rgb="FF000000"/>
      <name val="Arial"/>
      <family val="2"/>
    </font>
    <font>
      <b val="true"/>
      <sz val="14"/>
      <color rgb="FFFFFFFF"/>
      <name val="Arial"/>
      <family val="2"/>
    </font>
    <font>
      <sz val="10"/>
      <color rgb="FF000000"/>
      <name val="Arial"/>
      <family val="2"/>
    </font>
    <font>
      <sz val="9"/>
      <color rgb="FF000000"/>
      <name val="Arial"/>
      <family val="2"/>
    </font>
    <font>
      <b val="true"/>
      <sz val="9"/>
      <color rgb="FF000000"/>
      <name val="Arial"/>
      <family val="2"/>
    </font>
    <font>
      <b val="true"/>
      <sz val="9"/>
      <color rgb="FFFFFFFF"/>
      <name val="ITC Avant Garde Gothic Demi"/>
      <family val="0"/>
    </font>
    <font>
      <sz val="9"/>
      <color rgb="FF000000"/>
      <name val="Calibri"/>
      <family val="2"/>
    </font>
    <font>
      <b val="true"/>
      <sz val="9"/>
      <color rgb="FFFFFFFF"/>
      <name val="Calibri"/>
      <family val="2"/>
    </font>
    <font>
      <b val="true"/>
      <sz val="9"/>
      <color rgb="FF000000"/>
      <name val="Calibri"/>
      <family val="2"/>
    </font>
    <font>
      <sz val="11"/>
      <color rgb="FF000000"/>
      <name val="Calibri"/>
      <family val="0"/>
    </font>
    <font>
      <b val="true"/>
      <sz val="14"/>
      <color rgb="FFFFFFFF"/>
      <name val="Arial"/>
      <family val="0"/>
    </font>
    <font>
      <b val="true"/>
      <sz val="10"/>
      <color rgb="FF00ABEA"/>
      <name val="Arial"/>
      <family val="2"/>
    </font>
    <font>
      <b val="true"/>
      <sz val="10"/>
      <color rgb="FFFFFFFF"/>
      <name val="Arial"/>
      <family val="2"/>
    </font>
    <font>
      <i val="true"/>
      <sz val="9"/>
      <color rgb="FF000000"/>
      <name val="Arial"/>
      <family val="2"/>
    </font>
    <font>
      <b val="true"/>
      <sz val="9"/>
      <color rgb="FFFFFFFF"/>
      <name val="Arial"/>
      <family val="2"/>
    </font>
    <font>
      <sz val="8"/>
      <color rgb="FF000000"/>
      <name val="Arial"/>
      <family val="2"/>
    </font>
    <font>
      <b val="true"/>
      <sz val="14"/>
      <color rgb="FFFFFFFF"/>
      <name val="Gill Sans MT"/>
      <family val="0"/>
    </font>
    <font>
      <sz val="10"/>
      <color rgb="FFFFFFFF"/>
      <name val="Arial"/>
      <family val="2"/>
    </font>
    <font>
      <b val="true"/>
      <sz val="14"/>
      <color rgb="FFFFFFFF"/>
      <name val="ITC Avant Garde Gothic Demi"/>
      <family val="0"/>
    </font>
    <font>
      <b val="true"/>
      <sz val="9"/>
      <color rgb="FF00ABEA"/>
      <name val="ITC Avant Garde Gothic Demi"/>
      <family val="2"/>
    </font>
    <font>
      <b val="true"/>
      <sz val="8"/>
      <color rgb="FFFFFFFF"/>
      <name val="Arial"/>
      <family val="2"/>
    </font>
    <font>
      <sz val="8"/>
      <color rgb="FFFFFFFF"/>
      <name val="Arial"/>
      <family val="2"/>
    </font>
    <font>
      <b val="true"/>
      <sz val="8"/>
      <color rgb="FF000000"/>
      <name val="Arial"/>
      <family val="2"/>
    </font>
    <font>
      <b val="true"/>
      <sz val="12"/>
      <color rgb="FF33CCCC"/>
      <name val="Arial"/>
      <family val="2"/>
    </font>
    <font>
      <b val="true"/>
      <sz val="10"/>
      <color rgb="FF33CCCC"/>
      <name val="Arial"/>
      <family val="2"/>
    </font>
    <font>
      <b val="true"/>
      <sz val="9"/>
      <color rgb="FF33CCCC"/>
      <name val="Arial"/>
      <family val="2"/>
    </font>
    <font>
      <b val="true"/>
      <vertAlign val="superscript"/>
      <sz val="9"/>
      <color rgb="FFFFFFFF"/>
      <name val="Arial"/>
      <family val="2"/>
    </font>
    <font>
      <sz val="9"/>
      <color rgb="FFFFFFFF"/>
      <name val="Arial"/>
      <family val="2"/>
    </font>
    <font>
      <b val="true"/>
      <sz val="9"/>
      <color rgb="FFDD0806"/>
      <name val="Arial"/>
      <family val="2"/>
    </font>
    <font>
      <vertAlign val="superscript"/>
      <sz val="9"/>
      <color rgb="FF000000"/>
      <name val="Arial"/>
      <family val="2"/>
    </font>
    <font>
      <sz val="9"/>
      <color rgb="FFDD0806"/>
      <name val="Arial"/>
      <family val="2"/>
    </font>
    <font>
      <b val="true"/>
      <vertAlign val="superscript"/>
      <sz val="9"/>
      <color rgb="FF000000"/>
      <name val="Arial"/>
      <family val="2"/>
    </font>
    <font>
      <b val="true"/>
      <vertAlign val="superscript"/>
      <sz val="8"/>
      <color rgb="FF000000"/>
      <name val="Arial"/>
      <family val="2"/>
    </font>
    <font>
      <sz val="8"/>
      <color rgb="FF000000"/>
      <name val="Calibri"/>
      <family val="2"/>
    </font>
    <font>
      <b val="true"/>
      <u val="single"/>
      <sz val="9"/>
      <color rgb="FF000000"/>
      <name val="Arial"/>
      <family val="2"/>
    </font>
    <font>
      <sz val="9"/>
      <color rgb="FF000000"/>
      <name val="Times New Roman"/>
      <family val="1"/>
    </font>
    <font>
      <b val="true"/>
      <sz val="15"/>
      <color rgb="FFFFFFFF"/>
      <name val="Arial"/>
      <family val="0"/>
    </font>
    <font>
      <b val="true"/>
      <sz val="14"/>
      <color rgb="FFFFFFFF"/>
      <name val="Cambria"/>
      <family val="1"/>
    </font>
    <font>
      <b val="true"/>
      <u val="single"/>
      <sz val="11"/>
      <color rgb="FF003366"/>
      <name val="Arial"/>
      <family val="2"/>
    </font>
    <font>
      <b val="true"/>
      <sz val="11"/>
      <color rgb="FF003366"/>
      <name val="Arial"/>
      <family val="2"/>
    </font>
    <font>
      <b val="true"/>
      <sz val="11"/>
      <color rgb="FF33CCCC"/>
      <name val="Arial"/>
      <family val="2"/>
    </font>
    <font>
      <b val="true"/>
      <sz val="11"/>
      <color rgb="FFFFFFFF"/>
      <name val="Arial"/>
      <family val="2"/>
    </font>
    <font>
      <b val="true"/>
      <sz val="9"/>
      <color rgb="FFFFFFFF"/>
      <name val="Cambria"/>
      <family val="1"/>
    </font>
    <font>
      <sz val="10"/>
      <color rgb="FF000000"/>
      <name val="Calibri"/>
      <family val="2"/>
    </font>
    <font>
      <b val="true"/>
      <sz val="9"/>
      <color rgb="FF000000"/>
      <name val="Times New Roman"/>
      <family val="1"/>
    </font>
    <font>
      <b val="true"/>
      <sz val="9"/>
      <color rgb="FF00ABEA"/>
      <name val="Times New Roman"/>
      <family val="1"/>
    </font>
    <font>
      <b val="true"/>
      <u val="single"/>
      <sz val="9"/>
      <color rgb="FF003366"/>
      <name val="Times New Roman"/>
      <family val="1"/>
    </font>
    <font>
      <sz val="7.5"/>
      <color rgb="FF000000"/>
      <name val="Verdana"/>
      <family val="2"/>
    </font>
    <font>
      <i val="true"/>
      <sz val="7.5"/>
      <color rgb="FF000000"/>
      <name val="Verdana"/>
      <family val="2"/>
    </font>
    <font>
      <sz val="7"/>
      <color rgb="FF000000"/>
      <name val="Arial"/>
      <family val="2"/>
    </font>
    <font>
      <b val="true"/>
      <sz val="11"/>
      <color rgb="FFFFFFFF"/>
      <name val="Cambria"/>
      <family val="0"/>
    </font>
    <font>
      <b val="true"/>
      <sz val="11"/>
      <color rgb="FF00ABEA"/>
      <name val="Times New Roman"/>
      <family val="1"/>
    </font>
    <font>
      <sz val="8"/>
      <color rgb="FF000000"/>
      <name val="Verdana"/>
      <family val="2"/>
    </font>
    <font>
      <vertAlign val="superscript"/>
      <sz val="8"/>
      <color rgb="FF000000"/>
      <name val="Verdana"/>
      <family val="2"/>
    </font>
    <font>
      <b val="true"/>
      <sz val="8"/>
      <color rgb="FF000000"/>
      <name val="Verdana"/>
      <family val="2"/>
    </font>
    <font>
      <i val="true"/>
      <sz val="8"/>
      <color rgb="FF000000"/>
      <name val="Verdana"/>
      <family val="2"/>
    </font>
    <font>
      <i val="true"/>
      <sz val="9"/>
      <color rgb="FF000000"/>
      <name val="Times New Roman"/>
      <family val="1"/>
    </font>
    <font>
      <sz val="9"/>
      <color rgb="FF000000"/>
      <name val="Cambria"/>
      <family val="1"/>
    </font>
    <font>
      <b val="true"/>
      <sz val="9"/>
      <color rgb="FF000000"/>
      <name val="Cambria"/>
      <family val="1"/>
    </font>
    <font>
      <b val="true"/>
      <u val="single"/>
      <sz val="11"/>
      <color rgb="FF003366"/>
      <name val="Cambria"/>
      <family val="1"/>
    </font>
    <font>
      <b val="true"/>
      <sz val="11"/>
      <color rgb="FF003366"/>
      <name val="Cambria"/>
      <family val="1"/>
    </font>
    <font>
      <b val="true"/>
      <sz val="11"/>
      <color rgb="FF00ABEA"/>
      <name val="Cambria"/>
      <family val="1"/>
    </font>
    <font>
      <b val="true"/>
      <i val="true"/>
      <sz val="8"/>
      <color rgb="FF000000"/>
      <name val="Verdana"/>
      <family val="2"/>
    </font>
    <font>
      <b val="true"/>
      <sz val="11"/>
      <color rgb="FF000000"/>
      <name val="Times New Roman"/>
      <family val="1"/>
    </font>
    <font>
      <b val="true"/>
      <u val="single"/>
      <sz val="11"/>
      <color rgb="FF003366"/>
      <name val="Times New Roman"/>
      <family val="1"/>
    </font>
    <font>
      <b val="true"/>
      <sz val="11"/>
      <color rgb="FF003366"/>
      <name val="Times New Roman"/>
      <family val="1"/>
    </font>
    <font>
      <b val="true"/>
      <sz val="11"/>
      <color rgb="FF33CCCC"/>
      <name val="Times New Roman"/>
      <family val="1"/>
    </font>
    <font>
      <b val="true"/>
      <sz val="9"/>
      <color rgb="FF33CCCC"/>
      <name val="Times New Roman"/>
      <family val="1"/>
    </font>
    <font>
      <b val="true"/>
      <sz val="12"/>
      <color rgb="FFFFFFFF"/>
      <name val="Arial"/>
      <family val="0"/>
    </font>
    <font>
      <b val="true"/>
      <sz val="12"/>
      <color rgb="FF000000"/>
      <name val="Arial"/>
      <family val="2"/>
    </font>
    <font>
      <b val="true"/>
      <vertAlign val="subscript"/>
      <sz val="9"/>
      <color rgb="FF000000"/>
      <name val="Times New Roman"/>
      <family val="1"/>
    </font>
    <font>
      <b val="true"/>
      <sz val="8"/>
      <color rgb="FFDD0806"/>
      <name val="Arial"/>
      <family val="2"/>
    </font>
    <font>
      <b val="true"/>
      <vertAlign val="superscript"/>
      <sz val="11"/>
      <color rgb="FF33CCCC"/>
      <name val="Times New Roman"/>
      <family val="1"/>
    </font>
    <font>
      <i val="true"/>
      <sz val="9"/>
      <color rgb="FF000000"/>
      <name val="Verdana"/>
      <family val="2"/>
    </font>
    <font>
      <b val="true"/>
      <u val="single"/>
      <sz val="9"/>
      <color rgb="FF003366"/>
      <name val="Arial"/>
      <family val="2"/>
    </font>
    <font>
      <b val="true"/>
      <sz val="9"/>
      <color rgb="FF003366"/>
      <name val="Arial"/>
      <family val="2"/>
    </font>
    <font>
      <b val="true"/>
      <vertAlign val="subscript"/>
      <sz val="9"/>
      <color rgb="FF00ABEA"/>
      <name val="Times New Roman"/>
      <family val="1"/>
    </font>
    <font>
      <sz val="7"/>
      <color rgb="FF000000"/>
      <name val="Verdana"/>
      <family val="2"/>
    </font>
    <font>
      <i val="true"/>
      <sz val="7"/>
      <color rgb="FF000000"/>
      <name val="Verdana"/>
      <family val="2"/>
    </font>
    <font>
      <sz val="7"/>
      <color rgb="FF000000"/>
      <name val="Calibri"/>
      <family val="2"/>
    </font>
    <font>
      <b val="true"/>
      <u val="single"/>
      <sz val="11"/>
      <color rgb="FF000000"/>
      <name val="Cambria"/>
      <family val="1"/>
    </font>
    <font>
      <b val="true"/>
      <sz val="11"/>
      <color rgb="FF000000"/>
      <name val="Cambria"/>
      <family val="1"/>
    </font>
    <font>
      <b val="true"/>
      <sz val="11"/>
      <color rgb="FF00ABEA"/>
      <name val="Arial"/>
      <family val="2"/>
    </font>
    <font>
      <sz val="8"/>
      <color rgb="FF000000"/>
      <name val="Symbol"/>
      <family val="1"/>
    </font>
    <font>
      <sz val="8"/>
      <color rgb="FF000000"/>
      <name val="Times New Roman"/>
      <family val="1"/>
    </font>
    <font>
      <i val="true"/>
      <sz val="8"/>
      <color rgb="FF000000"/>
      <name val="Arial"/>
      <family val="2"/>
    </font>
    <font>
      <b val="true"/>
      <sz val="14"/>
      <color rgb="FF000000"/>
      <name val="Cambria"/>
      <family val="0"/>
    </font>
    <font>
      <b val="true"/>
      <sz val="12"/>
      <color rgb="FF000000"/>
      <name val="Times New Roman"/>
      <family val="1"/>
    </font>
    <font>
      <i val="true"/>
      <sz val="12"/>
      <color rgb="FF000000"/>
      <name val="Times New Roman"/>
      <family val="1"/>
    </font>
    <font>
      <sz val="11"/>
      <color rgb="FFFFFFFF"/>
      <name val="Arial"/>
      <family val="2"/>
    </font>
    <font>
      <sz val="11"/>
      <color rgb="FFDD0806"/>
      <name val="Arial"/>
      <family val="2"/>
    </font>
    <font>
      <vertAlign val="superscript"/>
      <sz val="11"/>
      <color rgb="FF000000"/>
      <name val="Arial"/>
      <family val="2"/>
    </font>
    <font>
      <b val="true"/>
      <sz val="11"/>
      <color rgb="FFDD0806"/>
      <name val="Arial"/>
      <family val="2"/>
    </font>
    <font>
      <vertAlign val="superscript"/>
      <sz val="10"/>
      <color rgb="FF000000"/>
      <name val="Arial"/>
      <family val="2"/>
    </font>
    <font>
      <sz val="10"/>
      <color rgb="FF000000"/>
      <name val="Times New Roman"/>
      <family val="1"/>
    </font>
    <font>
      <i val="true"/>
      <sz val="10"/>
      <color rgb="FF000000"/>
      <name val="Arial"/>
      <family val="2"/>
    </font>
    <font>
      <b val="true"/>
      <sz val="11"/>
      <color rgb="FF000000"/>
      <name val="Times New Roman"/>
      <family val="0"/>
    </font>
    <font>
      <b val="true"/>
      <sz val="12"/>
      <color rgb="FFFFFFFF"/>
      <name val="Cambria"/>
      <family val="0"/>
    </font>
    <font>
      <b val="true"/>
      <u val="single"/>
      <sz val="9"/>
      <color rgb="FF000000"/>
      <name val="Cambria"/>
      <family val="1"/>
    </font>
    <font>
      <b val="true"/>
      <sz val="9"/>
      <color rgb="FFFFFFFF"/>
      <name val="Verdana"/>
      <family val="2"/>
    </font>
    <font>
      <sz val="10"/>
      <color rgb="FF000000"/>
      <name val="Arial Narrow"/>
      <family val="2"/>
    </font>
    <font>
      <b val="true"/>
      <sz val="9"/>
      <color rgb="FF003366"/>
      <name val="Times New Roman"/>
      <family val="1"/>
    </font>
    <font>
      <sz val="9"/>
      <color rgb="FF33CCCC"/>
      <name val="Times New Roman"/>
      <family val="1"/>
    </font>
    <font>
      <b val="true"/>
      <sz val="10"/>
      <color rgb="FF000000"/>
      <name val="Times New Roman"/>
      <family val="1"/>
    </font>
    <font>
      <sz val="11"/>
      <color rgb="FF000000"/>
      <name val="Times New Roman"/>
      <family val="1"/>
    </font>
    <font>
      <sz val="12"/>
      <color rgb="FF000000"/>
      <name val="Arial"/>
      <family val="2"/>
    </font>
    <font>
      <b val="true"/>
      <i val="true"/>
      <sz val="9"/>
      <color rgb="FF000000"/>
      <name val="Arial"/>
      <family val="2"/>
    </font>
    <font>
      <b val="true"/>
      <u val="single"/>
      <sz val="12"/>
      <color rgb="FF003366"/>
      <name val="Times New Roman"/>
      <family val="1"/>
    </font>
    <font>
      <b val="true"/>
      <sz val="12"/>
      <color rgb="FF003366"/>
      <name val="Times New Roman"/>
      <family val="1"/>
    </font>
    <font>
      <b val="true"/>
      <sz val="12"/>
      <color rgb="FF33CCCC"/>
      <name val="Times New Roman"/>
      <family val="1"/>
    </font>
    <font>
      <sz val="9"/>
      <color rgb="FF003366"/>
      <name val="Calibri"/>
      <family val="2"/>
    </font>
    <font>
      <sz val="11"/>
      <color rgb="FF33CCCC"/>
      <name val="Arial"/>
      <family val="2"/>
    </font>
    <font>
      <b val="true"/>
      <u val="single"/>
      <sz val="10"/>
      <color rgb="FF000000"/>
      <name val="Cambria"/>
      <family val="1"/>
    </font>
    <font>
      <b val="true"/>
      <sz val="10"/>
      <color rgb="FF000000"/>
      <name val="Cambria"/>
      <family val="1"/>
    </font>
    <font>
      <b val="true"/>
      <sz val="12"/>
      <color rgb="FF00ABEA"/>
      <name val="Cambria"/>
      <family val="1"/>
    </font>
    <font>
      <b val="true"/>
      <sz val="9"/>
      <name val="Arial Narrow"/>
      <family val="2"/>
    </font>
    <font>
      <sz val="10"/>
      <color rgb="FF000000"/>
      <name val="Cambria"/>
      <family val="1"/>
    </font>
    <font>
      <sz val="10"/>
      <color rgb="FF000000"/>
      <name val="Symbol"/>
      <family val="1"/>
      <charset val="2"/>
    </font>
    <font>
      <sz val="7"/>
      <color rgb="FF000000"/>
      <name val="Times New Roman"/>
      <family val="1"/>
    </font>
    <font>
      <sz val="8"/>
      <color rgb="FF000000"/>
      <name val="Cambria"/>
      <family val="1"/>
    </font>
    <font>
      <b val="true"/>
      <sz val="8"/>
      <color rgb="FF000000"/>
      <name val="Times New Roman"/>
      <family val="1"/>
    </font>
    <font>
      <b val="true"/>
      <vertAlign val="superscript"/>
      <sz val="10"/>
      <color rgb="FFFFFFFF"/>
      <name val="Arial"/>
      <family val="2"/>
    </font>
    <font>
      <b val="true"/>
      <vertAlign val="superscript"/>
      <sz val="10"/>
      <color rgb="FF000000"/>
      <name val="Arial"/>
      <family val="2"/>
    </font>
    <font>
      <i val="true"/>
      <sz val="9"/>
      <color rgb="FFFFFFFF"/>
      <name val="Arial"/>
      <family val="2"/>
    </font>
    <font>
      <b val="true"/>
      <i val="true"/>
      <sz val="9"/>
      <color rgb="FFFFFFFF"/>
      <name val="Arial"/>
      <family val="2"/>
    </font>
    <font>
      <vertAlign val="subscript"/>
      <sz val="17"/>
      <color rgb="FF000000"/>
      <name val="Calibri"/>
      <family val="2"/>
    </font>
    <font>
      <b val="true"/>
      <sz val="12"/>
      <color rgb="FFFFFFFF"/>
      <name val="Cambria"/>
      <family val="1"/>
    </font>
    <font>
      <sz val="9"/>
      <color rgb="FF000000"/>
      <name val="Calibri"/>
      <family val="0"/>
    </font>
    <font>
      <sz val="5"/>
      <color rgb="FF000000"/>
      <name val="Cambria"/>
      <family val="1"/>
    </font>
    <font>
      <b val="true"/>
      <sz val="7"/>
      <color rgb="FF000000"/>
      <name val="Times New Roman"/>
      <family val="1"/>
    </font>
    <font>
      <b val="true"/>
      <sz val="12"/>
      <color rgb="FF000000"/>
      <name val="Cambria"/>
      <family val="1"/>
    </font>
    <font>
      <b val="true"/>
      <sz val="7"/>
      <color rgb="FF000000"/>
      <name val="Arial"/>
      <family val="2"/>
    </font>
    <font>
      <b val="true"/>
      <sz val="6"/>
      <color rgb="FF000000"/>
      <name val="Arial"/>
      <family val="2"/>
    </font>
    <font>
      <sz val="6"/>
      <color rgb="FF000000"/>
      <name val="Arial"/>
      <family val="2"/>
    </font>
  </fonts>
  <fills count="17">
    <fill>
      <patternFill patternType="none"/>
    </fill>
    <fill>
      <patternFill patternType="gray125"/>
    </fill>
    <fill>
      <patternFill patternType="solid">
        <fgColor rgb="FFFCF305"/>
        <bgColor rgb="FFFFFF00"/>
      </patternFill>
    </fill>
    <fill>
      <patternFill patternType="solid">
        <fgColor rgb="FFC0C0C0"/>
        <bgColor rgb="FFA2BD90"/>
      </patternFill>
    </fill>
    <fill>
      <patternFill patternType="solid">
        <fgColor rgb="FFFFFFFF"/>
        <bgColor rgb="FFFFFFCC"/>
      </patternFill>
    </fill>
    <fill>
      <patternFill patternType="solid">
        <fgColor rgb="FF99CCFF"/>
        <bgColor rgb="FFC0C0C0"/>
      </patternFill>
    </fill>
    <fill>
      <patternFill patternType="solid">
        <fgColor rgb="FF00ABEA"/>
        <bgColor rgb="FF33CCCC"/>
      </patternFill>
    </fill>
    <fill>
      <patternFill patternType="solid">
        <fgColor rgb="FF90713A"/>
        <bgColor rgb="FF808080"/>
      </patternFill>
    </fill>
    <fill>
      <patternFill patternType="solid">
        <fgColor rgb="FFA2BD90"/>
        <bgColor rgb="FFC0C0C0"/>
      </patternFill>
    </fill>
    <fill>
      <patternFill patternType="solid">
        <fgColor rgb="FF666699"/>
        <bgColor rgb="FF808080"/>
      </patternFill>
    </fill>
    <fill>
      <patternFill patternType="solid">
        <fgColor rgb="FF003366"/>
        <bgColor rgb="FF333399"/>
      </patternFill>
    </fill>
    <fill>
      <patternFill patternType="solid">
        <fgColor rgb="FF4EE257"/>
        <bgColor rgb="FF33CCCC"/>
      </patternFill>
    </fill>
    <fill>
      <patternFill patternType="solid">
        <fgColor rgb="FF63AAFE"/>
        <bgColor rgb="FF99CCFF"/>
      </patternFill>
    </fill>
    <fill>
      <patternFill patternType="solid">
        <fgColor rgb="FF33CCCC"/>
        <bgColor rgb="FF00ABEA"/>
      </patternFill>
    </fill>
    <fill>
      <patternFill patternType="solid">
        <fgColor rgb="FF969696"/>
        <bgColor rgb="FF808080"/>
      </patternFill>
    </fill>
    <fill>
      <patternFill patternType="solid">
        <fgColor rgb="FF333399"/>
        <bgColor rgb="FF003366"/>
      </patternFill>
    </fill>
    <fill>
      <patternFill patternType="solid">
        <fgColor rgb="FF333333"/>
        <bgColor rgb="FF333300"/>
      </patternFill>
    </fill>
  </fills>
  <borders count="134">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top style="thin"/>
      <bottom style="thin"/>
      <diagonal/>
    </border>
    <border diagonalUp="false" diagonalDown="false">
      <left/>
      <right/>
      <top/>
      <bottom style="dashDotDot"/>
      <diagonal/>
    </border>
    <border diagonalUp="false" diagonalDown="false">
      <left/>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diagonal/>
    </border>
    <border diagonalUp="false" diagonalDown="false">
      <left style="medium"/>
      <right style="thin"/>
      <top/>
      <bottom style="thin"/>
      <diagonal/>
    </border>
    <border diagonalUp="false" diagonalDown="false">
      <left/>
      <right style="thin"/>
      <top/>
      <bottom style="thin"/>
      <diagonal/>
    </border>
    <border diagonalUp="false" diagonalDown="false">
      <left style="thin"/>
      <right style="medium"/>
      <top/>
      <bottom style="thin"/>
      <diagonal/>
    </border>
    <border diagonalUp="false" diagonalDown="false">
      <left/>
      <right/>
      <top style="thin"/>
      <bottom/>
      <diagonal/>
    </border>
    <border diagonalUp="false" diagonalDown="false">
      <left/>
      <right style="medium"/>
      <top style="thin"/>
      <bottom/>
      <diagonal/>
    </border>
    <border diagonalUp="false" diagonalDown="false">
      <left/>
      <right/>
      <top/>
      <bottom style="thin"/>
      <diagonal/>
    </border>
    <border diagonalUp="false" diagonalDown="false">
      <left style="thin"/>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top style="thin"/>
      <bottom/>
      <diagonal/>
    </border>
    <border diagonalUp="false" diagonalDown="false">
      <left/>
      <right style="thin"/>
      <top style="thin"/>
      <bottom/>
      <diagonal/>
    </border>
    <border diagonalUp="false" diagonalDown="false">
      <left style="medium"/>
      <right style="medium"/>
      <top style="medium"/>
      <bottom style="medium"/>
      <diagonal/>
    </border>
    <border diagonalUp="false" diagonalDown="false">
      <left style="medium"/>
      <right style="medium"/>
      <top style="medium"/>
      <bottom style="thin"/>
      <diagonal/>
    </border>
    <border diagonalUp="false" diagonalDown="false">
      <left style="medium"/>
      <right style="medium"/>
      <top style="medium"/>
      <bottom/>
      <diagonal/>
    </border>
    <border diagonalUp="false" diagonalDown="false">
      <left style="medium"/>
      <right style="medium"/>
      <top/>
      <bottom style="thin"/>
      <diagonal/>
    </border>
    <border diagonalUp="false" diagonalDown="false">
      <left style="medium"/>
      <right style="medium"/>
      <top style="thin"/>
      <bottom style="thin"/>
      <diagonal/>
    </border>
    <border diagonalUp="false" diagonalDown="false">
      <left/>
      <right style="medium"/>
      <top style="thin"/>
      <bottom style="thin"/>
      <diagonal/>
    </border>
    <border diagonalUp="false" diagonalDown="false">
      <left style="medium"/>
      <right style="medium"/>
      <top style="thin"/>
      <bottom/>
      <diagonal/>
    </border>
    <border diagonalUp="false" diagonalDown="false">
      <left style="medium"/>
      <right style="medium"/>
      <top style="thin"/>
      <bottom style="medium"/>
      <diagonal/>
    </border>
    <border diagonalUp="false" diagonalDown="false">
      <left/>
      <right style="medium"/>
      <top style="thin"/>
      <bottom style="medium"/>
      <diagonal/>
    </border>
    <border diagonalUp="false" diagonalDown="false">
      <left style="medium"/>
      <right/>
      <top style="thin"/>
      <bottom style="thin"/>
      <diagonal/>
    </border>
    <border diagonalUp="false" diagonalDown="false">
      <left/>
      <right/>
      <top style="thin"/>
      <bottom style="thin"/>
      <diagonal/>
    </border>
    <border diagonalUp="false" diagonalDown="false">
      <left style="medium"/>
      <right/>
      <top style="medium"/>
      <bottom style="mediu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top/>
      <bottom style="thin"/>
      <diagonal/>
    </border>
    <border diagonalUp="false" diagonalDown="false">
      <left style="thin"/>
      <right style="medium"/>
      <top style="thin"/>
      <bottom style="thin"/>
      <diagonal/>
    </border>
    <border diagonalUp="false" diagonalDown="false">
      <left style="thin"/>
      <right style="medium"/>
      <top style="thin"/>
      <bottom/>
      <diagonal/>
    </border>
    <border diagonalUp="false" diagonalDown="false">
      <left/>
      <right/>
      <top style="medium"/>
      <bottom style="mediu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double"/>
      <right style="double"/>
      <top style="medium"/>
      <bottom style="medium"/>
      <diagonal/>
    </border>
    <border diagonalUp="false" diagonalDown="false">
      <left style="double"/>
      <right style="double"/>
      <top style="medium"/>
      <bottom/>
      <diagonal/>
    </border>
    <border diagonalUp="false" diagonalDown="false">
      <left style="double"/>
      <right style="medium"/>
      <top style="medium"/>
      <bottom/>
      <diagonal/>
    </border>
    <border diagonalUp="false" diagonalDown="false">
      <left style="double"/>
      <right style="double"/>
      <top/>
      <bottom/>
      <diagonal/>
    </border>
    <border diagonalUp="false" diagonalDown="false">
      <left style="double"/>
      <right/>
      <top style="thin"/>
      <bottom/>
      <diagonal/>
    </border>
    <border diagonalUp="false" diagonalDown="false">
      <left/>
      <right style="double"/>
      <top style="thin"/>
      <bottom/>
      <diagonal/>
    </border>
    <border diagonalUp="false" diagonalDown="false">
      <left style="thin"/>
      <right style="double"/>
      <top style="thin"/>
      <bottom/>
      <diagonal/>
    </border>
    <border diagonalUp="false" diagonalDown="false">
      <left style="double"/>
      <right style="medium"/>
      <top style="thin"/>
      <bottom/>
      <diagonal/>
    </border>
    <border diagonalUp="false" diagonalDown="false">
      <left style="double"/>
      <right/>
      <top/>
      <bottom/>
      <diagonal/>
    </border>
    <border diagonalUp="false" diagonalDown="false">
      <left/>
      <right style="double"/>
      <top/>
      <bottom/>
      <diagonal/>
    </border>
    <border diagonalUp="false" diagonalDown="false">
      <left style="thin"/>
      <right style="double"/>
      <top/>
      <bottom/>
      <diagonal/>
    </border>
    <border diagonalUp="false" diagonalDown="false">
      <left style="double"/>
      <right style="medium"/>
      <top/>
      <bottom/>
      <diagonal/>
    </border>
    <border diagonalUp="false" diagonalDown="false">
      <left style="double"/>
      <right style="double"/>
      <top/>
      <bottom style="medium"/>
      <diagonal/>
    </border>
    <border diagonalUp="false" diagonalDown="false">
      <left style="double"/>
      <right/>
      <top/>
      <bottom style="medium"/>
      <diagonal/>
    </border>
    <border diagonalUp="false" diagonalDown="false">
      <left style="thin"/>
      <right style="thin"/>
      <top/>
      <bottom style="medium"/>
      <diagonal/>
    </border>
    <border diagonalUp="false" diagonalDown="false">
      <left/>
      <right style="double"/>
      <top/>
      <bottom style="medium"/>
      <diagonal/>
    </border>
    <border diagonalUp="false" diagonalDown="false">
      <left style="thin"/>
      <right style="double"/>
      <top/>
      <bottom style="medium"/>
      <diagonal/>
    </border>
    <border diagonalUp="false" diagonalDown="false">
      <left style="double"/>
      <right style="medium"/>
      <top/>
      <bottom style="medium"/>
      <diagonal/>
    </border>
    <border diagonalUp="false" diagonalDown="false">
      <left style="double"/>
      <right style="double"/>
      <top/>
      <bottom style="thin"/>
      <diagonal/>
    </border>
    <border diagonalUp="false" diagonalDown="false">
      <left style="double"/>
      <right style="thin"/>
      <top/>
      <bottom style="thin"/>
      <diagonal/>
    </border>
    <border diagonalUp="false" diagonalDown="false">
      <left style="thin"/>
      <right style="double"/>
      <top/>
      <bottom style="thin"/>
      <diagonal/>
    </border>
    <border diagonalUp="false" diagonalDown="false">
      <left style="double"/>
      <right style="medium"/>
      <top/>
      <bottom style="thin"/>
      <diagonal/>
    </border>
    <border diagonalUp="false" diagonalDown="false">
      <left style="double"/>
      <right style="double"/>
      <top style="thin"/>
      <bottom style="thin"/>
      <diagonal/>
    </border>
    <border diagonalUp="false" diagonalDown="false">
      <left style="double"/>
      <right style="thin"/>
      <top style="thin"/>
      <bottom style="thin"/>
      <diagonal/>
    </border>
    <border diagonalUp="false" diagonalDown="false">
      <left style="thin"/>
      <right style="double"/>
      <top style="thin"/>
      <bottom style="thin"/>
      <diagonal/>
    </border>
    <border diagonalUp="false" diagonalDown="false">
      <left style="double"/>
      <right style="medium"/>
      <top style="thin"/>
      <bottom style="thin"/>
      <diagonal/>
    </border>
    <border diagonalUp="false" diagonalDown="false">
      <left style="double"/>
      <right style="double"/>
      <top style="thin"/>
      <bottom/>
      <diagonal/>
    </border>
    <border diagonalUp="false" diagonalDown="false">
      <left style="double"/>
      <right style="thin"/>
      <top style="thin"/>
      <bottom/>
      <diagonal/>
    </border>
    <border diagonalUp="false" diagonalDown="false">
      <left style="double"/>
      <right style="thin"/>
      <top style="medium"/>
      <bottom style="medium"/>
      <diagonal/>
    </border>
    <border diagonalUp="false" diagonalDown="false">
      <left style="thin"/>
      <right style="double"/>
      <top style="medium"/>
      <bottom style="medium"/>
      <diagonal/>
    </border>
    <border diagonalUp="false" diagonalDown="false">
      <left style="double"/>
      <right style="medium"/>
      <top style="medium"/>
      <bottom style="medium"/>
      <diagonal/>
    </border>
    <border diagonalUp="false" diagonalDown="false">
      <left style="medium"/>
      <right/>
      <top style="thin"/>
      <bottom style="medium"/>
      <diagonal/>
    </border>
    <border diagonalUp="false" diagonalDown="false">
      <left style="double"/>
      <right style="double"/>
      <top style="thin"/>
      <bottom style="medium"/>
      <diagonal/>
    </border>
    <border diagonalUp="false" diagonalDown="false">
      <left style="double"/>
      <right style="thin"/>
      <top style="thin"/>
      <bottom style="medium"/>
      <diagonal/>
    </border>
    <border diagonalUp="false" diagonalDown="false">
      <left style="thin"/>
      <right style="thin"/>
      <top style="thin"/>
      <bottom style="medium"/>
      <diagonal/>
    </border>
    <border diagonalUp="false" diagonalDown="false">
      <left style="thin"/>
      <right style="double"/>
      <top style="thin"/>
      <bottom style="medium"/>
      <diagonal/>
    </border>
    <border diagonalUp="false" diagonalDown="false">
      <left style="double"/>
      <right style="medium"/>
      <top style="thin"/>
      <bottom style="medium"/>
      <diagonal/>
    </border>
    <border diagonalUp="false" diagonalDown="false">
      <left style="medium"/>
      <right style="thin"/>
      <top style="medium"/>
      <bottom style="medium"/>
      <diagonal/>
    </border>
    <border diagonalUp="false" diagonalDown="false">
      <left style="thin"/>
      <right style="thin"/>
      <top style="medium"/>
      <bottom/>
      <diagonal/>
    </border>
    <border diagonalUp="false" diagonalDown="false">
      <left style="medium"/>
      <right style="thin"/>
      <top style="thin"/>
      <bottom/>
      <diagonal/>
    </border>
    <border diagonalUp="false" diagonalDown="false">
      <left/>
      <right style="medium"/>
      <top style="medium"/>
      <bottom style="medium"/>
      <diagonal/>
    </border>
    <border diagonalUp="false" diagonalDown="false">
      <left/>
      <right/>
      <top style="thin"/>
      <bottom style="medium"/>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top style="medium"/>
      <bottom style="thin"/>
      <diagonal/>
    </border>
    <border diagonalUp="false" diagonalDown="false">
      <left style="thin"/>
      <right/>
      <top style="medium"/>
      <bottom style="medium"/>
      <diagonal/>
    </border>
    <border diagonalUp="false" diagonalDown="false">
      <left style="thin"/>
      <right style="medium"/>
      <top style="medium"/>
      <bottom/>
      <diagonal/>
    </border>
    <border diagonalUp="false" diagonalDown="false">
      <left style="thin"/>
      <right style="medium"/>
      <top/>
      <bottom style="medium"/>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right style="thin"/>
      <top/>
      <bottom/>
      <diagonal/>
    </border>
    <border diagonalUp="false" diagonalDown="false">
      <left style="thin"/>
      <right style="medium"/>
      <top/>
      <bottom/>
      <diagonal/>
    </border>
    <border diagonalUp="false" diagonalDown="false">
      <left style="medium"/>
      <right style="thin"/>
      <top style="medium"/>
      <bottom/>
      <diagonal/>
    </border>
    <border diagonalUp="false" diagonalDown="false">
      <left style="medium"/>
      <right style="thin"/>
      <top/>
      <bottom style="medium"/>
      <diagonal/>
    </border>
    <border diagonalUp="true" diagonalDown="false">
      <left style="thin"/>
      <right style="thin"/>
      <top style="thin"/>
      <bottom style="thin"/>
      <diagonal style="thin"/>
    </border>
    <border diagonalUp="true" diagonalDown="false">
      <left style="thin"/>
      <right style="medium"/>
      <top style="thin"/>
      <bottom style="thin"/>
      <diagonal style="thin"/>
    </border>
    <border diagonalUp="true" diagonalDown="false">
      <left style="thin"/>
      <right style="thin"/>
      <top style="thin"/>
      <bottom/>
      <diagonal style="thin"/>
    </border>
    <border diagonalUp="true" diagonalDown="false">
      <left style="thin"/>
      <right style="medium"/>
      <top style="thin"/>
      <bottom/>
      <diagonal style="thin"/>
    </border>
    <border diagonalUp="true" diagonalDown="false">
      <left style="thin"/>
      <right style="thin"/>
      <top style="medium"/>
      <bottom style="medium"/>
      <diagonal style="thin"/>
    </border>
    <border diagonalUp="true" diagonalDown="false">
      <left style="thin"/>
      <right style="medium"/>
      <top style="medium"/>
      <bottom style="medium"/>
      <diagonal style="thin"/>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right style="medium"/>
      <top/>
      <bottom style="medium">
        <color rgb="FFC0C0C0"/>
      </bottom>
      <diagonal/>
    </border>
    <border diagonalUp="false" diagonalDown="true">
      <left style="medium"/>
      <right style="thin"/>
      <top/>
      <bottom/>
      <diagonal style="medium"/>
    </border>
    <border diagonalUp="false" diagonalDown="true">
      <left style="medium"/>
      <right style="medium"/>
      <top style="medium"/>
      <bottom style="medium"/>
      <diagonal style="thin"/>
    </border>
    <border diagonalUp="false" diagonalDown="true">
      <left style="medium"/>
      <right style="thin"/>
      <top style="medium"/>
      <bottom style="medium"/>
      <diagonal style="thin"/>
    </border>
    <border diagonalUp="false" diagonalDown="false">
      <left style="thin"/>
      <right/>
      <top style="thin"/>
      <bottom style="medium"/>
      <diagonal/>
    </border>
    <border diagonalUp="false" diagonalDown="false">
      <left/>
      <right style="thin"/>
      <top style="thin"/>
      <bottom style="medium"/>
      <diagonal/>
    </border>
    <border diagonalUp="false" diagonalDown="false">
      <left style="thin"/>
      <right/>
      <top style="medium"/>
      <bottom style="thin"/>
      <diagonal/>
    </border>
    <border diagonalUp="false" diagonalDown="false">
      <left/>
      <right style="thin"/>
      <top style="medium"/>
      <bottom style="thin"/>
      <diagonal/>
    </border>
    <border diagonalUp="false" diagonalDown="false">
      <left style="medium"/>
      <right style="medium"/>
      <top/>
      <bottom style="medium">
        <color rgb="FF333399"/>
      </bottom>
      <diagonal/>
    </border>
    <border diagonalUp="false" diagonalDown="false">
      <left style="medium"/>
      <right style="medium"/>
      <top style="medium">
        <color rgb="FF333399"/>
      </top>
      <bottom/>
      <diagonal/>
    </border>
    <border diagonalUp="false" diagonalDown="false">
      <left style="medium"/>
      <right style="medium"/>
      <top style="medium">
        <color rgb="FF333399"/>
      </top>
      <bottom style="medium"/>
      <diagonal/>
    </border>
    <border diagonalUp="false" diagonalDown="false">
      <left style="medium"/>
      <right/>
      <top style="medium"/>
      <bottom style="dashed"/>
      <diagonal/>
    </border>
    <border diagonalUp="false" diagonalDown="false">
      <left/>
      <right/>
      <top style="medium"/>
      <bottom style="dashed"/>
      <diagonal/>
    </border>
    <border diagonalUp="false" diagonalDown="false">
      <left/>
      <right style="medium"/>
      <top style="medium"/>
      <bottom style="dashed"/>
      <diagonal/>
    </border>
    <border diagonalUp="false" diagonalDown="false">
      <left style="medium"/>
      <right/>
      <top style="dashed"/>
      <bottom style="dashed"/>
      <diagonal/>
    </border>
    <border diagonalUp="false" diagonalDown="false">
      <left/>
      <right/>
      <top style="dashed"/>
      <bottom style="dashed"/>
      <diagonal/>
    </border>
    <border diagonalUp="false" diagonalDown="false">
      <left/>
      <right style="medium"/>
      <top style="dashed"/>
      <bottom style="dashed"/>
      <diagonal/>
    </border>
    <border diagonalUp="false" diagonalDown="false">
      <left style="medium"/>
      <right/>
      <top style="dashed"/>
      <bottom style="medium"/>
      <diagonal/>
    </border>
    <border diagonalUp="false" diagonalDown="false">
      <left/>
      <right/>
      <top style="dashed"/>
      <bottom style="medium"/>
      <diagonal/>
    </border>
    <border diagonalUp="false" diagonalDown="false">
      <left/>
      <right style="medium"/>
      <top style="dashed"/>
      <bottom style="mediu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9"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1" fontId="0" fillId="0" borderId="0" applyFont="true" applyBorder="false" applyAlignment="false" applyProtection="false"/>
    <xf numFmtId="164" fontId="14"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35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4" applyFont="true" applyBorder="false" applyAlignment="false" applyProtection="true">
      <alignment horizontal="general" vertical="bottom" textRotation="0" wrapText="false" indent="0" shrinkToFit="false"/>
      <protection locked="true" hidden="true"/>
    </xf>
    <xf numFmtId="164" fontId="6" fillId="0" borderId="0" xfId="24" applyFont="true" applyBorder="false" applyAlignment="false" applyProtection="true">
      <alignment horizontal="general" vertical="bottom" textRotation="0" wrapText="false" indent="0" shrinkToFit="false"/>
      <protection locked="true" hidden="true"/>
    </xf>
    <xf numFmtId="164" fontId="7" fillId="0" borderId="1" xfId="24" applyFont="true" applyBorder="true" applyAlignment="true" applyProtection="true">
      <alignment horizontal="left" vertical="bottom" textRotation="0" wrapText="false" indent="0" shrinkToFit="false"/>
      <protection locked="true" hidden="true"/>
    </xf>
    <xf numFmtId="164" fontId="7" fillId="0" borderId="2" xfId="24" applyFont="true" applyBorder="true" applyAlignment="true" applyProtection="true">
      <alignment horizontal="left" vertical="bottom" textRotation="0" wrapText="false" indent="0" shrinkToFit="false"/>
      <protection locked="true" hidden="true"/>
    </xf>
    <xf numFmtId="164" fontId="6" fillId="0" borderId="2" xfId="24" applyFont="true" applyBorder="true" applyAlignment="false" applyProtection="true">
      <alignment horizontal="general" vertical="bottom" textRotation="0" wrapText="false" indent="0" shrinkToFit="false"/>
      <protection locked="true" hidden="true"/>
    </xf>
    <xf numFmtId="165" fontId="6" fillId="0" borderId="3" xfId="24" applyFont="true" applyBorder="true" applyAlignment="false" applyProtection="true">
      <alignment horizontal="general" vertical="bottom" textRotation="0" wrapText="false" indent="0" shrinkToFit="false"/>
      <protection locked="true" hidden="true"/>
    </xf>
    <xf numFmtId="166" fontId="8" fillId="0" borderId="4" xfId="24" applyFont="true" applyBorder="true" applyAlignment="true" applyProtection="true">
      <alignment horizontal="left" vertical="bottom" textRotation="0" wrapText="false" indent="0" shrinkToFit="false"/>
      <protection locked="true" hidden="true"/>
    </xf>
    <xf numFmtId="164" fontId="7" fillId="0" borderId="0" xfId="24" applyFont="true" applyBorder="true" applyAlignment="true" applyProtection="true">
      <alignment horizontal="center" vertical="bottom" textRotation="0" wrapText="false" indent="0" shrinkToFit="false"/>
      <protection locked="true" hidden="true"/>
    </xf>
    <xf numFmtId="166" fontId="8" fillId="0" borderId="0" xfId="0" applyFont="true" applyBorder="false" applyAlignment="false" applyProtection="true">
      <alignment horizontal="general" vertical="bottom" textRotation="0" wrapText="false" indent="0" shrinkToFit="false"/>
      <protection locked="true" hidden="true"/>
    </xf>
    <xf numFmtId="165" fontId="8" fillId="0" borderId="5" xfId="0" applyFont="true" applyBorder="true" applyAlignment="true" applyProtection="true">
      <alignment horizontal="left" vertical="bottom" textRotation="0" wrapText="false" indent="0" shrinkToFit="false"/>
      <protection locked="true" hidden="true"/>
    </xf>
    <xf numFmtId="164" fontId="7" fillId="0" borderId="4" xfId="24" applyFont="true" applyBorder="true" applyAlignment="true" applyProtection="true">
      <alignment horizontal="left" vertical="bottom" textRotation="0" wrapText="false" indent="0" shrinkToFit="false"/>
      <protection locked="true" hidden="true"/>
    </xf>
    <xf numFmtId="165" fontId="7" fillId="2" borderId="0" xfId="24" applyFont="true" applyBorder="true" applyAlignment="true" applyProtection="true">
      <alignment horizontal="left" vertical="bottom" textRotation="0" wrapText="false" indent="0" shrinkToFit="false"/>
      <protection locked="true" hidden="true"/>
    </xf>
    <xf numFmtId="164" fontId="8" fillId="0" borderId="0" xfId="0" applyFont="true" applyBorder="false" applyAlignment="true" applyProtection="true">
      <alignment horizontal="left" vertical="bottom" textRotation="0" wrapText="false" indent="0" shrinkToFit="false"/>
      <protection locked="true" hidden="true"/>
    </xf>
    <xf numFmtId="164" fontId="8" fillId="0" borderId="5" xfId="0" applyFont="true" applyBorder="true" applyAlignment="true" applyProtection="true">
      <alignment horizontal="left" vertical="bottom" textRotation="0" wrapText="false" indent="0" shrinkToFit="false"/>
      <protection locked="true" hidden="true"/>
    </xf>
    <xf numFmtId="164" fontId="7" fillId="0" borderId="0" xfId="24" applyFont="true" applyBorder="false" applyAlignment="true" applyProtection="true">
      <alignment horizontal="left" vertical="bottom" textRotation="0" wrapText="false" indent="0" shrinkToFit="false"/>
      <protection locked="true" hidden="true"/>
    </xf>
    <xf numFmtId="165" fontId="5" fillId="2" borderId="0" xfId="24" applyFont="true" applyBorder="true" applyAlignment="true" applyProtection="true">
      <alignment horizontal="center" vertical="bottom" textRotation="0" wrapText="false" indent="0" shrinkToFit="false"/>
      <protection locked="true" hidden="true"/>
    </xf>
    <xf numFmtId="167" fontId="8" fillId="0" borderId="0" xfId="0" applyFont="true" applyBorder="false" applyAlignment="true" applyProtection="true">
      <alignment horizontal="left" vertical="bottom" textRotation="0" wrapText="false" indent="0" shrinkToFit="false"/>
      <protection locked="true" hidden="true"/>
    </xf>
    <xf numFmtId="165" fontId="8" fillId="2" borderId="0" xfId="24" applyFont="true" applyBorder="true" applyAlignment="true" applyProtection="true">
      <alignment horizontal="left" vertical="bottom" textRotation="0" wrapText="false" indent="0" shrinkToFit="false"/>
      <protection locked="true" hidden="true"/>
    </xf>
    <xf numFmtId="164" fontId="8" fillId="0" borderId="0" xfId="24" applyFont="true" applyBorder="false" applyAlignment="true" applyProtection="true">
      <alignment horizontal="center" vertical="bottom" textRotation="0" wrapText="false" indent="0" shrinkToFit="false"/>
      <protection locked="true" hidden="true"/>
    </xf>
    <xf numFmtId="165" fontId="4" fillId="2" borderId="0" xfId="24" applyFont="false" applyBorder="false" applyAlignment="true" applyProtection="true">
      <alignment horizontal="center" vertical="bottom" textRotation="0" wrapText="false" indent="0" shrinkToFit="false"/>
      <protection locked="true" hidden="true"/>
    </xf>
    <xf numFmtId="164" fontId="8" fillId="0" borderId="5" xfId="24" applyFont="true" applyBorder="true" applyAlignment="true" applyProtection="true">
      <alignment horizontal="center" vertical="bottom" textRotation="0" wrapText="false" indent="0" shrinkToFit="false"/>
      <protection locked="true" hidden="true"/>
    </xf>
    <xf numFmtId="164" fontId="6" fillId="0" borderId="0" xfId="24" applyFont="true" applyBorder="false" applyAlignment="true" applyProtection="true">
      <alignment horizontal="left" vertical="bottom" textRotation="0" wrapText="false" indent="0" shrinkToFit="false"/>
      <protection locked="true" hidden="true"/>
    </xf>
    <xf numFmtId="165" fontId="8" fillId="0" borderId="0" xfId="24" applyFont="true" applyBorder="false" applyAlignment="true" applyProtection="true">
      <alignment horizontal="center" vertical="bottom" textRotation="0" wrapText="false" indent="0" shrinkToFit="false"/>
      <protection locked="true" hidden="true"/>
    </xf>
    <xf numFmtId="164" fontId="7" fillId="0" borderId="0" xfId="24" applyFont="true" applyBorder="false" applyAlignment="true" applyProtection="true">
      <alignment horizontal="center" vertical="bottom" textRotation="0" wrapText="false" indent="0" shrinkToFit="false"/>
      <protection locked="true" hidden="true"/>
    </xf>
    <xf numFmtId="168" fontId="8" fillId="0" borderId="0" xfId="24" applyFont="true" applyBorder="false" applyAlignment="true" applyProtection="true">
      <alignment horizontal="center" vertical="bottom" textRotation="0" wrapText="false" indent="0" shrinkToFit="false"/>
      <protection locked="true" hidden="true"/>
    </xf>
    <xf numFmtId="164" fontId="9" fillId="3" borderId="6" xfId="24" applyFont="true" applyBorder="true" applyAlignment="true" applyProtection="true">
      <alignment horizontal="center" vertical="center" textRotation="0" wrapText="false" indent="0" shrinkToFit="false"/>
      <protection locked="true" hidden="true"/>
    </xf>
    <xf numFmtId="164" fontId="7" fillId="0" borderId="0" xfId="24" applyFont="true" applyBorder="false" applyAlignment="false" applyProtection="true">
      <alignment horizontal="general" vertical="bottom" textRotation="0" wrapText="false" indent="0" shrinkToFit="false"/>
      <protection locked="true" hidden="true"/>
    </xf>
    <xf numFmtId="164" fontId="4" fillId="0" borderId="0" xfId="24" applyFont="false" applyBorder="false" applyAlignment="false" applyProtection="true">
      <alignment horizontal="general" vertical="bottom" textRotation="0" wrapText="false" indent="0" shrinkToFit="false"/>
      <protection locked="true" hidden="true"/>
    </xf>
    <xf numFmtId="165" fontId="10" fillId="2" borderId="7" xfId="24" applyFont="true" applyBorder="true" applyAlignment="true" applyProtection="true">
      <alignment horizontal="center" vertical="bottom" textRotation="0" wrapText="false" indent="0" shrinkToFit="false"/>
      <protection locked="true" hidden="true"/>
    </xf>
    <xf numFmtId="165" fontId="11" fillId="2" borderId="7" xfId="24" applyFont="true" applyBorder="true" applyAlignment="true" applyProtection="true">
      <alignment horizontal="left" vertical="bottom" textRotation="0" wrapText="false" indent="0" shrinkToFit="false"/>
      <protection locked="true" hidden="true"/>
    </xf>
    <xf numFmtId="164" fontId="9" fillId="0" borderId="4" xfId="24" applyFont="true" applyBorder="true" applyAlignment="true" applyProtection="true">
      <alignment horizontal="center" vertical="center" textRotation="0" wrapText="false" indent="0" shrinkToFit="false"/>
      <protection locked="true" hidden="true"/>
    </xf>
    <xf numFmtId="164" fontId="7" fillId="0" borderId="8" xfId="24" applyFont="true" applyBorder="true" applyAlignment="false" applyProtection="true">
      <alignment horizontal="general" vertical="bottom" textRotation="0" wrapText="false" indent="0" shrinkToFit="false"/>
      <protection locked="true" hidden="true"/>
    </xf>
    <xf numFmtId="165" fontId="11" fillId="2" borderId="9" xfId="24" applyFont="true" applyBorder="true" applyAlignment="true" applyProtection="true">
      <alignment horizontal="center" vertical="bottom" textRotation="0" wrapText="false" indent="0" shrinkToFit="false"/>
      <protection locked="false" hidden="false"/>
    </xf>
    <xf numFmtId="164" fontId="9" fillId="0" borderId="0" xfId="24" applyFont="true" applyBorder="false" applyAlignment="true" applyProtection="true">
      <alignment horizontal="center" vertical="center" textRotation="0" wrapText="false" indent="0" shrinkToFit="false"/>
      <protection locked="true" hidden="true"/>
    </xf>
    <xf numFmtId="164" fontId="8" fillId="0" borderId="0" xfId="24" applyFont="true" applyBorder="false" applyAlignment="true" applyProtection="true">
      <alignment horizontal="center" vertical="center" textRotation="0" wrapText="false" indent="0" shrinkToFit="false"/>
      <protection locked="false" hidden="false"/>
    </xf>
    <xf numFmtId="164" fontId="4" fillId="0" borderId="5" xfId="24" applyFont="false" applyBorder="true" applyAlignment="false" applyProtection="true">
      <alignment horizontal="general" vertical="bottom" textRotation="0" wrapText="false" indent="0" shrinkToFit="false"/>
      <protection locked="true" hidden="true"/>
    </xf>
    <xf numFmtId="164" fontId="5" fillId="0" borderId="4" xfId="24" applyFont="true" applyBorder="true" applyAlignment="false" applyProtection="true">
      <alignment horizontal="general" vertical="bottom" textRotation="0" wrapText="false" indent="0" shrinkToFit="false"/>
      <protection locked="true" hidden="true"/>
    </xf>
    <xf numFmtId="164" fontId="5" fillId="4" borderId="0" xfId="24" applyFont="true" applyBorder="false" applyAlignment="false" applyProtection="true">
      <alignment horizontal="general" vertical="bottom" textRotation="0" wrapText="false" indent="0" shrinkToFit="false"/>
      <protection locked="true" hidden="true"/>
    </xf>
    <xf numFmtId="164" fontId="12" fillId="0" borderId="0" xfId="24" applyFont="true" applyBorder="false" applyAlignment="false" applyProtection="true">
      <alignment horizontal="general" vertical="bottom" textRotation="0" wrapText="false" indent="0" shrinkToFit="false"/>
      <protection locked="true" hidden="true"/>
    </xf>
    <xf numFmtId="165" fontId="8" fillId="2" borderId="10" xfId="24" applyFont="true" applyBorder="true" applyAlignment="true" applyProtection="true">
      <alignment horizontal="center" vertical="center" textRotation="0" wrapText="false" indent="0" shrinkToFit="false"/>
      <protection locked="false" hidden="false"/>
    </xf>
    <xf numFmtId="164" fontId="4" fillId="0" borderId="11" xfId="24" applyFont="false" applyBorder="true" applyAlignment="false" applyProtection="true">
      <alignment horizontal="general" vertical="bottom" textRotation="0" wrapText="false" indent="0" shrinkToFit="false"/>
      <protection locked="true" hidden="true"/>
    </xf>
    <xf numFmtId="164" fontId="0" fillId="0" borderId="0" xfId="24" applyFont="true" applyBorder="false" applyAlignment="false" applyProtection="true">
      <alignment horizontal="general" vertical="bottom" textRotation="0" wrapText="false" indent="0" shrinkToFit="false"/>
      <protection locked="true" hidden="true"/>
    </xf>
    <xf numFmtId="165" fontId="7" fillId="0" borderId="9" xfId="24" applyFont="true" applyBorder="true" applyAlignment="true" applyProtection="true">
      <alignment horizontal="center" vertical="bottom" textRotation="0" wrapText="false" indent="0" shrinkToFit="false"/>
      <protection locked="true" hidden="true"/>
    </xf>
    <xf numFmtId="165" fontId="4" fillId="2" borderId="9" xfId="24" applyFont="false" applyBorder="true" applyAlignment="true" applyProtection="true">
      <alignment horizontal="center" vertical="bottom" textRotation="0" wrapText="false" indent="0" shrinkToFit="false"/>
      <protection locked="true" hidden="true"/>
    </xf>
    <xf numFmtId="165" fontId="5" fillId="0" borderId="0" xfId="24" applyFont="true" applyBorder="false" applyAlignment="true" applyProtection="true">
      <alignment horizontal="center" vertical="bottom" textRotation="0" wrapText="false" indent="0" shrinkToFit="false"/>
      <protection locked="false" hidden="false"/>
    </xf>
    <xf numFmtId="164" fontId="12" fillId="4" borderId="0" xfId="24" applyFont="true" applyBorder="false" applyAlignment="false" applyProtection="true">
      <alignment horizontal="general" vertical="bottom" textRotation="0" wrapText="false" indent="0" shrinkToFit="false"/>
      <protection locked="true" hidden="true"/>
    </xf>
    <xf numFmtId="165" fontId="8" fillId="2" borderId="9" xfId="24" applyFont="true" applyBorder="true" applyAlignment="true" applyProtection="true">
      <alignment horizontal="center" vertical="bottom" textRotation="0" wrapText="false" indent="0" shrinkToFit="false"/>
      <protection locked="true" hidden="true"/>
    </xf>
    <xf numFmtId="165" fontId="11" fillId="2" borderId="9" xfId="24" applyFont="true" applyBorder="true" applyAlignment="true" applyProtection="true">
      <alignment horizontal="center" vertical="bottom" textRotation="0" wrapText="false" indent="0" shrinkToFit="false"/>
      <protection locked="true" hidden="true"/>
    </xf>
    <xf numFmtId="164" fontId="4" fillId="0" borderId="0" xfId="24" applyFont="false" applyBorder="false" applyAlignment="true" applyProtection="true">
      <alignment horizontal="center" vertical="bottom" textRotation="0" wrapText="false" indent="0" shrinkToFit="false"/>
      <protection locked="true" hidden="true"/>
    </xf>
    <xf numFmtId="164" fontId="9" fillId="0" borderId="12" xfId="24" applyFont="true" applyBorder="true" applyAlignment="true" applyProtection="true">
      <alignment horizontal="center" vertical="center" textRotation="0" wrapText="false" indent="0" shrinkToFit="false"/>
      <protection locked="true" hidden="true"/>
    </xf>
    <xf numFmtId="164" fontId="4" fillId="0" borderId="0" xfId="24" applyFont="true" applyBorder="false" applyAlignment="true" applyProtection="true">
      <alignment horizontal="left" vertical="bottom" textRotation="0" wrapText="false" indent="0" shrinkToFit="false"/>
      <protection locked="true" hidden="true"/>
    </xf>
    <xf numFmtId="164" fontId="9" fillId="3" borderId="13" xfId="24" applyFont="true" applyBorder="true" applyAlignment="true" applyProtection="true">
      <alignment horizontal="center" vertical="center" textRotation="0" wrapText="false" indent="0" shrinkToFit="false"/>
      <protection locked="true" hidden="true"/>
    </xf>
    <xf numFmtId="165" fontId="11" fillId="2" borderId="10" xfId="24" applyFont="true" applyBorder="true" applyAlignment="true" applyProtection="true">
      <alignment horizontal="center" vertical="bottom" textRotation="0" wrapText="false" indent="0" shrinkToFit="false"/>
      <protection locked="true" hidden="true"/>
    </xf>
    <xf numFmtId="164" fontId="7" fillId="0" borderId="14" xfId="24" applyFont="true" applyBorder="true" applyAlignment="true" applyProtection="true">
      <alignment horizontal="center" vertical="bottom" textRotation="0" wrapText="false" indent="0" shrinkToFit="false"/>
      <protection locked="true" hidden="true"/>
    </xf>
    <xf numFmtId="165" fontId="8" fillId="0" borderId="15" xfId="24" applyFont="true" applyBorder="true" applyAlignment="true" applyProtection="true">
      <alignment horizontal="center" vertical="bottom" textRotation="0" wrapText="false" indent="0" shrinkToFit="false"/>
      <protection locked="true" hidden="true"/>
    </xf>
    <xf numFmtId="164" fontId="7" fillId="0" borderId="16" xfId="24" applyFont="true" applyBorder="true" applyAlignment="true" applyProtection="true">
      <alignment horizontal="center" vertical="bottom" textRotation="0" wrapText="false" indent="0" shrinkToFit="false"/>
      <protection locked="true" hidden="true"/>
    </xf>
    <xf numFmtId="164" fontId="4" fillId="0" borderId="16" xfId="24" applyFont="true" applyBorder="true" applyAlignment="true" applyProtection="true">
      <alignment horizontal="center" vertical="bottom" textRotation="0" wrapText="false" indent="0" shrinkToFit="false"/>
      <protection locked="true" hidden="true"/>
    </xf>
    <xf numFmtId="165" fontId="11" fillId="0" borderId="9" xfId="24" applyFont="true" applyBorder="true" applyAlignment="true" applyProtection="true">
      <alignment horizontal="center" vertical="bottom" textRotation="0" wrapText="false" indent="0" shrinkToFit="false"/>
      <protection locked="true" hidden="true"/>
    </xf>
    <xf numFmtId="165" fontId="5" fillId="2" borderId="11" xfId="24" applyFont="true" applyBorder="true" applyAlignment="true" applyProtection="true">
      <alignment horizontal="center" vertical="bottom" textRotation="0" wrapText="false" indent="0" shrinkToFit="false"/>
      <protection locked="true" hidden="true"/>
    </xf>
    <xf numFmtId="164" fontId="13" fillId="0" borderId="16" xfId="24" applyFont="true" applyBorder="true" applyAlignment="true" applyProtection="true">
      <alignment horizontal="center" vertical="bottom" textRotation="0" wrapText="false" indent="0" shrinkToFit="false"/>
      <protection locked="true" hidden="true"/>
    </xf>
    <xf numFmtId="164" fontId="4" fillId="0" borderId="17" xfId="24" applyFont="true" applyBorder="true" applyAlignment="true" applyProtection="true">
      <alignment horizontal="center" vertical="bottom" textRotation="0" wrapText="false" indent="0" shrinkToFit="false"/>
      <protection locked="true" hidden="true"/>
    </xf>
    <xf numFmtId="165" fontId="11" fillId="2" borderId="15" xfId="24" applyFont="true" applyBorder="true" applyAlignment="true" applyProtection="true">
      <alignment horizontal="center" vertical="bottom" textRotation="0" wrapText="false" indent="0" shrinkToFit="false"/>
      <protection locked="true" hidden="true"/>
    </xf>
    <xf numFmtId="165" fontId="11" fillId="2" borderId="18" xfId="24" applyFont="true" applyBorder="true" applyAlignment="true" applyProtection="true">
      <alignment horizontal="center" vertical="bottom" textRotation="0" wrapText="false" indent="0" shrinkToFit="false"/>
      <protection locked="true" hidden="true"/>
    </xf>
    <xf numFmtId="164" fontId="7" fillId="0" borderId="18" xfId="24" applyFont="true" applyBorder="true" applyAlignment="true" applyProtection="true">
      <alignment horizontal="center" vertical="bottom" textRotation="0" wrapText="false" indent="0" shrinkToFit="false"/>
      <protection locked="true" hidden="true"/>
    </xf>
    <xf numFmtId="164" fontId="4" fillId="0" borderId="18" xfId="24" applyFont="false" applyBorder="true" applyAlignment="true" applyProtection="true">
      <alignment horizontal="center" vertical="bottom" textRotation="0" wrapText="false" indent="0" shrinkToFit="false"/>
      <protection locked="true" hidden="true"/>
    </xf>
    <xf numFmtId="164" fontId="4" fillId="0" borderId="11" xfId="24" applyFont="false" applyBorder="true" applyAlignment="true" applyProtection="true">
      <alignment horizontal="center" vertical="bottom" textRotation="0" wrapText="false" indent="0" shrinkToFit="false"/>
      <protection locked="true" hidden="true"/>
    </xf>
    <xf numFmtId="165" fontId="7" fillId="0" borderId="15" xfId="24" applyFont="true" applyBorder="true" applyAlignment="true" applyProtection="true">
      <alignment horizontal="left" vertical="bottom" textRotation="0" wrapText="false" indent="0" shrinkToFit="false"/>
      <protection locked="true" hidden="true"/>
    </xf>
    <xf numFmtId="164" fontId="14" fillId="0" borderId="0" xfId="20" applyFont="false" applyBorder="true" applyAlignment="true" applyProtection="true">
      <alignment horizontal="center" vertical="bottom" textRotation="0" wrapText="false" indent="0" shrinkToFit="false"/>
      <protection locked="true" hidden="true"/>
    </xf>
    <xf numFmtId="167" fontId="15" fillId="0" borderId="4" xfId="24" applyFont="true" applyBorder="true" applyAlignment="true" applyProtection="true">
      <alignment horizontal="right" vertical="top" textRotation="0" wrapText="false" indent="0" shrinkToFit="false"/>
      <protection locked="true" hidden="true"/>
    </xf>
    <xf numFmtId="167" fontId="15" fillId="0" borderId="0" xfId="24" applyFont="true" applyBorder="false" applyAlignment="true" applyProtection="true">
      <alignment horizontal="right" vertical="top" textRotation="0" wrapText="false" indent="0" shrinkToFit="false"/>
      <protection locked="true" hidden="true"/>
    </xf>
    <xf numFmtId="167" fontId="15" fillId="0" borderId="5" xfId="24" applyFont="true" applyBorder="true" applyAlignment="true" applyProtection="true">
      <alignment horizontal="right" vertical="top" textRotation="0" wrapText="false" indent="0" shrinkToFit="false"/>
      <protection locked="true" hidden="true"/>
    </xf>
    <xf numFmtId="164" fontId="5" fillId="0" borderId="5" xfId="24" applyFont="true" applyBorder="true" applyAlignment="false" applyProtection="true">
      <alignment horizontal="general" vertical="bottom" textRotation="0" wrapText="false" indent="0" shrinkToFit="false"/>
      <protection locked="true" hidden="true"/>
    </xf>
    <xf numFmtId="164" fontId="5" fillId="0" borderId="19" xfId="24" applyFont="true" applyBorder="true" applyAlignment="false" applyProtection="true">
      <alignment horizontal="general" vertical="bottom" textRotation="0" wrapText="false" indent="0" shrinkToFit="false"/>
      <protection locked="true" hidden="true"/>
    </xf>
    <xf numFmtId="164" fontId="5" fillId="0" borderId="8" xfId="24" applyFont="true" applyBorder="true" applyAlignment="false" applyProtection="true">
      <alignment horizontal="general" vertical="bottom" textRotation="0" wrapText="false" indent="0" shrinkToFit="false"/>
      <protection locked="true" hidden="true"/>
    </xf>
    <xf numFmtId="165" fontId="5" fillId="0" borderId="20" xfId="24" applyFont="true" applyBorder="true" applyAlignment="false" applyProtection="true">
      <alignment horizontal="general" vertical="bottom" textRotation="0" wrapText="false" indent="0" shrinkToFit="false"/>
      <protection locked="true" hidden="true"/>
    </xf>
    <xf numFmtId="165" fontId="5" fillId="0" borderId="20" xfId="24" applyFont="true" applyBorder="true" applyAlignment="true" applyProtection="true">
      <alignment horizontal="center" vertical="bottom" textRotation="0" wrapText="false" indent="0" shrinkToFit="false"/>
      <protection locked="true" hidden="true"/>
    </xf>
    <xf numFmtId="164" fontId="5" fillId="0" borderId="10" xfId="24" applyFont="true" applyBorder="true" applyAlignment="false" applyProtection="true">
      <alignment horizontal="general" vertical="bottom" textRotation="0" wrapText="false" indent="0" shrinkToFit="false"/>
      <protection locked="true" hidden="true"/>
    </xf>
    <xf numFmtId="164" fontId="5" fillId="0" borderId="18" xfId="24" applyFont="true" applyBorder="true" applyAlignment="false" applyProtection="true">
      <alignment horizontal="general" vertical="bottom" textRotation="0" wrapText="false" indent="0" shrinkToFit="false"/>
      <protection locked="true" hidden="true"/>
    </xf>
    <xf numFmtId="164" fontId="5" fillId="0" borderId="14" xfId="24" applyFont="true" applyBorder="true" applyAlignment="false" applyProtection="true">
      <alignment horizontal="general" vertical="bottom" textRotation="0" wrapText="false" indent="0" shrinkToFit="false"/>
      <protection locked="true" hidden="true"/>
    </xf>
    <xf numFmtId="164" fontId="5" fillId="0" borderId="11" xfId="24" applyFont="true" applyBorder="true" applyAlignment="false" applyProtection="true">
      <alignment horizontal="general" vertical="bottom" textRotation="0" wrapText="false" indent="0" shrinkToFit="false"/>
      <protection locked="true" hidden="true"/>
    </xf>
    <xf numFmtId="164" fontId="7" fillId="0" borderId="17" xfId="24" applyFont="true" applyBorder="true" applyAlignment="true" applyProtection="true">
      <alignment horizontal="center" vertical="center" textRotation="0" wrapText="true" indent="0" shrinkToFit="false"/>
      <protection locked="true" hidden="true"/>
    </xf>
    <xf numFmtId="164" fontId="11" fillId="0" borderId="21" xfId="24" applyFont="true" applyBorder="true" applyAlignment="false" applyProtection="true">
      <alignment horizontal="general" vertical="bottom" textRotation="0" wrapText="false" indent="0" shrinkToFit="false"/>
      <protection locked="true" hidden="true"/>
    </xf>
    <xf numFmtId="164" fontId="11" fillId="0" borderId="22" xfId="24" applyFont="true" applyBorder="true" applyAlignment="true" applyProtection="true">
      <alignment horizontal="center" vertical="bottom" textRotation="0" wrapText="false" indent="0" shrinkToFit="false"/>
      <protection locked="true" hidden="true"/>
    </xf>
    <xf numFmtId="164" fontId="11" fillId="0" borderId="0" xfId="24" applyFont="true" applyBorder="false" applyAlignment="false" applyProtection="true">
      <alignment horizontal="general" vertical="bottom" textRotation="0" wrapText="false" indent="0" shrinkToFit="false"/>
      <protection locked="true" hidden="true"/>
    </xf>
    <xf numFmtId="164" fontId="11" fillId="0" borderId="20" xfId="24" applyFont="true" applyBorder="true" applyAlignment="true" applyProtection="true">
      <alignment horizontal="center" vertical="bottom" textRotation="0" wrapText="false" indent="0" shrinkToFit="false"/>
      <protection locked="true" hidden="true"/>
    </xf>
    <xf numFmtId="165" fontId="5" fillId="0" borderId="23" xfId="24" applyFont="true" applyBorder="true" applyAlignment="false" applyProtection="true">
      <alignment horizontal="general" vertical="bottom" textRotation="0" wrapText="false" indent="0" shrinkToFit="false"/>
      <protection locked="true" hidden="true"/>
    </xf>
    <xf numFmtId="165" fontId="5" fillId="0" borderId="23" xfId="15" applyFont="true" applyBorder="true" applyAlignment="true" applyProtection="true">
      <alignment horizontal="right" vertical="bottom" textRotation="0" wrapText="false" indent="0" shrinkToFit="false"/>
      <protection locked="true" hidden="true"/>
    </xf>
    <xf numFmtId="165" fontId="5" fillId="2" borderId="24" xfId="24" applyFont="true" applyBorder="true" applyAlignment="false" applyProtection="true">
      <alignment horizontal="general" vertical="bottom" textRotation="0" wrapText="false" indent="0" shrinkToFit="false"/>
      <protection locked="true" hidden="true"/>
    </xf>
    <xf numFmtId="165" fontId="5" fillId="2" borderId="23" xfId="15" applyFont="true" applyBorder="true" applyAlignment="true" applyProtection="true">
      <alignment horizontal="right" vertical="bottom" textRotation="0" wrapText="false" indent="0" shrinkToFit="false"/>
      <protection locked="true" hidden="true"/>
    </xf>
    <xf numFmtId="165" fontId="5" fillId="2" borderId="24" xfId="24" applyFont="true" applyBorder="true" applyAlignment="true" applyProtection="true">
      <alignment horizontal="left" vertical="bottom" textRotation="0" wrapText="false" indent="0" shrinkToFit="false"/>
      <protection locked="true" hidden="true"/>
    </xf>
    <xf numFmtId="165" fontId="5" fillId="2" borderId="24" xfId="24" applyFont="true" applyBorder="true" applyAlignment="true" applyProtection="true">
      <alignment horizontal="right" vertical="bottom" textRotation="0" wrapText="false" indent="0" shrinkToFit="false"/>
      <protection locked="true" hidden="true"/>
    </xf>
    <xf numFmtId="165" fontId="5" fillId="0" borderId="24" xfId="24" applyFont="true" applyBorder="true" applyAlignment="true" applyProtection="true">
      <alignment horizontal="left" vertical="bottom" textRotation="0" wrapText="false" indent="0" shrinkToFit="false"/>
      <protection locked="true" hidden="true"/>
    </xf>
    <xf numFmtId="165" fontId="5" fillId="0" borderId="24" xfId="24" applyFont="true" applyBorder="true" applyAlignment="true" applyProtection="true">
      <alignment horizontal="right" vertical="bottom" textRotation="0" wrapText="false" indent="0" shrinkToFit="false"/>
      <protection locked="true" hidden="true"/>
    </xf>
    <xf numFmtId="165" fontId="5" fillId="0" borderId="24" xfId="24" applyFont="true" applyBorder="true" applyAlignment="false" applyProtection="true">
      <alignment horizontal="general" vertical="bottom" textRotation="0" wrapText="false" indent="0" shrinkToFit="false"/>
      <protection locked="true" hidden="true"/>
    </xf>
    <xf numFmtId="165" fontId="5" fillId="0" borderId="9" xfId="24" applyFont="true" applyBorder="true" applyAlignment="false" applyProtection="true">
      <alignment horizontal="general" vertical="bottom" textRotation="0" wrapText="false" indent="0" shrinkToFit="false"/>
      <protection locked="true" hidden="true"/>
    </xf>
    <xf numFmtId="165" fontId="5" fillId="0" borderId="9" xfId="24" applyFont="true" applyBorder="true" applyAlignment="true" applyProtection="true">
      <alignment horizontal="right" vertical="bottom" textRotation="0" wrapText="false" indent="0" shrinkToFit="false"/>
      <protection locked="true" hidden="true"/>
    </xf>
    <xf numFmtId="164" fontId="5" fillId="0" borderId="0" xfId="24" applyFont="true" applyBorder="false" applyAlignment="true" applyProtection="true">
      <alignment horizontal="right" vertical="bottom" textRotation="0" wrapText="false" indent="0" shrinkToFit="false"/>
      <protection locked="true" hidden="true"/>
    </xf>
    <xf numFmtId="164" fontId="5" fillId="0" borderId="25" xfId="24" applyFont="true" applyBorder="true" applyAlignment="false" applyProtection="true">
      <alignment horizontal="general" vertical="bottom" textRotation="0" wrapText="false" indent="0" shrinkToFit="false"/>
      <protection locked="true" hidden="true"/>
    </xf>
    <xf numFmtId="164" fontId="5" fillId="0" borderId="26" xfId="24" applyFont="true" applyBorder="true" applyAlignment="false" applyProtection="true">
      <alignment horizontal="general" vertical="bottom" textRotation="0" wrapText="false" indent="0" shrinkToFit="false"/>
      <protection locked="true" hidden="true"/>
    </xf>
    <xf numFmtId="164" fontId="5" fillId="0" borderId="27" xfId="24" applyFont="true" applyBorder="true" applyAlignment="false" applyProtection="true">
      <alignment horizontal="general" vertical="bottom" textRotation="0" wrapText="false" indent="0" shrinkToFit="false"/>
      <protection locked="true" hidden="true"/>
    </xf>
    <xf numFmtId="165" fontId="5" fillId="0" borderId="23" xfId="24" applyFont="true" applyBorder="true" applyAlignment="true" applyProtection="true">
      <alignment horizontal="center" vertical="bottom" textRotation="0" wrapText="false" indent="0" shrinkToFit="false"/>
      <protection locked="true" hidden="true"/>
    </xf>
    <xf numFmtId="164" fontId="8" fillId="0" borderId="0" xfId="24" applyFont="true" applyBorder="false" applyAlignment="false" applyProtection="true">
      <alignment horizontal="general" vertical="bottom" textRotation="0" wrapText="false" indent="0" shrinkToFit="false"/>
      <protection locked="true" hidden="true"/>
    </xf>
    <xf numFmtId="164" fontId="4" fillId="0" borderId="19" xfId="24" applyFont="true" applyBorder="true" applyAlignment="false" applyProtection="true">
      <alignment horizontal="general" vertical="bottom" textRotation="0" wrapText="false" indent="0" shrinkToFit="false"/>
      <protection locked="true" hidden="true"/>
    </xf>
    <xf numFmtId="165" fontId="11" fillId="2" borderId="0" xfId="24" applyFont="true" applyBorder="true" applyAlignment="true" applyProtection="true">
      <alignment horizontal="left" vertical="bottom" textRotation="0" wrapText="false" indent="0" shrinkToFit="false"/>
      <protection locked="true" hidden="true"/>
    </xf>
    <xf numFmtId="164" fontId="4" fillId="0" borderId="0" xfId="24" applyFont="true" applyBorder="true" applyAlignment="false" applyProtection="true">
      <alignment horizontal="general" vertical="bottom" textRotation="0" wrapText="false" indent="0" shrinkToFit="false"/>
      <protection locked="true" hidden="true"/>
    </xf>
    <xf numFmtId="165" fontId="6" fillId="2" borderId="8" xfId="24" applyFont="true" applyBorder="true" applyAlignment="false" applyProtection="true">
      <alignment horizontal="general" vertical="bottom" textRotation="0" wrapText="false" indent="0" shrinkToFit="false"/>
      <protection locked="true" hidden="true"/>
    </xf>
    <xf numFmtId="167" fontId="8" fillId="2" borderId="0" xfId="24" applyFont="true" applyBorder="true" applyAlignment="true" applyProtection="true">
      <alignment horizontal="center" vertical="bottom" textRotation="0" wrapText="false" indent="0" shrinkToFit="false"/>
      <protection locked="true" hidden="true"/>
    </xf>
    <xf numFmtId="164" fontId="6" fillId="0" borderId="0" xfId="24" applyFont="true" applyBorder="false" applyAlignment="true" applyProtection="true">
      <alignment horizontal="center" vertical="bottom" textRotation="0" wrapText="false" indent="0" shrinkToFit="false"/>
      <protection locked="true" hidden="true"/>
    </xf>
    <xf numFmtId="165" fontId="8" fillId="2" borderId="8" xfId="24" applyFont="true" applyBorder="true" applyAlignment="true" applyProtection="true">
      <alignment horizontal="center" vertical="bottom" textRotation="0" wrapText="false" indent="0" shrinkToFit="false"/>
      <protection locked="true" hidden="true"/>
    </xf>
    <xf numFmtId="164" fontId="6" fillId="0" borderId="19" xfId="24" applyFont="true" applyBorder="true" applyAlignment="false" applyProtection="true">
      <alignment horizontal="general" vertical="bottom" textRotation="0" wrapText="false" indent="0" shrinkToFit="false"/>
      <protection locked="true" hidden="true"/>
    </xf>
    <xf numFmtId="164" fontId="6" fillId="0" borderId="8" xfId="24" applyFont="true" applyBorder="true" applyAlignment="true" applyProtection="true">
      <alignment horizontal="center" vertical="bottom" textRotation="0" wrapText="false" indent="0" shrinkToFit="false"/>
      <protection locked="true" hidden="true"/>
    </xf>
    <xf numFmtId="164" fontId="7" fillId="0" borderId="19" xfId="24" applyFont="true" applyBorder="true" applyAlignment="true" applyProtection="true">
      <alignment horizontal="left" vertical="bottom" textRotation="0" wrapText="false" indent="0" shrinkToFit="false"/>
      <protection locked="true" hidden="true"/>
    </xf>
    <xf numFmtId="164" fontId="8" fillId="0" borderId="8" xfId="24" applyFont="true" applyBorder="true" applyAlignment="true" applyProtection="true">
      <alignment horizontal="center" vertical="bottom" textRotation="0" wrapText="false" indent="0" shrinkToFit="false"/>
      <protection locked="true" hidden="true"/>
    </xf>
    <xf numFmtId="167" fontId="15" fillId="0" borderId="28" xfId="24" applyFont="true" applyBorder="true" applyAlignment="true" applyProtection="true">
      <alignment horizontal="right" vertical="center" textRotation="0" wrapText="false" indent="0" shrinkToFit="false"/>
      <protection locked="true" hidden="true"/>
    </xf>
    <xf numFmtId="167" fontId="15" fillId="0" borderId="16" xfId="24" applyFont="true" applyBorder="true" applyAlignment="true" applyProtection="true">
      <alignment horizontal="right" vertical="center" textRotation="0" wrapText="false" indent="0" shrinkToFit="false"/>
      <protection locked="true" hidden="true"/>
    </xf>
    <xf numFmtId="167" fontId="8" fillId="0" borderId="16" xfId="24" applyFont="true" applyBorder="true" applyAlignment="true" applyProtection="true">
      <alignment horizontal="center" vertical="center" textRotation="0" wrapText="false" indent="0" shrinkToFit="false"/>
      <protection locked="true" hidden="true"/>
    </xf>
    <xf numFmtId="164" fontId="4" fillId="0" borderId="16" xfId="24" applyFont="false" applyBorder="true" applyAlignment="false" applyProtection="true">
      <alignment horizontal="general" vertical="bottom" textRotation="0" wrapText="false" indent="0" shrinkToFit="false"/>
      <protection locked="true" hidden="true"/>
    </xf>
    <xf numFmtId="164" fontId="4" fillId="0" borderId="29" xfId="24" applyFont="false" applyBorder="true" applyAlignment="false" applyProtection="true">
      <alignment horizontal="general" vertical="bottom" textRotation="0" wrapText="false" indent="0" shrinkToFit="false"/>
      <protection locked="true" hidden="true"/>
    </xf>
    <xf numFmtId="164" fontId="4" fillId="0" borderId="20" xfId="24" applyFont="true" applyBorder="true" applyAlignment="true" applyProtection="true">
      <alignment horizontal="center" vertical="bottom" textRotation="0" wrapText="false" indent="0" shrinkToFit="false"/>
      <protection locked="true" hidden="true"/>
    </xf>
    <xf numFmtId="164" fontId="9" fillId="3" borderId="20" xfId="24" applyFont="true" applyBorder="true" applyAlignment="true" applyProtection="true">
      <alignment horizontal="center" vertical="center" textRotation="0" wrapText="false" indent="0" shrinkToFit="false"/>
      <protection locked="true" hidden="true"/>
    </xf>
    <xf numFmtId="165" fontId="5" fillId="2" borderId="9" xfId="24" applyFont="true" applyBorder="true" applyAlignment="true" applyProtection="true">
      <alignment horizontal="center" vertical="bottom" textRotation="0" wrapText="false" indent="0" shrinkToFit="false"/>
      <protection locked="false" hidden="false"/>
    </xf>
    <xf numFmtId="164" fontId="12" fillId="0" borderId="19" xfId="24" applyFont="true" applyBorder="true" applyAlignment="false" applyProtection="true">
      <alignment horizontal="general" vertical="bottom" textRotation="0" wrapText="false" indent="0" shrinkToFit="false"/>
      <protection locked="true" hidden="true"/>
    </xf>
    <xf numFmtId="164" fontId="4" fillId="0" borderId="28" xfId="24" applyFont="false" applyBorder="true" applyAlignment="false" applyProtection="true">
      <alignment horizontal="general" vertical="bottom" textRotation="0" wrapText="false" indent="0" shrinkToFit="false"/>
      <protection locked="true" hidden="true"/>
    </xf>
    <xf numFmtId="164" fontId="8" fillId="0" borderId="9" xfId="24" applyFont="true" applyBorder="true" applyAlignment="true" applyProtection="true">
      <alignment horizontal="center" vertical="center" textRotation="0" wrapText="false" indent="0" shrinkToFit="false"/>
      <protection locked="false" hidden="false"/>
    </xf>
    <xf numFmtId="164" fontId="4" fillId="0" borderId="8" xfId="24" applyFont="false" applyBorder="true" applyAlignment="false" applyProtection="true">
      <alignment horizontal="general" vertical="bottom" textRotation="0" wrapText="false" indent="0" shrinkToFit="false"/>
      <protection locked="true" hidden="true"/>
    </xf>
    <xf numFmtId="165" fontId="5" fillId="2" borderId="9" xfId="24" applyFont="true" applyBorder="true" applyAlignment="true" applyProtection="true">
      <alignment horizontal="center" vertical="bottom" textRotation="0" wrapText="false" indent="0" shrinkToFit="false"/>
      <protection locked="true" hidden="true"/>
    </xf>
    <xf numFmtId="164" fontId="8" fillId="0" borderId="20" xfId="24" applyFont="true" applyBorder="true" applyAlignment="true" applyProtection="true">
      <alignment horizontal="center" vertical="center" textRotation="0" wrapText="false" indent="0" shrinkToFit="false"/>
      <protection locked="false" hidden="false"/>
    </xf>
    <xf numFmtId="170" fontId="7" fillId="0" borderId="8" xfId="24" applyFont="true" applyBorder="true" applyAlignment="false" applyProtection="true">
      <alignment horizontal="general" vertical="bottom" textRotation="0" wrapText="false" indent="0" shrinkToFit="false"/>
      <protection locked="true" hidden="true"/>
    </xf>
    <xf numFmtId="164" fontId="4" fillId="4" borderId="0" xfId="24" applyFont="false" applyBorder="false" applyAlignment="false" applyProtection="true">
      <alignment horizontal="general" vertical="bottom" textRotation="0" wrapText="false" indent="0" shrinkToFit="false"/>
      <protection locked="true" hidden="true"/>
    </xf>
    <xf numFmtId="164" fontId="4" fillId="0" borderId="10" xfId="24" applyFont="false" applyBorder="true" applyAlignment="false" applyProtection="true">
      <alignment horizontal="general" vertical="bottom" textRotation="0" wrapText="false" indent="0" shrinkToFit="false"/>
      <protection locked="true" hidden="true"/>
    </xf>
    <xf numFmtId="164" fontId="4" fillId="0" borderId="18" xfId="24" applyFont="false" applyBorder="true" applyAlignment="false" applyProtection="true">
      <alignment horizontal="general" vertical="bottom" textRotation="0" wrapText="false" indent="0" shrinkToFit="false"/>
      <protection locked="true" hidden="true"/>
    </xf>
    <xf numFmtId="164" fontId="4" fillId="0" borderId="14" xfId="24" applyFont="false" applyBorder="true" applyAlignment="false" applyProtection="true">
      <alignment horizontal="general" vertical="bottom" textRotation="0" wrapText="false" indent="0" shrinkToFit="false"/>
      <protection locked="true" hidden="true"/>
    </xf>
    <xf numFmtId="164" fontId="6" fillId="4" borderId="19" xfId="24" applyFont="true" applyBorder="true" applyAlignment="false" applyProtection="true">
      <alignment horizontal="general" vertical="bottom" textRotation="0" wrapText="false" indent="0" shrinkToFit="false"/>
      <protection locked="true" hidden="true"/>
    </xf>
    <xf numFmtId="164" fontId="6" fillId="4" borderId="0" xfId="24" applyFont="true" applyBorder="false" applyAlignment="false" applyProtection="true">
      <alignment horizontal="general" vertical="bottom" textRotation="0" wrapText="false" indent="0" shrinkToFit="false"/>
      <protection locked="true" hidden="true"/>
    </xf>
    <xf numFmtId="164" fontId="6" fillId="0" borderId="8" xfId="24" applyFont="true" applyBorder="true" applyAlignment="false" applyProtection="true">
      <alignment horizontal="general" vertical="bottom" textRotation="0" wrapText="false" indent="0" shrinkToFit="false"/>
      <protection locked="true" hidden="true"/>
    </xf>
    <xf numFmtId="164" fontId="5" fillId="0" borderId="24" xfId="24" applyFont="true" applyBorder="true" applyAlignment="true" applyProtection="true">
      <alignment horizontal="center" vertical="bottom" textRotation="0" wrapText="false" indent="0" shrinkToFit="false"/>
      <protection locked="true" hidden="true"/>
    </xf>
    <xf numFmtId="164" fontId="5" fillId="0" borderId="0" xfId="24" applyFont="true" applyBorder="false" applyAlignment="true" applyProtection="true">
      <alignment horizontal="center" vertical="bottom" textRotation="0" wrapText="false" indent="0" shrinkToFit="false"/>
      <protection locked="true" hidden="true"/>
    </xf>
    <xf numFmtId="164" fontId="4" fillId="0" borderId="23" xfId="24" applyFont="true" applyBorder="true" applyAlignment="true" applyProtection="true">
      <alignment horizontal="center" vertical="center" textRotation="0" wrapText="false" indent="0" shrinkToFit="false"/>
      <protection locked="true" hidden="true"/>
    </xf>
    <xf numFmtId="164" fontId="4" fillId="0" borderId="23" xfId="24" applyFont="true" applyBorder="true" applyAlignment="true" applyProtection="true">
      <alignment horizontal="center" vertical="bottom" textRotation="0" wrapText="false" indent="0" shrinkToFit="false"/>
      <protection locked="true" hidden="true"/>
    </xf>
    <xf numFmtId="164" fontId="12" fillId="0" borderId="19" xfId="24" applyFont="true" applyBorder="true" applyAlignment="true" applyProtection="true">
      <alignment horizontal="center" vertical="center" textRotation="0" wrapText="false" indent="0" shrinkToFit="false"/>
      <protection locked="true" hidden="true"/>
    </xf>
    <xf numFmtId="164" fontId="12" fillId="0" borderId="0" xfId="24" applyFont="true" applyBorder="false" applyAlignment="true" applyProtection="true">
      <alignment horizontal="center" vertical="center" textRotation="0" wrapText="false" indent="0" shrinkToFit="false"/>
      <protection locked="true" hidden="true"/>
    </xf>
    <xf numFmtId="164" fontId="12" fillId="0" borderId="8" xfId="24" applyFont="true" applyBorder="true" applyAlignment="true" applyProtection="true">
      <alignment horizontal="center" vertical="center" textRotation="0" wrapText="false" indent="0" shrinkToFit="false"/>
      <protection locked="true" hidden="true"/>
    </xf>
    <xf numFmtId="164" fontId="4" fillId="0" borderId="24" xfId="24" applyFont="true" applyBorder="true" applyAlignment="true" applyProtection="true">
      <alignment horizontal="center" vertical="center" textRotation="0" wrapText="false" indent="0" shrinkToFit="false"/>
      <protection locked="true" hidden="true"/>
    </xf>
    <xf numFmtId="164" fontId="4" fillId="0" borderId="24" xfId="24" applyFont="true" applyBorder="true" applyAlignment="true" applyProtection="true">
      <alignment horizontal="center" vertical="bottom" textRotation="0" wrapText="false" indent="0" shrinkToFit="false"/>
      <protection locked="true" hidden="true"/>
    </xf>
    <xf numFmtId="164" fontId="12" fillId="0" borderId="10" xfId="24" applyFont="true" applyBorder="true" applyAlignment="true" applyProtection="true">
      <alignment horizontal="center" vertical="center" textRotation="0" wrapText="false" indent="0" shrinkToFit="false"/>
      <protection locked="true" hidden="true"/>
    </xf>
    <xf numFmtId="164" fontId="12" fillId="0" borderId="18" xfId="24" applyFont="true" applyBorder="true" applyAlignment="true" applyProtection="true">
      <alignment horizontal="center" vertical="center" textRotation="0" wrapText="false" indent="0" shrinkToFit="false"/>
      <protection locked="true" hidden="true"/>
    </xf>
    <xf numFmtId="164" fontId="7" fillId="0" borderId="18" xfId="24" applyFont="true" applyBorder="true" applyAlignment="true" applyProtection="true">
      <alignment horizontal="center" vertical="center" textRotation="0" wrapText="false" indent="0" shrinkToFit="false"/>
      <protection locked="true" hidden="true"/>
    </xf>
    <xf numFmtId="164" fontId="12" fillId="0" borderId="14" xfId="24" applyFont="true" applyBorder="true" applyAlignment="true" applyProtection="true">
      <alignment horizontal="center" vertical="center" textRotation="0" wrapText="false" indent="0" shrinkToFit="false"/>
      <protection locked="true" hidden="true"/>
    </xf>
    <xf numFmtId="164" fontId="7" fillId="0" borderId="18" xfId="24" applyFont="true" applyBorder="true" applyAlignment="false" applyProtection="true">
      <alignment horizontal="general" vertical="bottom" textRotation="0" wrapText="false" indent="0" shrinkToFit="false"/>
      <protection locked="true" hidden="true"/>
    </xf>
    <xf numFmtId="164" fontId="12" fillId="0" borderId="18" xfId="24" applyFont="true" applyBorder="true" applyAlignment="false" applyProtection="true">
      <alignment horizontal="general" vertical="bottom" textRotation="0" wrapText="false" indent="0" shrinkToFit="false"/>
      <protection locked="true" hidden="true"/>
    </xf>
    <xf numFmtId="164" fontId="12" fillId="0" borderId="9" xfId="24" applyFont="true" applyBorder="true" applyAlignment="true" applyProtection="true">
      <alignment horizontal="center" vertical="bottom" textRotation="0" wrapText="false" indent="0" shrinkToFit="false"/>
      <protection locked="true" hidden="true"/>
    </xf>
    <xf numFmtId="164" fontId="5" fillId="0" borderId="28" xfId="24" applyFont="true" applyBorder="true" applyAlignment="false" applyProtection="true">
      <alignment horizontal="general" vertical="bottom" textRotation="0" wrapText="false" indent="0" shrinkToFit="false"/>
      <protection locked="true" hidden="true"/>
    </xf>
    <xf numFmtId="164" fontId="5" fillId="0" borderId="16" xfId="24" applyFont="true" applyBorder="true" applyAlignment="false" applyProtection="true">
      <alignment horizontal="general" vertical="bottom" textRotation="0" wrapText="false" indent="0" shrinkToFit="false"/>
      <protection locked="true" hidden="true"/>
    </xf>
    <xf numFmtId="164" fontId="5" fillId="0" borderId="29" xfId="24" applyFont="true" applyBorder="true" applyAlignment="false" applyProtection="true">
      <alignment horizontal="general" vertical="bottom" textRotation="0" wrapText="false" indent="0" shrinkToFit="false"/>
      <protection locked="true" hidden="true"/>
    </xf>
    <xf numFmtId="165" fontId="10" fillId="2" borderId="24" xfId="24" applyFont="true" applyBorder="true" applyAlignment="true" applyProtection="true">
      <alignment horizontal="center" vertical="bottom" textRotation="0" wrapText="false" indent="0" shrinkToFit="false"/>
      <protection locked="false" hidden="false"/>
    </xf>
    <xf numFmtId="164" fontId="5" fillId="2" borderId="9" xfId="24" applyFont="true" applyBorder="true" applyAlignment="false" applyProtection="true">
      <alignment horizontal="general" vertical="bottom" textRotation="0" wrapText="false" indent="0" shrinkToFit="false"/>
      <protection locked="true" hidden="true"/>
    </xf>
    <xf numFmtId="166" fontId="5" fillId="0" borderId="24" xfId="24" applyFont="true" applyBorder="true" applyAlignment="false" applyProtection="true">
      <alignment horizontal="general" vertical="bottom" textRotation="0" wrapText="false" indent="0" shrinkToFit="false"/>
      <protection locked="false" hidden="false"/>
    </xf>
    <xf numFmtId="171" fontId="5" fillId="0" borderId="24" xfId="19" applyFont="true" applyBorder="true" applyAlignment="true" applyProtection="true">
      <alignment horizontal="center" vertical="bottom" textRotation="0" wrapText="false" indent="0" shrinkToFit="false"/>
      <protection locked="false" hidden="false"/>
    </xf>
    <xf numFmtId="165" fontId="12" fillId="0" borderId="24" xfId="24" applyFont="true" applyBorder="true" applyAlignment="true" applyProtection="true">
      <alignment horizontal="center" vertical="bottom" textRotation="0" wrapText="false" indent="0" shrinkToFit="false"/>
      <protection locked="false" hidden="false"/>
    </xf>
    <xf numFmtId="164" fontId="5" fillId="0" borderId="24" xfId="24" applyFont="true" applyBorder="true" applyAlignment="false" applyProtection="true">
      <alignment horizontal="general" vertical="bottom" textRotation="0" wrapText="false" indent="0" shrinkToFit="false"/>
      <protection locked="false" hidden="false"/>
    </xf>
    <xf numFmtId="164" fontId="5" fillId="3" borderId="23" xfId="24" applyFont="true" applyBorder="true" applyAlignment="true" applyProtection="true">
      <alignment horizontal="center" vertical="bottom" textRotation="0" wrapText="false" indent="0" shrinkToFit="false"/>
      <protection locked="true" hidden="true"/>
    </xf>
    <xf numFmtId="164" fontId="5" fillId="0" borderId="23" xfId="24" applyFont="true" applyBorder="true" applyAlignment="false" applyProtection="true">
      <alignment horizontal="general" vertical="bottom" textRotation="0" wrapText="false" indent="0" shrinkToFit="false"/>
      <protection locked="false" hidden="false"/>
    </xf>
    <xf numFmtId="171" fontId="5" fillId="0" borderId="10" xfId="19" applyFont="true" applyBorder="true" applyAlignment="true" applyProtection="true">
      <alignment horizontal="general" vertical="bottom" textRotation="0" wrapText="false" indent="0" shrinkToFit="false"/>
      <protection locked="true" hidden="true"/>
    </xf>
    <xf numFmtId="164" fontId="5" fillId="0" borderId="22" xfId="24" applyFont="true" applyBorder="true" applyAlignment="true" applyProtection="true">
      <alignment horizontal="right" vertical="center" textRotation="0" wrapText="false" indent="0" shrinkToFit="false"/>
      <protection locked="true" hidden="true"/>
    </xf>
    <xf numFmtId="166" fontId="8" fillId="4" borderId="20" xfId="15" applyFont="true" applyBorder="true" applyAlignment="true" applyProtection="true">
      <alignment horizontal="right" vertical="center" textRotation="0" wrapText="false" indent="0" shrinkToFit="false"/>
      <protection locked="true" hidden="true"/>
    </xf>
    <xf numFmtId="167" fontId="15" fillId="0" borderId="0" xfId="24" applyFont="true" applyBorder="false" applyAlignment="true" applyProtection="true">
      <alignment horizontal="right" vertical="center" textRotation="0" wrapText="false" indent="0" shrinkToFit="false"/>
      <protection locked="true" hidden="true"/>
    </xf>
    <xf numFmtId="167" fontId="15" fillId="0" borderId="8" xfId="24" applyFont="true" applyBorder="true" applyAlignment="true" applyProtection="true">
      <alignment horizontal="right" vertical="center" textRotation="0" wrapText="false" indent="0" shrinkToFit="false"/>
      <protection locked="true" hidden="true"/>
    </xf>
    <xf numFmtId="164" fontId="12" fillId="0" borderId="0" xfId="24" applyFont="true" applyBorder="false" applyAlignment="true" applyProtection="true">
      <alignment horizontal="general" vertical="center" textRotation="0" wrapText="false" indent="0" shrinkToFit="false"/>
      <protection locked="true" hidden="true"/>
    </xf>
    <xf numFmtId="167" fontId="12" fillId="0" borderId="0" xfId="24" applyFont="true" applyBorder="false" applyAlignment="true" applyProtection="true">
      <alignment horizontal="general" vertical="center" textRotation="0" wrapText="false" indent="0" shrinkToFit="false"/>
      <protection locked="true" hidden="true"/>
    </xf>
    <xf numFmtId="167" fontId="12" fillId="0" borderId="8" xfId="24" applyFont="true" applyBorder="true" applyAlignment="true" applyProtection="true">
      <alignment horizontal="general" vertical="center" textRotation="0" wrapText="false" indent="0" shrinkToFit="false"/>
      <protection locked="true" hidden="true"/>
    </xf>
    <xf numFmtId="164" fontId="12" fillId="0" borderId="10" xfId="24" applyFont="true" applyBorder="true" applyAlignment="false" applyProtection="true">
      <alignment horizontal="general" vertical="bottom" textRotation="0" wrapText="false" indent="0" shrinkToFit="false"/>
      <protection locked="true" hidden="true"/>
    </xf>
    <xf numFmtId="164" fontId="5" fillId="4" borderId="18" xfId="24" applyFont="true" applyBorder="true" applyAlignment="false" applyProtection="true">
      <alignment horizontal="general" vertical="bottom" textRotation="0" wrapText="false" indent="0" shrinkToFit="false"/>
      <protection locked="true" hidden="true"/>
    </xf>
    <xf numFmtId="167" fontId="15" fillId="0" borderId="18" xfId="24" applyFont="true" applyBorder="true" applyAlignment="true" applyProtection="true">
      <alignment horizontal="right" vertical="center" textRotation="0" wrapText="false" indent="0" shrinkToFit="false"/>
      <protection locked="true" hidden="true"/>
    </xf>
    <xf numFmtId="167" fontId="15" fillId="0" borderId="14" xfId="24" applyFont="true" applyBorder="true" applyAlignment="true" applyProtection="true">
      <alignment horizontal="right" vertical="center" textRotation="0" wrapText="false" indent="0" shrinkToFit="false"/>
      <protection locked="true" hidden="true"/>
    </xf>
    <xf numFmtId="167" fontId="15" fillId="0" borderId="16" xfId="24" applyFont="true" applyBorder="true" applyAlignment="true" applyProtection="true">
      <alignment horizontal="right" vertical="top" textRotation="0" wrapText="false" indent="0" shrinkToFit="false"/>
      <protection locked="true" hidden="true"/>
    </xf>
    <xf numFmtId="164" fontId="21" fillId="0" borderId="0" xfId="0" applyFont="true" applyBorder="false" applyAlignment="false" applyProtection="false">
      <alignment horizontal="general" vertical="bottom" textRotation="0" wrapText="false" indent="0" shrinkToFit="false"/>
      <protection locked="true" hidden="false"/>
    </xf>
    <xf numFmtId="165" fontId="11" fillId="2" borderId="0" xfId="24" applyFont="true" applyBorder="false" applyAlignment="false" applyProtection="true">
      <alignment horizontal="general" vertical="bottom" textRotation="0" wrapText="false" indent="0" shrinkToFit="false"/>
      <protection locked="true" hidden="true"/>
    </xf>
    <xf numFmtId="167" fontId="8" fillId="2" borderId="0" xfId="24" applyFont="true" applyBorder="false" applyAlignment="false" applyProtection="true">
      <alignment horizontal="general" vertical="bottom" textRotation="0" wrapText="false" indent="0" shrinkToFit="false"/>
      <protection locked="true" hidden="true"/>
    </xf>
    <xf numFmtId="167" fontId="8" fillId="0" borderId="0" xfId="24" applyFont="true" applyBorder="false" applyAlignment="false" applyProtection="true">
      <alignment horizontal="general" vertical="bottom" textRotation="0" wrapText="false" indent="0" shrinkToFit="false"/>
      <protection locked="true" hidden="true"/>
    </xf>
    <xf numFmtId="164" fontId="4" fillId="2" borderId="0" xfId="24" applyFont="true" applyBorder="false" applyAlignment="false" applyProtection="true">
      <alignment horizontal="general" vertical="bottom" textRotation="0" wrapText="false" indent="0" shrinkToFit="false"/>
      <protection locked="true" hidden="true"/>
    </xf>
    <xf numFmtId="164" fontId="5" fillId="4" borderId="0" xfId="0" applyFont="true" applyBorder="true" applyAlignment="true" applyProtection="true">
      <alignment horizontal="center" vertical="bottom" textRotation="0" wrapText="false" indent="0" shrinkToFit="false"/>
      <protection locked="true" hidden="tru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5" borderId="20" xfId="0" applyFont="true" applyBorder="true" applyAlignment="true" applyProtection="false">
      <alignment horizontal="center" vertical="center" textRotation="0" wrapText="false" indent="0" shrinkToFit="false"/>
      <protection locked="true" hidden="false"/>
    </xf>
    <xf numFmtId="164" fontId="23" fillId="5" borderId="20" xfId="0" applyFont="true" applyBorder="true" applyAlignment="true" applyProtection="false">
      <alignment horizontal="center" vertical="center" textRotation="0" wrapText="true" indent="0" shrinkToFit="false"/>
      <protection locked="true" hidden="false"/>
    </xf>
    <xf numFmtId="165" fontId="24" fillId="2" borderId="20" xfId="0" applyFont="true" applyBorder="true" applyAlignment="true" applyProtection="false">
      <alignment horizontal="left" vertical="center" textRotation="0" wrapText="false" indent="0" shrinkToFit="false"/>
      <protection locked="true" hidden="false"/>
    </xf>
    <xf numFmtId="165" fontId="24" fillId="2" borderId="20" xfId="0" applyFont="true" applyBorder="true" applyAlignment="true" applyProtection="false">
      <alignment horizontal="center" vertical="center" textRotation="0" wrapText="false" indent="0" shrinkToFit="false"/>
      <protection locked="true" hidden="false"/>
    </xf>
    <xf numFmtId="165" fontId="24" fillId="2" borderId="20" xfId="15" applyFont="true" applyBorder="true" applyAlignment="true" applyProtection="true">
      <alignment horizontal="center" vertical="center" textRotation="0" wrapText="false" indent="0" shrinkToFit="false"/>
      <protection locked="true" hidden="false"/>
    </xf>
    <xf numFmtId="165" fontId="21" fillId="0" borderId="20" xfId="0" applyFont="true" applyBorder="true" applyAlignment="true" applyProtection="false">
      <alignment horizontal="left" vertical="center" textRotation="0" wrapText="false" indent="0" shrinkToFit="false"/>
      <protection locked="true" hidden="false"/>
    </xf>
    <xf numFmtId="165" fontId="21" fillId="0" borderId="20" xfId="0" applyFont="true" applyBorder="true" applyAlignment="true" applyProtection="false">
      <alignment horizontal="center" vertical="center" textRotation="0" wrapText="false" indent="0" shrinkToFit="false"/>
      <protection locked="true" hidden="false"/>
    </xf>
    <xf numFmtId="165" fontId="21" fillId="0" borderId="20" xfId="0" applyFont="true" applyBorder="true" applyAlignment="true" applyProtection="false">
      <alignment horizontal="left" vertical="bottom" textRotation="0" wrapText="false" indent="0" shrinkToFit="false"/>
      <protection locked="true" hidden="false"/>
    </xf>
    <xf numFmtId="165" fontId="21" fillId="0" borderId="20" xfId="0" applyFont="true" applyBorder="true" applyAlignment="true" applyProtection="false">
      <alignment horizontal="center" vertical="bottom" textRotation="0" wrapText="false" indent="0" shrinkToFit="false"/>
      <protection locked="true" hidden="false"/>
    </xf>
    <xf numFmtId="165" fontId="21" fillId="0" borderId="20" xfId="0" applyFont="true" applyBorder="true" applyAlignment="false" applyProtection="false">
      <alignment horizontal="general" vertical="bottom" textRotation="0" wrapText="fals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true">
      <alignment horizontal="general" vertical="bottom" textRotation="0" wrapText="false" indent="0" shrinkToFit="false"/>
      <protection locked="true" hidden="true"/>
    </xf>
    <xf numFmtId="164" fontId="0" fillId="4" borderId="0" xfId="0" applyFont="false" applyBorder="false" applyAlignment="false" applyProtection="true">
      <alignment horizontal="general" vertical="bottom" textRotation="0" wrapText="false" indent="0" shrinkToFit="false"/>
      <protection locked="true" hidden="true"/>
    </xf>
    <xf numFmtId="164" fontId="23" fillId="5" borderId="20" xfId="0" applyFont="true" applyBorder="true" applyAlignment="true" applyProtection="false">
      <alignment horizontal="left" vertical="center" textRotation="0" wrapText="true" indent="0" shrinkToFit="false"/>
      <protection locked="true" hidden="false"/>
    </xf>
    <xf numFmtId="165" fontId="24" fillId="0" borderId="20" xfId="0" applyFont="true" applyBorder="true" applyAlignment="true" applyProtection="false">
      <alignment horizontal="left"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1" fillId="2"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8" fontId="24" fillId="2"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left" vertical="center" textRotation="0" wrapText="fals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4" fontId="24" fillId="2" borderId="0" xfId="0" applyFont="true" applyBorder="false" applyAlignment="true" applyProtection="false">
      <alignment horizontal="center" vertical="bottom" textRotation="0" wrapText="false" indent="0" shrinkToFit="false"/>
      <protection locked="true" hidden="false"/>
    </xf>
    <xf numFmtId="164" fontId="29" fillId="6" borderId="30" xfId="0" applyFont="true" applyBorder="true" applyAlignment="true" applyProtection="false">
      <alignment horizontal="center" vertical="center" textRotation="0" wrapText="tru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7" borderId="30" xfId="0" applyFont="true" applyBorder="true" applyAlignment="true" applyProtection="false">
      <alignment horizontal="center" vertical="center" textRotation="0" wrapText="true" indent="0" shrinkToFit="false"/>
      <protection locked="true" hidden="false"/>
    </xf>
    <xf numFmtId="164" fontId="32" fillId="8" borderId="30" xfId="0" applyFont="true" applyBorder="true" applyAlignment="true" applyProtection="false">
      <alignment horizontal="general" vertical="center" textRotation="0" wrapText="true" indent="0" shrinkToFit="false"/>
      <protection locked="true" hidden="false"/>
    </xf>
    <xf numFmtId="165" fontId="30" fillId="2" borderId="30"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35" fillId="0" borderId="26" xfId="0" applyFont="true" applyBorder="true" applyAlignment="true" applyProtection="false">
      <alignment horizontal="center" vertical="center" textRotation="0" wrapText="false" indent="0" shrinkToFit="false"/>
      <protection locked="true" hidden="false"/>
    </xf>
    <xf numFmtId="164" fontId="23" fillId="9" borderId="31" xfId="0" applyFont="true" applyBorder="true" applyAlignment="true" applyProtection="false">
      <alignment horizontal="center" vertical="center" textRotation="0" wrapText="true" indent="0" shrinkToFit="false"/>
      <protection locked="true" hidden="false"/>
    </xf>
    <xf numFmtId="164" fontId="36" fillId="9" borderId="31" xfId="0" applyFont="true" applyBorder="true" applyAlignment="true" applyProtection="false">
      <alignment horizontal="center" vertical="center" textRotation="0" wrapText="true" indent="0" shrinkToFit="false"/>
      <protection locked="true" hidden="false"/>
    </xf>
    <xf numFmtId="164" fontId="36" fillId="9" borderId="32" xfId="0" applyFont="true" applyBorder="true" applyAlignment="true" applyProtection="false">
      <alignment horizontal="center" vertical="center" textRotation="0" wrapText="true" indent="0" shrinkToFit="false"/>
      <protection locked="true" hidden="false"/>
    </xf>
    <xf numFmtId="164" fontId="36" fillId="9" borderId="33" xfId="0" applyFont="true" applyBorder="true" applyAlignment="true" applyProtection="false">
      <alignment horizontal="center" vertical="center" textRotation="0" wrapText="true" indent="0" shrinkToFit="false"/>
      <protection locked="true" hidden="false"/>
    </xf>
    <xf numFmtId="164" fontId="36" fillId="9" borderId="34" xfId="0" applyFont="true" applyBorder="true" applyAlignment="true" applyProtection="false">
      <alignment horizontal="center" vertical="center" textRotation="0" wrapText="true" indent="0" shrinkToFit="false"/>
      <protection locked="true" hidden="false"/>
    </xf>
    <xf numFmtId="164" fontId="36" fillId="9" borderId="35" xfId="0" applyFont="true" applyBorder="true" applyAlignment="true" applyProtection="false">
      <alignment horizontal="center" vertical="center" textRotation="0" wrapText="true" indent="0" shrinkToFit="false"/>
      <protection locked="true" hidden="false"/>
    </xf>
    <xf numFmtId="164" fontId="28" fillId="0" borderId="34" xfId="0" applyFont="true" applyBorder="true" applyAlignment="true" applyProtection="false">
      <alignment horizontal="center" vertical="center" textRotation="0" wrapText="true" indent="0" shrinkToFit="false"/>
      <protection locked="true" hidden="false"/>
    </xf>
    <xf numFmtId="164" fontId="28" fillId="3" borderId="35" xfId="0" applyFont="true" applyBorder="true" applyAlignment="true" applyProtection="false">
      <alignment horizontal="general" vertical="center" textRotation="0" wrapText="true" indent="0" shrinkToFit="false"/>
      <protection locked="true" hidden="false"/>
    </xf>
    <xf numFmtId="164" fontId="28" fillId="3" borderId="35" xfId="0" applyFont="true" applyBorder="true" applyAlignment="true" applyProtection="false">
      <alignment horizontal="center" vertical="center" textRotation="0" wrapText="true" indent="0" shrinkToFit="false"/>
      <protection locked="true" hidden="false"/>
    </xf>
    <xf numFmtId="172" fontId="28" fillId="3" borderId="35" xfId="15" applyFont="true" applyBorder="true" applyAlignment="true" applyProtection="true">
      <alignment horizontal="right" vertical="center" textRotation="0" wrapText="true" indent="0" shrinkToFit="false"/>
      <protection locked="true" hidden="false"/>
    </xf>
    <xf numFmtId="164" fontId="27" fillId="0" borderId="34" xfId="0" applyFont="true" applyBorder="true" applyAlignment="true" applyProtection="false">
      <alignment horizontal="center" vertical="center" textRotation="0" wrapText="true" indent="0" shrinkToFit="false"/>
      <protection locked="true" hidden="false"/>
    </xf>
    <xf numFmtId="164" fontId="27" fillId="0" borderId="35" xfId="0" applyFont="true" applyBorder="true" applyAlignment="true" applyProtection="false">
      <alignment horizontal="general" vertical="center" textRotation="0" wrapText="true" indent="0" shrinkToFit="false"/>
      <protection locked="true" hidden="false"/>
    </xf>
    <xf numFmtId="164" fontId="27" fillId="0" borderId="35" xfId="0" applyFont="true" applyBorder="true" applyAlignment="true" applyProtection="false">
      <alignment horizontal="center" vertical="center" textRotation="0" wrapText="true" indent="0" shrinkToFit="false"/>
      <protection locked="true" hidden="false"/>
    </xf>
    <xf numFmtId="167" fontId="27" fillId="2" borderId="35" xfId="15" applyFont="true" applyBorder="true" applyAlignment="true" applyProtection="true">
      <alignment horizontal="right" vertical="center" textRotation="0" wrapText="true" indent="0" shrinkToFit="false"/>
      <protection locked="true" hidden="false"/>
    </xf>
    <xf numFmtId="167" fontId="27" fillId="0" borderId="35" xfId="15" applyFont="true" applyBorder="true" applyAlignment="true" applyProtection="true">
      <alignment horizontal="right" vertical="center" textRotation="0" wrapText="true" indent="0" shrinkToFit="false"/>
      <protection locked="true" hidden="false"/>
    </xf>
    <xf numFmtId="172" fontId="27" fillId="2" borderId="35" xfId="15" applyFont="true" applyBorder="true" applyAlignment="true" applyProtection="true">
      <alignment horizontal="right" vertical="center" textRotation="0" wrapText="true" indent="0" shrinkToFit="false"/>
      <protection locked="true" hidden="false"/>
    </xf>
    <xf numFmtId="172" fontId="27" fillId="0" borderId="35" xfId="15" applyFont="true" applyBorder="true" applyAlignment="true" applyProtection="true">
      <alignment horizontal="right" vertical="center" textRotation="0" wrapText="true" indent="0" shrinkToFit="false"/>
      <protection locked="true" hidden="false"/>
    </xf>
    <xf numFmtId="172" fontId="21" fillId="0" borderId="0" xfId="15" applyFont="true" applyBorder="true" applyAlignment="true" applyProtection="true">
      <alignment horizontal="general" vertical="bottom" textRotation="0" wrapText="false" indent="0" shrinkToFit="false"/>
      <protection locked="true" hidden="false"/>
    </xf>
    <xf numFmtId="164" fontId="24" fillId="0" borderId="34" xfId="0" applyFont="true" applyBorder="true" applyAlignment="true" applyProtection="false">
      <alignment horizontal="center" vertical="center" textRotation="0" wrapText="true" indent="0" shrinkToFit="false"/>
      <protection locked="true" hidden="false"/>
    </xf>
    <xf numFmtId="164" fontId="24" fillId="3" borderId="35" xfId="0" applyFont="true" applyBorder="true" applyAlignment="true" applyProtection="false">
      <alignment horizontal="general" vertical="center" textRotation="0" wrapText="true" indent="0" shrinkToFit="false"/>
      <protection locked="true" hidden="false"/>
    </xf>
    <xf numFmtId="164" fontId="24" fillId="3" borderId="35" xfId="0" applyFont="true" applyBorder="true" applyAlignment="true" applyProtection="false">
      <alignment horizontal="center" vertical="center" textRotation="0" wrapText="true" indent="0" shrinkToFit="false"/>
      <protection locked="true" hidden="false"/>
    </xf>
    <xf numFmtId="164" fontId="27" fillId="0" borderId="36" xfId="0" applyFont="true" applyBorder="true" applyAlignment="true" applyProtection="false">
      <alignment horizontal="general" vertical="center" textRotation="0" wrapText="true" indent="0" shrinkToFit="false"/>
      <protection locked="true" hidden="false"/>
    </xf>
    <xf numFmtId="172" fontId="27" fillId="2" borderId="34" xfId="15" applyFont="true" applyBorder="true" applyAlignment="true" applyProtection="true">
      <alignment horizontal="right" vertical="center" textRotation="0" wrapText="true" indent="0" shrinkToFit="false"/>
      <protection locked="true" hidden="false"/>
    </xf>
    <xf numFmtId="172" fontId="27" fillId="0" borderId="34" xfId="15" applyFont="true" applyBorder="true" applyAlignment="true" applyProtection="true">
      <alignment horizontal="right" vertical="center" textRotation="0" wrapText="true" indent="0" shrinkToFit="false"/>
      <protection locked="true" hidden="false"/>
    </xf>
    <xf numFmtId="164" fontId="37" fillId="0" borderId="33" xfId="0" applyFont="true" applyBorder="true" applyAlignment="true" applyProtection="false">
      <alignment horizontal="general" vertical="center" textRotation="0" wrapText="true" indent="0" shrinkToFit="false"/>
      <protection locked="true" hidden="false"/>
    </xf>
    <xf numFmtId="164" fontId="27" fillId="0" borderId="34" xfId="0" applyFont="true" applyBorder="true" applyAlignment="true" applyProtection="false">
      <alignment horizontal="left" vertical="center" textRotation="0" wrapText="true" indent="1" shrinkToFit="false"/>
      <protection locked="true" hidden="false"/>
    </xf>
    <xf numFmtId="172" fontId="21" fillId="0" borderId="0" xfId="0" applyFont="true" applyBorder="false" applyAlignment="false" applyProtection="false">
      <alignment horizontal="general" vertical="bottom" textRotation="0" wrapText="false" indent="0" shrinkToFit="false"/>
      <protection locked="true" hidden="false"/>
    </xf>
    <xf numFmtId="164" fontId="28" fillId="0" borderId="34" xfId="0" applyFont="true" applyBorder="true" applyAlignment="true" applyProtection="false">
      <alignment horizontal="left" vertical="center" textRotation="0" wrapText="true" indent="1" shrinkToFit="false"/>
      <protection locked="true" hidden="false"/>
    </xf>
    <xf numFmtId="172" fontId="27" fillId="2" borderId="35" xfId="15" applyFont="true" applyBorder="true" applyAlignment="true" applyProtection="true">
      <alignment horizontal="center" vertical="center" textRotation="0" wrapText="true" indent="0" shrinkToFit="false"/>
      <protection locked="true" hidden="false"/>
    </xf>
    <xf numFmtId="164" fontId="38" fillId="10" borderId="35" xfId="0" applyFont="true" applyBorder="true" applyAlignment="true" applyProtection="false">
      <alignment horizontal="general" vertical="center" textRotation="0" wrapText="true" indent="0" shrinkToFit="false"/>
      <protection locked="true" hidden="false"/>
    </xf>
    <xf numFmtId="164" fontId="38" fillId="10" borderId="35" xfId="0" applyFont="true" applyBorder="true" applyAlignment="true" applyProtection="false">
      <alignment horizontal="center" vertical="center" textRotation="0" wrapText="true" indent="0" shrinkToFit="false"/>
      <protection locked="true" hidden="false"/>
    </xf>
    <xf numFmtId="172" fontId="38" fillId="10" borderId="35" xfId="15" applyFont="true" applyBorder="true" applyAlignment="true" applyProtection="true">
      <alignment horizontal="right" vertical="center" textRotation="0" wrapText="true" indent="0" shrinkToFit="false"/>
      <protection locked="true" hidden="false"/>
    </xf>
    <xf numFmtId="164" fontId="28" fillId="0" borderId="35" xfId="0" applyFont="true" applyBorder="true" applyAlignment="true" applyProtection="false">
      <alignment horizontal="general" vertical="center" textRotation="0" wrapText="true" indent="0" shrinkToFit="false"/>
      <protection locked="true" hidden="false"/>
    </xf>
    <xf numFmtId="164" fontId="28" fillId="0" borderId="35" xfId="0" applyFont="true" applyBorder="true" applyAlignment="true" applyProtection="false">
      <alignment horizontal="center" vertical="center" textRotation="0" wrapText="true" indent="0" shrinkToFit="false"/>
      <protection locked="true" hidden="false"/>
    </xf>
    <xf numFmtId="172" fontId="28" fillId="2" borderId="35" xfId="15" applyFont="true" applyBorder="true" applyAlignment="true" applyProtection="true">
      <alignment horizontal="right" vertical="center" textRotation="0" wrapText="true" indent="0" shrinkToFit="false"/>
      <protection locked="true" hidden="false"/>
    </xf>
    <xf numFmtId="172" fontId="28" fillId="0" borderId="35" xfId="15" applyFont="true" applyBorder="true" applyAlignment="true" applyProtection="true">
      <alignment horizontal="right" vertical="center" textRotation="0" wrapText="true" indent="0" shrinkToFit="false"/>
      <protection locked="true" hidden="false"/>
    </xf>
    <xf numFmtId="164" fontId="28" fillId="0" borderId="37" xfId="0" applyFont="true" applyBorder="true" applyAlignment="true" applyProtection="false">
      <alignment horizontal="center" vertical="center" textRotation="0" wrapText="true" indent="0" shrinkToFit="false"/>
      <protection locked="true" hidden="false"/>
    </xf>
    <xf numFmtId="164" fontId="38" fillId="7" borderId="38" xfId="0" applyFont="true" applyBorder="true" applyAlignment="true" applyProtection="false">
      <alignment horizontal="general" vertical="center" textRotation="0" wrapText="true" indent="0" shrinkToFit="false"/>
      <protection locked="true" hidden="false"/>
    </xf>
    <xf numFmtId="164" fontId="38" fillId="7" borderId="38" xfId="0" applyFont="true" applyBorder="true" applyAlignment="true" applyProtection="false">
      <alignment horizontal="center" vertical="center" textRotation="0" wrapText="true" indent="0" shrinkToFit="false"/>
      <protection locked="true" hidden="false"/>
    </xf>
    <xf numFmtId="172" fontId="38" fillId="7" borderId="38" xfId="15" applyFont="true" applyBorder="true" applyAlignment="true" applyProtection="true">
      <alignment horizontal="right" vertical="center" textRotation="0" wrapText="tru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72" fontId="26" fillId="0" borderId="0" xfId="0" applyFont="true" applyBorder="false" applyAlignment="false" applyProtection="false">
      <alignment horizontal="general" vertical="bottom" textRotation="0" wrapText="false" indent="0" shrinkToFit="false"/>
      <protection locked="true" hidden="false"/>
    </xf>
    <xf numFmtId="172" fontId="27" fillId="0" borderId="0" xfId="0" applyFont="true" applyBorder="false" applyAlignment="false" applyProtection="false">
      <alignment horizontal="general" vertical="bottom" textRotation="0" wrapText="false" indent="0" shrinkToFit="false"/>
      <protection locked="true" hidden="false"/>
    </xf>
    <xf numFmtId="172" fontId="39"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8" fontId="24" fillId="2" borderId="0" xfId="0" applyFont="true" applyBorder="false" applyAlignment="true" applyProtection="false">
      <alignment horizontal="left"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24" fillId="2" borderId="0" xfId="0" applyFont="true" applyBorder="false" applyAlignment="true" applyProtection="false">
      <alignment horizontal="left" vertical="bottom" textRotation="0" wrapText="false" indent="0" shrinkToFit="false"/>
      <protection locked="true" hidden="false"/>
    </xf>
    <xf numFmtId="164" fontId="26" fillId="0" borderId="34" xfId="0" applyFont="true" applyBorder="true" applyAlignment="true" applyProtection="false">
      <alignment horizontal="center" vertical="center" textRotation="0" wrapText="true" indent="0" shrinkToFit="false"/>
      <protection locked="true" hidden="false"/>
    </xf>
    <xf numFmtId="164" fontId="26" fillId="0" borderId="34" xfId="0" applyFont="true" applyBorder="true" applyAlignment="true" applyProtection="false">
      <alignment horizontal="general" vertical="center" textRotation="0" wrapText="true" indent="0" shrinkToFit="false"/>
      <protection locked="true" hidden="false"/>
    </xf>
    <xf numFmtId="172" fontId="26" fillId="2" borderId="34" xfId="15" applyFont="true" applyBorder="true" applyAlignment="true" applyProtection="true">
      <alignment horizontal="general" vertical="center" textRotation="0" wrapText="true" indent="0" shrinkToFit="false"/>
      <protection locked="true" hidden="false"/>
    </xf>
    <xf numFmtId="164" fontId="26" fillId="0" borderId="34" xfId="0" applyFont="true" applyBorder="true" applyAlignment="true" applyProtection="false">
      <alignment horizontal="left" vertical="center" textRotation="0" wrapText="true" indent="1" shrinkToFit="false"/>
      <protection locked="true" hidden="false"/>
    </xf>
    <xf numFmtId="164" fontId="24" fillId="3" borderId="34" xfId="0" applyFont="true" applyBorder="true" applyAlignment="true" applyProtection="false">
      <alignment horizontal="general" vertical="center" textRotation="0" wrapText="true" indent="0" shrinkToFit="false"/>
      <protection locked="true" hidden="false"/>
    </xf>
    <xf numFmtId="164" fontId="26" fillId="3" borderId="34" xfId="0" applyFont="true" applyBorder="true" applyAlignment="true" applyProtection="false">
      <alignment horizontal="center" vertical="center" textRotation="0" wrapText="true" indent="0" shrinkToFit="false"/>
      <protection locked="true" hidden="false"/>
    </xf>
    <xf numFmtId="172" fontId="24" fillId="3" borderId="34" xfId="15" applyFont="true" applyBorder="true" applyAlignment="true" applyProtection="true">
      <alignment horizontal="general" vertical="center" textRotation="0" wrapText="true" indent="0" shrinkToFit="false"/>
      <protection locked="true" hidden="false"/>
    </xf>
    <xf numFmtId="164" fontId="24" fillId="0" borderId="34" xfId="0" applyFont="true" applyBorder="true" applyAlignment="true" applyProtection="false">
      <alignment horizontal="left" vertical="center" textRotation="0" wrapText="true" indent="1" shrinkToFit="false"/>
      <protection locked="true" hidden="false"/>
    </xf>
    <xf numFmtId="172" fontId="26" fillId="3" borderId="34" xfId="15" applyFont="true" applyBorder="true" applyAlignment="true" applyProtection="true">
      <alignment horizontal="general" vertical="center" textRotation="0" wrapText="true" indent="0" shrinkToFit="false"/>
      <protection locked="true" hidden="false"/>
    </xf>
    <xf numFmtId="164" fontId="36" fillId="10" borderId="34" xfId="0" applyFont="true" applyBorder="true" applyAlignment="true" applyProtection="false">
      <alignment horizontal="general" vertical="center" textRotation="0" wrapText="true" indent="0" shrinkToFit="false"/>
      <protection locked="true" hidden="false"/>
    </xf>
    <xf numFmtId="164" fontId="41" fillId="10" borderId="34" xfId="0" applyFont="true" applyBorder="true" applyAlignment="true" applyProtection="false">
      <alignment horizontal="center" vertical="center" textRotation="0" wrapText="true" indent="0" shrinkToFit="false"/>
      <protection locked="true" hidden="false"/>
    </xf>
    <xf numFmtId="172" fontId="36" fillId="10" borderId="34" xfId="15" applyFont="true" applyBorder="true" applyAlignment="true" applyProtection="true">
      <alignment horizontal="general" vertical="center" textRotation="0" wrapText="true" indent="0" shrinkToFit="false"/>
      <protection locked="true" hidden="false"/>
    </xf>
    <xf numFmtId="164" fontId="36" fillId="10" borderId="34" xfId="0" applyFont="true" applyBorder="true" applyAlignment="true" applyProtection="false">
      <alignment horizontal="center" vertical="center" textRotation="0" wrapText="true" indent="0" shrinkToFit="false"/>
      <protection locked="true" hidden="false"/>
    </xf>
    <xf numFmtId="172" fontId="41" fillId="10" borderId="34" xfId="15" applyFont="true" applyBorder="true" applyAlignment="true" applyProtection="true">
      <alignment horizontal="general" vertical="center" textRotation="0" wrapText="tru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24" fillId="0" borderId="37" xfId="0" applyFont="true" applyBorder="true" applyAlignment="true" applyProtection="false">
      <alignment horizontal="left" vertical="center" textRotation="0" wrapText="true" indent="1" shrinkToFit="false"/>
      <protection locked="true" hidden="false"/>
    </xf>
    <xf numFmtId="164" fontId="36" fillId="7" borderId="37" xfId="0" applyFont="true" applyBorder="true" applyAlignment="true" applyProtection="false">
      <alignment horizontal="general" vertical="center" textRotation="0" wrapText="true" indent="0" shrinkToFit="false"/>
      <protection locked="true" hidden="false"/>
    </xf>
    <xf numFmtId="164" fontId="41" fillId="7" borderId="37" xfId="0" applyFont="true" applyBorder="true" applyAlignment="true" applyProtection="false">
      <alignment horizontal="center" vertical="center" textRotation="0" wrapText="true" indent="0" shrinkToFit="false"/>
      <protection locked="true" hidden="false"/>
    </xf>
    <xf numFmtId="172" fontId="36" fillId="7" borderId="37" xfId="15" applyFont="true" applyBorder="true" applyAlignment="true" applyProtection="true">
      <alignment horizontal="right"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6" fillId="0" borderId="0" xfId="0" applyFont="true" applyBorder="true" applyAlignment="true" applyProtection="false">
      <alignment horizontal="left" vertical="bottom" textRotation="0" wrapText="false" indent="0" shrinkToFit="false"/>
      <protection locked="true" hidden="false"/>
    </xf>
    <xf numFmtId="164" fontId="43" fillId="0" borderId="26" xfId="0" applyFont="true" applyBorder="true" applyAlignment="true" applyProtection="false">
      <alignment horizontal="center" vertical="center" textRotation="0" wrapText="false" indent="0" shrinkToFit="false"/>
      <protection locked="true" hidden="false"/>
    </xf>
    <xf numFmtId="164" fontId="44" fillId="9" borderId="31" xfId="0" applyFont="true" applyBorder="true" applyAlignment="true" applyProtection="false">
      <alignment horizontal="center" vertical="center" textRotation="0" wrapText="true" indent="0" shrinkToFit="false"/>
      <protection locked="true" hidden="false"/>
    </xf>
    <xf numFmtId="164" fontId="45" fillId="9" borderId="31" xfId="0" applyFont="true" applyBorder="true" applyAlignment="true" applyProtection="false">
      <alignment horizontal="center" vertical="center" textRotation="0" wrapText="true" indent="0" shrinkToFit="false"/>
      <protection locked="true" hidden="false"/>
    </xf>
    <xf numFmtId="164" fontId="44" fillId="9" borderId="34" xfId="0" applyFont="true" applyBorder="true" applyAlignment="true" applyProtection="false">
      <alignment horizontal="center" vertical="center" textRotation="0" wrapText="true" indent="0" shrinkToFit="false"/>
      <protection locked="true" hidden="false"/>
    </xf>
    <xf numFmtId="164" fontId="27" fillId="0" borderId="34" xfId="0" applyFont="true" applyBorder="true" applyAlignment="true" applyProtection="false">
      <alignment horizontal="general" vertical="center" textRotation="0" wrapText="true" indent="0" shrinkToFit="false"/>
      <protection locked="true" hidden="false"/>
    </xf>
    <xf numFmtId="164" fontId="46" fillId="0" borderId="34" xfId="0" applyFont="true" applyBorder="true" applyAlignment="true" applyProtection="false">
      <alignment horizontal="center" vertical="center" textRotation="0" wrapText="true" indent="0" shrinkToFit="false"/>
      <protection locked="true" hidden="false"/>
    </xf>
    <xf numFmtId="164" fontId="39" fillId="0" borderId="34" xfId="0" applyFont="true" applyBorder="true" applyAlignment="true" applyProtection="false">
      <alignment horizontal="center" vertical="center" textRotation="0" wrapText="true" indent="0" shrinkToFit="false"/>
      <protection locked="true" hidden="false"/>
    </xf>
    <xf numFmtId="172" fontId="26" fillId="2" borderId="34" xfId="15" applyFont="true" applyBorder="true" applyAlignment="true" applyProtection="true">
      <alignment horizontal="center" vertical="center" textRotation="0" wrapText="true" indent="0" shrinkToFit="false"/>
      <protection locked="true" hidden="false"/>
    </xf>
    <xf numFmtId="164" fontId="38" fillId="10" borderId="34" xfId="0" applyFont="true" applyBorder="true" applyAlignment="true" applyProtection="false">
      <alignment horizontal="right" vertical="center" textRotation="0" wrapText="true" indent="0" shrinkToFit="false"/>
      <protection locked="true" hidden="false"/>
    </xf>
    <xf numFmtId="164" fontId="44" fillId="10" borderId="34" xfId="0" applyFont="true" applyBorder="true" applyAlignment="true" applyProtection="false">
      <alignment horizontal="center" vertical="center" textRotation="0" wrapText="true" indent="0" shrinkToFit="false"/>
      <protection locked="true" hidden="false"/>
    </xf>
    <xf numFmtId="164" fontId="46" fillId="10" borderId="34" xfId="0" applyFont="true" applyBorder="true" applyAlignment="true" applyProtection="false">
      <alignment horizontal="center" vertical="center" textRotation="0" wrapText="true" indent="0" shrinkToFit="false"/>
      <protection locked="true" hidden="false"/>
    </xf>
    <xf numFmtId="172" fontId="36" fillId="10" borderId="34" xfId="15" applyFont="true" applyBorder="true" applyAlignment="true" applyProtection="true">
      <alignment horizontal="center" vertical="center" textRotation="0" wrapText="true" indent="0" shrinkToFit="false"/>
      <protection locked="true" hidden="false"/>
    </xf>
    <xf numFmtId="164" fontId="38" fillId="10" borderId="34" xfId="0" applyFont="true" applyBorder="true" applyAlignment="true" applyProtection="false">
      <alignment horizontal="left" vertical="center" textRotation="0" wrapText="true" indent="9" shrinkToFit="false"/>
      <protection locked="true" hidden="false"/>
    </xf>
    <xf numFmtId="172" fontId="24" fillId="2" borderId="34" xfId="15" applyFont="true" applyBorder="true" applyAlignment="true" applyProtection="true">
      <alignment horizontal="general" vertical="center" textRotation="0" wrapText="true" indent="0" shrinkToFit="false"/>
      <protection locked="true" hidden="false"/>
    </xf>
    <xf numFmtId="164" fontId="38" fillId="10" borderId="34" xfId="0" applyFont="true" applyBorder="true" applyAlignment="true" applyProtection="false">
      <alignment horizontal="general" vertical="center" textRotation="0" wrapText="true" indent="0" shrinkToFit="false"/>
      <protection locked="true" hidden="false"/>
    </xf>
    <xf numFmtId="172" fontId="24" fillId="2" borderId="34" xfId="15" applyFont="true" applyBorder="true" applyAlignment="true" applyProtection="true">
      <alignment horizontal="center" vertical="center" textRotation="0" wrapText="true" indent="0" shrinkToFit="false"/>
      <protection locked="true" hidden="false"/>
    </xf>
    <xf numFmtId="164" fontId="28" fillId="4" borderId="34" xfId="0" applyFont="true" applyBorder="true" applyAlignment="true" applyProtection="false">
      <alignment horizontal="justify" vertical="center" textRotation="0" wrapText="true" indent="0" shrinkToFit="false"/>
      <protection locked="true" hidden="false"/>
    </xf>
    <xf numFmtId="164" fontId="46" fillId="4" borderId="34" xfId="0" applyFont="true" applyBorder="true" applyAlignment="true" applyProtection="false">
      <alignment horizontal="center" vertical="center" textRotation="0" wrapText="true" indent="0" shrinkToFit="false"/>
      <protection locked="true" hidden="false"/>
    </xf>
    <xf numFmtId="172" fontId="24" fillId="4" borderId="34" xfId="15" applyFont="true" applyBorder="true" applyAlignment="true" applyProtection="true">
      <alignment horizontal="center" vertical="center" textRotation="0" wrapText="true" indent="0" shrinkToFit="false"/>
      <protection locked="true" hidden="false"/>
    </xf>
    <xf numFmtId="164" fontId="28" fillId="4" borderId="34" xfId="0" applyFont="true" applyBorder="true" applyAlignment="true" applyProtection="false">
      <alignment horizontal="general" vertical="center" textRotation="0" wrapText="true" indent="0" shrinkToFit="false"/>
      <protection locked="true" hidden="false"/>
    </xf>
    <xf numFmtId="164" fontId="38" fillId="7" borderId="37" xfId="0" applyFont="true" applyBorder="true" applyAlignment="true" applyProtection="false">
      <alignment horizontal="left" vertical="center" textRotation="0" wrapText="true" indent="15" shrinkToFit="false"/>
      <protection locked="true" hidden="false"/>
    </xf>
    <xf numFmtId="164" fontId="44" fillId="7" borderId="37" xfId="0" applyFont="true" applyBorder="true" applyAlignment="true" applyProtection="false">
      <alignment horizontal="center" vertical="center" textRotation="0" wrapText="true" indent="0" shrinkToFit="false"/>
      <protection locked="true" hidden="false"/>
    </xf>
    <xf numFmtId="172" fontId="44" fillId="7" borderId="37" xfId="15" applyFont="true" applyBorder="true" applyAlignment="true" applyProtection="true">
      <alignment horizontal="center" vertical="center" textRotation="0" wrapText="true" indent="0" shrinkToFit="false"/>
      <protection locked="true" hidden="false"/>
    </xf>
    <xf numFmtId="164" fontId="47" fillId="0" borderId="0" xfId="0" applyFont="true" applyBorder="fals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left" vertical="center" textRotation="0" wrapText="false" indent="5" shrinkToFit="false"/>
      <protection locked="true" hidden="false"/>
    </xf>
    <xf numFmtId="164" fontId="48" fillId="0" borderId="26" xfId="0" applyFont="true" applyBorder="true" applyAlignment="true" applyProtection="false">
      <alignment horizontal="center" vertical="center" textRotation="0" wrapText="false" indent="0" shrinkToFit="false"/>
      <protection locked="true" hidden="false"/>
    </xf>
    <xf numFmtId="164" fontId="49" fillId="9" borderId="31" xfId="0" applyFont="true" applyBorder="true" applyAlignment="true" applyProtection="false">
      <alignment horizontal="center" vertical="center" textRotation="0" wrapText="true" indent="0" shrinkToFit="false"/>
      <protection locked="true" hidden="false"/>
    </xf>
    <xf numFmtId="164" fontId="38" fillId="9" borderId="31" xfId="0" applyFont="true" applyBorder="true" applyAlignment="true" applyProtection="false">
      <alignment horizontal="center" vertical="center" textRotation="0" wrapText="true" indent="0" shrinkToFit="false"/>
      <protection locked="true" hidden="false"/>
    </xf>
    <xf numFmtId="164" fontId="38" fillId="9" borderId="32" xfId="0" applyFont="true" applyBorder="true" applyAlignment="true" applyProtection="false">
      <alignment horizontal="center" vertical="center" textRotation="0" wrapText="true" indent="0" shrinkToFit="false"/>
      <protection locked="true" hidden="false"/>
    </xf>
    <xf numFmtId="164" fontId="38" fillId="9" borderId="33" xfId="0" applyFont="true" applyBorder="true" applyAlignment="true" applyProtection="false">
      <alignment horizontal="center" vertical="center" textRotation="0" wrapText="true" indent="0" shrinkToFit="false"/>
      <protection locked="true" hidden="false"/>
    </xf>
    <xf numFmtId="164" fontId="38" fillId="7" borderId="36" xfId="0" applyFont="true" applyBorder="true" applyAlignment="true" applyProtection="false">
      <alignment horizontal="left" vertical="center" textRotation="0" wrapText="true" indent="0" shrinkToFit="false"/>
      <protection locked="true" hidden="false"/>
    </xf>
    <xf numFmtId="164" fontId="38" fillId="7" borderId="34" xfId="0" applyFont="true" applyBorder="true" applyAlignment="true" applyProtection="false">
      <alignment horizontal="center" vertical="center" textRotation="0" wrapText="true" indent="0" shrinkToFit="false"/>
      <protection locked="true" hidden="false"/>
    </xf>
    <xf numFmtId="164" fontId="27" fillId="7" borderId="34" xfId="0" applyFont="true" applyBorder="true" applyAlignment="true" applyProtection="false">
      <alignment horizontal="center" vertical="center" textRotation="0" wrapText="true" indent="0" shrinkToFit="false"/>
      <protection locked="true" hidden="false"/>
    </xf>
    <xf numFmtId="172" fontId="38" fillId="2" borderId="34" xfId="15" applyFont="true" applyBorder="true" applyAlignment="true" applyProtection="true">
      <alignment horizontal="center" vertical="center" textRotation="0" wrapText="true" indent="0" shrinkToFit="false"/>
      <protection locked="true" hidden="false"/>
    </xf>
    <xf numFmtId="164" fontId="38" fillId="7" borderId="33" xfId="0" applyFont="true" applyBorder="true" applyAlignment="true" applyProtection="false">
      <alignment horizontal="left" vertical="center" textRotation="0" wrapText="true" indent="0" shrinkToFit="false"/>
      <protection locked="true" hidden="false"/>
    </xf>
    <xf numFmtId="164" fontId="28" fillId="3" borderId="34" xfId="0" applyFont="true" applyBorder="true" applyAlignment="true" applyProtection="false">
      <alignment horizontal="left" vertical="center" textRotation="0" wrapText="true" indent="0" shrinkToFit="false"/>
      <protection locked="true" hidden="false"/>
    </xf>
    <xf numFmtId="164" fontId="27" fillId="3" borderId="34" xfId="0" applyFont="true" applyBorder="true" applyAlignment="true" applyProtection="false">
      <alignment horizontal="center" vertical="center" textRotation="0" wrapText="true" indent="0" shrinkToFit="false"/>
      <protection locked="true" hidden="false"/>
    </xf>
    <xf numFmtId="164" fontId="27" fillId="3" borderId="34" xfId="0" applyFont="true" applyBorder="true" applyAlignment="true" applyProtection="false">
      <alignment horizontal="general" vertical="center" textRotation="0" wrapText="true" indent="0" shrinkToFit="false"/>
      <protection locked="true" hidden="false"/>
    </xf>
    <xf numFmtId="172" fontId="27" fillId="3" borderId="34" xfId="15" applyFont="true" applyBorder="true" applyAlignment="true" applyProtection="true">
      <alignment horizontal="general" vertical="center" textRotation="0" wrapText="true" indent="0" shrinkToFit="false"/>
      <protection locked="true" hidden="false"/>
    </xf>
    <xf numFmtId="172" fontId="27" fillId="3" borderId="33" xfId="15" applyFont="true" applyBorder="true" applyAlignment="true" applyProtection="true">
      <alignment horizontal="general" vertical="center" textRotation="0" wrapText="true" indent="0" shrinkToFit="false"/>
      <protection locked="true" hidden="false"/>
    </xf>
    <xf numFmtId="164" fontId="28" fillId="0" borderId="34" xfId="0" applyFont="true" applyBorder="true" applyAlignment="true" applyProtection="false">
      <alignment horizontal="left" vertical="center" textRotation="0" wrapText="true" indent="0" shrinkToFit="false"/>
      <protection locked="true" hidden="false"/>
    </xf>
    <xf numFmtId="164" fontId="28" fillId="0" borderId="34" xfId="0" applyFont="true" applyBorder="true" applyAlignment="true" applyProtection="false">
      <alignment horizontal="general" vertical="center" textRotation="0" wrapText="true" indent="0" shrinkToFit="false"/>
      <protection locked="true" hidden="false"/>
    </xf>
    <xf numFmtId="172" fontId="52" fillId="2" borderId="34" xfId="15" applyFont="true" applyBorder="true" applyAlignment="true" applyProtection="true">
      <alignment horizontal="general" vertical="center" textRotation="0" wrapText="true" indent="0" shrinkToFit="false"/>
      <protection locked="true" hidden="false"/>
    </xf>
    <xf numFmtId="164" fontId="27" fillId="0" borderId="34" xfId="0" applyFont="true" applyBorder="true" applyAlignment="true" applyProtection="false">
      <alignment horizontal="left" vertical="center" textRotation="0" wrapText="true" indent="0" shrinkToFit="false"/>
      <protection locked="true" hidden="false"/>
    </xf>
    <xf numFmtId="172" fontId="54" fillId="2" borderId="34" xfId="15" applyFont="true" applyBorder="true" applyAlignment="true" applyProtection="true">
      <alignment horizontal="general" vertical="center" textRotation="0" wrapText="true" indent="0" shrinkToFit="false"/>
      <protection locked="true" hidden="false"/>
    </xf>
    <xf numFmtId="164" fontId="28" fillId="0" borderId="39" xfId="0" applyFont="true" applyBorder="true" applyAlignment="true" applyProtection="false">
      <alignment horizontal="left" vertical="center" textRotation="0" wrapText="true" indent="0" shrinkToFit="false"/>
      <protection locked="true" hidden="false"/>
    </xf>
    <xf numFmtId="172" fontId="46" fillId="0" borderId="40" xfId="0" applyFont="true" applyBorder="true" applyAlignment="true" applyProtection="false">
      <alignment horizontal="left" vertical="center" textRotation="0" wrapText="true" indent="0" shrinkToFit="false"/>
      <protection locked="true" hidden="false"/>
    </xf>
    <xf numFmtId="172" fontId="46" fillId="0" borderId="35" xfId="0" applyFont="true" applyBorder="true" applyAlignment="true" applyProtection="false">
      <alignment horizontal="left" vertical="center" textRotation="0" wrapText="true" indent="0" shrinkToFit="false"/>
      <protection locked="true" hidden="false"/>
    </xf>
    <xf numFmtId="172" fontId="27" fillId="0" borderId="34" xfId="15" applyFont="true" applyBorder="true" applyAlignment="true" applyProtection="true">
      <alignment horizontal="general" vertical="center" textRotation="0" wrapText="true" indent="0" shrinkToFit="false"/>
      <protection locked="true" hidden="false"/>
    </xf>
    <xf numFmtId="172" fontId="28" fillId="0" borderId="34" xfId="15" applyFont="true" applyBorder="true" applyAlignment="true" applyProtection="true">
      <alignment horizontal="general" vertical="center" textRotation="0" wrapText="true" indent="0" shrinkToFit="false"/>
      <protection locked="true" hidden="false"/>
    </xf>
    <xf numFmtId="164" fontId="38" fillId="10" borderId="34" xfId="0" applyFont="true" applyBorder="true" applyAlignment="true" applyProtection="false">
      <alignment horizontal="left" vertical="center" textRotation="0" wrapText="true" indent="0" shrinkToFit="false"/>
      <protection locked="true" hidden="false"/>
    </xf>
    <xf numFmtId="164" fontId="38" fillId="10" borderId="34" xfId="0" applyFont="true" applyBorder="true" applyAlignment="true" applyProtection="false">
      <alignment horizontal="center" vertical="center" textRotation="0" wrapText="true" indent="0" shrinkToFit="false"/>
      <protection locked="true" hidden="false"/>
    </xf>
    <xf numFmtId="164" fontId="51" fillId="10" borderId="34" xfId="0" applyFont="true" applyBorder="true" applyAlignment="true" applyProtection="false">
      <alignment horizontal="general" vertical="center" textRotation="0" wrapText="true" indent="0" shrinkToFit="false"/>
      <protection locked="true" hidden="false"/>
    </xf>
    <xf numFmtId="172" fontId="38" fillId="10" borderId="34" xfId="15" applyFont="true" applyBorder="true" applyAlignment="true" applyProtection="true">
      <alignment horizontal="general" vertical="center" textRotation="0" wrapText="true" indent="0" shrinkToFit="false"/>
      <protection locked="true" hidden="false"/>
    </xf>
    <xf numFmtId="172" fontId="27" fillId="2" borderId="34" xfId="15" applyFont="true" applyBorder="true" applyAlignment="true" applyProtection="true">
      <alignment horizontal="general" vertical="center" textRotation="0" wrapText="true" indent="0" shrinkToFit="false"/>
      <protection locked="true" hidden="false"/>
    </xf>
    <xf numFmtId="172" fontId="51" fillId="10" borderId="34" xfId="15" applyFont="true" applyBorder="true" applyAlignment="true" applyProtection="true">
      <alignment horizontal="general" vertical="center" textRotation="0" wrapText="true" indent="0" shrinkToFit="false"/>
      <protection locked="true" hidden="false"/>
    </xf>
    <xf numFmtId="164" fontId="28" fillId="4" borderId="34" xfId="0" applyFont="true" applyBorder="true" applyAlignment="true" applyProtection="false">
      <alignment horizontal="left" vertical="center" textRotation="0" wrapText="true" indent="0" shrinkToFit="false"/>
      <protection locked="true" hidden="false"/>
    </xf>
    <xf numFmtId="164" fontId="28" fillId="4" borderId="34" xfId="0" applyFont="true" applyBorder="true" applyAlignment="true" applyProtection="false">
      <alignment horizontal="center" vertical="center" textRotation="0" wrapText="true" indent="0" shrinkToFit="false"/>
      <protection locked="true" hidden="false"/>
    </xf>
    <xf numFmtId="164" fontId="51" fillId="4" borderId="34" xfId="0" applyFont="true" applyBorder="true" applyAlignment="true" applyProtection="false">
      <alignment horizontal="general" vertical="center" textRotation="0" wrapText="true" indent="0" shrinkToFit="false"/>
      <protection locked="true" hidden="false"/>
    </xf>
    <xf numFmtId="172" fontId="28" fillId="4" borderId="34" xfId="15" applyFont="true" applyBorder="true" applyAlignment="true" applyProtection="true">
      <alignment horizontal="general" vertical="center" textRotation="0" wrapText="true" indent="0" shrinkToFit="false"/>
      <protection locked="true" hidden="false"/>
    </xf>
    <xf numFmtId="164" fontId="38" fillId="4" borderId="34" xfId="0" applyFont="true" applyBorder="true" applyAlignment="true" applyProtection="false">
      <alignment horizontal="general" vertical="center" textRotation="0" wrapText="true" indent="0" shrinkToFit="false"/>
      <protection locked="true" hidden="false"/>
    </xf>
    <xf numFmtId="164" fontId="38" fillId="7" borderId="34" xfId="0" applyFont="true" applyBorder="true" applyAlignment="true" applyProtection="false">
      <alignment horizontal="left" vertical="center" textRotation="0" wrapText="true" indent="0" shrinkToFit="false"/>
      <protection locked="true" hidden="false"/>
    </xf>
    <xf numFmtId="164" fontId="38" fillId="7" borderId="37" xfId="0" applyFont="true" applyBorder="true" applyAlignment="true" applyProtection="false">
      <alignment horizontal="center" vertical="center" textRotation="0" wrapText="true" indent="0" shrinkToFit="false"/>
      <protection locked="true" hidden="false"/>
    </xf>
    <xf numFmtId="172" fontId="38" fillId="2" borderId="37" xfId="15" applyFont="true" applyBorder="true" applyAlignment="true" applyProtection="true">
      <alignment horizontal="center" vertical="center" textRotation="0" wrapText="true" indent="0" shrinkToFit="false"/>
      <protection locked="true" hidden="false"/>
    </xf>
    <xf numFmtId="172" fontId="0" fillId="0" borderId="0" xfId="15" applyFont="true" applyBorder="true" applyAlignment="true" applyProtection="true">
      <alignment horizontal="general" vertical="bottom" textRotation="0" wrapText="false" indent="0" shrinkToFit="false"/>
      <protection locked="true" hidden="false"/>
    </xf>
    <xf numFmtId="164" fontId="51" fillId="7" borderId="37" xfId="0" applyFont="true" applyBorder="true" applyAlignment="true" applyProtection="false">
      <alignment horizontal="left" vertical="center" textRotation="0" wrapText="true" indent="0" shrinkToFit="false"/>
      <protection locked="true" hidden="false"/>
    </xf>
    <xf numFmtId="164" fontId="46" fillId="0" borderId="2" xfId="0" applyFont="true" applyBorder="true" applyAlignment="true" applyProtection="false">
      <alignment horizontal="left" vertical="center" textRotation="0" wrapText="true" indent="0" shrinkToFit="false"/>
      <protection locked="true" hidden="false"/>
    </xf>
    <xf numFmtId="172" fontId="57" fillId="0" borderId="0" xfId="15" applyFont="true" applyBorder="true" applyAlignment="true" applyProtection="true">
      <alignment horizontal="general" vertical="bottom" textRotation="0" wrapText="false" indent="0" shrinkToFit="false"/>
      <protection locked="true" hidden="false"/>
    </xf>
    <xf numFmtId="172" fontId="57"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justify" vertical="center" textRotation="0" wrapText="false" indent="0" shrinkToFit="false"/>
      <protection locked="true" hidden="false"/>
    </xf>
    <xf numFmtId="164" fontId="26" fillId="2" borderId="0" xfId="0" applyFont="true" applyBorder="false" applyAlignment="true" applyProtection="false">
      <alignment horizontal="general" vertical="center" textRotation="0" wrapText="false" indent="0" shrinkToFit="false"/>
      <protection locked="true" hidden="false"/>
    </xf>
    <xf numFmtId="164" fontId="26" fillId="2" borderId="0" xfId="0" applyFont="true" applyBorder="false" applyAlignment="true" applyProtection="false">
      <alignment horizontal="left" vertical="center" textRotation="0" wrapText="false" indent="0" shrinkToFit="false"/>
      <protection locked="true" hidden="false"/>
    </xf>
    <xf numFmtId="164" fontId="38" fillId="9" borderId="1" xfId="0" applyFont="true" applyBorder="true" applyAlignment="true" applyProtection="false">
      <alignment horizontal="center" vertical="center" textRotation="0" wrapText="true" indent="0" shrinkToFit="false"/>
      <protection locked="true" hidden="false"/>
    </xf>
    <xf numFmtId="164" fontId="38" fillId="9" borderId="32" xfId="0" applyFont="true" applyBorder="true" applyAlignment="true" applyProtection="false">
      <alignment horizontal="general" vertical="center" textRotation="0" wrapText="true" indent="0" shrinkToFit="false"/>
      <protection locked="true" hidden="false"/>
    </xf>
    <xf numFmtId="164" fontId="38" fillId="9" borderId="30" xfId="0" applyFont="true" applyBorder="true" applyAlignment="true" applyProtection="false">
      <alignment horizontal="center" vertical="center" textRotation="0" wrapText="true" indent="0" shrinkToFit="false"/>
      <protection locked="true" hidden="false"/>
    </xf>
    <xf numFmtId="164" fontId="38" fillId="9" borderId="30" xfId="0" applyFont="true" applyBorder="true" applyAlignment="true" applyProtection="false">
      <alignment horizontal="justify" vertical="center" textRotation="0" wrapText="true" indent="0" shrinkToFit="false"/>
      <protection locked="true" hidden="false"/>
    </xf>
    <xf numFmtId="164" fontId="38" fillId="9" borderId="30" xfId="0" applyFont="true" applyBorder="true" applyAlignment="true" applyProtection="false">
      <alignment horizontal="general" vertical="center" textRotation="0" wrapText="true" indent="0" shrinkToFit="false"/>
      <protection locked="true" hidden="false"/>
    </xf>
    <xf numFmtId="164" fontId="28" fillId="3" borderId="41" xfId="0" applyFont="true" applyBorder="true" applyAlignment="true" applyProtection="false">
      <alignment horizontal="general" vertical="center" textRotation="0" wrapText="true" indent="0" shrinkToFit="false"/>
      <protection locked="true" hidden="false"/>
    </xf>
    <xf numFmtId="164" fontId="27" fillId="3" borderId="30" xfId="0" applyFont="true" applyBorder="true" applyAlignment="true" applyProtection="false">
      <alignment horizontal="general" vertical="center" textRotation="0" wrapText="true" indent="0" shrinkToFit="false"/>
      <protection locked="true" hidden="false"/>
    </xf>
    <xf numFmtId="172" fontId="27" fillId="3" borderId="30" xfId="15" applyFont="true" applyBorder="true" applyAlignment="true" applyProtection="true">
      <alignment horizontal="right" vertical="center" textRotation="0" wrapText="true" indent="0" shrinkToFit="false"/>
      <protection locked="true" hidden="false"/>
    </xf>
    <xf numFmtId="172" fontId="27" fillId="3" borderId="42" xfId="15" applyFont="true" applyBorder="true" applyAlignment="true" applyProtection="true">
      <alignment horizontal="right" vertical="center" textRotation="0" wrapText="true" indent="0" shrinkToFit="false"/>
      <protection locked="true" hidden="false"/>
    </xf>
    <xf numFmtId="172" fontId="27" fillId="3" borderId="43" xfId="15" applyFont="true" applyBorder="true" applyAlignment="true" applyProtection="true">
      <alignment horizontal="right" vertical="center" textRotation="0" wrapText="true" indent="0" shrinkToFit="false"/>
      <protection locked="true" hidden="false"/>
    </xf>
    <xf numFmtId="172" fontId="27" fillId="3" borderId="44" xfId="15" applyFont="true" applyBorder="true" applyAlignment="true" applyProtection="true">
      <alignment horizontal="right" vertical="center" textRotation="0" wrapText="true" indent="0" shrinkToFit="false"/>
      <protection locked="true" hidden="false"/>
    </xf>
    <xf numFmtId="164" fontId="27" fillId="0" borderId="45" xfId="0" applyFont="true" applyBorder="true" applyAlignment="true" applyProtection="false">
      <alignment horizontal="general" vertical="center" textRotation="0" wrapText="true" indent="0" shrinkToFit="false"/>
      <protection locked="true" hidden="false"/>
    </xf>
    <xf numFmtId="164" fontId="27" fillId="0" borderId="33" xfId="0" applyFont="true" applyBorder="true" applyAlignment="true" applyProtection="false">
      <alignment horizontal="general" vertical="center" textRotation="0" wrapText="true" indent="0" shrinkToFit="false"/>
      <protection locked="true" hidden="false"/>
    </xf>
    <xf numFmtId="172" fontId="27" fillId="0" borderId="33" xfId="15" applyFont="true" applyBorder="true" applyAlignment="true" applyProtection="true">
      <alignment horizontal="right" vertical="center" textRotation="0" wrapText="true" indent="0" shrinkToFit="false"/>
      <protection locked="true" hidden="false"/>
    </xf>
    <xf numFmtId="172" fontId="27" fillId="0" borderId="14" xfId="15" applyFont="true" applyBorder="true" applyAlignment="true" applyProtection="true">
      <alignment horizontal="right" vertical="center" textRotation="0" wrapText="true" indent="0" shrinkToFit="false"/>
      <protection locked="true" hidden="false"/>
    </xf>
    <xf numFmtId="172" fontId="27" fillId="0" borderId="9" xfId="15" applyFont="true" applyBorder="true" applyAlignment="true" applyProtection="true">
      <alignment horizontal="right" vertical="center" textRotation="0" wrapText="true" indent="0" shrinkToFit="false"/>
      <protection locked="true" hidden="false"/>
    </xf>
    <xf numFmtId="172" fontId="27" fillId="0" borderId="15" xfId="15" applyFont="true" applyBorder="true" applyAlignment="true" applyProtection="true">
      <alignment horizontal="right" vertical="center" textRotation="0" wrapText="true" indent="0" shrinkToFit="false"/>
      <protection locked="true" hidden="false"/>
    </xf>
    <xf numFmtId="164" fontId="27" fillId="0" borderId="39" xfId="0" applyFont="true" applyBorder="true" applyAlignment="true" applyProtection="false">
      <alignment horizontal="general" vertical="center" textRotation="0" wrapText="true" indent="0" shrinkToFit="false"/>
      <protection locked="true" hidden="false"/>
    </xf>
    <xf numFmtId="172" fontId="27" fillId="0" borderId="22" xfId="15" applyFont="true" applyBorder="true" applyAlignment="true" applyProtection="true">
      <alignment horizontal="right" vertical="center" textRotation="0" wrapText="true" indent="0" shrinkToFit="false"/>
      <protection locked="true" hidden="false"/>
    </xf>
    <xf numFmtId="172" fontId="27" fillId="0" borderId="20" xfId="15" applyFont="true" applyBorder="true" applyAlignment="true" applyProtection="true">
      <alignment horizontal="right" vertical="center" textRotation="0" wrapText="true" indent="0" shrinkToFit="false"/>
      <protection locked="true" hidden="false"/>
    </xf>
    <xf numFmtId="172" fontId="27" fillId="0" borderId="46" xfId="15" applyFont="true" applyBorder="true" applyAlignment="true" applyProtection="true">
      <alignment horizontal="right" vertical="center" textRotation="0" wrapText="true" indent="0" shrinkToFit="false"/>
      <protection locked="true" hidden="false"/>
    </xf>
    <xf numFmtId="164" fontId="27" fillId="0" borderId="12" xfId="0" applyFont="true" applyBorder="true" applyAlignment="true" applyProtection="false">
      <alignment horizontal="general" vertical="center" textRotation="0" wrapText="true" indent="0" shrinkToFit="false"/>
      <protection locked="true" hidden="false"/>
    </xf>
    <xf numFmtId="172" fontId="27" fillId="0" borderId="36" xfId="15" applyFont="true" applyBorder="true" applyAlignment="true" applyProtection="true">
      <alignment horizontal="right" vertical="center" textRotation="0" wrapText="true" indent="0" shrinkToFit="false"/>
      <protection locked="true" hidden="false"/>
    </xf>
    <xf numFmtId="172" fontId="27" fillId="0" borderId="29" xfId="15" applyFont="true" applyBorder="true" applyAlignment="true" applyProtection="true">
      <alignment horizontal="right" vertical="center" textRotation="0" wrapText="true" indent="0" shrinkToFit="false"/>
      <protection locked="true" hidden="false"/>
    </xf>
    <xf numFmtId="172" fontId="27" fillId="0" borderId="23" xfId="15" applyFont="true" applyBorder="true" applyAlignment="true" applyProtection="true">
      <alignment horizontal="right" vertical="center" textRotation="0" wrapText="true" indent="0" shrinkToFit="false"/>
      <protection locked="true" hidden="false"/>
    </xf>
    <xf numFmtId="172" fontId="27" fillId="0" borderId="47" xfId="15" applyFont="true" applyBorder="true" applyAlignment="true" applyProtection="true">
      <alignment horizontal="right" vertical="center" textRotation="0" wrapText="true" indent="0" shrinkToFit="false"/>
      <protection locked="true" hidden="false"/>
    </xf>
    <xf numFmtId="164" fontId="38" fillId="10" borderId="41" xfId="0" applyFont="true" applyBorder="true" applyAlignment="true" applyProtection="false">
      <alignment horizontal="center" vertical="center" textRotation="0" wrapText="true" indent="0" shrinkToFit="false"/>
      <protection locked="true" hidden="false"/>
    </xf>
    <xf numFmtId="164" fontId="51" fillId="10" borderId="30" xfId="0" applyFont="true" applyBorder="true" applyAlignment="true" applyProtection="false">
      <alignment horizontal="general" vertical="center" textRotation="0" wrapText="true" indent="0" shrinkToFit="false"/>
      <protection locked="true" hidden="false"/>
    </xf>
    <xf numFmtId="172" fontId="38" fillId="10" borderId="30" xfId="15" applyFont="true" applyBorder="true" applyAlignment="true" applyProtection="true">
      <alignment horizontal="general" vertical="center" textRotation="0" wrapText="true" indent="0" shrinkToFit="false"/>
      <protection locked="true" hidden="false"/>
    </xf>
    <xf numFmtId="172" fontId="38" fillId="10" borderId="42" xfId="15" applyFont="true" applyBorder="true" applyAlignment="true" applyProtection="true">
      <alignment horizontal="general" vertical="center" textRotation="0" wrapText="true" indent="0" shrinkToFit="false"/>
      <protection locked="true" hidden="false"/>
    </xf>
    <xf numFmtId="172" fontId="38" fillId="10" borderId="43" xfId="15" applyFont="true" applyBorder="true" applyAlignment="true" applyProtection="true">
      <alignment horizontal="general" vertical="center" textRotation="0" wrapText="true" indent="0" shrinkToFit="false"/>
      <protection locked="true" hidden="false"/>
    </xf>
    <xf numFmtId="172" fontId="38" fillId="10" borderId="44" xfId="15" applyFont="true" applyBorder="true" applyAlignment="true" applyProtection="true">
      <alignment horizontal="general" vertical="center" textRotation="0" wrapText="true" indent="0" shrinkToFit="false"/>
      <protection locked="true" hidden="false"/>
    </xf>
    <xf numFmtId="164" fontId="27" fillId="0" borderId="45" xfId="0" applyFont="true" applyBorder="true" applyAlignment="true" applyProtection="false">
      <alignment horizontal="center" vertical="center" textRotation="0" wrapText="true" indent="0" shrinkToFit="false"/>
      <protection locked="true" hidden="false"/>
    </xf>
    <xf numFmtId="164" fontId="28" fillId="3" borderId="39" xfId="0" applyFont="true" applyBorder="true" applyAlignment="true" applyProtection="false">
      <alignment horizontal="general" vertical="center" textRotation="0" wrapText="true" indent="0" shrinkToFit="false"/>
      <protection locked="true" hidden="false"/>
    </xf>
    <xf numFmtId="172" fontId="27" fillId="3" borderId="34" xfId="15" applyFont="true" applyBorder="true" applyAlignment="true" applyProtection="true">
      <alignment horizontal="right" vertical="center" textRotation="0" wrapText="true" indent="0" shrinkToFit="false"/>
      <protection locked="true" hidden="false"/>
    </xf>
    <xf numFmtId="172" fontId="27" fillId="3" borderId="22" xfId="15" applyFont="true" applyBorder="true" applyAlignment="true" applyProtection="true">
      <alignment horizontal="right" vertical="center" textRotation="0" wrapText="true" indent="0" shrinkToFit="false"/>
      <protection locked="true" hidden="false"/>
    </xf>
    <xf numFmtId="172" fontId="27" fillId="3" borderId="20" xfId="15" applyFont="true" applyBorder="true" applyAlignment="true" applyProtection="true">
      <alignment horizontal="right" vertical="center" textRotation="0" wrapText="true" indent="0" shrinkToFit="false"/>
      <protection locked="true" hidden="false"/>
    </xf>
    <xf numFmtId="172" fontId="27" fillId="3" borderId="46" xfId="15" applyFont="true" applyBorder="true" applyAlignment="true" applyProtection="true">
      <alignment horizontal="right" vertical="center" textRotation="0" wrapText="true" indent="0" shrinkToFit="false"/>
      <protection locked="true" hidden="false"/>
    </xf>
    <xf numFmtId="164" fontId="38" fillId="7" borderId="41" xfId="0" applyFont="true" applyBorder="true" applyAlignment="true" applyProtection="false">
      <alignment horizontal="general" vertical="center" textRotation="0" wrapText="true" indent="0" shrinkToFit="false"/>
      <protection locked="true" hidden="false"/>
    </xf>
    <xf numFmtId="164" fontId="51" fillId="7" borderId="30" xfId="0" applyFont="true" applyBorder="true" applyAlignment="true" applyProtection="false">
      <alignment horizontal="general" vertical="center" textRotation="0" wrapText="true" indent="0" shrinkToFit="false"/>
      <protection locked="true" hidden="false"/>
    </xf>
    <xf numFmtId="172" fontId="38" fillId="7" borderId="30" xfId="15" applyFont="true" applyBorder="true" applyAlignment="true" applyProtection="true">
      <alignment horizontal="general" vertical="center" textRotation="0" wrapText="true" indent="0" shrinkToFit="false"/>
      <protection locked="true" hidden="false"/>
    </xf>
    <xf numFmtId="172" fontId="38" fillId="7" borderId="42" xfId="15" applyFont="true" applyBorder="true" applyAlignment="true" applyProtection="true">
      <alignment horizontal="general" vertical="center" textRotation="0" wrapText="true" indent="0" shrinkToFit="false"/>
      <protection locked="true" hidden="false"/>
    </xf>
    <xf numFmtId="172" fontId="38" fillId="7" borderId="43" xfId="15" applyFont="true" applyBorder="true" applyAlignment="true" applyProtection="true">
      <alignment horizontal="general" vertical="center" textRotation="0" wrapText="true" indent="0" shrinkToFit="false"/>
      <protection locked="true" hidden="false"/>
    </xf>
    <xf numFmtId="172" fontId="38" fillId="7" borderId="44" xfId="15" applyFont="true" applyBorder="true" applyAlignment="true" applyProtection="true">
      <alignment horizontal="general" vertical="center" textRotation="0" wrapText="true" indent="0" shrinkToFit="false"/>
      <protection locked="true" hidden="false"/>
    </xf>
    <xf numFmtId="164" fontId="51" fillId="9" borderId="18" xfId="0" applyFont="true" applyBorder="true" applyAlignment="true" applyProtection="false">
      <alignment horizontal="center" vertical="center" textRotation="0" wrapText="true" indent="0" shrinkToFit="false"/>
      <protection locked="true" hidden="false"/>
    </xf>
    <xf numFmtId="164" fontId="51" fillId="9" borderId="31" xfId="0" applyFont="true" applyBorder="true" applyAlignment="true" applyProtection="false">
      <alignment horizontal="center" vertical="center" textRotation="0" wrapText="true" indent="0" shrinkToFit="false"/>
      <protection locked="true" hidden="false"/>
    </xf>
    <xf numFmtId="172" fontId="27" fillId="0" borderId="40" xfId="15" applyFont="true" applyBorder="true" applyAlignment="true" applyProtection="true">
      <alignment horizontal="right" vertical="center" textRotation="0" wrapText="true" indent="0" shrinkToFit="false"/>
      <protection locked="true" hidden="false"/>
    </xf>
    <xf numFmtId="164" fontId="27" fillId="0" borderId="37" xfId="0" applyFont="true" applyBorder="true" applyAlignment="true" applyProtection="false">
      <alignment horizontal="general" vertical="center" textRotation="0" wrapText="true" indent="0" shrinkToFit="false"/>
      <protection locked="true" hidden="false"/>
    </xf>
    <xf numFmtId="172" fontId="27" fillId="0" borderId="36" xfId="15" applyFont="true" applyBorder="true" applyAlignment="true" applyProtection="true">
      <alignment horizontal="general" vertical="center" textRotation="0" wrapText="true" indent="0" shrinkToFit="false"/>
      <protection locked="true" hidden="false"/>
    </xf>
    <xf numFmtId="172" fontId="27" fillId="0" borderId="16" xfId="15" applyFont="true" applyBorder="true" applyAlignment="true" applyProtection="true">
      <alignment horizontal="right" vertical="center" textRotation="0" wrapText="true" indent="0" shrinkToFit="false"/>
      <protection locked="true" hidden="false"/>
    </xf>
    <xf numFmtId="164" fontId="38" fillId="7" borderId="30" xfId="0" applyFont="true" applyBorder="true" applyAlignment="true" applyProtection="false">
      <alignment horizontal="general" vertical="center" textRotation="0" wrapText="true" indent="0" shrinkToFit="false"/>
      <protection locked="true" hidden="false"/>
    </xf>
    <xf numFmtId="172" fontId="51" fillId="7" borderId="30" xfId="15" applyFont="true" applyBorder="true" applyAlignment="true" applyProtection="true">
      <alignment horizontal="general" vertical="center" textRotation="0" wrapText="true" indent="0" shrinkToFit="false"/>
      <protection locked="true" hidden="false"/>
    </xf>
    <xf numFmtId="172" fontId="38" fillId="7" borderId="48" xfId="15" applyFont="true" applyBorder="true" applyAlignment="true" applyProtection="true">
      <alignment horizontal="right" vertical="center" textRotation="0" wrapText="true" indent="0" shrinkToFit="false"/>
      <protection locked="true" hidden="false"/>
    </xf>
    <xf numFmtId="172" fontId="38" fillId="7" borderId="30" xfId="15" applyFont="true" applyBorder="true" applyAlignment="true" applyProtection="true">
      <alignment horizontal="right" vertical="center" textRotation="0" wrapText="true" indent="0" shrinkToFit="false"/>
      <protection locked="true" hidden="false"/>
    </xf>
    <xf numFmtId="164" fontId="27" fillId="0" borderId="0" xfId="0" applyFont="true" applyBorder="false" applyAlignment="true" applyProtection="false">
      <alignment horizontal="left" vertical="center" textRotation="0" wrapText="false" indent="7" shrinkToFit="false"/>
      <protection locked="true" hidden="false"/>
    </xf>
    <xf numFmtId="164" fontId="61" fillId="0" borderId="0" xfId="0" applyFont="true" applyBorder="false" applyAlignment="true" applyProtection="false">
      <alignment horizontal="general" vertical="center" textRotation="0" wrapText="false" indent="0" shrinkToFit="false"/>
      <protection locked="true" hidden="false"/>
    </xf>
    <xf numFmtId="164" fontId="62" fillId="0" borderId="0" xfId="0" applyFont="true" applyBorder="true" applyAlignment="true" applyProtection="false">
      <alignment horizontal="center" vertical="center" textRotation="0" wrapText="false" indent="0" shrinkToFit="false"/>
      <protection locked="true" hidden="false"/>
    </xf>
    <xf numFmtId="164" fontId="64" fillId="0" borderId="26" xfId="0" applyFont="true" applyBorder="true" applyAlignment="true" applyProtection="false">
      <alignment horizontal="center" vertical="center" textRotation="0" wrapText="false" indent="0" shrinkToFit="false"/>
      <protection locked="true" hidden="false"/>
    </xf>
    <xf numFmtId="164" fontId="65" fillId="10" borderId="32" xfId="0" applyFont="true" applyBorder="true" applyAlignment="true" applyProtection="false">
      <alignment horizontal="center" vertical="center" textRotation="0" wrapText="true" indent="0" shrinkToFit="false"/>
      <protection locked="true" hidden="false"/>
    </xf>
    <xf numFmtId="164" fontId="21" fillId="2" borderId="34" xfId="0" applyFont="true" applyBorder="true" applyAlignment="true" applyProtection="false">
      <alignment horizontal="left" vertical="center" textRotation="0" wrapText="true" indent="0" shrinkToFit="false"/>
      <protection locked="true" hidden="false"/>
    </xf>
    <xf numFmtId="164" fontId="65" fillId="10" borderId="49" xfId="0" applyFont="true" applyBorder="true" applyAlignment="true" applyProtection="false">
      <alignment horizontal="center" vertical="center" textRotation="0" wrapText="true" indent="0" shrinkToFit="false"/>
      <protection locked="true" hidden="false"/>
    </xf>
    <xf numFmtId="164" fontId="21" fillId="2" borderId="36" xfId="0" applyFont="true" applyBorder="true" applyAlignment="true" applyProtection="false">
      <alignment horizontal="left" vertical="center" textRotation="0" wrapText="true" indent="0" shrinkToFit="false"/>
      <protection locked="true" hidden="false"/>
    </xf>
    <xf numFmtId="164" fontId="21" fillId="2" borderId="37" xfId="0" applyFont="true" applyBorder="true" applyAlignment="true" applyProtection="false">
      <alignment horizontal="left" vertical="center" textRotation="0" wrapText="true" indent="0" shrinkToFit="false"/>
      <protection locked="true" hidden="false"/>
    </xf>
    <xf numFmtId="164" fontId="66" fillId="0" borderId="0" xfId="0" applyFont="true" applyBorder="false" applyAlignment="true" applyProtection="false">
      <alignment horizontal="center" vertical="center" textRotation="0" wrapText="false" indent="0" shrinkToFit="false"/>
      <protection locked="true" hidden="false"/>
    </xf>
    <xf numFmtId="164" fontId="67" fillId="0" borderId="0" xfId="0" applyFont="true" applyBorder="false" applyAlignment="fals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center" vertical="center" textRotation="0" wrapText="false" indent="0" shrinkToFit="false"/>
      <protection locked="true" hidden="false"/>
    </xf>
    <xf numFmtId="164" fontId="48" fillId="0" borderId="0" xfId="0" applyFont="true" applyBorder="true" applyAlignment="true" applyProtection="false">
      <alignment horizontal="center" vertical="center" textRotation="0" wrapText="false" indent="0" shrinkToFit="false"/>
      <protection locked="true" hidden="false"/>
    </xf>
    <xf numFmtId="164" fontId="68" fillId="0" borderId="0" xfId="0" applyFont="true" applyBorder="true" applyAlignment="true" applyProtection="false">
      <alignment horizontal="center" vertical="center" textRotation="0" wrapText="false" indent="0" shrinkToFit="false"/>
      <protection locked="true" hidden="false"/>
    </xf>
    <xf numFmtId="164" fontId="38" fillId="9" borderId="32" xfId="0" applyFont="true" applyBorder="true" applyAlignment="true" applyProtection="false">
      <alignment horizontal="justify" vertical="center" textRotation="0" wrapText="true" indent="0" shrinkToFit="false"/>
      <protection locked="true" hidden="false"/>
    </xf>
    <xf numFmtId="164" fontId="38" fillId="9" borderId="2" xfId="0" applyFont="true" applyBorder="true" applyAlignment="true" applyProtection="false">
      <alignment horizontal="center" vertical="center" textRotation="0" wrapText="true" indent="0" shrinkToFit="false"/>
      <protection locked="true" hidden="false"/>
    </xf>
    <xf numFmtId="164" fontId="69" fillId="0" borderId="0" xfId="0" applyFont="true" applyBorder="false" applyAlignment="true" applyProtection="false">
      <alignment horizontal="center" vertical="center" textRotation="0" wrapText="false" indent="0" shrinkToFit="false"/>
      <protection locked="true" hidden="false"/>
    </xf>
    <xf numFmtId="164" fontId="38" fillId="9" borderId="49" xfId="0" applyFont="true" applyBorder="true" applyAlignment="true" applyProtection="false">
      <alignment horizontal="center" vertical="center" textRotation="0" wrapText="true" indent="0" shrinkToFit="false"/>
      <protection locked="true" hidden="false"/>
    </xf>
    <xf numFmtId="164" fontId="38" fillId="9" borderId="0" xfId="0" applyFont="true" applyBorder="false" applyAlignment="true" applyProtection="false">
      <alignment horizontal="center" vertical="center" textRotation="0" wrapText="true" indent="0" shrinkToFit="false"/>
      <protection locked="true" hidden="false"/>
    </xf>
    <xf numFmtId="164" fontId="70" fillId="0" borderId="0" xfId="0" applyFont="true" applyBorder="false" applyAlignment="true" applyProtection="false">
      <alignment horizontal="center" vertical="center" textRotation="0" wrapText="false" indent="0" shrinkToFit="false"/>
      <protection locked="true" hidden="false"/>
    </xf>
    <xf numFmtId="164" fontId="38" fillId="9" borderId="50" xfId="0" applyFont="true" applyBorder="true" applyAlignment="true" applyProtection="false">
      <alignment horizontal="general" vertical="center" textRotation="0" wrapText="true" indent="0" shrinkToFit="false"/>
      <protection locked="true" hidden="false"/>
    </xf>
    <xf numFmtId="164" fontId="38" fillId="9" borderId="26" xfId="0" applyFont="true" applyBorder="true" applyAlignment="true" applyProtection="false">
      <alignment horizontal="center" vertical="center" textRotation="0" wrapText="true" indent="0" shrinkToFit="false"/>
      <protection locked="true" hidden="false"/>
    </xf>
    <xf numFmtId="164" fontId="38" fillId="9" borderId="50" xfId="0" applyFont="true" applyBorder="true" applyAlignment="true" applyProtection="false">
      <alignment horizontal="center" vertical="center" textRotation="0" wrapText="true" indent="0" shrinkToFit="false"/>
      <protection locked="true" hidden="false"/>
    </xf>
    <xf numFmtId="164" fontId="28" fillId="3" borderId="33" xfId="0" applyFont="true" applyBorder="true" applyAlignment="true" applyProtection="false">
      <alignment horizontal="general" vertical="center" textRotation="0" wrapText="true" indent="0" shrinkToFit="false"/>
      <protection locked="true" hidden="false"/>
    </xf>
    <xf numFmtId="172" fontId="28" fillId="3" borderId="33" xfId="15" applyFont="true" applyBorder="true" applyAlignment="true" applyProtection="true">
      <alignment horizontal="right" vertical="center" textRotation="0" wrapText="true" indent="0" shrinkToFit="false"/>
      <protection locked="true" hidden="false"/>
    </xf>
    <xf numFmtId="172" fontId="27" fillId="2" borderId="40" xfId="15" applyFont="true" applyBorder="true" applyAlignment="true" applyProtection="true">
      <alignment horizontal="right" vertical="center" textRotation="0" wrapText="true" indent="0" shrinkToFit="false"/>
      <protection locked="true" hidden="false"/>
    </xf>
    <xf numFmtId="164" fontId="28" fillId="3" borderId="34" xfId="0" applyFont="true" applyBorder="true" applyAlignment="true" applyProtection="false">
      <alignment horizontal="general" vertical="center" textRotation="0" wrapText="true" indent="0" shrinkToFit="false"/>
      <protection locked="true" hidden="false"/>
    </xf>
    <xf numFmtId="172" fontId="28" fillId="3" borderId="34" xfId="15" applyFont="true" applyBorder="true" applyAlignment="true" applyProtection="true">
      <alignment horizontal="right" vertical="center" textRotation="0" wrapText="true" indent="0" shrinkToFit="false"/>
      <protection locked="true" hidden="false"/>
    </xf>
    <xf numFmtId="164" fontId="38" fillId="7" borderId="37" xfId="0" applyFont="true" applyBorder="true" applyAlignment="true" applyProtection="false">
      <alignment horizontal="general" vertical="center" textRotation="0" wrapText="true" indent="0" shrinkToFit="false"/>
      <protection locked="true" hidden="false"/>
    </xf>
    <xf numFmtId="172" fontId="38" fillId="7" borderId="37" xfId="15" applyFont="true" applyBorder="true" applyAlignment="true" applyProtection="true">
      <alignment horizontal="right" vertical="center" textRotation="0" wrapText="true" indent="0" shrinkToFit="false"/>
      <protection locked="true" hidden="false"/>
    </xf>
    <xf numFmtId="164" fontId="71" fillId="0" borderId="0" xfId="0" applyFont="true" applyBorder="true" applyAlignment="true" applyProtection="false">
      <alignment horizontal="left" vertical="center" textRotation="0" wrapText="tru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4" fontId="68" fillId="0" borderId="0" xfId="0" applyFont="true" applyBorder="false" applyAlignment="true" applyProtection="false">
      <alignment horizontal="left" vertical="center" textRotation="0" wrapText="false" indent="15" shrinkToFit="false"/>
      <protection locked="true" hidden="false"/>
    </xf>
    <xf numFmtId="164" fontId="75" fillId="0" borderId="26" xfId="0" applyFont="true" applyBorder="true" applyAlignment="true" applyProtection="false">
      <alignment horizontal="center" vertical="center" textRotation="0" wrapText="false" indent="0" shrinkToFit="false"/>
      <protection locked="true" hidden="false"/>
    </xf>
    <xf numFmtId="164" fontId="38" fillId="9" borderId="51" xfId="0" applyFont="true" applyBorder="true" applyAlignment="true" applyProtection="false">
      <alignment horizontal="center" vertical="center" textRotation="0" wrapText="true" indent="0" shrinkToFit="false"/>
      <protection locked="true" hidden="false"/>
    </xf>
    <xf numFmtId="164" fontId="38" fillId="9" borderId="52" xfId="0" applyFont="true" applyBorder="true" applyAlignment="true" applyProtection="false">
      <alignment horizontal="center" vertical="center" textRotation="0" wrapText="true" indent="0" shrinkToFit="false"/>
      <protection locked="true" hidden="false"/>
    </xf>
    <xf numFmtId="164" fontId="38" fillId="9" borderId="53" xfId="0" applyFont="true" applyBorder="true" applyAlignment="true" applyProtection="false">
      <alignment horizontal="general" vertical="center" textRotation="0" wrapText="true" indent="0" shrinkToFit="false"/>
      <protection locked="true" hidden="false"/>
    </xf>
    <xf numFmtId="164" fontId="38" fillId="9" borderId="4" xfId="0" applyFont="true" applyBorder="true" applyAlignment="true" applyProtection="false">
      <alignment horizontal="center" vertical="center" textRotation="0" wrapText="true" indent="0" shrinkToFit="false"/>
      <protection locked="true" hidden="false"/>
    </xf>
    <xf numFmtId="164" fontId="30" fillId="9" borderId="4" xfId="0" applyFont="true" applyBorder="true" applyAlignment="true" applyProtection="false">
      <alignment horizontal="general" vertical="top" textRotation="0" wrapText="true" indent="0" shrinkToFit="false"/>
      <protection locked="true" hidden="false"/>
    </xf>
    <xf numFmtId="164" fontId="38" fillId="9" borderId="54" xfId="0" applyFont="true" applyBorder="true" applyAlignment="true" applyProtection="false">
      <alignment horizontal="center" vertical="center" textRotation="0" wrapText="true" indent="0" shrinkToFit="false"/>
      <protection locked="true" hidden="false"/>
    </xf>
    <xf numFmtId="164" fontId="38" fillId="9" borderId="55" xfId="0" applyFont="true" applyBorder="true" applyAlignment="true" applyProtection="false">
      <alignment horizontal="center" vertical="center" textRotation="0" wrapText="true" indent="0" shrinkToFit="false"/>
      <protection locked="true" hidden="false"/>
    </xf>
    <xf numFmtId="164" fontId="38" fillId="9" borderId="23" xfId="0" applyFont="true" applyBorder="true" applyAlignment="true" applyProtection="false">
      <alignment horizontal="center" vertical="center" textRotation="0" wrapText="true" indent="0" shrinkToFit="false"/>
      <protection locked="true" hidden="false"/>
    </xf>
    <xf numFmtId="164" fontId="38" fillId="9" borderId="56" xfId="0" applyFont="true" applyBorder="true" applyAlignment="true" applyProtection="false">
      <alignment horizontal="center" vertical="center" textRotation="0" wrapText="true" indent="0" shrinkToFit="false"/>
      <protection locked="true" hidden="false"/>
    </xf>
    <xf numFmtId="164" fontId="38" fillId="9" borderId="57" xfId="0" applyFont="true" applyBorder="true" applyAlignment="true" applyProtection="false">
      <alignment horizontal="center" vertical="center" textRotation="0" wrapText="true" indent="0" shrinkToFit="false"/>
      <protection locked="true" hidden="false"/>
    </xf>
    <xf numFmtId="164" fontId="38" fillId="9" borderId="58" xfId="0" applyFont="true" applyBorder="true" applyAlignment="true" applyProtection="false">
      <alignment horizontal="center" vertical="center" textRotation="0" wrapText="true" indent="0" shrinkToFit="false"/>
      <protection locked="true" hidden="false"/>
    </xf>
    <xf numFmtId="164" fontId="38" fillId="9" borderId="59" xfId="0" applyFont="true" applyBorder="true" applyAlignment="true" applyProtection="false">
      <alignment horizontal="center" vertical="center" textRotation="0" wrapText="true" indent="0" shrinkToFit="false"/>
      <protection locked="true" hidden="false"/>
    </xf>
    <xf numFmtId="164" fontId="38" fillId="9" borderId="24" xfId="0" applyFont="true" applyBorder="true" applyAlignment="true" applyProtection="false">
      <alignment horizontal="center" vertical="center" textRotation="0" wrapText="true" indent="0" shrinkToFit="false"/>
      <protection locked="true" hidden="false"/>
    </xf>
    <xf numFmtId="164" fontId="38" fillId="9" borderId="60" xfId="0" applyFont="true" applyBorder="true" applyAlignment="true" applyProtection="false">
      <alignment horizontal="center" vertical="center" textRotation="0" wrapText="true" indent="0" shrinkToFit="false"/>
      <protection locked="true" hidden="false"/>
    </xf>
    <xf numFmtId="164" fontId="38" fillId="9" borderId="61" xfId="0" applyFont="true" applyBorder="true" applyAlignment="true" applyProtection="false">
      <alignment horizontal="center" vertical="center" textRotation="0" wrapText="true" indent="0" shrinkToFit="false"/>
      <protection locked="true" hidden="false"/>
    </xf>
    <xf numFmtId="164" fontId="38" fillId="9" borderId="62" xfId="0" applyFont="true" applyBorder="true" applyAlignment="true" applyProtection="false">
      <alignment horizontal="center" vertical="center" textRotation="0" wrapText="true" indent="0" shrinkToFit="false"/>
      <protection locked="true" hidden="false"/>
    </xf>
    <xf numFmtId="164" fontId="30" fillId="9" borderId="59" xfId="0" applyFont="true" applyBorder="true" applyAlignment="true" applyProtection="false">
      <alignment horizontal="center" vertical="top" textRotation="0" wrapText="true" indent="0" shrinkToFit="false"/>
      <protection locked="true" hidden="false"/>
    </xf>
    <xf numFmtId="164" fontId="30" fillId="9" borderId="24" xfId="0" applyFont="true" applyBorder="true" applyAlignment="true" applyProtection="false">
      <alignment horizontal="center" vertical="top" textRotation="0" wrapText="true" indent="0" shrinkToFit="false"/>
      <protection locked="true" hidden="false"/>
    </xf>
    <xf numFmtId="164" fontId="38" fillId="9" borderId="25" xfId="0" applyFont="true" applyBorder="true" applyAlignment="true" applyProtection="false">
      <alignment horizontal="left" vertical="center" textRotation="0" wrapText="true" indent="0" shrinkToFit="false"/>
      <protection locked="true" hidden="false"/>
    </xf>
    <xf numFmtId="164" fontId="30" fillId="9" borderId="25" xfId="0" applyFont="true" applyBorder="true" applyAlignment="true" applyProtection="false">
      <alignment horizontal="general" vertical="top" textRotation="0" wrapText="true" indent="0" shrinkToFit="false"/>
      <protection locked="true" hidden="false"/>
    </xf>
    <xf numFmtId="164" fontId="38" fillId="9" borderId="63" xfId="0" applyFont="true" applyBorder="true" applyAlignment="true" applyProtection="false">
      <alignment horizontal="center" vertical="center" textRotation="0" wrapText="true" indent="0" shrinkToFit="false"/>
      <protection locked="true" hidden="false"/>
    </xf>
    <xf numFmtId="164" fontId="30" fillId="9" borderId="64" xfId="0" applyFont="true" applyBorder="true" applyAlignment="true" applyProtection="false">
      <alignment horizontal="center" vertical="top" textRotation="0" wrapText="true" indent="0" shrinkToFit="false"/>
      <protection locked="true" hidden="false"/>
    </xf>
    <xf numFmtId="164" fontId="30" fillId="9" borderId="65" xfId="0" applyFont="true" applyBorder="true" applyAlignment="true" applyProtection="false">
      <alignment horizontal="center" vertical="top" textRotation="0" wrapText="true" indent="0" shrinkToFit="false"/>
      <protection locked="true" hidden="false"/>
    </xf>
    <xf numFmtId="164" fontId="38" fillId="9" borderId="66" xfId="0" applyFont="true" applyBorder="true" applyAlignment="true" applyProtection="false">
      <alignment horizontal="center" vertical="center" textRotation="0" wrapText="true" indent="0" shrinkToFit="false"/>
      <protection locked="true" hidden="false"/>
    </xf>
    <xf numFmtId="164" fontId="30" fillId="9" borderId="67" xfId="0" applyFont="true" applyBorder="true" applyAlignment="true" applyProtection="false">
      <alignment horizontal="center" vertical="top" textRotation="0" wrapText="true" indent="0" shrinkToFit="false"/>
      <protection locked="true" hidden="false"/>
    </xf>
    <xf numFmtId="164" fontId="30" fillId="9" borderId="68" xfId="0" applyFont="true" applyBorder="true" applyAlignment="true" applyProtection="false">
      <alignment horizontal="center" vertical="top" textRotation="0" wrapText="true" indent="0" shrinkToFit="false"/>
      <protection locked="true" hidden="false"/>
    </xf>
    <xf numFmtId="164" fontId="27" fillId="0" borderId="4" xfId="0" applyFont="true" applyBorder="true" applyAlignment="true" applyProtection="false">
      <alignment horizontal="general" vertical="center" textRotation="0" wrapText="true" indent="0" shrinkToFit="false"/>
      <protection locked="true" hidden="false"/>
    </xf>
    <xf numFmtId="172" fontId="28" fillId="0" borderId="45" xfId="15" applyFont="true" applyBorder="true" applyAlignment="true" applyProtection="true">
      <alignment horizontal="right" vertical="center" textRotation="0" wrapText="true" indent="0" shrinkToFit="false"/>
      <protection locked="true" hidden="false"/>
    </xf>
    <xf numFmtId="172" fontId="28" fillId="0" borderId="69" xfId="15" applyFont="true" applyBorder="true" applyAlignment="true" applyProtection="true">
      <alignment horizontal="right" vertical="center" textRotation="0" wrapText="true" indent="0" shrinkToFit="false"/>
      <protection locked="true" hidden="false"/>
    </xf>
    <xf numFmtId="172" fontId="28" fillId="0" borderId="70" xfId="15" applyFont="true" applyBorder="true" applyAlignment="true" applyProtection="true">
      <alignment horizontal="right" vertical="center" textRotation="0" wrapText="true" indent="0" shrinkToFit="false"/>
      <protection locked="true" hidden="false"/>
    </xf>
    <xf numFmtId="172" fontId="28" fillId="0" borderId="9" xfId="15" applyFont="true" applyBorder="true" applyAlignment="true" applyProtection="true">
      <alignment horizontal="right" vertical="center" textRotation="0" wrapText="true" indent="0" shrinkToFit="false"/>
      <protection locked="true" hidden="false"/>
    </xf>
    <xf numFmtId="172" fontId="28" fillId="0" borderId="71" xfId="15" applyFont="true" applyBorder="true" applyAlignment="true" applyProtection="true">
      <alignment horizontal="right" vertical="center" textRotation="0" wrapText="true" indent="0" shrinkToFit="false"/>
      <protection locked="true" hidden="false"/>
    </xf>
    <xf numFmtId="172" fontId="28" fillId="0" borderId="72" xfId="15" applyFont="true" applyBorder="true" applyAlignment="true" applyProtection="true">
      <alignment horizontal="right" vertical="center" textRotation="0" wrapText="true" indent="0" shrinkToFit="false"/>
      <protection locked="true" hidden="false"/>
    </xf>
    <xf numFmtId="172" fontId="28" fillId="0" borderId="39" xfId="15" applyFont="true" applyBorder="true" applyAlignment="true" applyProtection="true">
      <alignment horizontal="right" vertical="center" textRotation="0" wrapText="true" indent="0" shrinkToFit="false"/>
      <protection locked="true" hidden="false"/>
    </xf>
    <xf numFmtId="172" fontId="28" fillId="0" borderId="73" xfId="15" applyFont="true" applyBorder="true" applyAlignment="true" applyProtection="true">
      <alignment horizontal="right" vertical="center" textRotation="0" wrapText="true" indent="0" shrinkToFit="false"/>
      <protection locked="true" hidden="false"/>
    </xf>
    <xf numFmtId="172" fontId="28" fillId="0" borderId="74" xfId="15" applyFont="true" applyBorder="true" applyAlignment="true" applyProtection="true">
      <alignment horizontal="right" vertical="center" textRotation="0" wrapText="true" indent="0" shrinkToFit="false"/>
      <protection locked="true" hidden="false"/>
    </xf>
    <xf numFmtId="172" fontId="28" fillId="0" borderId="20" xfId="15" applyFont="true" applyBorder="true" applyAlignment="true" applyProtection="true">
      <alignment horizontal="right" vertical="center" textRotation="0" wrapText="true" indent="0" shrinkToFit="false"/>
      <protection locked="true" hidden="false"/>
    </xf>
    <xf numFmtId="172" fontId="28" fillId="0" borderId="75" xfId="15" applyFont="true" applyBorder="true" applyAlignment="true" applyProtection="true">
      <alignment horizontal="right" vertical="center" textRotation="0" wrapText="true" indent="0" shrinkToFit="false"/>
      <protection locked="true" hidden="false"/>
    </xf>
    <xf numFmtId="172" fontId="28" fillId="0" borderId="76" xfId="15" applyFont="true" applyBorder="true" applyAlignment="true" applyProtection="true">
      <alignment horizontal="right" vertical="center" textRotation="0" wrapText="true" indent="0" shrinkToFit="false"/>
      <protection locked="true" hidden="false"/>
    </xf>
    <xf numFmtId="172" fontId="28" fillId="0" borderId="12" xfId="15" applyFont="true" applyBorder="true" applyAlignment="true" applyProtection="true">
      <alignment horizontal="right" vertical="center" textRotation="0" wrapText="true" indent="0" shrinkToFit="false"/>
      <protection locked="true" hidden="false"/>
    </xf>
    <xf numFmtId="172" fontId="28" fillId="0" borderId="77" xfId="15" applyFont="true" applyBorder="true" applyAlignment="true" applyProtection="true">
      <alignment horizontal="right" vertical="center" textRotation="0" wrapText="true" indent="0" shrinkToFit="false"/>
      <protection locked="true" hidden="false"/>
    </xf>
    <xf numFmtId="172" fontId="28" fillId="0" borderId="78" xfId="15" applyFont="true" applyBorder="true" applyAlignment="true" applyProtection="true">
      <alignment horizontal="right" vertical="center" textRotation="0" wrapText="true" indent="0" shrinkToFit="false"/>
      <protection locked="true" hidden="false"/>
    </xf>
    <xf numFmtId="172" fontId="28" fillId="0" borderId="23" xfId="15" applyFont="true" applyBorder="true" applyAlignment="true" applyProtection="true">
      <alignment horizontal="right" vertical="center" textRotation="0" wrapText="true" indent="0" shrinkToFit="false"/>
      <protection locked="true" hidden="false"/>
    </xf>
    <xf numFmtId="172" fontId="28" fillId="0" borderId="57" xfId="15" applyFont="true" applyBorder="true" applyAlignment="true" applyProtection="true">
      <alignment horizontal="right" vertical="center" textRotation="0" wrapText="true" indent="0" shrinkToFit="false"/>
      <protection locked="true" hidden="false"/>
    </xf>
    <xf numFmtId="172" fontId="28" fillId="0" borderId="58" xfId="15" applyFont="true" applyBorder="true" applyAlignment="true" applyProtection="true">
      <alignment horizontal="right" vertical="center" textRotation="0" wrapText="true" indent="0" shrinkToFit="false"/>
      <protection locked="true" hidden="false"/>
    </xf>
    <xf numFmtId="172" fontId="28" fillId="3" borderId="41" xfId="15" applyFont="true" applyBorder="true" applyAlignment="true" applyProtection="true">
      <alignment horizontal="right" vertical="center" textRotation="0" wrapText="true" indent="0" shrinkToFit="false"/>
      <protection locked="true" hidden="false"/>
    </xf>
    <xf numFmtId="172" fontId="28" fillId="3" borderId="51" xfId="15" applyFont="true" applyBorder="true" applyAlignment="true" applyProtection="true">
      <alignment horizontal="right" vertical="center" textRotation="0" wrapText="true" indent="0" shrinkToFit="false"/>
      <protection locked="true" hidden="false"/>
    </xf>
    <xf numFmtId="172" fontId="28" fillId="3" borderId="79" xfId="15" applyFont="true" applyBorder="true" applyAlignment="true" applyProtection="true">
      <alignment horizontal="right" vertical="center" textRotation="0" wrapText="true" indent="0" shrinkToFit="false"/>
      <protection locked="true" hidden="false"/>
    </xf>
    <xf numFmtId="172" fontId="28" fillId="3" borderId="43" xfId="15" applyFont="true" applyBorder="true" applyAlignment="true" applyProtection="true">
      <alignment horizontal="right" vertical="center" textRotation="0" wrapText="true" indent="0" shrinkToFit="false"/>
      <protection locked="true" hidden="false"/>
    </xf>
    <xf numFmtId="172" fontId="28" fillId="3" borderId="80" xfId="15" applyFont="true" applyBorder="true" applyAlignment="true" applyProtection="true">
      <alignment horizontal="right" vertical="center" textRotation="0" wrapText="true" indent="0" shrinkToFit="false"/>
      <protection locked="true" hidden="false"/>
    </xf>
    <xf numFmtId="172" fontId="28" fillId="3" borderId="81" xfId="15" applyFont="true" applyBorder="true" applyAlignment="true" applyProtection="true">
      <alignment horizontal="right" vertical="center" textRotation="0" wrapText="true" indent="0" shrinkToFit="false"/>
      <protection locked="true" hidden="false"/>
    </xf>
    <xf numFmtId="172" fontId="27" fillId="0" borderId="45" xfId="15" applyFont="true" applyBorder="true" applyAlignment="true" applyProtection="true">
      <alignment horizontal="right" vertical="center" textRotation="0" wrapText="true" indent="0" shrinkToFit="false"/>
      <protection locked="true" hidden="false"/>
    </xf>
    <xf numFmtId="172" fontId="27" fillId="0" borderId="69" xfId="15" applyFont="true" applyBorder="true" applyAlignment="true" applyProtection="true">
      <alignment horizontal="right" vertical="center" textRotation="0" wrapText="true" indent="0" shrinkToFit="false"/>
      <protection locked="true" hidden="false"/>
    </xf>
    <xf numFmtId="172" fontId="27" fillId="0" borderId="70" xfId="15" applyFont="true" applyBorder="true" applyAlignment="true" applyProtection="true">
      <alignment horizontal="right" vertical="center" textRotation="0" wrapText="true" indent="0" shrinkToFit="false"/>
      <protection locked="true" hidden="false"/>
    </xf>
    <xf numFmtId="172" fontId="27" fillId="0" borderId="71" xfId="15" applyFont="true" applyBorder="true" applyAlignment="true" applyProtection="true">
      <alignment horizontal="right" vertical="center" textRotation="0" wrapText="true" indent="0" shrinkToFit="false"/>
      <protection locked="true" hidden="false"/>
    </xf>
    <xf numFmtId="172" fontId="27" fillId="0" borderId="72" xfId="15" applyFont="true" applyBorder="true" applyAlignment="true" applyProtection="true">
      <alignment horizontal="right" vertical="center" textRotation="0" wrapText="true" indent="0" shrinkToFit="false"/>
      <protection locked="true" hidden="false"/>
    </xf>
    <xf numFmtId="172" fontId="27" fillId="0" borderId="39" xfId="15" applyFont="true" applyBorder="true" applyAlignment="true" applyProtection="true">
      <alignment horizontal="right" vertical="center" textRotation="0" wrapText="true" indent="0" shrinkToFit="false"/>
      <protection locked="true" hidden="false"/>
    </xf>
    <xf numFmtId="172" fontId="27" fillId="0" borderId="73" xfId="15" applyFont="true" applyBorder="true" applyAlignment="true" applyProtection="true">
      <alignment horizontal="right" vertical="center" textRotation="0" wrapText="true" indent="0" shrinkToFit="false"/>
      <protection locked="true" hidden="false"/>
    </xf>
    <xf numFmtId="172" fontId="27" fillId="0" borderId="74" xfId="15" applyFont="true" applyBorder="true" applyAlignment="true" applyProtection="true">
      <alignment horizontal="right" vertical="center" textRotation="0" wrapText="true" indent="0" shrinkToFit="false"/>
      <protection locked="true" hidden="false"/>
    </xf>
    <xf numFmtId="172" fontId="27" fillId="0" borderId="75" xfId="15" applyFont="true" applyBorder="true" applyAlignment="true" applyProtection="true">
      <alignment horizontal="right" vertical="center" textRotation="0" wrapText="true" indent="0" shrinkToFit="false"/>
      <protection locked="true" hidden="false"/>
    </xf>
    <xf numFmtId="172" fontId="27" fillId="0" borderId="12" xfId="15" applyFont="true" applyBorder="true" applyAlignment="true" applyProtection="true">
      <alignment horizontal="right" vertical="center" textRotation="0" wrapText="true" indent="0" shrinkToFit="false"/>
      <protection locked="true" hidden="false"/>
    </xf>
    <xf numFmtId="172" fontId="27" fillId="0" borderId="77" xfId="15" applyFont="true" applyBorder="true" applyAlignment="true" applyProtection="true">
      <alignment horizontal="right" vertical="center" textRotation="0" wrapText="true" indent="0" shrinkToFit="false"/>
      <protection locked="true" hidden="false"/>
    </xf>
    <xf numFmtId="172" fontId="27" fillId="0" borderId="78" xfId="15" applyFont="true" applyBorder="true" applyAlignment="true" applyProtection="true">
      <alignment horizontal="right" vertical="center" textRotation="0" wrapText="true" indent="0" shrinkToFit="false"/>
      <protection locked="true" hidden="false"/>
    </xf>
    <xf numFmtId="172" fontId="27" fillId="0" borderId="57" xfId="15" applyFont="true" applyBorder="true" applyAlignment="true" applyProtection="true">
      <alignment horizontal="right" vertical="center" textRotation="0" wrapText="true" indent="0" shrinkToFit="false"/>
      <protection locked="true" hidden="false"/>
    </xf>
    <xf numFmtId="172" fontId="27" fillId="3" borderId="41" xfId="15" applyFont="true" applyBorder="true" applyAlignment="true" applyProtection="true">
      <alignment horizontal="right" vertical="center" textRotation="0" wrapText="true" indent="0" shrinkToFit="false"/>
      <protection locked="true" hidden="false"/>
    </xf>
    <xf numFmtId="172" fontId="27" fillId="3" borderId="51" xfId="15" applyFont="true" applyBorder="true" applyAlignment="true" applyProtection="true">
      <alignment horizontal="right" vertical="center" textRotation="0" wrapText="true" indent="0" shrinkToFit="false"/>
      <protection locked="true" hidden="false"/>
    </xf>
    <xf numFmtId="172" fontId="27" fillId="3" borderId="79" xfId="15" applyFont="true" applyBorder="true" applyAlignment="true" applyProtection="true">
      <alignment horizontal="right" vertical="center" textRotation="0" wrapText="true" indent="0" shrinkToFit="false"/>
      <protection locked="true" hidden="false"/>
    </xf>
    <xf numFmtId="172" fontId="27" fillId="3" borderId="80" xfId="15" applyFont="true" applyBorder="true" applyAlignment="true" applyProtection="true">
      <alignment horizontal="right" vertical="center" textRotation="0" wrapText="true" indent="0" shrinkToFit="false"/>
      <protection locked="true" hidden="false"/>
    </xf>
    <xf numFmtId="172" fontId="27" fillId="3" borderId="81" xfId="15" applyFont="true" applyBorder="true" applyAlignment="true" applyProtection="true">
      <alignment horizontal="right" vertical="center" textRotation="0" wrapText="true" indent="0" shrinkToFit="false"/>
      <protection locked="true" hidden="false"/>
    </xf>
    <xf numFmtId="164" fontId="28" fillId="11" borderId="4" xfId="0" applyFont="true" applyBorder="true" applyAlignment="true" applyProtection="false">
      <alignment horizontal="general" vertical="center" textRotation="0" wrapText="true" indent="0" shrinkToFit="false"/>
      <protection locked="true" hidden="false"/>
    </xf>
    <xf numFmtId="172" fontId="27" fillId="11" borderId="45" xfId="15" applyFont="true" applyBorder="true" applyAlignment="true" applyProtection="true">
      <alignment horizontal="right" vertical="center" textRotation="0" wrapText="true" indent="0" shrinkToFit="false"/>
      <protection locked="true" hidden="false"/>
    </xf>
    <xf numFmtId="172" fontId="27" fillId="11" borderId="69" xfId="15" applyFont="true" applyBorder="true" applyAlignment="true" applyProtection="true">
      <alignment horizontal="right" vertical="center" textRotation="0" wrapText="true" indent="0" shrinkToFit="false"/>
      <protection locked="true" hidden="false"/>
    </xf>
    <xf numFmtId="172" fontId="27" fillId="11" borderId="70" xfId="15" applyFont="true" applyBorder="true" applyAlignment="true" applyProtection="true">
      <alignment horizontal="right" vertical="center" textRotation="0" wrapText="true" indent="0" shrinkToFit="false"/>
      <protection locked="true" hidden="false"/>
    </xf>
    <xf numFmtId="172" fontId="27" fillId="11" borderId="9" xfId="15" applyFont="true" applyBorder="true" applyAlignment="true" applyProtection="true">
      <alignment horizontal="right" vertical="center" textRotation="0" wrapText="true" indent="0" shrinkToFit="false"/>
      <protection locked="true" hidden="false"/>
    </xf>
    <xf numFmtId="172" fontId="27" fillId="11" borderId="71" xfId="15" applyFont="true" applyBorder="true" applyAlignment="true" applyProtection="true">
      <alignment horizontal="right" vertical="center" textRotation="0" wrapText="true" indent="0" shrinkToFit="false"/>
      <protection locked="true" hidden="false"/>
    </xf>
    <xf numFmtId="172" fontId="27" fillId="11" borderId="72" xfId="15" applyFont="true" applyBorder="true" applyAlignment="true" applyProtection="true">
      <alignment horizontal="right" vertical="center" textRotation="0" wrapText="true" indent="0" shrinkToFit="false"/>
      <protection locked="true" hidden="false"/>
    </xf>
    <xf numFmtId="164" fontId="38" fillId="11" borderId="25" xfId="0" applyFont="true" applyBorder="true" applyAlignment="true" applyProtection="false">
      <alignment horizontal="general" vertical="center" textRotation="0" wrapText="true" indent="0" shrinkToFit="false"/>
      <protection locked="true" hidden="false"/>
    </xf>
    <xf numFmtId="172" fontId="51" fillId="11" borderId="82" xfId="15" applyFont="true" applyBorder="true" applyAlignment="true" applyProtection="true">
      <alignment horizontal="right" vertical="center" textRotation="0" wrapText="true" indent="0" shrinkToFit="false"/>
      <protection locked="true" hidden="false"/>
    </xf>
    <xf numFmtId="172" fontId="51" fillId="11" borderId="83" xfId="15" applyFont="true" applyBorder="true" applyAlignment="true" applyProtection="true">
      <alignment horizontal="right" vertical="center" textRotation="0" wrapText="true" indent="0" shrinkToFit="false"/>
      <protection locked="true" hidden="false"/>
    </xf>
    <xf numFmtId="172" fontId="51" fillId="11" borderId="84" xfId="15" applyFont="true" applyBorder="true" applyAlignment="true" applyProtection="true">
      <alignment horizontal="right" vertical="center" textRotation="0" wrapText="true" indent="0" shrinkToFit="false"/>
      <protection locked="true" hidden="false"/>
    </xf>
    <xf numFmtId="172" fontId="51" fillId="11" borderId="85" xfId="15" applyFont="true" applyBorder="true" applyAlignment="true" applyProtection="true">
      <alignment horizontal="right" vertical="center" textRotation="0" wrapText="true" indent="0" shrinkToFit="false"/>
      <protection locked="true" hidden="false"/>
    </xf>
    <xf numFmtId="172" fontId="51" fillId="11" borderId="86" xfId="15" applyFont="true" applyBorder="true" applyAlignment="true" applyProtection="true">
      <alignment horizontal="right" vertical="center" textRotation="0" wrapText="true" indent="0" shrinkToFit="false"/>
      <protection locked="true" hidden="false"/>
    </xf>
    <xf numFmtId="172" fontId="51" fillId="11" borderId="87" xfId="15" applyFont="true" applyBorder="true" applyAlignment="true" applyProtection="true">
      <alignment horizontal="right" vertical="center" textRotation="0" wrapText="true" indent="0" shrinkToFit="false"/>
      <protection locked="true" hidden="false"/>
    </xf>
    <xf numFmtId="164" fontId="76" fillId="0" borderId="0" xfId="0" applyFont="true" applyBorder="true" applyAlignment="true" applyProtection="false">
      <alignment horizontal="left" vertical="center" textRotation="0" wrapText="false" indent="0" shrinkToFit="false"/>
      <protection locked="true" hidden="false"/>
    </xf>
    <xf numFmtId="164" fontId="78" fillId="0" borderId="0" xfId="0" applyFont="true" applyBorder="false" applyAlignment="true" applyProtection="false">
      <alignment horizontal="justify" vertical="center" textRotation="0" wrapText="false" indent="0" shrinkToFit="false"/>
      <protection locked="true" hidden="false"/>
    </xf>
    <xf numFmtId="164" fontId="76" fillId="0" borderId="0" xfId="0" applyFont="true" applyBorder="false" applyAlignment="false" applyProtection="false">
      <alignment horizontal="general" vertical="bottom" textRotation="0" wrapText="false" indent="0" shrinkToFit="false"/>
      <protection locked="true" hidden="false"/>
    </xf>
    <xf numFmtId="164" fontId="79" fillId="0" borderId="0" xfId="0" applyFont="true" applyBorder="true" applyAlignment="true" applyProtection="false">
      <alignment horizontal="left" vertical="center" textRotation="0" wrapText="false" indent="0" shrinkToFit="false"/>
      <protection locked="true" hidden="false"/>
    </xf>
    <xf numFmtId="164" fontId="79" fillId="0" borderId="0" xfId="0" applyFont="true" applyBorder="false" applyAlignment="true" applyProtection="false">
      <alignment horizontal="justify" vertical="center" textRotation="0" wrapText="false" indent="0" shrinkToFit="false"/>
      <protection locked="true" hidden="false"/>
    </xf>
    <xf numFmtId="164" fontId="80" fillId="0" borderId="0" xfId="0" applyFont="true" applyBorder="false" applyAlignment="true" applyProtection="false">
      <alignment horizontal="justify" vertical="center" textRotation="0" wrapText="false" indent="0" shrinkToFit="false"/>
      <protection locked="true" hidden="false"/>
    </xf>
    <xf numFmtId="164" fontId="81" fillId="0" borderId="0" xfId="0" applyFont="true" applyBorder="false" applyAlignment="true" applyProtection="false">
      <alignment horizontal="center" vertical="center" textRotation="0" wrapText="false" indent="0" shrinkToFit="false"/>
      <protection locked="true" hidden="false"/>
    </xf>
    <xf numFmtId="164" fontId="82" fillId="0" borderId="0" xfId="0" applyFont="true" applyBorder="false" applyAlignment="true" applyProtection="false">
      <alignment horizontal="left" vertical="center" textRotation="0" wrapText="false" indent="7" shrinkToFit="false"/>
      <protection locked="true" hidden="false"/>
    </xf>
    <xf numFmtId="164" fontId="82" fillId="0" borderId="0" xfId="0" applyFont="true" applyBorder="false" applyAlignment="true" applyProtection="false">
      <alignment horizontal="general" vertical="center" textRotation="0" wrapText="false" indent="0" shrinkToFit="false"/>
      <protection locked="true" hidden="false"/>
    </xf>
    <xf numFmtId="164" fontId="83" fillId="0" borderId="0" xfId="0" applyFont="true" applyBorder="true" applyAlignment="true" applyProtection="false">
      <alignment horizontal="center" vertical="center" textRotation="0" wrapText="false" indent="0" shrinkToFit="false"/>
      <protection locked="true" hidden="false"/>
    </xf>
    <xf numFmtId="164" fontId="85" fillId="0" borderId="0" xfId="0" applyFont="true" applyBorder="true" applyAlignment="true" applyProtection="false">
      <alignment horizontal="center" vertical="center" textRotation="0" wrapText="false" indent="0" shrinkToFit="false"/>
      <protection locked="true" hidden="false"/>
    </xf>
    <xf numFmtId="164" fontId="38" fillId="12" borderId="3" xfId="0" applyFont="true" applyBorder="true" applyAlignment="true" applyProtection="false">
      <alignment horizontal="center" vertical="center" textRotation="0" wrapText="true" indent="0" shrinkToFit="false"/>
      <protection locked="true" hidden="false"/>
    </xf>
    <xf numFmtId="164" fontId="38" fillId="12" borderId="32" xfId="0" applyFont="true" applyBorder="true" applyAlignment="true" applyProtection="false">
      <alignment horizontal="center" vertical="center" textRotation="0" wrapText="true" indent="0" shrinkToFit="false"/>
      <protection locked="true" hidden="false"/>
    </xf>
    <xf numFmtId="164" fontId="38" fillId="12" borderId="49" xfId="0" applyFont="true" applyBorder="true" applyAlignment="true" applyProtection="false">
      <alignment horizontal="center" vertical="center" textRotation="0" wrapText="true" indent="0" shrinkToFit="false"/>
      <protection locked="true" hidden="false"/>
    </xf>
    <xf numFmtId="164" fontId="38" fillId="9" borderId="50" xfId="0" applyFont="true" applyBorder="true" applyAlignment="true" applyProtection="false">
      <alignment horizontal="left" vertical="center" textRotation="0" wrapText="true" indent="0" shrinkToFit="false"/>
      <protection locked="true" hidden="false"/>
    </xf>
    <xf numFmtId="164" fontId="38" fillId="12" borderId="27" xfId="0" applyFont="true" applyBorder="true" applyAlignment="true" applyProtection="false">
      <alignment horizontal="center" vertical="center" textRotation="0" wrapText="true" indent="0" shrinkToFit="false"/>
      <protection locked="true" hidden="false"/>
    </xf>
    <xf numFmtId="164" fontId="27" fillId="0" borderId="49" xfId="0" applyFont="true" applyBorder="true" applyAlignment="true" applyProtection="false">
      <alignment horizontal="general" vertical="center" textRotation="0" wrapText="true" indent="0" shrinkToFit="false"/>
      <protection locked="true" hidden="false"/>
    </xf>
    <xf numFmtId="172" fontId="27" fillId="2" borderId="27" xfId="15" applyFont="true" applyBorder="true" applyAlignment="true" applyProtection="true">
      <alignment horizontal="general" vertical="center" textRotation="0" wrapText="true" indent="0" shrinkToFit="false"/>
      <protection locked="true" hidden="false"/>
    </xf>
    <xf numFmtId="164" fontId="27" fillId="0" borderId="50" xfId="0" applyFont="true" applyBorder="true" applyAlignment="true" applyProtection="false">
      <alignment horizontal="general" vertical="center" textRotation="0" wrapText="true" indent="0" shrinkToFit="false"/>
      <protection locked="true" hidden="false"/>
    </xf>
    <xf numFmtId="164" fontId="28" fillId="3" borderId="50" xfId="0" applyFont="true" applyBorder="true" applyAlignment="true" applyProtection="false">
      <alignment horizontal="general" vertical="center" textRotation="0" wrapText="true" indent="0" shrinkToFit="false"/>
      <protection locked="true" hidden="false"/>
    </xf>
    <xf numFmtId="172" fontId="28" fillId="3" borderId="27" xfId="15" applyFont="true" applyBorder="true" applyAlignment="true" applyProtection="true">
      <alignment horizontal="general" vertical="center" textRotation="0" wrapText="true" indent="0" shrinkToFit="false"/>
      <protection locked="true" hidden="false"/>
    </xf>
    <xf numFmtId="172" fontId="28" fillId="2" borderId="27" xfId="15" applyFont="true" applyBorder="true" applyAlignment="true" applyProtection="true">
      <alignment horizontal="general" vertical="center" textRotation="0" wrapText="true" indent="0" shrinkToFit="false"/>
      <protection locked="true" hidden="false"/>
    </xf>
    <xf numFmtId="164" fontId="28" fillId="0" borderId="50" xfId="0" applyFont="true" applyBorder="true" applyAlignment="true" applyProtection="false">
      <alignment horizontal="general" vertical="center" textRotation="0" wrapText="true" indent="0" shrinkToFit="false"/>
      <protection locked="true" hidden="false"/>
    </xf>
    <xf numFmtId="172" fontId="28" fillId="0" borderId="27" xfId="15" applyFont="true" applyBorder="true" applyAlignment="true" applyProtection="true">
      <alignment horizontal="general" vertical="center" textRotation="0" wrapText="true" indent="0" shrinkToFit="false"/>
      <protection locked="true" hidden="false"/>
    </xf>
    <xf numFmtId="164" fontId="38" fillId="7" borderId="50" xfId="0" applyFont="true" applyBorder="true" applyAlignment="true" applyProtection="false">
      <alignment horizontal="center" vertical="center" textRotation="0" wrapText="true" indent="0" shrinkToFit="false"/>
      <protection locked="true" hidden="false"/>
    </xf>
    <xf numFmtId="172" fontId="28" fillId="7" borderId="27" xfId="15" applyFont="true" applyBorder="true" applyAlignment="true" applyProtection="true">
      <alignment horizontal="general" vertical="center" textRotation="0" wrapText="true" indent="0" shrinkToFit="false"/>
      <protection locked="true" hidden="false"/>
    </xf>
    <xf numFmtId="164" fontId="81" fillId="0" borderId="0" xfId="0" applyFont="true" applyBorder="false" applyAlignment="true" applyProtection="false">
      <alignment horizontal="general" vertical="center" textRotation="0" wrapText="false" indent="0" shrinkToFit="false"/>
      <protection locked="true" hidden="false"/>
    </xf>
    <xf numFmtId="164" fontId="86" fillId="0" borderId="0" xfId="0" applyFont="true" applyBorder="false" applyAlignment="true" applyProtection="false">
      <alignment horizontal="general" vertical="center" textRotation="0" wrapText="false" indent="0" shrinkToFit="false"/>
      <protection locked="true" hidden="false"/>
    </xf>
    <xf numFmtId="164" fontId="79" fillId="0" borderId="0" xfId="0" applyFont="true" applyBorder="false" applyAlignment="false" applyProtection="false">
      <alignment horizontal="general" vertical="bottom" textRotation="0" wrapText="false" indent="0" shrinkToFit="false"/>
      <protection locked="true" hidden="false"/>
    </xf>
    <xf numFmtId="164" fontId="72" fillId="0" borderId="0" xfId="0" applyFont="true" applyBorder="true" applyAlignment="true" applyProtection="false">
      <alignment horizontal="left" vertical="center" textRotation="0" wrapText="true" indent="0" shrinkToFit="false"/>
      <protection locked="true" hidden="false"/>
    </xf>
    <xf numFmtId="164" fontId="66" fillId="0" borderId="0" xfId="0" applyFont="true" applyBorder="false" applyAlignment="true" applyProtection="false">
      <alignment horizontal="left" vertical="center" textRotation="0" wrapText="false" indent="15" shrinkToFit="false"/>
      <protection locked="true" hidden="false"/>
    </xf>
    <xf numFmtId="164" fontId="68" fillId="0" borderId="0" xfId="0" applyFont="true" applyBorder="false" applyAlignment="true" applyProtection="false">
      <alignment horizontal="general" vertical="center" textRotation="0" wrapText="false" indent="0" shrinkToFit="false"/>
      <protection locked="true" hidden="false"/>
    </xf>
    <xf numFmtId="164" fontId="68" fillId="0" borderId="0" xfId="0" applyFont="true" applyBorder="false" applyAlignment="true" applyProtection="false">
      <alignment horizontal="left" vertical="center" textRotation="0" wrapText="false" indent="11" shrinkToFit="false"/>
      <protection locked="true" hidden="false"/>
    </xf>
    <xf numFmtId="164" fontId="87" fillId="0" borderId="0" xfId="0" applyFont="true" applyBorder="false" applyAlignment="true" applyProtection="false">
      <alignment horizontal="left" vertical="center" textRotation="0" wrapText="false" indent="15" shrinkToFit="false"/>
      <protection locked="true" hidden="false"/>
    </xf>
    <xf numFmtId="164" fontId="90" fillId="0" borderId="0" xfId="0" applyFont="true" applyBorder="true" applyAlignment="true" applyProtection="false">
      <alignment horizontal="center" vertical="center" textRotation="0" wrapText="false" indent="0" shrinkToFit="false"/>
      <protection locked="true" hidden="false"/>
    </xf>
    <xf numFmtId="164" fontId="91" fillId="0" borderId="0" xfId="0" applyFont="true" applyBorder="false" applyAlignment="true" applyProtection="false">
      <alignment horizontal="center" vertical="center" textRotation="0" wrapText="false" indent="0" shrinkToFit="false"/>
      <protection locked="true" hidden="false"/>
    </xf>
    <xf numFmtId="164" fontId="38" fillId="9" borderId="32" xfId="0" applyFont="true" applyBorder="true" applyAlignment="true" applyProtection="false">
      <alignment horizontal="left" vertical="center" textRotation="0" wrapText="true" indent="1" shrinkToFit="false"/>
      <protection locked="true" hidden="false"/>
    </xf>
    <xf numFmtId="164" fontId="38" fillId="9" borderId="25" xfId="0" applyFont="true" applyBorder="true" applyAlignment="true" applyProtection="false">
      <alignment horizontal="center" vertical="center" textRotation="0" wrapText="true" indent="0" shrinkToFit="false"/>
      <protection locked="true" hidden="false"/>
    </xf>
    <xf numFmtId="172" fontId="27" fillId="2" borderId="33" xfId="15" applyFont="true" applyBorder="true" applyAlignment="true" applyProtection="true">
      <alignment horizontal="right" vertical="center" textRotation="0" wrapText="true" indent="0" shrinkToFit="false"/>
      <protection locked="true" hidden="false"/>
    </xf>
    <xf numFmtId="172" fontId="27" fillId="2" borderId="18" xfId="15" applyFont="true" applyBorder="true" applyAlignment="true" applyProtection="true">
      <alignment horizontal="right" vertical="center" textRotation="0" wrapText="true" indent="0" shrinkToFit="false"/>
      <protection locked="true" hidden="false"/>
    </xf>
    <xf numFmtId="172" fontId="27" fillId="2" borderId="36" xfId="15" applyFont="true" applyBorder="true" applyAlignment="true" applyProtection="true">
      <alignment horizontal="right" vertical="center" textRotation="0" wrapText="true" indent="0" shrinkToFit="false"/>
      <protection locked="true" hidden="false"/>
    </xf>
    <xf numFmtId="172" fontId="27" fillId="2" borderId="16" xfId="15" applyFont="true" applyBorder="true" applyAlignment="true" applyProtection="true">
      <alignment horizontal="right" vertical="center" textRotation="0" wrapText="true" indent="0" shrinkToFit="false"/>
      <protection locked="true" hidden="false"/>
    </xf>
    <xf numFmtId="172" fontId="28" fillId="3" borderId="30" xfId="15" applyFont="true" applyBorder="true" applyAlignment="true" applyProtection="true">
      <alignment horizontal="general" vertical="center" textRotation="0" wrapText="true" indent="0" shrinkToFit="false"/>
      <protection locked="true" hidden="false"/>
    </xf>
    <xf numFmtId="172" fontId="28" fillId="3" borderId="48" xfId="15" applyFont="true" applyBorder="true" applyAlignment="true" applyProtection="true">
      <alignment horizontal="general" vertical="center" textRotation="0" wrapText="true" indent="0" shrinkToFit="false"/>
      <protection locked="true" hidden="false"/>
    </xf>
    <xf numFmtId="172" fontId="27" fillId="2" borderId="33" xfId="15" applyFont="true" applyBorder="true" applyAlignment="true" applyProtection="true">
      <alignment horizontal="general" vertical="center" textRotation="0" wrapText="true" indent="0" shrinkToFit="false"/>
      <protection locked="true" hidden="false"/>
    </xf>
    <xf numFmtId="172" fontId="28" fillId="2" borderId="33" xfId="15" applyFont="true" applyBorder="true" applyAlignment="true" applyProtection="true">
      <alignment horizontal="general" vertical="center" textRotation="0" wrapText="true" indent="0" shrinkToFit="false"/>
      <protection locked="true" hidden="false"/>
    </xf>
    <xf numFmtId="172" fontId="28" fillId="2" borderId="18" xfId="15" applyFont="true" applyBorder="true" applyAlignment="true" applyProtection="true">
      <alignment horizontal="general" vertical="center" textRotation="0" wrapText="true" indent="0" shrinkToFit="false"/>
      <protection locked="true" hidden="false"/>
    </xf>
    <xf numFmtId="172" fontId="27" fillId="2" borderId="16" xfId="15" applyFont="true" applyBorder="true" applyAlignment="true" applyProtection="true">
      <alignment horizontal="general" vertical="center" textRotation="0" wrapText="true" indent="0" shrinkToFit="false"/>
      <protection locked="true" hidden="false"/>
    </xf>
    <xf numFmtId="172" fontId="27" fillId="3" borderId="30" xfId="15" applyFont="true" applyBorder="true" applyAlignment="true" applyProtection="true">
      <alignment horizontal="general" vertical="center" textRotation="0" wrapText="true" indent="0" shrinkToFit="false"/>
      <protection locked="true" hidden="false"/>
    </xf>
    <xf numFmtId="172" fontId="27" fillId="3" borderId="48" xfId="15" applyFont="true" applyBorder="true" applyAlignment="true" applyProtection="true">
      <alignment horizontal="general" vertical="center" textRotation="0" wrapText="true" indent="0" shrinkToFit="false"/>
      <protection locked="true" hidden="false"/>
    </xf>
    <xf numFmtId="172" fontId="28" fillId="2" borderId="34" xfId="15" applyFont="true" applyBorder="true" applyAlignment="true" applyProtection="true">
      <alignment horizontal="general" vertical="center" textRotation="0" wrapText="true" indent="0" shrinkToFit="false"/>
      <protection locked="true" hidden="false"/>
    </xf>
    <xf numFmtId="172" fontId="27" fillId="2" borderId="40" xfId="15" applyFont="true" applyBorder="true" applyAlignment="true" applyProtection="true">
      <alignment horizontal="general" vertical="center" textRotation="0" wrapText="true" indent="0" shrinkToFit="false"/>
      <protection locked="true" hidden="false"/>
    </xf>
    <xf numFmtId="164" fontId="28" fillId="3" borderId="41" xfId="0" applyFont="true" applyBorder="true" applyAlignment="true" applyProtection="false">
      <alignment horizontal="justify" vertical="center" textRotation="0" wrapText="true" indent="0" shrinkToFit="false"/>
      <protection locked="true" hidden="false"/>
    </xf>
    <xf numFmtId="172" fontId="27" fillId="3" borderId="48" xfId="15" applyFont="true" applyBorder="true" applyAlignment="true" applyProtection="true">
      <alignment horizontal="right" vertical="center" textRotation="0" wrapText="true" indent="0" shrinkToFit="false"/>
      <protection locked="true" hidden="false"/>
    </xf>
    <xf numFmtId="172" fontId="27" fillId="0" borderId="49" xfId="15" applyFont="true" applyBorder="true" applyAlignment="true" applyProtection="true">
      <alignment horizontal="general" vertical="center" textRotation="0" wrapText="true" indent="0" shrinkToFit="false"/>
      <protection locked="true" hidden="false"/>
    </xf>
    <xf numFmtId="172" fontId="27" fillId="0" borderId="0" xfId="15" applyFont="true" applyBorder="true" applyAlignment="true" applyProtection="true">
      <alignment horizontal="general" vertical="center" textRotation="0" wrapText="true" indent="0" shrinkToFit="false"/>
      <protection locked="true" hidden="false"/>
    </xf>
    <xf numFmtId="164" fontId="38" fillId="7" borderId="41" xfId="0" applyFont="true" applyBorder="true" applyAlignment="true" applyProtection="false">
      <alignment horizontal="center" vertical="center" textRotation="0" wrapText="true" indent="0" shrinkToFit="false"/>
      <protection locked="true" hidden="false"/>
    </xf>
    <xf numFmtId="172" fontId="38" fillId="7" borderId="48" xfId="15" applyFont="true" applyBorder="true" applyAlignment="true" applyProtection="true">
      <alignment horizontal="general" vertical="center" textRotation="0" wrapText="true" indent="0" shrinkToFit="false"/>
      <protection locked="true" hidden="false"/>
    </xf>
    <xf numFmtId="164" fontId="78" fillId="0" borderId="0" xfId="0" applyFont="true" applyBorder="false" applyAlignment="true" applyProtection="false">
      <alignment horizontal="general" vertical="center" textRotation="0" wrapText="false" indent="0" shrinkToFit="false"/>
      <protection locked="true" hidden="false"/>
    </xf>
    <xf numFmtId="164" fontId="68" fillId="0" borderId="0" xfId="0" applyFont="true" applyBorder="false" applyAlignment="true" applyProtection="false">
      <alignment horizontal="center" vertical="center" textRotation="0" wrapText="false" indent="0" shrinkToFit="false"/>
      <protection locked="true" hidden="false"/>
    </xf>
    <xf numFmtId="164" fontId="88" fillId="0" borderId="0" xfId="0" applyFont="true" applyBorder="true" applyAlignment="true" applyProtection="false">
      <alignment horizontal="center" vertical="center" textRotation="0" wrapText="false" indent="0" shrinkToFit="false"/>
      <protection locked="true" hidden="false"/>
    </xf>
    <xf numFmtId="164" fontId="28" fillId="0" borderId="32" xfId="0" applyFont="true" applyBorder="true" applyAlignment="true" applyProtection="false">
      <alignment horizontal="general" vertical="center" textRotation="0" wrapText="true" indent="0" shrinkToFit="false"/>
      <protection locked="true" hidden="false"/>
    </xf>
    <xf numFmtId="164" fontId="28" fillId="2" borderId="49" xfId="0" applyFont="true" applyBorder="true" applyAlignment="true" applyProtection="false">
      <alignment horizontal="general" vertical="center" textRotation="0" wrapText="true" indent="0" shrinkToFit="false"/>
      <protection locked="true" hidden="false"/>
    </xf>
    <xf numFmtId="164" fontId="28" fillId="0" borderId="49" xfId="0" applyFont="true" applyBorder="true" applyAlignment="true" applyProtection="false">
      <alignment horizontal="general" vertical="center" textRotation="0" wrapText="true" indent="0" shrinkToFit="false"/>
      <protection locked="true" hidden="false"/>
    </xf>
    <xf numFmtId="164" fontId="27" fillId="3" borderId="30" xfId="0" applyFont="true" applyBorder="true" applyAlignment="true" applyProtection="false">
      <alignment horizontal="center" vertical="center" textRotation="0" wrapText="true" indent="0" shrinkToFit="false"/>
      <protection locked="true" hidden="false"/>
    </xf>
    <xf numFmtId="164" fontId="27" fillId="2" borderId="33" xfId="0" applyFont="true" applyBorder="true" applyAlignment="true" applyProtection="false">
      <alignment horizontal="general" vertical="center" textRotation="0" wrapText="true" indent="0" shrinkToFit="false"/>
      <protection locked="true" hidden="false"/>
    </xf>
    <xf numFmtId="172" fontId="27" fillId="0" borderId="37" xfId="15" applyFont="true" applyBorder="true" applyAlignment="true" applyProtection="true">
      <alignment horizontal="right" vertical="center" textRotation="0" wrapText="true" indent="0" shrinkToFit="false"/>
      <protection locked="true" hidden="false"/>
    </xf>
    <xf numFmtId="164" fontId="38" fillId="7" borderId="27" xfId="0" applyFont="true" applyBorder="true" applyAlignment="true" applyProtection="false">
      <alignment horizontal="general" vertical="center" textRotation="0" wrapText="true" indent="0" shrinkToFit="false"/>
      <protection locked="true" hidden="false"/>
    </xf>
    <xf numFmtId="164" fontId="30"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1" shrinkToFit="false"/>
      <protection locked="true" hidden="false"/>
    </xf>
    <xf numFmtId="164" fontId="87" fillId="0" borderId="0" xfId="0" applyFont="true" applyBorder="true" applyAlignment="true" applyProtection="false">
      <alignment horizontal="center" vertical="center" textRotation="0" wrapText="false" indent="0" shrinkToFit="false"/>
      <protection locked="true" hidden="false"/>
    </xf>
    <xf numFmtId="164" fontId="38" fillId="9" borderId="88" xfId="0" applyFont="true" applyBorder="true" applyAlignment="true" applyProtection="false">
      <alignment horizontal="center" vertical="center" textRotation="0" wrapText="true" indent="0" shrinkToFit="false"/>
      <protection locked="true" hidden="false"/>
    </xf>
    <xf numFmtId="164" fontId="38" fillId="9" borderId="43" xfId="0" applyFont="true" applyBorder="true" applyAlignment="true" applyProtection="false">
      <alignment horizontal="center" vertical="center" textRotation="0" wrapText="true" indent="0" shrinkToFit="false"/>
      <protection locked="true" hidden="false"/>
    </xf>
    <xf numFmtId="164" fontId="38" fillId="9" borderId="89" xfId="0" applyFont="true" applyBorder="true" applyAlignment="true" applyProtection="false">
      <alignment horizontal="center" vertical="center" textRotation="0" wrapText="true" indent="0" shrinkToFit="false"/>
      <protection locked="true" hidden="false"/>
    </xf>
    <xf numFmtId="164" fontId="38" fillId="9" borderId="44" xfId="0" applyFont="true" applyBorder="true" applyAlignment="true" applyProtection="false">
      <alignment horizontal="center" vertical="center" textRotation="0" wrapText="true" indent="0" shrinkToFit="false"/>
      <protection locked="true" hidden="false"/>
    </xf>
    <xf numFmtId="164" fontId="38" fillId="9" borderId="65" xfId="0" applyFont="true" applyBorder="true" applyAlignment="true" applyProtection="false">
      <alignment horizontal="center" vertical="center" textRotation="0" wrapText="true" indent="0" shrinkToFit="false"/>
      <protection locked="true" hidden="false"/>
    </xf>
    <xf numFmtId="164" fontId="39" fillId="0" borderId="13" xfId="0" applyFont="true" applyBorder="true" applyAlignment="true" applyProtection="false">
      <alignment horizontal="general" vertical="center" textRotation="0" wrapText="true" indent="0" shrinkToFit="false"/>
      <protection locked="true" hidden="false"/>
    </xf>
    <xf numFmtId="172" fontId="39" fillId="0" borderId="9" xfId="15" applyFont="true" applyBorder="true" applyAlignment="true" applyProtection="true">
      <alignment horizontal="right" vertical="center" textRotation="0" wrapText="true" indent="0" shrinkToFit="false"/>
      <protection locked="true" hidden="false"/>
    </xf>
    <xf numFmtId="172" fontId="39" fillId="0" borderId="15" xfId="15" applyFont="true" applyBorder="true" applyAlignment="true" applyProtection="true">
      <alignment horizontal="right" vertical="center" textRotation="0" wrapText="true" indent="0" shrinkToFit="false"/>
      <protection locked="true" hidden="false"/>
    </xf>
    <xf numFmtId="164" fontId="39" fillId="0" borderId="6" xfId="0" applyFont="true" applyBorder="true" applyAlignment="true" applyProtection="false">
      <alignment horizontal="general" vertical="center" textRotation="0" wrapText="true" indent="0" shrinkToFit="false"/>
      <protection locked="true" hidden="false"/>
    </xf>
    <xf numFmtId="172" fontId="39" fillId="0" borderId="20" xfId="15" applyFont="true" applyBorder="true" applyAlignment="true" applyProtection="true">
      <alignment horizontal="right" vertical="center" textRotation="0" wrapText="true" indent="0" shrinkToFit="false"/>
      <protection locked="true" hidden="false"/>
    </xf>
    <xf numFmtId="172" fontId="39" fillId="0" borderId="46" xfId="15" applyFont="true" applyBorder="true" applyAlignment="true" applyProtection="true">
      <alignment horizontal="right" vertical="center" textRotation="0" wrapText="true" indent="0" shrinkToFit="false"/>
      <protection locked="true" hidden="false"/>
    </xf>
    <xf numFmtId="172" fontId="46" fillId="0" borderId="20" xfId="15" applyFont="true" applyBorder="true" applyAlignment="true" applyProtection="true">
      <alignment horizontal="right" vertical="center" textRotation="0" wrapText="true" indent="0" shrinkToFit="false"/>
      <protection locked="true" hidden="false"/>
    </xf>
    <xf numFmtId="172" fontId="46" fillId="0" borderId="46" xfId="15" applyFont="true" applyBorder="true" applyAlignment="true" applyProtection="true">
      <alignment horizontal="right" vertical="center" textRotation="0" wrapText="true" indent="0" shrinkToFit="false"/>
      <protection locked="true" hidden="false"/>
    </xf>
    <xf numFmtId="164" fontId="39" fillId="0" borderId="90" xfId="0" applyFont="true" applyBorder="true" applyAlignment="true" applyProtection="false">
      <alignment horizontal="general" vertical="center" textRotation="0" wrapText="true" indent="0" shrinkToFit="false"/>
      <protection locked="true" hidden="false"/>
    </xf>
    <xf numFmtId="172" fontId="39" fillId="0" borderId="23" xfId="15" applyFont="true" applyBorder="true" applyAlignment="true" applyProtection="true">
      <alignment horizontal="right" vertical="center" textRotation="0" wrapText="true" indent="0" shrinkToFit="false"/>
      <protection locked="true" hidden="false"/>
    </xf>
    <xf numFmtId="172" fontId="39" fillId="0" borderId="47" xfId="15" applyFont="true" applyBorder="true" applyAlignment="true" applyProtection="true">
      <alignment horizontal="right" vertical="center" textRotation="0" wrapText="true" indent="0" shrinkToFit="false"/>
      <protection locked="true" hidden="false"/>
    </xf>
    <xf numFmtId="164" fontId="46" fillId="3" borderId="88" xfId="0" applyFont="true" applyBorder="true" applyAlignment="true" applyProtection="false">
      <alignment horizontal="center" vertical="center" textRotation="0" wrapText="true" indent="0" shrinkToFit="false"/>
      <protection locked="true" hidden="false"/>
    </xf>
    <xf numFmtId="172" fontId="46" fillId="3" borderId="43" xfId="15" applyFont="true" applyBorder="true" applyAlignment="true" applyProtection="true">
      <alignment horizontal="right" vertical="center" textRotation="0" wrapText="true" indent="0" shrinkToFit="false"/>
      <protection locked="true" hidden="false"/>
    </xf>
    <xf numFmtId="172" fontId="46" fillId="3" borderId="44" xfId="15" applyFont="true" applyBorder="true" applyAlignment="true" applyProtection="true">
      <alignment horizontal="right" vertical="center" textRotation="0" wrapText="true" indent="0" shrinkToFit="false"/>
      <protection locked="true" hidden="false"/>
    </xf>
    <xf numFmtId="172" fontId="39" fillId="0" borderId="9" xfId="15" applyFont="true" applyBorder="true" applyAlignment="true" applyProtection="true">
      <alignment horizontal="general" vertical="center" textRotation="0" wrapText="true" indent="0" shrinkToFit="false"/>
      <protection locked="true" hidden="false"/>
    </xf>
    <xf numFmtId="172" fontId="39" fillId="0" borderId="15" xfId="15" applyFont="true" applyBorder="true" applyAlignment="true" applyProtection="true">
      <alignment horizontal="general" vertical="center" textRotation="0" wrapText="true" indent="0" shrinkToFit="false"/>
      <protection locked="true" hidden="false"/>
    </xf>
    <xf numFmtId="172" fontId="39" fillId="0" borderId="20" xfId="15" applyFont="true" applyBorder="true" applyAlignment="true" applyProtection="true">
      <alignment horizontal="general" vertical="center" textRotation="0" wrapText="true" indent="0" shrinkToFit="false"/>
      <protection locked="true" hidden="false"/>
    </xf>
    <xf numFmtId="172" fontId="39" fillId="0" borderId="46" xfId="15" applyFont="true" applyBorder="true" applyAlignment="true" applyProtection="true">
      <alignment horizontal="general" vertical="center" textRotation="0" wrapText="true" indent="0" shrinkToFit="false"/>
      <protection locked="true" hidden="false"/>
    </xf>
    <xf numFmtId="172" fontId="39" fillId="3" borderId="43" xfId="15" applyFont="true" applyBorder="true" applyAlignment="true" applyProtection="true">
      <alignment horizontal="general" vertical="center" textRotation="0" wrapText="true" indent="0" shrinkToFit="false"/>
      <protection locked="true" hidden="false"/>
    </xf>
    <xf numFmtId="172" fontId="39" fillId="3" borderId="44" xfId="15" applyFont="true" applyBorder="true" applyAlignment="true" applyProtection="true">
      <alignment horizontal="general" vertical="center" textRotation="0" wrapText="true" indent="0" shrinkToFit="false"/>
      <protection locked="true" hidden="false"/>
    </xf>
    <xf numFmtId="164" fontId="87" fillId="0" borderId="0" xfId="0" applyFont="true" applyBorder="false" applyAlignment="true" applyProtection="false">
      <alignment horizontal="left" vertical="center" textRotation="0" wrapText="false" indent="0" shrinkToFit="false"/>
      <protection locked="true" hidden="false"/>
    </xf>
    <xf numFmtId="164" fontId="65" fillId="9" borderId="41" xfId="0" applyFont="true" applyBorder="true" applyAlignment="true" applyProtection="false">
      <alignment horizontal="center" vertical="center" textRotation="0" wrapText="true" indent="0" shrinkToFit="false"/>
      <protection locked="true" hidden="false"/>
    </xf>
    <xf numFmtId="164" fontId="65" fillId="9" borderId="32" xfId="0" applyFont="true" applyBorder="true" applyAlignment="true" applyProtection="false">
      <alignment horizontal="center" vertical="center" textRotation="0" wrapText="true" indent="0" shrinkToFit="false"/>
      <protection locked="true" hidden="false"/>
    </xf>
    <xf numFmtId="164" fontId="65" fillId="9" borderId="91" xfId="0" applyFont="true" applyBorder="true" applyAlignment="true" applyProtection="false">
      <alignment horizontal="center" vertical="center" textRotation="0" wrapText="true" indent="0" shrinkToFit="false"/>
      <protection locked="true" hidden="false"/>
    </xf>
    <xf numFmtId="164" fontId="65" fillId="9" borderId="48" xfId="0" applyFont="true" applyBorder="true" applyAlignment="true" applyProtection="false">
      <alignment horizontal="center" vertical="center" textRotation="0" wrapText="true" indent="0" shrinkToFit="false"/>
      <protection locked="true" hidden="false"/>
    </xf>
    <xf numFmtId="164" fontId="65" fillId="9" borderId="3" xfId="0" applyFont="true" applyBorder="true" applyAlignment="true" applyProtection="false">
      <alignment horizontal="center" vertical="center" textRotation="0" wrapText="true" indent="0" shrinkToFit="false"/>
      <protection locked="true" hidden="false"/>
    </xf>
    <xf numFmtId="164" fontId="65" fillId="9" borderId="50" xfId="0" applyFont="true" applyBorder="true" applyAlignment="true" applyProtection="false">
      <alignment horizontal="center" vertical="center" textRotation="0" wrapText="true" indent="0" shrinkToFit="false"/>
      <protection locked="true" hidden="false"/>
    </xf>
    <xf numFmtId="164" fontId="65" fillId="9" borderId="27" xfId="0" applyFont="true" applyBorder="true" applyAlignment="true" applyProtection="false">
      <alignment horizontal="center" vertical="center" textRotation="0" wrapText="true" indent="0" shrinkToFit="false"/>
      <protection locked="true" hidden="false"/>
    </xf>
    <xf numFmtId="164" fontId="21" fillId="4" borderId="45" xfId="0" applyFont="true" applyBorder="true" applyAlignment="true" applyProtection="false">
      <alignment horizontal="general" vertical="center" textRotation="0" wrapText="true" indent="0" shrinkToFit="false"/>
      <protection locked="true" hidden="false"/>
    </xf>
    <xf numFmtId="172" fontId="21" fillId="4" borderId="34" xfId="15" applyFont="true" applyBorder="true" applyAlignment="true" applyProtection="true">
      <alignment horizontal="center" vertical="center" textRotation="0" wrapText="true" indent="0" shrinkToFit="false"/>
      <protection locked="true" hidden="false"/>
    </xf>
    <xf numFmtId="172" fontId="21" fillId="4" borderId="11" xfId="15" applyFont="true" applyBorder="true" applyAlignment="true" applyProtection="true">
      <alignment horizontal="general" vertical="center" textRotation="0" wrapText="true" indent="0" shrinkToFit="false"/>
      <protection locked="true" hidden="false"/>
    </xf>
    <xf numFmtId="172" fontId="21" fillId="4" borderId="18" xfId="15" applyFont="true" applyBorder="true" applyAlignment="true" applyProtection="true">
      <alignment horizontal="center" vertical="center" textRotation="0" wrapText="true" indent="0" shrinkToFit="false"/>
      <protection locked="true" hidden="false"/>
    </xf>
    <xf numFmtId="172" fontId="21" fillId="4" borderId="33" xfId="15" applyFont="true" applyBorder="true" applyAlignment="true" applyProtection="true">
      <alignment horizontal="right" vertical="center" textRotation="0" wrapText="true" indent="0" shrinkToFit="false"/>
      <protection locked="true" hidden="false"/>
    </xf>
    <xf numFmtId="172" fontId="21" fillId="4" borderId="11" xfId="15" applyFont="true" applyBorder="true" applyAlignment="true" applyProtection="true">
      <alignment horizontal="right" vertical="center" textRotation="0" wrapText="true" indent="0" shrinkToFit="false"/>
      <protection locked="true" hidden="false"/>
    </xf>
    <xf numFmtId="164" fontId="21" fillId="0" borderId="39" xfId="0" applyFont="true" applyBorder="true" applyAlignment="true" applyProtection="false">
      <alignment horizontal="general" vertical="center" textRotation="0" wrapText="true" indent="0" shrinkToFit="false"/>
      <protection locked="true" hidden="false"/>
    </xf>
    <xf numFmtId="172" fontId="21" fillId="0" borderId="34" xfId="15" applyFont="true" applyBorder="true" applyAlignment="true" applyProtection="true">
      <alignment horizontal="center" vertical="center" textRotation="0" wrapText="true" indent="0" shrinkToFit="false"/>
      <protection locked="true" hidden="false"/>
    </xf>
    <xf numFmtId="172" fontId="21" fillId="0" borderId="35" xfId="15" applyFont="true" applyBorder="true" applyAlignment="true" applyProtection="true">
      <alignment horizontal="general" vertical="center" textRotation="0" wrapText="true" indent="0" shrinkToFit="false"/>
      <protection locked="true" hidden="false"/>
    </xf>
    <xf numFmtId="172" fontId="21" fillId="0" borderId="40" xfId="15" applyFont="true" applyBorder="true" applyAlignment="true" applyProtection="true">
      <alignment horizontal="center" vertical="center" textRotation="0" wrapText="true" indent="0" shrinkToFit="false"/>
      <protection locked="true" hidden="false"/>
    </xf>
    <xf numFmtId="172" fontId="21" fillId="0" borderId="34" xfId="15" applyFont="true" applyBorder="true" applyAlignment="true" applyProtection="true">
      <alignment horizontal="right" vertical="center" textRotation="0" wrapText="true" indent="0" shrinkToFit="false"/>
      <protection locked="true" hidden="false"/>
    </xf>
    <xf numFmtId="172" fontId="21" fillId="0" borderId="35" xfId="15" applyFont="true" applyBorder="true" applyAlignment="true" applyProtection="true">
      <alignment horizontal="right" vertical="center" textRotation="0" wrapText="true" indent="0" shrinkToFit="false"/>
      <protection locked="true" hidden="false"/>
    </xf>
    <xf numFmtId="164" fontId="21" fillId="0" borderId="82" xfId="0" applyFont="true" applyBorder="true" applyAlignment="true" applyProtection="false">
      <alignment horizontal="general" vertical="center" textRotation="0" wrapText="true" indent="0" shrinkToFit="false"/>
      <protection locked="true" hidden="false"/>
    </xf>
    <xf numFmtId="172" fontId="21" fillId="0" borderId="37" xfId="15" applyFont="true" applyBorder="true" applyAlignment="true" applyProtection="true">
      <alignment horizontal="center" vertical="center" textRotation="0" wrapText="true" indent="0" shrinkToFit="false"/>
      <protection locked="true" hidden="false"/>
    </xf>
    <xf numFmtId="172" fontId="21" fillId="0" borderId="38" xfId="15" applyFont="true" applyBorder="true" applyAlignment="true" applyProtection="true">
      <alignment horizontal="general" vertical="center" textRotation="0" wrapText="true" indent="0" shrinkToFit="false"/>
      <protection locked="true" hidden="false"/>
    </xf>
    <xf numFmtId="172" fontId="21" fillId="0" borderId="92" xfId="15" applyFont="true" applyBorder="true" applyAlignment="true" applyProtection="true">
      <alignment horizontal="center" vertical="center" textRotation="0" wrapText="true" indent="0" shrinkToFit="false"/>
      <protection locked="true" hidden="false"/>
    </xf>
    <xf numFmtId="172" fontId="21" fillId="0" borderId="37" xfId="15" applyFont="true" applyBorder="true" applyAlignment="true" applyProtection="true">
      <alignment horizontal="right" vertical="center" textRotation="0" wrapText="true" indent="0" shrinkToFit="false"/>
      <protection locked="true" hidden="false"/>
    </xf>
    <xf numFmtId="172" fontId="21" fillId="0" borderId="38" xfId="15" applyFont="true" applyBorder="true" applyAlignment="true" applyProtection="true">
      <alignment horizontal="right" vertical="center" textRotation="0" wrapText="true" indent="0" shrinkToFit="false"/>
      <protection locked="true" hidden="false"/>
    </xf>
    <xf numFmtId="164" fontId="76" fillId="0" borderId="0" xfId="0" applyFont="true" applyBorder="false" applyAlignment="true" applyProtection="false">
      <alignment horizontal="general" vertical="center" textRotation="0" wrapText="true" indent="0" shrinkToFit="false"/>
      <protection locked="true" hidden="false"/>
    </xf>
    <xf numFmtId="164" fontId="76" fillId="0" borderId="0" xfId="0" applyFont="true" applyBorder="false" applyAlignment="true" applyProtection="false">
      <alignment horizontal="center" vertical="center" textRotation="0" wrapText="true" indent="0" shrinkToFit="false"/>
      <protection locked="true" hidden="false"/>
    </xf>
    <xf numFmtId="164" fontId="76" fillId="0" borderId="0" xfId="0" applyFont="true" applyBorder="false" applyAlignment="true" applyProtection="false">
      <alignment horizontal="right" vertical="center" textRotation="0" wrapText="true" indent="0" shrinkToFit="false"/>
      <protection locked="true" hidden="false"/>
    </xf>
    <xf numFmtId="164" fontId="78" fillId="0" borderId="0" xfId="0" applyFont="true" applyBorder="false" applyAlignment="true" applyProtection="false">
      <alignment horizontal="left" vertical="center" textRotation="0" wrapText="false" indent="3" shrinkToFit="false"/>
      <protection locked="true" hidden="false"/>
    </xf>
    <xf numFmtId="164" fontId="76" fillId="0" borderId="0" xfId="0" applyFont="true" applyBorder="false" applyAlignment="true" applyProtection="false">
      <alignment horizontal="left" vertical="center" textRotation="0" wrapText="false" indent="9" shrinkToFit="false"/>
      <protection locked="true" hidden="false"/>
    </xf>
    <xf numFmtId="164" fontId="76" fillId="0" borderId="0" xfId="0" applyFont="true" applyBorder="false" applyAlignment="true" applyProtection="false">
      <alignment horizontal="left" vertical="center" textRotation="0" wrapText="false" indent="13" shrinkToFit="false"/>
      <protection locked="true" hidden="false"/>
    </xf>
    <xf numFmtId="164" fontId="27" fillId="0" borderId="0" xfId="0" applyFont="true" applyBorder="false" applyAlignment="true" applyProtection="false">
      <alignment horizontal="left" vertical="center"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64" fontId="62" fillId="0" borderId="0" xfId="0" applyFont="true" applyBorder="false" applyAlignment="true" applyProtection="false">
      <alignment horizontal="general" vertical="center" textRotation="0" wrapText="false" indent="0" shrinkToFit="false"/>
      <protection locked="true" hidden="false"/>
    </xf>
    <xf numFmtId="164" fontId="62" fillId="0" borderId="0" xfId="0" applyFont="true" applyBorder="false" applyAlignment="true" applyProtection="false">
      <alignment horizontal="center" vertical="center" textRotation="0" wrapText="false" indent="0" shrinkToFit="false"/>
      <protection locked="true" hidden="false"/>
    </xf>
    <xf numFmtId="164" fontId="64" fillId="0" borderId="0" xfId="0" applyFont="true" applyBorder="true" applyAlignment="true" applyProtection="false">
      <alignment horizontal="center" vertical="center" textRotation="0" wrapText="false" indent="0" shrinkToFit="false"/>
      <protection locked="true" hidden="false"/>
    </xf>
    <xf numFmtId="164" fontId="64" fillId="0" borderId="0" xfId="0" applyFont="true" applyBorder="false" applyAlignment="true" applyProtection="false">
      <alignment horizontal="general" vertical="center" textRotation="0" wrapText="false" indent="0" shrinkToFit="false"/>
      <protection locked="true" hidden="false"/>
    </xf>
    <xf numFmtId="164" fontId="64" fillId="0" borderId="0" xfId="0" applyFont="true" applyBorder="false" applyAlignment="true" applyProtection="false">
      <alignment horizontal="center" vertical="center" textRotation="0" wrapText="false" indent="0" shrinkToFit="false"/>
      <protection locked="true" hidden="false"/>
    </xf>
    <xf numFmtId="164" fontId="49" fillId="0" borderId="0" xfId="0" applyFont="true" applyBorder="false" applyAlignment="true" applyProtection="false">
      <alignment horizontal="center" vertical="center" textRotation="0" wrapText="false" indent="0" shrinkToFit="false"/>
      <protection locked="true" hidden="false"/>
    </xf>
    <xf numFmtId="164" fontId="38" fillId="9" borderId="93" xfId="0" applyFont="true" applyBorder="true" applyAlignment="true" applyProtection="false">
      <alignment horizontal="center" vertical="center" textRotation="0" wrapText="true" indent="0" shrinkToFit="false"/>
      <protection locked="true" hidden="false"/>
    </xf>
    <xf numFmtId="164" fontId="38" fillId="9" borderId="94" xfId="0" applyFont="true" applyBorder="true" applyAlignment="true" applyProtection="false">
      <alignment horizontal="center" vertical="center" textRotation="0" wrapText="true" indent="0" shrinkToFit="false"/>
      <protection locked="true" hidden="false"/>
    </xf>
    <xf numFmtId="172" fontId="27" fillId="2" borderId="35" xfId="15" applyFont="true" applyBorder="true" applyAlignment="true" applyProtection="true">
      <alignment horizontal="general" vertical="center" textRotation="0" wrapText="true" indent="0" shrinkToFit="false"/>
      <protection locked="true" hidden="false"/>
    </xf>
    <xf numFmtId="164" fontId="27" fillId="0" borderId="36" xfId="0" applyFont="true" applyBorder="true" applyAlignment="true" applyProtection="false">
      <alignment horizontal="left" vertical="center" textRotation="0" wrapText="true" indent="0" shrinkToFit="false"/>
      <protection locked="true" hidden="false"/>
    </xf>
    <xf numFmtId="172" fontId="27" fillId="2" borderId="36" xfId="15" applyFont="true" applyBorder="true" applyAlignment="true" applyProtection="true">
      <alignment horizontal="general" vertical="center" textRotation="0" wrapText="true" indent="0" shrinkToFit="false"/>
      <protection locked="true" hidden="false"/>
    </xf>
    <xf numFmtId="172" fontId="27" fillId="2" borderId="17" xfId="15" applyFont="true" applyBorder="true" applyAlignment="true" applyProtection="true">
      <alignment horizontal="general" vertical="center" textRotation="0" wrapText="true" indent="0" shrinkToFit="false"/>
      <protection locked="true" hidden="false"/>
    </xf>
    <xf numFmtId="164" fontId="28" fillId="3" borderId="30" xfId="0" applyFont="true" applyBorder="true" applyAlignment="true" applyProtection="false">
      <alignment horizontal="left" vertical="center" textRotation="0" wrapText="true" indent="0" shrinkToFit="false"/>
      <protection locked="true" hidden="false"/>
    </xf>
    <xf numFmtId="172" fontId="28" fillId="3" borderId="91" xfId="15" applyFont="true" applyBorder="true" applyAlignment="true" applyProtection="true">
      <alignment horizontal="general" vertical="center" textRotation="0" wrapText="true" indent="0" shrinkToFit="false"/>
      <protection locked="true" hidden="false"/>
    </xf>
    <xf numFmtId="164" fontId="27" fillId="0" borderId="33" xfId="0" applyFont="true" applyBorder="true" applyAlignment="true" applyProtection="false">
      <alignment horizontal="left" vertical="center" textRotation="0" wrapText="true" indent="0" shrinkToFit="false"/>
      <protection locked="true" hidden="false"/>
    </xf>
    <xf numFmtId="172" fontId="27" fillId="2" borderId="18" xfId="15" applyFont="true" applyBorder="true" applyAlignment="true" applyProtection="true">
      <alignment horizontal="general" vertical="center" textRotation="0" wrapText="true" indent="0" shrinkToFit="false"/>
      <protection locked="true" hidden="false"/>
    </xf>
    <xf numFmtId="172" fontId="27" fillId="2" borderId="11" xfId="15" applyFont="true" applyBorder="true" applyAlignment="true" applyProtection="true">
      <alignment horizontal="general" vertical="center" textRotation="0" wrapText="true" indent="0" shrinkToFit="false"/>
      <protection locked="true" hidden="false"/>
    </xf>
    <xf numFmtId="172" fontId="27" fillId="0" borderId="16" xfId="15" applyFont="true" applyBorder="true" applyAlignment="true" applyProtection="true">
      <alignment horizontal="general" vertical="center" textRotation="0" wrapText="true" indent="0" shrinkToFit="false"/>
      <protection locked="true" hidden="false"/>
    </xf>
    <xf numFmtId="172" fontId="27" fillId="0" borderId="17" xfId="15" applyFont="true" applyBorder="true" applyAlignment="true" applyProtection="true">
      <alignment horizontal="general" vertical="center" textRotation="0" wrapText="true" indent="0" shrinkToFit="false"/>
      <protection locked="true" hidden="false"/>
    </xf>
    <xf numFmtId="172" fontId="27" fillId="3" borderId="91" xfId="15" applyFont="true" applyBorder="true" applyAlignment="true" applyProtection="true">
      <alignment horizontal="general" vertical="center" textRotation="0" wrapText="true" indent="0" shrinkToFit="false"/>
      <protection locked="true" hidden="false"/>
    </xf>
    <xf numFmtId="164" fontId="86" fillId="0" borderId="0" xfId="0" applyFont="true" applyBorder="false" applyAlignment="true" applyProtection="false">
      <alignment horizontal="left" vertical="center" textRotation="0" wrapText="false" indent="3" shrinkToFit="false"/>
      <protection locked="true" hidden="false"/>
    </xf>
    <xf numFmtId="164" fontId="79" fillId="0" borderId="0" xfId="0" applyFont="true" applyBorder="false" applyAlignment="true" applyProtection="false">
      <alignment horizontal="left" vertical="center" textRotation="0" wrapText="false" indent="5" shrinkToFit="false"/>
      <protection locked="true" hidden="false"/>
    </xf>
    <xf numFmtId="164" fontId="27" fillId="0" borderId="0" xfId="0" applyFont="true" applyBorder="false" applyAlignment="true" applyProtection="false">
      <alignment horizontal="left" vertical="center" textRotation="0" wrapText="false" indent="5" shrinkToFit="false"/>
      <protection locked="true" hidden="false"/>
    </xf>
    <xf numFmtId="164" fontId="38" fillId="9" borderId="95" xfId="0" applyFont="true" applyBorder="true" applyAlignment="true" applyProtection="false">
      <alignment horizontal="center" vertical="center" textRotation="0" wrapText="true" indent="0" shrinkToFit="false"/>
      <protection locked="true" hidden="false"/>
    </xf>
    <xf numFmtId="164" fontId="27" fillId="0" borderId="39" xfId="0" applyFont="true" applyBorder="true" applyAlignment="true" applyProtection="false">
      <alignment horizontal="left" vertical="center" textRotation="0" wrapText="true" indent="0" shrinkToFit="false"/>
      <protection locked="true" hidden="false"/>
    </xf>
    <xf numFmtId="164" fontId="28" fillId="3" borderId="41" xfId="0" applyFont="true" applyBorder="true" applyAlignment="true" applyProtection="false">
      <alignment horizontal="left" vertical="center" textRotation="0" wrapText="true" indent="0" shrinkToFit="false"/>
      <protection locked="true" hidden="false"/>
    </xf>
    <xf numFmtId="164" fontId="28" fillId="0" borderId="0" xfId="0" applyFont="true" applyBorder="false" applyAlignment="true" applyProtection="false">
      <alignment horizontal="left" vertical="center" textRotation="0" wrapText="false" indent="3" shrinkToFit="false"/>
      <protection locked="true" hidden="false"/>
    </xf>
    <xf numFmtId="164" fontId="76" fillId="0" borderId="0" xfId="0" applyFont="true" applyBorder="false" applyAlignment="true" applyProtection="false">
      <alignment horizontal="left" vertical="center" textRotation="0" wrapText="false" indent="3" shrinkToFit="false"/>
      <protection locked="true" hidden="false"/>
    </xf>
    <xf numFmtId="164" fontId="76" fillId="0" borderId="0" xfId="0" applyFont="true" applyBorder="false" applyAlignment="true" applyProtection="false">
      <alignment horizontal="left" vertical="center" textRotation="0" wrapText="false" indent="1" shrinkToFit="false"/>
      <protection locked="true" hidden="false"/>
    </xf>
    <xf numFmtId="164" fontId="30" fillId="0" borderId="0" xfId="0" applyFont="true" applyBorder="false" applyAlignment="true" applyProtection="false">
      <alignment horizontal="left" vertical="center" textRotation="0" wrapText="false" indent="1" shrinkToFit="false"/>
      <protection locked="true" hidden="false"/>
    </xf>
    <xf numFmtId="164" fontId="66" fillId="0" borderId="0" xfId="0" applyFont="true" applyBorder="false" applyAlignment="true" applyProtection="false">
      <alignment horizontal="right" vertical="center" textRotation="0" wrapText="false" indent="0" shrinkToFit="false"/>
      <protection locked="true" hidden="false"/>
    </xf>
    <xf numFmtId="164" fontId="38" fillId="9" borderId="43" xfId="0" applyFont="true" applyBorder="true" applyAlignment="true" applyProtection="false">
      <alignment horizontal="general" vertical="center" textRotation="0" wrapText="true" indent="0" shrinkToFit="false"/>
      <protection locked="true" hidden="false"/>
    </xf>
    <xf numFmtId="164" fontId="27" fillId="0" borderId="13" xfId="0" applyFont="true" applyBorder="true" applyAlignment="true" applyProtection="false">
      <alignment horizontal="general" vertical="center" textRotation="0" wrapText="true" indent="0" shrinkToFit="false"/>
      <protection locked="true" hidden="false"/>
    </xf>
    <xf numFmtId="172" fontId="28" fillId="2" borderId="9" xfId="15" applyFont="true" applyBorder="true" applyAlignment="true" applyProtection="true">
      <alignment horizontal="general" vertical="center" textRotation="0" wrapText="true" indent="0" shrinkToFit="false"/>
      <protection locked="true" hidden="false"/>
    </xf>
    <xf numFmtId="171" fontId="28" fillId="2" borderId="15" xfId="19" applyFont="true" applyBorder="true" applyAlignment="true" applyProtection="true">
      <alignment horizontal="general" vertical="center" textRotation="0" wrapText="true" indent="0" shrinkToFit="false"/>
      <protection locked="true" hidden="false"/>
    </xf>
    <xf numFmtId="164" fontId="27" fillId="0" borderId="6" xfId="0" applyFont="true" applyBorder="true" applyAlignment="true" applyProtection="false">
      <alignment horizontal="general" vertical="center" textRotation="0" wrapText="true" indent="0" shrinkToFit="false"/>
      <protection locked="true" hidden="false"/>
    </xf>
    <xf numFmtId="172" fontId="27" fillId="2" borderId="20" xfId="15" applyFont="true" applyBorder="true" applyAlignment="true" applyProtection="true">
      <alignment horizontal="general" vertical="center" textRotation="0" wrapText="true" indent="0" shrinkToFit="false"/>
      <protection locked="true" hidden="false"/>
    </xf>
    <xf numFmtId="171" fontId="27" fillId="2" borderId="15" xfId="19" applyFont="true" applyBorder="true" applyAlignment="true" applyProtection="true">
      <alignment horizontal="general" vertical="center" textRotation="0" wrapText="true" indent="0" shrinkToFit="false"/>
      <protection locked="true" hidden="false"/>
    </xf>
    <xf numFmtId="164" fontId="27" fillId="0" borderId="90" xfId="0" applyFont="true" applyBorder="true" applyAlignment="true" applyProtection="false">
      <alignment horizontal="general" vertical="center" textRotation="0" wrapText="true" indent="0" shrinkToFit="false"/>
      <protection locked="true" hidden="false"/>
    </xf>
    <xf numFmtId="172" fontId="27" fillId="2" borderId="23" xfId="15" applyFont="true" applyBorder="true" applyAlignment="true" applyProtection="true">
      <alignment horizontal="general" vertical="center" textRotation="0" wrapText="true" indent="0" shrinkToFit="false"/>
      <protection locked="true" hidden="false"/>
    </xf>
    <xf numFmtId="164" fontId="28" fillId="3" borderId="88" xfId="0" applyFont="true" applyBorder="true" applyAlignment="true" applyProtection="false">
      <alignment horizontal="general" vertical="center" textRotation="0" wrapText="true" indent="0" shrinkToFit="false"/>
      <protection locked="true" hidden="false"/>
    </xf>
    <xf numFmtId="172" fontId="28" fillId="3" borderId="43" xfId="15" applyFont="true" applyBorder="true" applyAlignment="true" applyProtection="true">
      <alignment horizontal="general" vertical="center" textRotation="0" wrapText="true" indent="0" shrinkToFit="false"/>
      <protection locked="true" hidden="false"/>
    </xf>
    <xf numFmtId="171" fontId="28" fillId="0" borderId="15" xfId="19" applyFont="true" applyBorder="true" applyAlignment="true" applyProtection="true">
      <alignment horizontal="general" vertical="center" textRotation="0" wrapText="true" indent="0" shrinkToFit="false"/>
      <protection locked="true" hidden="false"/>
    </xf>
    <xf numFmtId="164" fontId="28" fillId="0" borderId="13" xfId="0" applyFont="true" applyBorder="true" applyAlignment="true" applyProtection="false">
      <alignment horizontal="general" vertical="center" textRotation="0" wrapText="true" indent="0" shrinkToFit="false"/>
      <protection locked="true" hidden="false"/>
    </xf>
    <xf numFmtId="172" fontId="28" fillId="0" borderId="9" xfId="15" applyFont="true" applyBorder="true" applyAlignment="true" applyProtection="true">
      <alignment horizontal="general" vertical="center" textRotation="0" wrapText="true" indent="0" shrinkToFit="false"/>
      <protection locked="true" hidden="false"/>
    </xf>
    <xf numFmtId="172" fontId="28" fillId="0" borderId="15" xfId="15" applyFont="true" applyBorder="true" applyAlignment="true" applyProtection="true">
      <alignment horizontal="general" vertical="center" textRotation="0" wrapText="true" indent="0" shrinkToFit="false"/>
      <protection locked="true" hidden="false"/>
    </xf>
    <xf numFmtId="172" fontId="27" fillId="2" borderId="46" xfId="15" applyFont="true" applyBorder="true" applyAlignment="true" applyProtection="true">
      <alignment horizontal="general" vertical="center" textRotation="0" wrapText="true" indent="0" shrinkToFit="false"/>
      <protection locked="true" hidden="false"/>
    </xf>
    <xf numFmtId="172" fontId="27" fillId="0" borderId="23" xfId="15" applyFont="true" applyBorder="true" applyAlignment="true" applyProtection="true">
      <alignment horizontal="general" vertical="center" textRotation="0" wrapText="true" indent="0" shrinkToFit="false"/>
      <protection locked="true" hidden="false"/>
    </xf>
    <xf numFmtId="172" fontId="27" fillId="0" borderId="47" xfId="15" applyFont="true" applyBorder="true" applyAlignment="true" applyProtection="true">
      <alignment horizontal="general" vertical="center" textRotation="0" wrapText="true" indent="0" shrinkToFit="false"/>
      <protection locked="true" hidden="false"/>
    </xf>
    <xf numFmtId="164" fontId="28" fillId="3" borderId="88" xfId="0" applyFont="true" applyBorder="true" applyAlignment="true" applyProtection="false">
      <alignment horizontal="center" vertical="center" textRotation="0" wrapText="true" indent="0" shrinkToFit="false"/>
      <protection locked="true" hidden="false"/>
    </xf>
    <xf numFmtId="172" fontId="27" fillId="3" borderId="43" xfId="15" applyFont="true" applyBorder="true" applyAlignment="true" applyProtection="true">
      <alignment horizontal="general" vertical="center" textRotation="0" wrapText="true" indent="0" shrinkToFit="false"/>
      <protection locked="true" hidden="false"/>
    </xf>
    <xf numFmtId="171" fontId="28" fillId="3" borderId="43" xfId="19" applyFont="true" applyBorder="true" applyAlignment="true" applyProtection="true">
      <alignment horizontal="general" vertical="center" textRotation="0" wrapText="true" indent="0" shrinkToFit="false"/>
      <protection locked="true" hidden="false"/>
    </xf>
    <xf numFmtId="164" fontId="76" fillId="0" borderId="0" xfId="0" applyFont="true" applyBorder="true" applyAlignment="true" applyProtection="false">
      <alignment horizontal="left" vertical="center" textRotation="0" wrapText="true" indent="0" shrinkToFit="false"/>
      <protection locked="true" hidden="false"/>
    </xf>
    <xf numFmtId="164" fontId="78" fillId="0" borderId="0" xfId="0" applyFont="true" applyBorder="false" applyAlignment="true" applyProtection="false">
      <alignment horizontal="left" vertical="center" textRotation="0" wrapText="false" indent="1" shrinkToFit="false"/>
      <protection locked="true" hidden="false"/>
    </xf>
    <xf numFmtId="164" fontId="80" fillId="0" borderId="0" xfId="0" applyFont="true" applyBorder="false" applyAlignment="true" applyProtection="false">
      <alignment horizontal="left" vertical="center" textRotation="0" wrapText="false" indent="3" shrinkToFit="false"/>
      <protection locked="true" hidden="false"/>
    </xf>
    <xf numFmtId="164" fontId="59" fillId="0" borderId="0" xfId="0" applyFont="true" applyBorder="false" applyAlignment="true" applyProtection="false">
      <alignment horizontal="left" vertical="center" textRotation="0" wrapText="false" indent="3" shrinkToFit="false"/>
      <protection locked="true" hidden="false"/>
    </xf>
    <xf numFmtId="164" fontId="30" fillId="0" borderId="0" xfId="0" applyFont="true" applyBorder="false" applyAlignment="true" applyProtection="false">
      <alignment horizontal="left" vertical="center" textRotation="0" wrapText="false" indent="3" shrinkToFit="false"/>
      <protection locked="true" hidden="false"/>
    </xf>
    <xf numFmtId="164" fontId="38" fillId="9" borderId="96" xfId="0" applyFont="true" applyBorder="true" applyAlignment="true" applyProtection="false">
      <alignment horizontal="center" vertical="center" textRotation="0" wrapText="true" indent="0" shrinkToFit="false"/>
      <protection locked="true" hidden="false"/>
    </xf>
    <xf numFmtId="164" fontId="38" fillId="9" borderId="91" xfId="0" applyFont="true" applyBorder="true" applyAlignment="true" applyProtection="false">
      <alignment horizontal="center" vertical="center" textRotation="0" wrapText="true" indent="0" shrinkToFit="false"/>
      <protection locked="true" hidden="false"/>
    </xf>
    <xf numFmtId="172" fontId="28" fillId="2" borderId="9" xfId="15" applyFont="true" applyBorder="true" applyAlignment="true" applyProtection="true">
      <alignment horizontal="right" vertical="center" textRotation="0" wrapText="true" indent="0" shrinkToFit="false"/>
      <protection locked="true" hidden="false"/>
    </xf>
    <xf numFmtId="171" fontId="28" fillId="2" borderId="9" xfId="19" applyFont="true" applyBorder="true" applyAlignment="true" applyProtection="true">
      <alignment horizontal="right" vertical="center" textRotation="0" wrapText="true" indent="0" shrinkToFit="false"/>
      <protection locked="true" hidden="false"/>
    </xf>
    <xf numFmtId="172" fontId="27" fillId="2" borderId="15" xfId="15" applyFont="true" applyBorder="true" applyAlignment="true" applyProtection="true">
      <alignment horizontal="right" vertical="center" textRotation="0" wrapText="true" indent="0" shrinkToFit="false"/>
      <protection locked="true" hidden="false"/>
    </xf>
    <xf numFmtId="172" fontId="27" fillId="2" borderId="20" xfId="15" applyFont="true" applyBorder="true" applyAlignment="true" applyProtection="true">
      <alignment horizontal="right" vertical="center" textRotation="0" wrapText="true" indent="0" shrinkToFit="false"/>
      <protection locked="true" hidden="false"/>
    </xf>
    <xf numFmtId="172" fontId="27" fillId="2" borderId="46" xfId="15" applyFont="true" applyBorder="true" applyAlignment="true" applyProtection="true">
      <alignment horizontal="right" vertical="center" textRotation="0" wrapText="true" indent="0" shrinkToFit="false"/>
      <protection locked="true" hidden="false"/>
    </xf>
    <xf numFmtId="164" fontId="27" fillId="0" borderId="6" xfId="0" applyFont="true" applyBorder="true" applyAlignment="true" applyProtection="false">
      <alignment horizontal="justify" vertical="center" textRotation="0" wrapText="true" indent="0" shrinkToFit="false"/>
      <protection locked="true" hidden="false"/>
    </xf>
    <xf numFmtId="172" fontId="27" fillId="2" borderId="23" xfId="15" applyFont="true" applyBorder="true" applyAlignment="true" applyProtection="true">
      <alignment horizontal="right" vertical="center" textRotation="0" wrapText="true" indent="0" shrinkToFit="false"/>
      <protection locked="true" hidden="false"/>
    </xf>
    <xf numFmtId="172" fontId="27" fillId="2" borderId="47" xfId="15" applyFont="true" applyBorder="true" applyAlignment="true" applyProtection="true">
      <alignment horizontal="right" vertical="center" textRotation="0" wrapText="true" indent="0" shrinkToFit="false"/>
      <protection locked="true" hidden="false"/>
    </xf>
    <xf numFmtId="171" fontId="28" fillId="3" borderId="43" xfId="19" applyFont="true" applyBorder="true" applyAlignment="true" applyProtection="true">
      <alignment horizontal="right" vertical="center" textRotation="0" wrapText="true" indent="0" shrinkToFit="false"/>
      <protection locked="true" hidden="false"/>
    </xf>
    <xf numFmtId="164" fontId="68" fillId="0" borderId="0" xfId="0" applyFont="true" applyBorder="false" applyAlignment="true" applyProtection="false">
      <alignment horizontal="left" vertical="center" textRotation="0" wrapText="false" indent="3" shrinkToFit="false"/>
      <protection locked="true" hidden="false"/>
    </xf>
    <xf numFmtId="164" fontId="97" fillId="0" borderId="0" xfId="0" applyFont="true" applyBorder="true" applyAlignment="true" applyProtection="false">
      <alignment horizontal="left" vertical="top" textRotation="0" wrapText="true" indent="0" shrinkToFit="false"/>
      <protection locked="true" hidden="false"/>
    </xf>
    <xf numFmtId="164" fontId="27" fillId="0" borderId="0" xfId="0" applyFont="true" applyBorder="false" applyAlignment="true" applyProtection="false">
      <alignment horizontal="left" vertical="center" textRotation="0" wrapText="false" indent="9" shrinkToFit="false"/>
      <protection locked="true" hidden="false"/>
    </xf>
    <xf numFmtId="164" fontId="38" fillId="0" borderId="0" xfId="0" applyFont="true" applyBorder="false" applyAlignment="true" applyProtection="false">
      <alignment horizontal="general" vertical="center" textRotation="0" wrapText="false" indent="0" shrinkToFit="false"/>
      <protection locked="true" hidden="false"/>
    </xf>
    <xf numFmtId="164" fontId="98" fillId="0" borderId="0" xfId="0" applyFont="true" applyBorder="true" applyAlignment="true" applyProtection="false">
      <alignment horizontal="center" vertical="center" textRotation="0" wrapText="false" indent="0" shrinkToFit="false"/>
      <protection locked="true" hidden="false"/>
    </xf>
    <xf numFmtId="164" fontId="49" fillId="0" borderId="26" xfId="0" applyFont="true" applyBorder="true" applyAlignment="true" applyProtection="false">
      <alignment horizontal="center" vertical="center" textRotation="0" wrapText="false" indent="0" shrinkToFit="false"/>
      <protection locked="true" hidden="false"/>
    </xf>
    <xf numFmtId="164" fontId="38" fillId="9" borderId="3" xfId="0" applyFont="true" applyBorder="true" applyAlignment="true" applyProtection="false">
      <alignment horizontal="center" vertical="center" textRotation="0" wrapText="true" indent="0" shrinkToFit="false"/>
      <protection locked="true" hidden="false"/>
    </xf>
    <xf numFmtId="164" fontId="38" fillId="9" borderId="5" xfId="0" applyFont="true" applyBorder="true" applyAlignment="true" applyProtection="false">
      <alignment horizontal="general" vertical="center" textRotation="0" wrapText="true" indent="0" shrinkToFit="false"/>
      <protection locked="true" hidden="false"/>
    </xf>
    <xf numFmtId="164" fontId="38" fillId="9" borderId="27" xfId="0" applyFont="true" applyBorder="true" applyAlignment="true" applyProtection="false">
      <alignment horizontal="center" vertical="center" textRotation="0" wrapText="true" indent="0" shrinkToFit="false"/>
      <protection locked="true" hidden="false"/>
    </xf>
    <xf numFmtId="172" fontId="27" fillId="2" borderId="27" xfId="15" applyFont="true" applyBorder="true" applyAlignment="true" applyProtection="true">
      <alignment horizontal="right" vertical="center" textRotation="0" wrapText="true" indent="0" shrinkToFit="false"/>
      <protection locked="true" hidden="false"/>
    </xf>
    <xf numFmtId="172" fontId="28" fillId="2" borderId="27" xfId="15" applyFont="true" applyBorder="true" applyAlignment="true" applyProtection="true">
      <alignment horizontal="right" vertical="center" textRotation="0" wrapText="true" indent="0" shrinkToFit="false"/>
      <protection locked="true" hidden="false"/>
    </xf>
    <xf numFmtId="171" fontId="28" fillId="2" borderId="27" xfId="19" applyFont="true" applyBorder="true" applyAlignment="true" applyProtection="true">
      <alignment horizontal="center" vertical="center" textRotation="0" wrapText="true" indent="0" shrinkToFit="false"/>
      <protection locked="true" hidden="false"/>
    </xf>
    <xf numFmtId="171" fontId="27" fillId="2" borderId="27" xfId="19" applyFont="true" applyBorder="true" applyAlignment="true" applyProtection="true">
      <alignment horizontal="right" vertical="center" textRotation="0" wrapText="true" indent="0" shrinkToFit="false"/>
      <protection locked="true" hidden="false"/>
    </xf>
    <xf numFmtId="164" fontId="28" fillId="3" borderId="50" xfId="0" applyFont="true" applyBorder="true" applyAlignment="true" applyProtection="false">
      <alignment horizontal="justify" vertical="center" textRotation="0" wrapText="true" indent="0" shrinkToFit="false"/>
      <protection locked="true" hidden="false"/>
    </xf>
    <xf numFmtId="172" fontId="28" fillId="3" borderId="27" xfId="15" applyFont="true" applyBorder="true" applyAlignment="true" applyProtection="true">
      <alignment horizontal="right" vertical="center" textRotation="0" wrapText="true" indent="0" shrinkToFit="false"/>
      <protection locked="true" hidden="false"/>
    </xf>
    <xf numFmtId="172" fontId="27" fillId="0" borderId="27" xfId="15" applyFont="true" applyBorder="true" applyAlignment="true" applyProtection="true">
      <alignment horizontal="right" vertical="center" textRotation="0" wrapText="true" indent="0" shrinkToFit="false"/>
      <protection locked="true" hidden="false"/>
    </xf>
    <xf numFmtId="172" fontId="27" fillId="3" borderId="27" xfId="15" applyFont="true" applyBorder="true" applyAlignment="true" applyProtection="true">
      <alignment horizontal="right" vertical="center" textRotation="0" wrapText="true" indent="0" shrinkToFit="false"/>
      <protection locked="true" hidden="false"/>
    </xf>
    <xf numFmtId="164" fontId="66" fillId="0" borderId="0" xfId="0" applyFont="true" applyBorder="false" applyAlignment="true" applyProtection="false">
      <alignment horizontal="left" vertical="center" textRotation="0" wrapText="false" indent="8" shrinkToFit="false"/>
      <protection locked="true" hidden="false"/>
    </xf>
    <xf numFmtId="164" fontId="69" fillId="0" borderId="26" xfId="0" applyFont="true" applyBorder="true" applyAlignment="true" applyProtection="false">
      <alignment horizontal="center" vertical="center" textRotation="0" wrapText="false" indent="0" shrinkToFit="false"/>
      <protection locked="true" hidden="false"/>
    </xf>
    <xf numFmtId="164" fontId="38" fillId="3" borderId="30" xfId="0" applyFont="true" applyBorder="true" applyAlignment="true" applyProtection="false">
      <alignment horizontal="center" vertical="center" textRotation="0" wrapText="true" indent="0" shrinkToFit="false"/>
      <protection locked="true" hidden="false"/>
    </xf>
    <xf numFmtId="164" fontId="28" fillId="0" borderId="50" xfId="0" applyFont="true" applyBorder="true" applyAlignment="true" applyProtection="false">
      <alignment horizontal="center" vertical="center" textRotation="0" wrapText="true" indent="0" shrinkToFit="false"/>
      <protection locked="true" hidden="false"/>
    </xf>
    <xf numFmtId="164" fontId="27" fillId="0" borderId="30" xfId="0" applyFont="true" applyBorder="true" applyAlignment="true" applyProtection="false">
      <alignment horizontal="center" vertical="center" textRotation="0" wrapText="true" indent="0" shrinkToFit="false"/>
      <protection locked="true" hidden="false"/>
    </xf>
    <xf numFmtId="164" fontId="28" fillId="0" borderId="30" xfId="0" applyFont="true" applyBorder="true" applyAlignment="true" applyProtection="false">
      <alignment horizontal="center" vertical="center" textRotation="0" wrapText="true" indent="0" shrinkToFit="false"/>
      <protection locked="true" hidden="false"/>
    </xf>
    <xf numFmtId="164" fontId="27" fillId="0" borderId="27" xfId="0" applyFont="true" applyBorder="true" applyAlignment="true" applyProtection="false">
      <alignment horizontal="justify" vertical="center" textRotation="0" wrapText="true" indent="0" shrinkToFit="false"/>
      <protection locked="true" hidden="false"/>
    </xf>
    <xf numFmtId="164" fontId="27" fillId="0" borderId="27" xfId="0" applyFont="true" applyBorder="true" applyAlignment="true" applyProtection="false">
      <alignment horizontal="general" vertical="center" textRotation="0" wrapText="true" indent="0" shrinkToFit="false"/>
      <protection locked="true" hidden="false"/>
    </xf>
    <xf numFmtId="172" fontId="27" fillId="0" borderId="27" xfId="15" applyFont="true" applyBorder="true" applyAlignment="true" applyProtection="true">
      <alignment horizontal="general" vertical="center" textRotation="0" wrapText="true" indent="0" shrinkToFit="false"/>
      <protection locked="true" hidden="false"/>
    </xf>
    <xf numFmtId="164" fontId="27" fillId="3" borderId="27" xfId="0" applyFont="true" applyBorder="true" applyAlignment="true" applyProtection="false">
      <alignment horizontal="general" vertical="center" textRotation="0" wrapText="true" indent="0" shrinkToFit="false"/>
      <protection locked="true" hidden="false"/>
    </xf>
    <xf numFmtId="164" fontId="28" fillId="0" borderId="27" xfId="0" applyFont="true" applyBorder="true" applyAlignment="true" applyProtection="false">
      <alignment horizontal="right" vertical="center" textRotation="0" wrapText="true" indent="0" shrinkToFit="false"/>
      <protection locked="true" hidden="false"/>
    </xf>
    <xf numFmtId="164" fontId="28" fillId="0" borderId="50" xfId="0" applyFont="true" applyBorder="true" applyAlignment="true" applyProtection="false">
      <alignment horizontal="left" vertical="center" textRotation="0" wrapText="true" indent="1" shrinkToFit="false"/>
      <protection locked="true" hidden="false"/>
    </xf>
    <xf numFmtId="164" fontId="28" fillId="0" borderId="27" xfId="0" applyFont="true" applyBorder="true" applyAlignment="true" applyProtection="false">
      <alignment horizontal="general" vertical="center" textRotation="0" wrapText="true" indent="0" shrinkToFit="false"/>
      <protection locked="true" hidden="false"/>
    </xf>
    <xf numFmtId="164" fontId="100" fillId="0" borderId="0" xfId="0" applyFont="true" applyBorder="false" applyAlignment="true" applyProtection="false">
      <alignment horizontal="left" vertical="center" textRotation="0" wrapText="false" indent="3" shrinkToFit="false"/>
      <protection locked="true" hidden="false"/>
    </xf>
    <xf numFmtId="164" fontId="68" fillId="0" borderId="0" xfId="0" applyFont="true" applyBorder="false" applyAlignment="true" applyProtection="false">
      <alignment horizontal="left" vertical="center" textRotation="0" wrapText="false" indent="1" shrinkToFit="false"/>
      <protection locked="true" hidden="false"/>
    </xf>
    <xf numFmtId="164" fontId="66" fillId="0" borderId="0" xfId="0" applyFont="true" applyBorder="false" applyAlignment="true" applyProtection="false">
      <alignment horizontal="left" vertical="center" textRotation="0" wrapText="false" indent="1" shrinkToFit="false"/>
      <protection locked="true" hidden="false"/>
    </xf>
    <xf numFmtId="164" fontId="89" fillId="0" borderId="0" xfId="0" applyFont="true" applyBorder="true" applyAlignment="true" applyProtection="false">
      <alignment horizontal="center" vertical="center" textRotation="0" wrapText="false" indent="0" shrinkToFit="false"/>
      <protection locked="true" hidden="false"/>
    </xf>
    <xf numFmtId="164" fontId="89" fillId="0" borderId="0" xfId="0" applyFont="true" applyBorder="false" applyAlignment="true" applyProtection="false">
      <alignment horizontal="center" vertical="center" textRotation="0" wrapText="false" indent="0" shrinkToFit="false"/>
      <protection locked="true" hidden="false"/>
    </xf>
    <xf numFmtId="164" fontId="90" fillId="0" borderId="26" xfId="0" applyFont="true" applyBorder="true" applyAlignment="true" applyProtection="false">
      <alignment horizontal="center" vertical="center" textRotation="0" wrapText="false" indent="0" shrinkToFit="false"/>
      <protection locked="true" hidden="false"/>
    </xf>
    <xf numFmtId="164" fontId="90" fillId="0" borderId="0" xfId="0" applyFont="true" applyBorder="false" applyAlignment="true" applyProtection="false">
      <alignment horizontal="center" vertical="center" textRotation="0" wrapText="false" indent="0" shrinkToFit="false"/>
      <protection locked="true" hidden="false"/>
    </xf>
    <xf numFmtId="164" fontId="49" fillId="9" borderId="30" xfId="0" applyFont="true" applyBorder="true" applyAlignment="true" applyProtection="false">
      <alignment horizontal="center" vertical="center" textRotation="0" wrapText="true" indent="0" shrinkToFit="false"/>
      <protection locked="true" hidden="false"/>
    </xf>
    <xf numFmtId="164" fontId="28" fillId="3" borderId="27" xfId="0" applyFont="true" applyBorder="true" applyAlignment="true" applyProtection="false">
      <alignment horizontal="general" vertical="center" textRotation="0" wrapText="true" indent="0" shrinkToFit="false"/>
      <protection locked="true" hidden="false"/>
    </xf>
    <xf numFmtId="164" fontId="28" fillId="3" borderId="50" xfId="0" applyFont="true" applyBorder="true" applyAlignment="true" applyProtection="false">
      <alignment horizontal="center" vertical="center" textRotation="0" wrapText="true" indent="0" shrinkToFit="false"/>
      <protection locked="true" hidden="false"/>
    </xf>
    <xf numFmtId="164" fontId="76" fillId="0" borderId="0" xfId="0" applyFont="true" applyBorder="false" applyAlignment="true" applyProtection="false">
      <alignment horizontal="left" vertical="center" textRotation="0" wrapText="true" indent="0" shrinkToFit="false"/>
      <protection locked="true" hidden="false"/>
    </xf>
    <xf numFmtId="164" fontId="76" fillId="0" borderId="0" xfId="0" applyFont="true" applyBorder="false" applyAlignment="true" applyProtection="false">
      <alignment horizontal="general" vertical="bottom" textRotation="0" wrapText="true" indent="0" shrinkToFit="false"/>
      <protection locked="true" hidden="false"/>
    </xf>
    <xf numFmtId="164" fontId="80" fillId="0" borderId="0" xfId="0" applyFont="true" applyBorder="false" applyAlignment="true" applyProtection="false">
      <alignment horizontal="general" vertical="center" textRotation="0" wrapText="false" indent="0" shrinkToFit="false"/>
      <protection locked="true" hidden="false"/>
    </xf>
    <xf numFmtId="164" fontId="26" fillId="0" borderId="0" xfId="0" applyFont="true" applyBorder="false" applyAlignment="true" applyProtection="false">
      <alignment horizontal="right" vertical="bottom" textRotation="0" wrapText="false" indent="0" shrinkToFit="false"/>
      <protection locked="true" hidden="false"/>
    </xf>
    <xf numFmtId="164" fontId="27" fillId="2" borderId="11" xfId="0" applyFont="true" applyBorder="true" applyAlignment="true" applyProtection="false">
      <alignment horizontal="general" vertical="center" textRotation="0" wrapText="true" indent="0" shrinkToFit="false"/>
      <protection locked="true" hidden="false"/>
    </xf>
    <xf numFmtId="164" fontId="27" fillId="2" borderId="34" xfId="0" applyFont="true" applyBorder="true" applyAlignment="true" applyProtection="false">
      <alignment horizontal="general" vertical="center" textRotation="0" wrapText="true" indent="0" shrinkToFit="false"/>
      <protection locked="true" hidden="false"/>
    </xf>
    <xf numFmtId="164" fontId="27" fillId="2" borderId="35" xfId="0" applyFont="true" applyBorder="true" applyAlignment="true" applyProtection="false">
      <alignment horizontal="general" vertical="center" textRotation="0" wrapText="true" indent="0" shrinkToFit="false"/>
      <protection locked="true" hidden="false"/>
    </xf>
    <xf numFmtId="164" fontId="27" fillId="2" borderId="36" xfId="0" applyFont="true" applyBorder="true" applyAlignment="true" applyProtection="false">
      <alignment horizontal="general" vertical="center" textRotation="0" wrapText="true" indent="0" shrinkToFit="false"/>
      <protection locked="true" hidden="false"/>
    </xf>
    <xf numFmtId="164" fontId="27" fillId="2" borderId="17" xfId="0" applyFont="true" applyBorder="true" applyAlignment="true" applyProtection="false">
      <alignment horizontal="general" vertical="center" textRotation="0" wrapText="true" indent="0" shrinkToFit="false"/>
      <protection locked="true" hidden="false"/>
    </xf>
    <xf numFmtId="164" fontId="28" fillId="3" borderId="30" xfId="0" applyFont="true" applyBorder="true" applyAlignment="true" applyProtection="false">
      <alignment horizontal="general" vertical="center" textRotation="0" wrapText="true" indent="0" shrinkToFit="false"/>
      <protection locked="true" hidden="false"/>
    </xf>
    <xf numFmtId="164" fontId="28" fillId="3" borderId="91" xfId="0" applyFont="true" applyBorder="true" applyAlignment="true" applyProtection="false">
      <alignment horizontal="general" vertical="center" textRotation="0" wrapText="true" indent="0" shrinkToFit="false"/>
      <protection locked="true" hidden="false"/>
    </xf>
    <xf numFmtId="164" fontId="27" fillId="0" borderId="17" xfId="0" applyFont="true" applyBorder="true" applyAlignment="true" applyProtection="false">
      <alignment horizontal="general" vertical="center" textRotation="0" wrapText="true" indent="0" shrinkToFit="false"/>
      <protection locked="true" hidden="false"/>
    </xf>
    <xf numFmtId="164" fontId="28" fillId="3" borderId="30" xfId="0" applyFont="true" applyBorder="true" applyAlignment="true" applyProtection="false">
      <alignment horizontal="center" vertical="center" textRotation="0" wrapText="true" indent="0" shrinkToFit="false"/>
      <protection locked="true" hidden="false"/>
    </xf>
    <xf numFmtId="164" fontId="27" fillId="3" borderId="91" xfId="0" applyFont="true" applyBorder="true" applyAlignment="true" applyProtection="false">
      <alignment horizontal="general" vertical="center" textRotation="0" wrapText="true" indent="0" shrinkToFit="false"/>
      <protection locked="true" hidden="false"/>
    </xf>
    <xf numFmtId="164" fontId="101" fillId="0" borderId="0" xfId="0" applyFont="true" applyBorder="false" applyAlignment="true" applyProtection="false">
      <alignment horizontal="left" vertical="center" textRotation="0" wrapText="false" indent="9" shrinkToFit="false"/>
      <protection locked="true" hidden="false"/>
    </xf>
    <xf numFmtId="164" fontId="101" fillId="0" borderId="0" xfId="0" applyFont="true" applyBorder="false" applyAlignment="false" applyProtection="false">
      <alignment horizontal="general" vertical="bottom" textRotation="0" wrapText="false" indent="0" shrinkToFit="false"/>
      <protection locked="true" hidden="false"/>
    </xf>
    <xf numFmtId="164" fontId="103" fillId="0" borderId="0" xfId="0" applyFont="true" applyBorder="false" applyAlignment="false" applyProtection="false">
      <alignment horizontal="general" vertical="bottom" textRotation="0" wrapText="false" indent="0" shrinkToFit="false"/>
      <protection locked="true" hidden="false"/>
    </xf>
    <xf numFmtId="164" fontId="30" fillId="2" borderId="0" xfId="0" applyFont="true" applyBorder="false" applyAlignment="false" applyProtection="false">
      <alignment horizontal="general" vertical="bottom" textRotation="0" wrapText="false" indent="0" shrinkToFit="false"/>
      <protection locked="true" hidden="false"/>
    </xf>
    <xf numFmtId="164" fontId="49" fillId="9" borderId="88" xfId="0" applyFont="true" applyBorder="true" applyAlignment="true" applyProtection="false">
      <alignment horizontal="center" vertical="center" textRotation="0" wrapText="true" indent="0" shrinkToFit="false"/>
      <protection locked="true" hidden="false"/>
    </xf>
    <xf numFmtId="164" fontId="38" fillId="9" borderId="97" xfId="0" applyFont="true" applyBorder="true" applyAlignment="true" applyProtection="false">
      <alignment horizontal="center" vertical="center" textRotation="0" wrapText="true" indent="0" shrinkToFit="false"/>
      <protection locked="true" hidden="false"/>
    </xf>
    <xf numFmtId="164" fontId="38" fillId="9" borderId="98" xfId="0" applyFont="true" applyBorder="true" applyAlignment="true" applyProtection="false">
      <alignment horizontal="center" vertical="center" textRotation="0" wrapText="true" indent="0" shrinkToFit="false"/>
      <protection locked="true" hidden="false"/>
    </xf>
    <xf numFmtId="171" fontId="28" fillId="2" borderId="15" xfId="19" applyFont="true" applyBorder="true" applyAlignment="true" applyProtection="true">
      <alignment horizontal="right" vertical="center" textRotation="0" wrapText="true" indent="0" shrinkToFit="false"/>
      <protection locked="true" hidden="false"/>
    </xf>
    <xf numFmtId="171" fontId="27" fillId="2" borderId="46" xfId="19" applyFont="true" applyBorder="true" applyAlignment="true" applyProtection="true">
      <alignment horizontal="right" vertical="center" textRotation="0" wrapText="true" indent="0" shrinkToFit="false"/>
      <protection locked="true" hidden="false"/>
    </xf>
    <xf numFmtId="172" fontId="28" fillId="2" borderId="20" xfId="15" applyFont="true" applyBorder="true" applyAlignment="true" applyProtection="true">
      <alignment horizontal="right" vertical="center" textRotation="0" wrapText="true" indent="0" shrinkToFit="false"/>
      <protection locked="true" hidden="false"/>
    </xf>
    <xf numFmtId="171" fontId="27" fillId="2" borderId="47" xfId="19" applyFont="true" applyBorder="true" applyAlignment="true" applyProtection="true">
      <alignment horizontal="right" vertical="center" textRotation="0" wrapText="true" indent="0" shrinkToFit="false"/>
      <protection locked="true" hidden="false"/>
    </xf>
    <xf numFmtId="171" fontId="28" fillId="3" borderId="44" xfId="19" applyFont="true" applyBorder="true" applyAlignment="true" applyProtection="true">
      <alignment horizontal="right" vertical="center" textRotation="0" wrapText="true" indent="0" shrinkToFit="false"/>
      <protection locked="true" hidden="false"/>
    </xf>
    <xf numFmtId="172" fontId="27" fillId="2" borderId="9" xfId="15" applyFont="true" applyBorder="true" applyAlignment="true" applyProtection="true">
      <alignment horizontal="right" vertical="center" textRotation="0" wrapText="true" indent="0" shrinkToFit="false"/>
      <protection locked="true" hidden="false"/>
    </xf>
    <xf numFmtId="171" fontId="27" fillId="2" borderId="15" xfId="19" applyFont="true" applyBorder="true" applyAlignment="true" applyProtection="true">
      <alignment horizontal="right" vertical="center" textRotation="0" wrapText="true" indent="0" shrinkToFit="false"/>
      <protection locked="true" hidden="false"/>
    </xf>
    <xf numFmtId="171" fontId="27" fillId="0" borderId="47" xfId="19" applyFont="true" applyBorder="true" applyAlignment="true" applyProtection="true">
      <alignment horizontal="right" vertical="center" textRotation="0" wrapText="true" indent="0" shrinkToFit="false"/>
      <protection locked="true" hidden="false"/>
    </xf>
    <xf numFmtId="164" fontId="28" fillId="3" borderId="88" xfId="0" applyFont="true" applyBorder="true" applyAlignment="true" applyProtection="false">
      <alignment horizontal="justify" vertical="center" textRotation="0" wrapText="true" indent="0" shrinkToFit="false"/>
      <protection locked="true" hidden="false"/>
    </xf>
    <xf numFmtId="164" fontId="86" fillId="0" borderId="0" xfId="0" applyFont="true" applyBorder="true" applyAlignment="true" applyProtection="false">
      <alignment horizontal="left" vertical="center" textRotation="0" wrapText="true" indent="0" shrinkToFit="false"/>
      <protection locked="true" hidden="false"/>
    </xf>
    <xf numFmtId="164" fontId="49" fillId="0" borderId="0" xfId="0" applyFont="true" applyBorder="true" applyAlignment="true" applyProtection="false">
      <alignment horizontal="center" vertical="center" textRotation="0" wrapText="false" indent="0" shrinkToFit="false"/>
      <protection locked="true" hidden="false"/>
    </xf>
    <xf numFmtId="164" fontId="38" fillId="9" borderId="41" xfId="0" applyFont="true" applyBorder="true" applyAlignment="true" applyProtection="false">
      <alignment horizontal="center" vertical="center" textRotation="0" wrapText="true" indent="0" shrinkToFit="false"/>
      <protection locked="true" hidden="false"/>
    </xf>
    <xf numFmtId="164" fontId="38" fillId="9" borderId="34" xfId="0" applyFont="true" applyBorder="true" applyAlignment="true" applyProtection="false">
      <alignment horizontal="center" vertical="center" textRotation="0" wrapText="true" indent="0" shrinkToFit="false"/>
      <protection locked="true" hidden="false"/>
    </xf>
    <xf numFmtId="164" fontId="38" fillId="9" borderId="37" xfId="0" applyFont="true" applyBorder="true" applyAlignment="true" applyProtection="false">
      <alignment horizontal="center" vertical="center" textRotation="0" wrapText="true" indent="0" shrinkToFit="false"/>
      <protection locked="true" hidden="false"/>
    </xf>
    <xf numFmtId="173" fontId="38" fillId="9" borderId="37" xfId="0" applyFont="true" applyBorder="true" applyAlignment="true" applyProtection="false">
      <alignment horizontal="center" vertical="center" textRotation="0" wrapText="true" indent="0" shrinkToFit="false"/>
      <protection locked="true" hidden="false"/>
    </xf>
    <xf numFmtId="164" fontId="37" fillId="0" borderId="39" xfId="0" applyFont="true" applyBorder="true" applyAlignment="true" applyProtection="false">
      <alignment horizontal="general" vertical="center" textRotation="0" wrapText="true" indent="0" shrinkToFit="false"/>
      <protection locked="true" hidden="false"/>
    </xf>
    <xf numFmtId="164" fontId="37" fillId="0" borderId="34" xfId="0" applyFont="true" applyBorder="true" applyAlignment="true" applyProtection="false">
      <alignment horizontal="general" vertical="center" textRotation="0" wrapText="true" indent="0" shrinkToFit="false"/>
      <protection locked="true" hidden="false"/>
    </xf>
    <xf numFmtId="164" fontId="27" fillId="0" borderId="82" xfId="0" applyFont="true" applyBorder="true" applyAlignment="true" applyProtection="false">
      <alignment horizontal="general" vertical="center" textRotation="0" wrapText="true" indent="0" shrinkToFit="false"/>
      <protection locked="true" hidden="false"/>
    </xf>
    <xf numFmtId="164" fontId="27" fillId="0" borderId="38" xfId="0" applyFont="true" applyBorder="true" applyAlignment="true" applyProtection="false">
      <alignment horizontal="general" vertical="center" textRotation="0" wrapText="true" indent="0" shrinkToFit="false"/>
      <protection locked="true" hidden="false"/>
    </xf>
    <xf numFmtId="164" fontId="28" fillId="0" borderId="0" xfId="0" applyFont="true" applyBorder="false" applyAlignment="true" applyProtection="false">
      <alignment horizontal="left" vertical="center" textRotation="0" wrapText="false" indent="1" shrinkToFit="false"/>
      <protection locked="true" hidden="false"/>
    </xf>
    <xf numFmtId="164" fontId="30" fillId="0" borderId="0" xfId="0" applyFont="true" applyBorder="false" applyAlignment="true" applyProtection="false">
      <alignment horizontal="left" vertical="center" textRotation="0" wrapText="false" indent="9" shrinkToFit="false"/>
      <protection locked="true" hidden="false"/>
    </xf>
    <xf numFmtId="164" fontId="104" fillId="0" borderId="0" xfId="0" applyFont="true" applyBorder="true" applyAlignment="true" applyProtection="false">
      <alignment horizontal="center" vertical="center" textRotation="0" wrapText="false" indent="0" shrinkToFit="false"/>
      <protection locked="true" hidden="false"/>
    </xf>
    <xf numFmtId="164" fontId="106" fillId="0" borderId="0"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true" applyAlignment="true" applyProtection="false">
      <alignment horizontal="center" vertical="center" textRotation="0" wrapText="true" indent="0" shrinkToFit="false"/>
      <protection locked="true" hidden="false"/>
    </xf>
    <xf numFmtId="164" fontId="28" fillId="0" borderId="5" xfId="0" applyFont="true" applyBorder="true" applyAlignment="true" applyProtection="false">
      <alignment horizontal="center" vertical="center" textRotation="0" wrapText="true" indent="0" shrinkToFit="false"/>
      <protection locked="true" hidden="false"/>
    </xf>
    <xf numFmtId="172" fontId="27" fillId="2" borderId="32" xfId="15" applyFont="true" applyBorder="true" applyAlignment="true" applyProtection="true">
      <alignment horizontal="general" vertical="center" textRotation="0" wrapText="true" indent="0" shrinkToFit="false"/>
      <protection locked="true" hidden="false"/>
    </xf>
    <xf numFmtId="164" fontId="38" fillId="13" borderId="41" xfId="0" applyFont="true" applyBorder="true" applyAlignment="true" applyProtection="false">
      <alignment horizontal="center" vertical="center" textRotation="0" wrapText="true" indent="0" shrinkToFit="false"/>
      <protection locked="true" hidden="false"/>
    </xf>
    <xf numFmtId="164" fontId="38" fillId="13" borderId="43" xfId="0" applyFont="true" applyBorder="true" applyAlignment="true" applyProtection="false">
      <alignment horizontal="center" vertical="center" textRotation="0" wrapText="true" indent="0" shrinkToFit="false"/>
      <protection locked="true" hidden="false"/>
    </xf>
    <xf numFmtId="164" fontId="38" fillId="13" borderId="3" xfId="0" applyFont="true" applyBorder="true" applyAlignment="true" applyProtection="false">
      <alignment horizontal="center" vertical="center" textRotation="0" wrapText="true" indent="0" shrinkToFit="false"/>
      <protection locked="true" hidden="false"/>
    </xf>
    <xf numFmtId="164" fontId="38" fillId="13" borderId="5" xfId="0" applyFont="true" applyBorder="true" applyAlignment="true" applyProtection="false">
      <alignment horizontal="center" vertical="center" textRotation="0" wrapText="true" indent="0" shrinkToFit="false"/>
      <protection locked="true" hidden="false"/>
    </xf>
    <xf numFmtId="164" fontId="38" fillId="13" borderId="27" xfId="0" applyFont="true" applyBorder="true" applyAlignment="true" applyProtection="false">
      <alignment horizontal="center" vertical="center" textRotation="0" wrapText="true" indent="0" shrinkToFit="false"/>
      <protection locked="true" hidden="false"/>
    </xf>
    <xf numFmtId="164" fontId="27" fillId="0" borderId="9" xfId="0" applyFont="true" applyBorder="true" applyAlignment="true" applyProtection="false">
      <alignment horizontal="general" vertical="center" textRotation="0" wrapText="true" indent="0" shrinkToFit="false"/>
      <protection locked="true" hidden="false"/>
    </xf>
    <xf numFmtId="172" fontId="27" fillId="0" borderId="9" xfId="15" applyFont="true" applyBorder="true" applyAlignment="true" applyProtection="true">
      <alignment horizontal="general" vertical="center" textRotation="0" wrapText="true" indent="0" shrinkToFit="false"/>
      <protection locked="true" hidden="false"/>
    </xf>
    <xf numFmtId="164" fontId="27" fillId="0" borderId="20" xfId="0" applyFont="true" applyBorder="true" applyAlignment="true" applyProtection="false">
      <alignment horizontal="general" vertical="center" textRotation="0" wrapText="true" indent="0" shrinkToFit="false"/>
      <protection locked="true" hidden="false"/>
    </xf>
    <xf numFmtId="164" fontId="28" fillId="0" borderId="90" xfId="0" applyFont="true" applyBorder="true" applyAlignment="true" applyProtection="false">
      <alignment horizontal="general" vertical="center" textRotation="0" wrapText="true" indent="0" shrinkToFit="false"/>
      <protection locked="true" hidden="false"/>
    </xf>
    <xf numFmtId="164" fontId="27" fillId="3" borderId="23" xfId="0" applyFont="true" applyBorder="true" applyAlignment="true" applyProtection="false">
      <alignment horizontal="general" vertical="center" textRotation="0" wrapText="true" indent="0" shrinkToFit="false"/>
      <protection locked="true" hidden="false"/>
    </xf>
    <xf numFmtId="172" fontId="27" fillId="3" borderId="47" xfId="15" applyFont="true" applyBorder="true" applyAlignment="true" applyProtection="true">
      <alignment horizontal="right" vertical="center" textRotation="0" wrapText="true" indent="0" shrinkToFit="false"/>
      <protection locked="true" hidden="false"/>
    </xf>
    <xf numFmtId="164" fontId="28" fillId="0" borderId="88" xfId="0" applyFont="true" applyBorder="true" applyAlignment="true" applyProtection="false">
      <alignment horizontal="right" vertical="center" textRotation="0" wrapText="true" indent="0" shrinkToFit="false"/>
      <protection locked="true" hidden="false"/>
    </xf>
    <xf numFmtId="164" fontId="28" fillId="0" borderId="43" xfId="0" applyFont="true" applyBorder="true" applyAlignment="true" applyProtection="false">
      <alignment horizontal="general" vertical="center" textRotation="0" wrapText="true" indent="0" shrinkToFit="false"/>
      <protection locked="true" hidden="false"/>
    </xf>
    <xf numFmtId="172" fontId="28" fillId="0" borderId="43" xfId="15" applyFont="true" applyBorder="true" applyAlignment="true" applyProtection="true">
      <alignment horizontal="right" vertical="center" textRotation="0" wrapText="tru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107" fillId="0" borderId="0" xfId="0" applyFont="true" applyBorder="false" applyAlignment="true" applyProtection="false">
      <alignment horizontal="left" vertical="center" textRotation="0" wrapText="false" indent="7"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63" fillId="0" borderId="0" xfId="0" applyFont="true" applyBorder="true" applyAlignment="true" applyProtection="false">
      <alignment horizontal="center" vertical="center" textRotation="0" wrapText="false" indent="0" shrinkToFit="false"/>
      <protection locked="true" hidden="false"/>
    </xf>
    <xf numFmtId="164" fontId="63" fillId="0" borderId="0" xfId="0" applyFont="true" applyBorder="false" applyAlignment="true" applyProtection="false">
      <alignment horizontal="center" vertical="center" textRotation="0" wrapText="false" indent="0" shrinkToFit="false"/>
      <protection locked="true" hidden="false"/>
    </xf>
    <xf numFmtId="172" fontId="27" fillId="2" borderId="9" xfId="15" applyFont="true" applyBorder="true" applyAlignment="true" applyProtection="true">
      <alignment horizontal="general" vertical="center" textRotation="0" wrapText="true" indent="0" shrinkToFit="false"/>
      <protection locked="true" hidden="false"/>
    </xf>
    <xf numFmtId="172" fontId="27" fillId="2" borderId="15" xfId="15" applyFont="true" applyBorder="true" applyAlignment="true" applyProtection="true">
      <alignment horizontal="general" vertical="center" textRotation="0" wrapText="true" indent="0" shrinkToFit="false"/>
      <protection locked="true" hidden="false"/>
    </xf>
    <xf numFmtId="164" fontId="28" fillId="3" borderId="6" xfId="0" applyFont="true" applyBorder="true" applyAlignment="true" applyProtection="false">
      <alignment horizontal="general" vertical="center" textRotation="0" wrapText="true" indent="0" shrinkToFit="false"/>
      <protection locked="true" hidden="false"/>
    </xf>
    <xf numFmtId="172" fontId="28" fillId="3" borderId="20" xfId="15" applyFont="true" applyBorder="true" applyAlignment="true" applyProtection="true">
      <alignment horizontal="general" vertical="center" textRotation="0" wrapText="true" indent="0" shrinkToFit="false"/>
      <protection locked="true" hidden="false"/>
    </xf>
    <xf numFmtId="172" fontId="28" fillId="3" borderId="46" xfId="15" applyFont="true" applyBorder="true" applyAlignment="true" applyProtection="true">
      <alignment horizontal="general" vertical="center" textRotation="0" wrapText="true" indent="0" shrinkToFit="false"/>
      <protection locked="true" hidden="false"/>
    </xf>
    <xf numFmtId="172" fontId="27" fillId="0" borderId="20" xfId="15" applyFont="true" applyBorder="true" applyAlignment="true" applyProtection="true">
      <alignment horizontal="general" vertical="center" textRotation="0" wrapText="true" indent="0" shrinkToFit="false"/>
      <protection locked="true" hidden="false"/>
    </xf>
    <xf numFmtId="172" fontId="27" fillId="0" borderId="46" xfId="15" applyFont="true" applyBorder="true" applyAlignment="true" applyProtection="true">
      <alignment horizontal="general" vertical="center" textRotation="0" wrapText="true" indent="0" shrinkToFit="false"/>
      <protection locked="true" hidden="false"/>
    </xf>
    <xf numFmtId="172" fontId="27" fillId="3" borderId="20" xfId="15" applyFont="true" applyBorder="true" applyAlignment="true" applyProtection="true">
      <alignment horizontal="general" vertical="center" textRotation="0" wrapText="true" indent="0" shrinkToFit="false"/>
      <protection locked="true" hidden="false"/>
    </xf>
    <xf numFmtId="172" fontId="27" fillId="3" borderId="46" xfId="15" applyFont="true" applyBorder="true" applyAlignment="true" applyProtection="true">
      <alignment horizontal="general" vertical="center" textRotation="0" wrapText="true" indent="0" shrinkToFit="false"/>
      <protection locked="true" hidden="false"/>
    </xf>
    <xf numFmtId="164" fontId="28" fillId="0" borderId="6" xfId="0" applyFont="true" applyBorder="true" applyAlignment="true" applyProtection="false">
      <alignment horizontal="general" vertical="center" textRotation="0" wrapText="true" indent="0" shrinkToFit="false"/>
      <protection locked="true" hidden="false"/>
    </xf>
    <xf numFmtId="164" fontId="28" fillId="0" borderId="99" xfId="0" applyFont="true" applyBorder="true" applyAlignment="true" applyProtection="false">
      <alignment horizontal="general" vertical="center" textRotation="0" wrapText="true" indent="0" shrinkToFit="false"/>
      <protection locked="true" hidden="false"/>
    </xf>
    <xf numFmtId="172" fontId="28" fillId="0" borderId="85" xfId="15" applyFont="true" applyBorder="true" applyAlignment="true" applyProtection="true">
      <alignment horizontal="general" vertical="center" textRotation="0" wrapText="true" indent="0" shrinkToFit="false"/>
      <protection locked="true" hidden="false"/>
    </xf>
    <xf numFmtId="171" fontId="28" fillId="0" borderId="100" xfId="19" applyFont="true" applyBorder="true" applyAlignment="true" applyProtection="true">
      <alignment horizontal="center" vertical="center" textRotation="0" wrapText="true" indent="0" shrinkToFit="false"/>
      <protection locked="true" hidden="false"/>
    </xf>
    <xf numFmtId="164" fontId="111" fillId="0" borderId="0" xfId="0" applyFont="true" applyBorder="false" applyAlignment="true" applyProtection="false">
      <alignment horizontal="left" vertical="center" textRotation="0" wrapText="false" indent="1" shrinkToFit="false"/>
      <protection locked="true" hidden="false"/>
    </xf>
    <xf numFmtId="164" fontId="23" fillId="0" borderId="0" xfId="0" applyFont="true" applyBorder="true" applyAlignment="true" applyProtection="false">
      <alignment horizontal="center" vertical="center" textRotation="0" wrapText="false" indent="0" shrinkToFit="false"/>
      <protection locked="true" hidden="false"/>
    </xf>
    <xf numFmtId="164" fontId="47" fillId="0" borderId="26" xfId="0" applyFont="true" applyBorder="true" applyAlignment="true" applyProtection="false">
      <alignment horizontal="center" vertical="center" textRotation="0" wrapText="false" indent="0" shrinkToFit="false"/>
      <protection locked="true" hidden="false"/>
    </xf>
    <xf numFmtId="164" fontId="36" fillId="9" borderId="88" xfId="0" applyFont="true" applyBorder="true" applyAlignment="true" applyProtection="false">
      <alignment horizontal="center" vertical="center" textRotation="0" wrapText="true" indent="0" shrinkToFit="false"/>
      <protection locked="true" hidden="false"/>
    </xf>
    <xf numFmtId="164" fontId="36" fillId="9" borderId="43" xfId="0" applyFont="true" applyBorder="true" applyAlignment="true" applyProtection="false">
      <alignment horizontal="center" vertical="center" textRotation="0" wrapText="true" indent="0" shrinkToFit="false"/>
      <protection locked="true" hidden="false"/>
    </xf>
    <xf numFmtId="164" fontId="36" fillId="9" borderId="44" xfId="0" applyFont="true" applyBorder="true" applyAlignment="true" applyProtection="false">
      <alignment horizontal="center" vertical="center" textRotation="0" wrapText="true" indent="0" shrinkToFit="false"/>
      <protection locked="true" hidden="false"/>
    </xf>
    <xf numFmtId="164" fontId="26" fillId="0" borderId="13" xfId="0" applyFont="true" applyBorder="true" applyAlignment="true" applyProtection="false">
      <alignment horizontal="general" vertical="center" textRotation="0" wrapText="true" indent="0" shrinkToFit="false"/>
      <protection locked="true" hidden="false"/>
    </xf>
    <xf numFmtId="164" fontId="26" fillId="0" borderId="9" xfId="0" applyFont="true" applyBorder="true" applyAlignment="true" applyProtection="false">
      <alignment horizontal="center" vertical="center" textRotation="0" wrapText="true" indent="0" shrinkToFit="false"/>
      <protection locked="true" hidden="false"/>
    </xf>
    <xf numFmtId="164" fontId="26" fillId="2" borderId="9" xfId="0" applyFont="true" applyBorder="true" applyAlignment="true" applyProtection="false">
      <alignment horizontal="general" vertical="center" textRotation="0" wrapText="true" indent="0" shrinkToFit="false"/>
      <protection locked="true" hidden="false"/>
    </xf>
    <xf numFmtId="164" fontId="26" fillId="2" borderId="9" xfId="0" applyFont="true" applyBorder="true" applyAlignment="true" applyProtection="false">
      <alignment horizontal="center" vertical="center" textRotation="0" wrapText="true" indent="0" shrinkToFit="false"/>
      <protection locked="true" hidden="false"/>
    </xf>
    <xf numFmtId="164" fontId="26" fillId="2" borderId="15" xfId="0" applyFont="true" applyBorder="true" applyAlignment="true" applyProtection="false">
      <alignment horizontal="general" vertical="center" textRotation="0" wrapText="true" indent="0" shrinkToFit="false"/>
      <protection locked="true" hidden="false"/>
    </xf>
    <xf numFmtId="164" fontId="26" fillId="0" borderId="6" xfId="0" applyFont="true" applyBorder="true" applyAlignment="true" applyProtection="false">
      <alignment horizontal="general" vertical="center" textRotation="0" wrapText="true" indent="0" shrinkToFit="false"/>
      <protection locked="true" hidden="false"/>
    </xf>
    <xf numFmtId="164" fontId="26" fillId="0" borderId="20" xfId="0" applyFont="true" applyBorder="true" applyAlignment="true" applyProtection="false">
      <alignment horizontal="center" vertical="center" textRotation="0" wrapText="true" indent="0" shrinkToFit="false"/>
      <protection locked="true" hidden="false"/>
    </xf>
    <xf numFmtId="164" fontId="26" fillId="2" borderId="20" xfId="0" applyFont="true" applyBorder="true" applyAlignment="true" applyProtection="false">
      <alignment horizontal="general" vertical="center" textRotation="0" wrapText="true" indent="0" shrinkToFit="false"/>
      <protection locked="true" hidden="false"/>
    </xf>
    <xf numFmtId="164" fontId="26" fillId="2" borderId="20" xfId="0" applyFont="true" applyBorder="true" applyAlignment="true" applyProtection="false">
      <alignment horizontal="center" vertical="center" textRotation="0" wrapText="true" indent="0" shrinkToFit="false"/>
      <protection locked="true" hidden="false"/>
    </xf>
    <xf numFmtId="164" fontId="26" fillId="2" borderId="46" xfId="0" applyFont="true" applyBorder="true" applyAlignment="true" applyProtection="false">
      <alignment horizontal="general" vertical="center" textRotation="0" wrapText="true" indent="0" shrinkToFit="false"/>
      <protection locked="true" hidden="false"/>
    </xf>
    <xf numFmtId="164" fontId="26" fillId="0" borderId="90" xfId="0" applyFont="true" applyBorder="true" applyAlignment="true" applyProtection="false">
      <alignment horizontal="general" vertical="center" textRotation="0" wrapText="true" indent="0" shrinkToFit="false"/>
      <protection locked="true" hidden="false"/>
    </xf>
    <xf numFmtId="164" fontId="26" fillId="0" borderId="23" xfId="0" applyFont="true" applyBorder="true" applyAlignment="true" applyProtection="false">
      <alignment horizontal="center" vertical="center" textRotation="0" wrapText="true" indent="0" shrinkToFit="false"/>
      <protection locked="true" hidden="false"/>
    </xf>
    <xf numFmtId="164" fontId="26" fillId="2" borderId="23" xfId="0" applyFont="true" applyBorder="true" applyAlignment="true" applyProtection="false">
      <alignment horizontal="general" vertical="center" textRotation="0" wrapText="true" indent="0" shrinkToFit="false"/>
      <protection locked="true" hidden="false"/>
    </xf>
    <xf numFmtId="164" fontId="26" fillId="2" borderId="23" xfId="0" applyFont="true" applyBorder="true" applyAlignment="true" applyProtection="false">
      <alignment horizontal="center" vertical="center" textRotation="0" wrapText="true" indent="0" shrinkToFit="false"/>
      <protection locked="true" hidden="false"/>
    </xf>
    <xf numFmtId="164" fontId="26" fillId="2" borderId="47" xfId="0" applyFont="true" applyBorder="true" applyAlignment="true" applyProtection="false">
      <alignment horizontal="general" vertical="center" textRotation="0" wrapText="true" indent="0" shrinkToFit="false"/>
      <protection locked="true" hidden="false"/>
    </xf>
    <xf numFmtId="164" fontId="24" fillId="3" borderId="88" xfId="0" applyFont="true" applyBorder="true" applyAlignment="true" applyProtection="false">
      <alignment horizontal="general" vertical="center" textRotation="0" wrapText="true" indent="0" shrinkToFit="false"/>
      <protection locked="true" hidden="false"/>
    </xf>
    <xf numFmtId="164" fontId="24" fillId="3" borderId="43" xfId="0" applyFont="true" applyBorder="true" applyAlignment="true" applyProtection="false">
      <alignment horizontal="center" vertical="center" textRotation="0" wrapText="true" indent="0" shrinkToFit="false"/>
      <protection locked="true" hidden="false"/>
    </xf>
    <xf numFmtId="164" fontId="26" fillId="3" borderId="43" xfId="0" applyFont="true" applyBorder="true" applyAlignment="true" applyProtection="false">
      <alignment horizontal="general" vertical="center" textRotation="0" wrapText="true" indent="0" shrinkToFit="false"/>
      <protection locked="true" hidden="false"/>
    </xf>
    <xf numFmtId="164" fontId="26" fillId="3" borderId="44" xfId="0" applyFont="true" applyBorder="true" applyAlignment="true" applyProtection="false">
      <alignment horizontal="general" vertical="center" textRotation="0" wrapText="true" indent="0" shrinkToFit="false"/>
      <protection locked="true" hidden="false"/>
    </xf>
    <xf numFmtId="164" fontId="26" fillId="0" borderId="9" xfId="0" applyFont="true" applyBorder="true" applyAlignment="true" applyProtection="false">
      <alignment horizontal="general" vertical="center" textRotation="0" wrapText="true" indent="0" shrinkToFit="false"/>
      <protection locked="true" hidden="false"/>
    </xf>
    <xf numFmtId="164" fontId="26" fillId="0" borderId="15" xfId="0" applyFont="true" applyBorder="true" applyAlignment="true" applyProtection="false">
      <alignment horizontal="general" vertical="center" textRotation="0" wrapText="true" indent="0" shrinkToFit="false"/>
      <protection locked="true" hidden="false"/>
    </xf>
    <xf numFmtId="166" fontId="26" fillId="2" borderId="23" xfId="0" applyFont="true" applyBorder="true" applyAlignment="true" applyProtection="false">
      <alignment horizontal="general" vertical="center" textRotation="0" wrapText="true" indent="0" shrinkToFit="false"/>
      <protection locked="true" hidden="false"/>
    </xf>
    <xf numFmtId="164" fontId="26" fillId="0" borderId="101" xfId="0" applyFont="true" applyBorder="true" applyAlignment="true" applyProtection="false">
      <alignment horizontal="general" vertical="center" textRotation="0" wrapText="true" indent="0" shrinkToFit="false"/>
      <protection locked="true" hidden="false"/>
    </xf>
    <xf numFmtId="164" fontId="26" fillId="0" borderId="24" xfId="0" applyFont="true" applyBorder="true" applyAlignment="true" applyProtection="false">
      <alignment horizontal="center" vertical="center" textRotation="0" wrapText="true" indent="0" shrinkToFit="false"/>
      <protection locked="true" hidden="false"/>
    </xf>
    <xf numFmtId="164" fontId="26" fillId="0" borderId="24" xfId="0" applyFont="true" applyBorder="true" applyAlignment="true" applyProtection="false">
      <alignment horizontal="general" vertical="center" textRotation="0" wrapText="true" indent="0" shrinkToFit="false"/>
      <protection locked="true" hidden="false"/>
    </xf>
    <xf numFmtId="164" fontId="26" fillId="0" borderId="102" xfId="0" applyFont="true" applyBorder="true" applyAlignment="true" applyProtection="false">
      <alignment horizontal="general" vertical="center" textRotation="0" wrapText="true" indent="0" shrinkToFit="false"/>
      <protection locked="true" hidden="false"/>
    </xf>
    <xf numFmtId="164" fontId="36" fillId="7" borderId="103" xfId="0" applyFont="true" applyBorder="true" applyAlignment="true" applyProtection="false">
      <alignment horizontal="general" vertical="center" textRotation="0" wrapText="true" indent="0" shrinkToFit="false"/>
      <protection locked="true" hidden="false"/>
    </xf>
    <xf numFmtId="164" fontId="36" fillId="7" borderId="42" xfId="0" applyFont="true" applyBorder="true" applyAlignment="true" applyProtection="false">
      <alignment horizontal="center" vertical="center" textRotation="0" wrapText="true" indent="0" shrinkToFit="false"/>
      <protection locked="true" hidden="false"/>
    </xf>
    <xf numFmtId="166" fontId="41" fillId="7" borderId="43" xfId="0" applyFont="true" applyBorder="true" applyAlignment="true" applyProtection="false">
      <alignment horizontal="general" vertical="center" textRotation="0" wrapText="true" indent="0" shrinkToFit="false"/>
      <protection locked="true" hidden="false"/>
    </xf>
    <xf numFmtId="164" fontId="41" fillId="7" borderId="43" xfId="0" applyFont="true" applyBorder="true" applyAlignment="true" applyProtection="false">
      <alignment horizontal="general" vertical="center" textRotation="0" wrapText="true" indent="0" shrinkToFit="false"/>
      <protection locked="true" hidden="false"/>
    </xf>
    <xf numFmtId="164" fontId="41" fillId="7" borderId="44" xfId="0" applyFont="true" applyBorder="true" applyAlignment="true" applyProtection="false">
      <alignment horizontal="general" vertical="center" textRotation="0" wrapText="true" indent="0" shrinkToFit="false"/>
      <protection locked="true" hidden="false"/>
    </xf>
    <xf numFmtId="164" fontId="36" fillId="7" borderId="104" xfId="0" applyFont="true" applyBorder="true" applyAlignment="true" applyProtection="false">
      <alignment horizontal="general" vertical="center" textRotation="0" wrapText="true" indent="0" shrinkToFit="false"/>
      <protection locked="true" hidden="false"/>
    </xf>
    <xf numFmtId="164" fontId="111" fillId="0" borderId="0" xfId="0" applyFont="true" applyBorder="false" applyAlignment="true" applyProtection="false">
      <alignment horizontal="left" vertical="center" textRotation="0" wrapText="false" indent="3" shrinkToFit="false"/>
      <protection locked="true" hidden="false"/>
    </xf>
    <xf numFmtId="164" fontId="24" fillId="0" borderId="0" xfId="0" applyFont="true" applyBorder="false" applyAlignment="true" applyProtection="false">
      <alignment horizontal="left" vertical="center" textRotation="0" wrapText="false" indent="3" shrinkToFit="false"/>
      <protection locked="true" hidden="false"/>
    </xf>
    <xf numFmtId="164" fontId="26"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false" indent="3" shrinkToFit="false"/>
      <protection locked="true" hidden="false"/>
    </xf>
    <xf numFmtId="164" fontId="112" fillId="0" borderId="0" xfId="0" applyFont="true" applyBorder="false" applyAlignment="true" applyProtection="false">
      <alignment horizontal="left" vertical="center" textRotation="0" wrapText="false" indent="3" shrinkToFit="false"/>
      <protection locked="true" hidden="false"/>
    </xf>
    <xf numFmtId="164" fontId="23" fillId="9" borderId="30" xfId="0" applyFont="true" applyBorder="true" applyAlignment="true" applyProtection="false">
      <alignment horizontal="center" vertical="center" textRotation="0" wrapText="true" indent="0" shrinkToFit="false"/>
      <protection locked="true" hidden="false"/>
    </xf>
    <xf numFmtId="164" fontId="113" fillId="9" borderId="91" xfId="0" applyFont="true" applyBorder="true" applyAlignment="true" applyProtection="false">
      <alignment horizontal="center" vertical="center" textRotation="0" wrapText="true" indent="0" shrinkToFit="false"/>
      <protection locked="true" hidden="false"/>
    </xf>
    <xf numFmtId="164" fontId="113" fillId="9" borderId="91" xfId="0" applyFont="true" applyBorder="true" applyAlignment="true" applyProtection="false">
      <alignment horizontal="justify" vertical="center" textRotation="0" wrapText="true" indent="0" shrinkToFit="false"/>
      <protection locked="true" hidden="false"/>
    </xf>
    <xf numFmtId="164" fontId="21" fillId="0" borderId="50" xfId="0" applyFont="true" applyBorder="true" applyAlignment="true" applyProtection="false">
      <alignment horizontal="general" vertical="center" textRotation="0" wrapText="true" indent="0" shrinkToFit="false"/>
      <protection locked="true" hidden="false"/>
    </xf>
    <xf numFmtId="164" fontId="114" fillId="0" borderId="27" xfId="0" applyFont="true" applyBorder="true" applyAlignment="true" applyProtection="false">
      <alignment horizontal="center" vertical="center" textRotation="0" wrapText="true" indent="0" shrinkToFit="false"/>
      <protection locked="true" hidden="false"/>
    </xf>
    <xf numFmtId="164" fontId="114" fillId="0" borderId="27" xfId="0" applyFont="true" applyBorder="true" applyAlignment="true" applyProtection="false">
      <alignment horizontal="general" vertical="center" textRotation="0" wrapText="true" indent="0" shrinkToFit="false"/>
      <protection locked="true" hidden="false"/>
    </xf>
    <xf numFmtId="164" fontId="21" fillId="0" borderId="50" xfId="0" applyFont="true" applyBorder="true" applyAlignment="true" applyProtection="false">
      <alignment horizontal="justify" vertical="center" textRotation="0" wrapText="true" indent="0" shrinkToFit="false"/>
      <protection locked="true" hidden="false"/>
    </xf>
    <xf numFmtId="164" fontId="23" fillId="3" borderId="50" xfId="0" applyFont="true" applyBorder="true" applyAlignment="true" applyProtection="false">
      <alignment horizontal="general" vertical="center" textRotation="0" wrapText="true" indent="0" shrinkToFit="false"/>
      <protection locked="true" hidden="false"/>
    </xf>
    <xf numFmtId="164" fontId="116" fillId="3" borderId="27" xfId="0" applyFont="true" applyBorder="true" applyAlignment="true" applyProtection="false">
      <alignment horizontal="center" vertical="center" textRotation="0" wrapText="true" indent="0" shrinkToFit="false"/>
      <protection locked="true" hidden="false"/>
    </xf>
    <xf numFmtId="164" fontId="114" fillId="3" borderId="27" xfId="0" applyFont="true" applyBorder="true" applyAlignment="true" applyProtection="false">
      <alignment horizontal="general" vertical="center" textRotation="0" wrapText="true" indent="0" shrinkToFit="false"/>
      <protection locked="true" hidden="false"/>
    </xf>
    <xf numFmtId="164" fontId="87" fillId="0" borderId="0" xfId="0" applyFont="true" applyBorder="false" applyAlignment="true" applyProtection="false">
      <alignment horizontal="justify" vertical="center" textRotation="0" wrapText="false" indent="0" shrinkToFit="false"/>
      <protection locked="true" hidden="false"/>
    </xf>
    <xf numFmtId="164" fontId="24" fillId="0" borderId="0" xfId="0" applyFont="true" applyBorder="true" applyAlignment="true" applyProtection="false">
      <alignment horizontal="left" vertical="center" textRotation="0" wrapText="true" indent="0" shrinkToFit="false"/>
      <protection locked="true" hidden="false"/>
    </xf>
    <xf numFmtId="164" fontId="118" fillId="0" borderId="0" xfId="0" applyFont="true" applyBorder="true" applyAlignment="true" applyProtection="false">
      <alignment horizontal="left" vertical="center" textRotation="0" wrapText="true" indent="0" shrinkToFit="false"/>
      <protection locked="true" hidden="false"/>
    </xf>
    <xf numFmtId="164" fontId="119" fillId="0" borderId="0" xfId="0" applyFont="true" applyBorder="true" applyAlignment="true" applyProtection="false">
      <alignment horizontal="left" vertical="center" textRotation="0" wrapText="true" indent="0" shrinkToFit="false"/>
      <protection locked="true" hidden="false"/>
    </xf>
    <xf numFmtId="164" fontId="87" fillId="0" borderId="0" xfId="0" applyFont="true" applyBorder="false" applyAlignment="true" applyProtection="false">
      <alignment horizontal="left" vertical="center" textRotation="0" wrapText="false" indent="1" shrinkToFit="false"/>
      <protection locked="true" hidden="false"/>
    </xf>
    <xf numFmtId="164" fontId="122" fillId="0" borderId="0" xfId="0" applyFont="true" applyBorder="true" applyAlignment="true" applyProtection="false">
      <alignment horizontal="center" vertical="center" textRotation="0" wrapText="false" indent="0" shrinkToFit="false"/>
      <protection locked="true" hidden="false"/>
    </xf>
    <xf numFmtId="164" fontId="123" fillId="13" borderId="88" xfId="0" applyFont="true" applyBorder="true" applyAlignment="true" applyProtection="false">
      <alignment horizontal="center" vertical="center" textRotation="0" wrapText="true" indent="0" shrinkToFit="false"/>
      <protection locked="true" hidden="false"/>
    </xf>
    <xf numFmtId="164" fontId="123" fillId="13" borderId="43" xfId="0" applyFont="true" applyBorder="true" applyAlignment="true" applyProtection="false">
      <alignment horizontal="center" vertical="center" textRotation="0" wrapText="true" indent="0" shrinkToFit="false"/>
      <protection locked="true" hidden="false"/>
    </xf>
    <xf numFmtId="164" fontId="123" fillId="13" borderId="44" xfId="0" applyFont="true" applyBorder="true" applyAlignment="true" applyProtection="false">
      <alignment horizontal="center" vertical="center" textRotation="0" wrapText="true" indent="0" shrinkToFit="false"/>
      <protection locked="true" hidden="false"/>
    </xf>
    <xf numFmtId="172" fontId="27" fillId="2" borderId="20" xfId="19" applyFont="true" applyBorder="true" applyAlignment="true" applyProtection="true">
      <alignment horizontal="center" vertical="center" textRotation="0" wrapText="true" indent="0" shrinkToFit="false"/>
      <protection locked="true" hidden="false"/>
    </xf>
    <xf numFmtId="171" fontId="27" fillId="2" borderId="20" xfId="19" applyFont="true" applyBorder="true" applyAlignment="true" applyProtection="true">
      <alignment horizontal="center" vertical="center" textRotation="0" wrapText="true" indent="0" shrinkToFit="false"/>
      <protection locked="true" hidden="false"/>
    </xf>
    <xf numFmtId="164" fontId="27" fillId="0" borderId="15" xfId="0" applyFont="true" applyBorder="true" applyAlignment="true" applyProtection="false">
      <alignment horizontal="general" vertical="center" textRotation="0" wrapText="true" indent="0" shrinkToFit="false"/>
      <protection locked="true" hidden="false"/>
    </xf>
    <xf numFmtId="164" fontId="27" fillId="3" borderId="105" xfId="0" applyFont="true" applyBorder="true" applyAlignment="true" applyProtection="false">
      <alignment horizontal="general" vertical="center" textRotation="0" wrapText="true" indent="0" shrinkToFit="false"/>
      <protection locked="true" hidden="false"/>
    </xf>
    <xf numFmtId="164" fontId="27" fillId="3" borderId="106" xfId="0" applyFont="true" applyBorder="true" applyAlignment="true" applyProtection="false">
      <alignment horizontal="general" vertical="center" textRotation="0" wrapText="true" indent="0" shrinkToFit="false"/>
      <protection locked="true" hidden="false"/>
    </xf>
    <xf numFmtId="164" fontId="27" fillId="3" borderId="107" xfId="0" applyFont="true" applyBorder="true" applyAlignment="true" applyProtection="false">
      <alignment horizontal="general" vertical="center" textRotation="0" wrapText="true" indent="0" shrinkToFit="false"/>
      <protection locked="true" hidden="false"/>
    </xf>
    <xf numFmtId="164" fontId="27" fillId="3" borderId="108" xfId="0" applyFont="true" applyBorder="true" applyAlignment="true" applyProtection="false">
      <alignment horizontal="general" vertical="center" textRotation="0" wrapText="true" indent="0" shrinkToFit="false"/>
      <protection locked="true" hidden="false"/>
    </xf>
    <xf numFmtId="164" fontId="27" fillId="3" borderId="109" xfId="0" applyFont="true" applyBorder="true" applyAlignment="true" applyProtection="false">
      <alignment horizontal="general" vertical="center" textRotation="0" wrapText="true" indent="0" shrinkToFit="false"/>
      <protection locked="true" hidden="false"/>
    </xf>
    <xf numFmtId="164" fontId="27" fillId="3" borderId="110" xfId="0" applyFont="true" applyBorder="true" applyAlignment="true" applyProtection="false">
      <alignment horizontal="general" vertical="center" textRotation="0" wrapText="true" indent="0" shrinkToFit="false"/>
      <protection locked="true" hidden="false"/>
    </xf>
    <xf numFmtId="164" fontId="124" fillId="0" borderId="0" xfId="0" applyFont="true" applyBorder="true" applyAlignment="true" applyProtection="false">
      <alignment horizontal="left" vertical="top" textRotation="0" wrapText="true" indent="0" shrinkToFit="false"/>
      <protection locked="true" hidden="false"/>
    </xf>
    <xf numFmtId="164" fontId="124" fillId="0" borderId="0" xfId="0" applyFont="true" applyBorder="false" applyAlignment="true" applyProtection="false">
      <alignment horizontal="general" vertical="top" textRotation="0" wrapText="true" indent="0" shrinkToFit="false"/>
      <protection locked="true" hidden="false"/>
    </xf>
    <xf numFmtId="164" fontId="87" fillId="0" borderId="0" xfId="0" applyFont="true" applyBorder="false" applyAlignment="true" applyProtection="false">
      <alignment horizontal="center" vertical="center" textRotation="0" wrapText="false" indent="0" shrinkToFit="false"/>
      <protection locked="true" hidden="false"/>
    </xf>
    <xf numFmtId="164" fontId="38" fillId="9" borderId="111" xfId="0" applyFont="true" applyBorder="true" applyAlignment="true" applyProtection="false">
      <alignment horizontal="center" vertical="center" textRotation="0" wrapText="true" indent="0" shrinkToFit="false"/>
      <protection locked="true" hidden="false"/>
    </xf>
    <xf numFmtId="164" fontId="27" fillId="9" borderId="112" xfId="0" applyFont="true" applyBorder="true" applyAlignment="true" applyProtection="false">
      <alignment horizontal="general" vertical="center" textRotation="0" wrapText="true" indent="0" shrinkToFit="false"/>
      <protection locked="true" hidden="false"/>
    </xf>
    <xf numFmtId="164" fontId="27" fillId="9" borderId="113" xfId="0" applyFont="true" applyBorder="true" applyAlignment="true" applyProtection="false">
      <alignment horizontal="general" vertical="center" textRotation="0" wrapText="true" indent="0" shrinkToFit="false"/>
      <protection locked="true" hidden="false"/>
    </xf>
    <xf numFmtId="164" fontId="38" fillId="9" borderId="99" xfId="0" applyFont="true" applyBorder="true" applyAlignment="true" applyProtection="false">
      <alignment horizontal="general" vertical="center" textRotation="0" wrapText="true" indent="0" shrinkToFit="false"/>
      <protection locked="true" hidden="false"/>
    </xf>
    <xf numFmtId="164" fontId="38" fillId="9" borderId="85" xfId="0" applyFont="true" applyBorder="true" applyAlignment="true" applyProtection="false">
      <alignment horizontal="center" vertical="center" textRotation="0" wrapText="true" indent="0" shrinkToFit="false"/>
      <protection locked="true" hidden="false"/>
    </xf>
    <xf numFmtId="164" fontId="51" fillId="9" borderId="100" xfId="0" applyFont="true" applyBorder="true" applyAlignment="true" applyProtection="false">
      <alignment horizontal="center" vertical="center" textRotation="0" wrapText="true" indent="0" shrinkToFit="false"/>
      <protection locked="true" hidden="false"/>
    </xf>
    <xf numFmtId="164" fontId="27" fillId="2" borderId="9" xfId="0" applyFont="true" applyBorder="true" applyAlignment="true" applyProtection="false">
      <alignment horizontal="general" vertical="center" textRotation="0" wrapText="true" indent="0" shrinkToFit="false"/>
      <protection locked="true" hidden="false"/>
    </xf>
    <xf numFmtId="164" fontId="27" fillId="2" borderId="15" xfId="0" applyFont="true" applyBorder="true" applyAlignment="true" applyProtection="false">
      <alignment horizontal="general" vertical="center" textRotation="0" wrapText="true" indent="0" shrinkToFit="false"/>
      <protection locked="true" hidden="false"/>
    </xf>
    <xf numFmtId="164" fontId="27" fillId="2" borderId="20" xfId="0" applyFont="true" applyBorder="true" applyAlignment="true" applyProtection="false">
      <alignment horizontal="general" vertical="center" textRotation="0" wrapText="true" indent="0" shrinkToFit="false"/>
      <protection locked="true" hidden="false"/>
    </xf>
    <xf numFmtId="164" fontId="27" fillId="2" borderId="46" xfId="0" applyFont="true" applyBorder="true" applyAlignment="true" applyProtection="false">
      <alignment horizontal="general" vertical="center" textRotation="0" wrapText="true" indent="0" shrinkToFit="false"/>
      <protection locked="true" hidden="false"/>
    </xf>
    <xf numFmtId="164" fontId="27" fillId="0" borderId="99" xfId="0" applyFont="true" applyBorder="true" applyAlignment="true" applyProtection="false">
      <alignment horizontal="general" vertical="center" textRotation="0" wrapText="true" indent="0" shrinkToFit="false"/>
      <protection locked="true" hidden="false"/>
    </xf>
    <xf numFmtId="164" fontId="27" fillId="2" borderId="85" xfId="0" applyFont="true" applyBorder="true" applyAlignment="true" applyProtection="false">
      <alignment horizontal="general" vertical="center" textRotation="0" wrapText="true" indent="0" shrinkToFit="false"/>
      <protection locked="true" hidden="false"/>
    </xf>
    <xf numFmtId="164" fontId="27" fillId="2" borderId="100" xfId="0" applyFont="true" applyBorder="true" applyAlignment="true" applyProtection="false">
      <alignment horizontal="general" vertical="center" textRotation="0" wrapText="true" indent="0" shrinkToFit="false"/>
      <protection locked="true" hidden="false"/>
    </xf>
    <xf numFmtId="164" fontId="28" fillId="0" borderId="0" xfId="0" applyFont="true" applyBorder="false" applyAlignment="true" applyProtection="false">
      <alignment horizontal="left" vertical="center" textRotation="0" wrapText="false" indent="4" shrinkToFit="false"/>
      <protection locked="true" hidden="false"/>
    </xf>
    <xf numFmtId="164" fontId="27" fillId="0" borderId="0" xfId="0" applyFont="true" applyBorder="true" applyAlignment="true" applyProtection="false">
      <alignment horizontal="left" vertical="center" textRotation="0" wrapText="true" indent="0" shrinkToFit="false"/>
      <protection locked="true" hidden="false"/>
    </xf>
    <xf numFmtId="164" fontId="27" fillId="0" borderId="0" xfId="0" applyFont="true" applyBorder="false" applyAlignment="true" applyProtection="false">
      <alignment horizontal="left" vertical="center" textRotation="0" wrapText="true" indent="0" shrinkToFit="false"/>
      <protection locked="true" hidden="false"/>
    </xf>
    <xf numFmtId="164" fontId="30" fillId="0" borderId="0" xfId="0" applyFont="true" applyBorder="false" applyAlignment="true" applyProtection="false">
      <alignment horizontal="left" vertical="center" textRotation="0" wrapText="false" indent="12" shrinkToFit="false"/>
      <protection locked="true" hidden="false"/>
    </xf>
    <xf numFmtId="164" fontId="28" fillId="3" borderId="13" xfId="0" applyFont="true" applyBorder="true" applyAlignment="true" applyProtection="false">
      <alignment horizontal="general" vertical="center" textRotation="0" wrapText="true" indent="0" shrinkToFit="false"/>
      <protection locked="true" hidden="false"/>
    </xf>
    <xf numFmtId="164" fontId="28" fillId="3" borderId="9" xfId="0" applyFont="true" applyBorder="true" applyAlignment="true" applyProtection="false">
      <alignment horizontal="center" vertical="center" textRotation="0" wrapText="true" indent="0" shrinkToFit="false"/>
      <protection locked="true" hidden="false"/>
    </xf>
    <xf numFmtId="164" fontId="28" fillId="3" borderId="15" xfId="0" applyFont="true" applyBorder="true" applyAlignment="true" applyProtection="false">
      <alignment horizontal="center" vertical="center" textRotation="0" wrapText="true" indent="0" shrinkToFit="false"/>
      <protection locked="true" hidden="false"/>
    </xf>
    <xf numFmtId="164" fontId="27" fillId="2" borderId="20" xfId="0" applyFont="true" applyBorder="true" applyAlignment="true" applyProtection="false">
      <alignment horizontal="center" vertical="center" textRotation="0" wrapText="true" indent="0" shrinkToFit="false"/>
      <protection locked="true" hidden="false"/>
    </xf>
    <xf numFmtId="164" fontId="27" fillId="2" borderId="46" xfId="0" applyFont="true" applyBorder="true" applyAlignment="true" applyProtection="false">
      <alignment horizontal="center" vertical="center" textRotation="0" wrapText="true" indent="0" shrinkToFit="false"/>
      <protection locked="true" hidden="false"/>
    </xf>
    <xf numFmtId="164" fontId="27" fillId="2" borderId="23" xfId="0" applyFont="true" applyBorder="true" applyAlignment="true" applyProtection="false">
      <alignment horizontal="center" vertical="center" textRotation="0" wrapText="true" indent="0" shrinkToFit="false"/>
      <protection locked="true" hidden="false"/>
    </xf>
    <xf numFmtId="164" fontId="27" fillId="2" borderId="47" xfId="0" applyFont="true" applyBorder="true" applyAlignment="true" applyProtection="false">
      <alignment horizontal="center" vertical="center" textRotation="0" wrapText="true" indent="0" shrinkToFit="false"/>
      <protection locked="true" hidden="false"/>
    </xf>
    <xf numFmtId="164" fontId="28" fillId="3" borderId="43" xfId="0" applyFont="true" applyBorder="true" applyAlignment="true" applyProtection="false">
      <alignment horizontal="center" vertical="center" textRotation="0" wrapText="true" indent="0" shrinkToFit="false"/>
      <protection locked="true" hidden="false"/>
    </xf>
    <xf numFmtId="164" fontId="27" fillId="3" borderId="44" xfId="0" applyFont="true" applyBorder="true" applyAlignment="true" applyProtection="false">
      <alignment horizontal="center" vertical="center" textRotation="0" wrapText="true" indent="0" shrinkToFit="false"/>
      <protection locked="true" hidden="false"/>
    </xf>
    <xf numFmtId="164" fontId="28" fillId="3" borderId="0" xfId="0" applyFont="true" applyBorder="false" applyAlignment="true" applyProtection="false">
      <alignment horizontal="general" vertical="center" textRotation="0" wrapText="true" indent="0" shrinkToFit="false"/>
      <protection locked="true" hidden="false"/>
    </xf>
    <xf numFmtId="164" fontId="28" fillId="3" borderId="0" xfId="0" applyFont="true" applyBorder="false" applyAlignment="true" applyProtection="false">
      <alignment horizontal="center" vertical="center" textRotation="0" wrapText="true" indent="0" shrinkToFit="false"/>
      <protection locked="true" hidden="false"/>
    </xf>
    <xf numFmtId="164" fontId="27" fillId="3"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left" vertical="center" textRotation="0" wrapText="false" indent="12" shrinkToFit="false"/>
      <protection locked="true" hidden="false"/>
    </xf>
    <xf numFmtId="164" fontId="51" fillId="9" borderId="88" xfId="0" applyFont="true" applyBorder="true" applyAlignment="true" applyProtection="false">
      <alignment horizontal="center" vertical="center" textRotation="0" wrapText="true" indent="0" shrinkToFit="false"/>
      <protection locked="true" hidden="false"/>
    </xf>
    <xf numFmtId="164" fontId="51" fillId="9" borderId="43" xfId="0" applyFont="true" applyBorder="true" applyAlignment="true" applyProtection="false">
      <alignment horizontal="center" vertical="center" textRotation="0" wrapText="true" indent="0" shrinkToFit="false"/>
      <protection locked="true" hidden="false"/>
    </xf>
    <xf numFmtId="164" fontId="51" fillId="9" borderId="44" xfId="0" applyFont="true" applyBorder="true" applyAlignment="true" applyProtection="false">
      <alignment horizontal="center" vertical="center" textRotation="0" wrapText="true" indent="0" shrinkToFit="false"/>
      <protection locked="true" hidden="false"/>
    </xf>
    <xf numFmtId="164" fontId="27" fillId="3" borderId="13" xfId="0" applyFont="true" applyBorder="true" applyAlignment="true" applyProtection="false">
      <alignment horizontal="center" vertical="center" textRotation="0" wrapText="true" indent="0" shrinkToFit="false"/>
      <protection locked="true" hidden="false"/>
    </xf>
    <xf numFmtId="164" fontId="27" fillId="3" borderId="9" xfId="0" applyFont="true" applyBorder="true" applyAlignment="true" applyProtection="false">
      <alignment horizontal="center" vertical="center" textRotation="0" wrapText="true" indent="0" shrinkToFit="false"/>
      <protection locked="true" hidden="false"/>
    </xf>
    <xf numFmtId="164" fontId="27" fillId="3" borderId="15"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true" applyAlignment="true" applyProtection="false">
      <alignment horizontal="left" vertical="center" textRotation="0" wrapText="false" indent="0" shrinkToFit="false"/>
      <protection locked="true" hidden="false"/>
    </xf>
    <xf numFmtId="164" fontId="91" fillId="0" borderId="0" xfId="0" applyFont="true" applyBorder="false" applyAlignment="true" applyProtection="false">
      <alignment horizontal="general" vertical="center" textRotation="0" wrapText="false" indent="0" shrinkToFit="false"/>
      <protection locked="true" hidden="false"/>
    </xf>
    <xf numFmtId="164" fontId="27" fillId="2" borderId="27" xfId="0" applyFont="true" applyBorder="true" applyAlignment="true" applyProtection="false">
      <alignment horizontal="center" vertical="center" textRotation="0" wrapText="true" indent="0" shrinkToFit="false"/>
      <protection locked="true" hidden="false"/>
    </xf>
    <xf numFmtId="164" fontId="27" fillId="2" borderId="114" xfId="0" applyFont="true" applyBorder="true" applyAlignment="true" applyProtection="false">
      <alignment horizontal="center" vertical="center" textRotation="0" wrapText="true" indent="0" shrinkToFit="false"/>
      <protection locked="true" hidden="false"/>
    </xf>
    <xf numFmtId="164" fontId="27" fillId="3" borderId="27" xfId="0" applyFont="true" applyBorder="true" applyAlignment="true" applyProtection="false">
      <alignment horizontal="center" vertical="center" textRotation="0" wrapText="true" indent="0" shrinkToFit="false"/>
      <protection locked="true" hidden="false"/>
    </xf>
    <xf numFmtId="164" fontId="37" fillId="0" borderId="0" xfId="0" applyFont="true" applyBorder="false" applyAlignment="true" applyProtection="false">
      <alignment horizontal="left" vertical="center" textRotation="0" wrapText="false" indent="9" shrinkToFit="false"/>
      <protection locked="true" hidden="false"/>
    </xf>
    <xf numFmtId="164" fontId="27" fillId="0" borderId="50" xfId="0" applyFont="true" applyBorder="true" applyAlignment="true" applyProtection="false">
      <alignment horizontal="center" vertical="center" textRotation="0" wrapText="true" indent="0" shrinkToFit="false"/>
      <protection locked="true" hidden="false"/>
    </xf>
    <xf numFmtId="164" fontId="27" fillId="2" borderId="27" xfId="0" applyFont="true" applyBorder="true" applyAlignment="true" applyProtection="false">
      <alignment horizontal="general" vertical="center" textRotation="0" wrapText="true" indent="0" shrinkToFit="false"/>
      <protection locked="true" hidden="false"/>
    </xf>
    <xf numFmtId="164" fontId="27" fillId="3" borderId="50" xfId="0" applyFont="true" applyBorder="true" applyAlignment="true" applyProtection="false">
      <alignment horizontal="general" vertical="center" textRotation="0" wrapText="true" indent="0" shrinkToFit="false"/>
      <protection locked="true" hidden="false"/>
    </xf>
    <xf numFmtId="164" fontId="28" fillId="9" borderId="88" xfId="0" applyFont="true" applyBorder="true" applyAlignment="true" applyProtection="false">
      <alignment horizontal="center" vertical="center" textRotation="0" wrapText="true" indent="0" shrinkToFit="false"/>
      <protection locked="true" hidden="false"/>
    </xf>
    <xf numFmtId="164" fontId="28" fillId="3" borderId="43" xfId="0" applyFont="true" applyBorder="true" applyAlignment="true" applyProtection="false">
      <alignment horizontal="general" vertical="center" textRotation="0" wrapText="true" indent="0" shrinkToFit="false"/>
      <protection locked="true" hidden="false"/>
    </xf>
    <xf numFmtId="164" fontId="28" fillId="3" borderId="44" xfId="0" applyFont="true" applyBorder="true" applyAlignment="true" applyProtection="false">
      <alignment horizontal="general" vertical="center" textRotation="0" wrapText="true" indent="0" shrinkToFit="false"/>
      <protection locked="true" hidden="false"/>
    </xf>
    <xf numFmtId="164" fontId="28" fillId="0" borderId="9" xfId="0" applyFont="true" applyBorder="true" applyAlignment="true" applyProtection="false">
      <alignment horizontal="general" vertical="center" textRotation="0" wrapText="true" indent="0" shrinkToFit="false"/>
      <protection locked="true" hidden="false"/>
    </xf>
    <xf numFmtId="164" fontId="28" fillId="0" borderId="15" xfId="0" applyFont="true" applyBorder="true" applyAlignment="true" applyProtection="false">
      <alignment horizontal="general" vertical="center" textRotation="0" wrapText="true" indent="0" shrinkToFit="false"/>
      <protection locked="true" hidden="false"/>
    </xf>
    <xf numFmtId="164" fontId="27" fillId="0" borderId="46" xfId="0" applyFont="true" applyBorder="true" applyAlignment="true" applyProtection="false">
      <alignment horizontal="general" vertical="center" textRotation="0" wrapText="true" indent="0" shrinkToFit="false"/>
      <protection locked="true" hidden="false"/>
    </xf>
    <xf numFmtId="164" fontId="27" fillId="0" borderId="23" xfId="0" applyFont="true" applyBorder="true" applyAlignment="true" applyProtection="false">
      <alignment horizontal="general" vertical="center" textRotation="0" wrapText="true" indent="0" shrinkToFit="false"/>
      <protection locked="true" hidden="false"/>
    </xf>
    <xf numFmtId="164" fontId="27" fillId="0" borderId="47" xfId="0" applyFont="true" applyBorder="true" applyAlignment="true" applyProtection="false">
      <alignment horizontal="general" vertical="center" textRotation="0" wrapText="true" indent="0" shrinkToFit="false"/>
      <protection locked="true" hidden="false"/>
    </xf>
    <xf numFmtId="164" fontId="27" fillId="0" borderId="85" xfId="0" applyFont="true" applyBorder="true" applyAlignment="true" applyProtection="false">
      <alignment horizontal="general" vertical="center" textRotation="0" wrapText="true" indent="0" shrinkToFit="false"/>
      <protection locked="true" hidden="false"/>
    </xf>
    <xf numFmtId="164" fontId="27" fillId="0" borderId="100" xfId="0" applyFont="true" applyBorder="true" applyAlignment="true" applyProtection="false">
      <alignment horizontal="general" vertical="center" textRotation="0" wrapText="true" indent="0" shrinkToFit="false"/>
      <protection locked="true" hidden="false"/>
    </xf>
    <xf numFmtId="164" fontId="28" fillId="0" borderId="0" xfId="0" applyFont="true" applyBorder="true" applyAlignment="true" applyProtection="false">
      <alignment horizontal="center" vertical="center" textRotation="0" wrapText="false" indent="0" shrinkToFit="false"/>
      <protection locked="true" hidden="false"/>
    </xf>
    <xf numFmtId="164" fontId="38" fillId="9" borderId="44" xfId="0" applyFont="true" applyBorder="true" applyAlignment="true" applyProtection="false">
      <alignment horizontal="justify" vertical="center" textRotation="0" wrapText="true" indent="0" shrinkToFit="false"/>
      <protection locked="true" hidden="false"/>
    </xf>
    <xf numFmtId="164" fontId="27" fillId="0" borderId="13" xfId="0" applyFont="true" applyBorder="true" applyAlignment="true" applyProtection="false">
      <alignment horizontal="justify" vertical="center" textRotation="0" wrapText="true" indent="0" shrinkToFit="false"/>
      <protection locked="true" hidden="false"/>
    </xf>
    <xf numFmtId="171" fontId="28" fillId="2" borderId="9" xfId="19" applyFont="true" applyBorder="true" applyAlignment="true" applyProtection="true">
      <alignment horizontal="center" vertical="center" textRotation="0" wrapText="true" indent="0" shrinkToFit="false"/>
      <protection locked="true" hidden="false"/>
    </xf>
    <xf numFmtId="172" fontId="28" fillId="3" borderId="44" xfId="15" applyFont="true" applyBorder="true" applyAlignment="true" applyProtection="true">
      <alignment horizontal="right" vertical="center" textRotation="0" wrapText="true" indent="0" shrinkToFit="false"/>
      <protection locked="true" hidden="false"/>
    </xf>
    <xf numFmtId="172" fontId="27" fillId="0" borderId="15" xfId="15" applyFont="true" applyBorder="true" applyAlignment="true" applyProtection="true">
      <alignment horizontal="general" vertical="center" textRotation="0" wrapText="true" indent="0" shrinkToFit="false"/>
      <protection locked="true" hidden="false"/>
    </xf>
    <xf numFmtId="172" fontId="27" fillId="2" borderId="47" xfId="15" applyFont="true" applyBorder="true" applyAlignment="true" applyProtection="true">
      <alignment horizontal="general" vertical="center" textRotation="0" wrapText="true" indent="0" shrinkToFit="false"/>
      <protection locked="true" hidden="false"/>
    </xf>
    <xf numFmtId="172" fontId="27" fillId="3" borderId="44" xfId="15" applyFont="true" applyBorder="true" applyAlignment="true" applyProtection="true">
      <alignment horizontal="general" vertical="center" textRotation="0" wrapText="true" indent="0" shrinkToFit="false"/>
      <protection locked="true" hidden="false"/>
    </xf>
    <xf numFmtId="164" fontId="27" fillId="0" borderId="0" xfId="0" applyFont="true" applyBorder="true" applyAlignment="true" applyProtection="false">
      <alignment horizontal="left" vertical="top" textRotation="0" wrapText="true" indent="0" shrinkToFit="false"/>
      <protection locked="true" hidden="false"/>
    </xf>
    <xf numFmtId="164" fontId="38" fillId="9" borderId="91" xfId="0" applyFont="true" applyBorder="true" applyAlignment="true" applyProtection="false">
      <alignment horizontal="justify" vertical="center" textRotation="0" wrapText="true" indent="0" shrinkToFit="false"/>
      <protection locked="true" hidden="false"/>
    </xf>
    <xf numFmtId="171" fontId="28" fillId="2" borderId="20" xfId="19" applyFont="true" applyBorder="true" applyAlignment="true" applyProtection="true">
      <alignment horizontal="right" vertical="center" textRotation="0" wrapText="true" indent="0" shrinkToFit="false"/>
      <protection locked="true" hidden="false"/>
    </xf>
    <xf numFmtId="171" fontId="27" fillId="2" borderId="20" xfId="19" applyFont="true" applyBorder="true" applyAlignment="true" applyProtection="true">
      <alignment horizontal="right" vertical="center" textRotation="0" wrapText="true" indent="0" shrinkToFit="false"/>
      <protection locked="true" hidden="false"/>
    </xf>
    <xf numFmtId="164" fontId="27" fillId="0" borderId="101" xfId="0" applyFont="true" applyBorder="true" applyAlignment="false" applyProtection="false">
      <alignment horizontal="general" vertical="bottom" textRotation="0" wrapText="false" indent="0" shrinkToFit="false"/>
      <protection locked="true" hidden="false"/>
    </xf>
    <xf numFmtId="172" fontId="27" fillId="0" borderId="24" xfId="15" applyFont="true" applyBorder="true" applyAlignment="true" applyProtection="true">
      <alignment horizontal="right" vertical="bottom" textRotation="0" wrapText="false" indent="0" shrinkToFit="false"/>
      <protection locked="true" hidden="false"/>
    </xf>
    <xf numFmtId="172" fontId="27" fillId="0" borderId="102" xfId="15" applyFont="true" applyBorder="true" applyAlignment="true" applyProtection="true">
      <alignment horizontal="right" vertical="bottom" textRotation="0" wrapText="false" indent="0" shrinkToFit="false"/>
      <protection locked="true" hidden="false"/>
    </xf>
    <xf numFmtId="164" fontId="36" fillId="7" borderId="88" xfId="0" applyFont="true" applyBorder="true" applyAlignment="true" applyProtection="false">
      <alignment horizontal="general" vertical="center" textRotation="0" wrapText="true" indent="0" shrinkToFit="false"/>
      <protection locked="true" hidden="false"/>
    </xf>
    <xf numFmtId="172" fontId="36" fillId="7" borderId="43" xfId="15" applyFont="true" applyBorder="true" applyAlignment="true" applyProtection="true">
      <alignment horizontal="right" vertical="center" textRotation="0" wrapText="true" indent="0" shrinkToFit="false"/>
      <protection locked="true" hidden="false"/>
    </xf>
    <xf numFmtId="171" fontId="36" fillId="7" borderId="43" xfId="19" applyFont="true" applyBorder="true" applyAlignment="true" applyProtection="true">
      <alignment horizontal="right" vertical="center" textRotation="0" wrapText="true" indent="0" shrinkToFit="false"/>
      <protection locked="true" hidden="false"/>
    </xf>
    <xf numFmtId="172" fontId="36" fillId="7" borderId="44" xfId="15" applyFont="true" applyBorder="true" applyAlignment="true" applyProtection="true">
      <alignment horizontal="right" vertical="center" textRotation="0" wrapText="true" indent="0" shrinkToFit="false"/>
      <protection locked="true" hidden="false"/>
    </xf>
    <xf numFmtId="164" fontId="61" fillId="0" borderId="0" xfId="0" applyFont="true" applyBorder="false" applyAlignment="true" applyProtection="false">
      <alignment horizontal="left" vertical="center" textRotation="0" wrapText="false" indent="1" shrinkToFit="false"/>
      <protection locked="true" hidden="false"/>
    </xf>
    <xf numFmtId="164" fontId="127" fillId="0" borderId="0" xfId="0" applyFont="true" applyBorder="false" applyAlignment="true" applyProtection="false">
      <alignment horizontal="left" vertical="center" textRotation="0" wrapText="false" indent="7" shrinkToFit="false"/>
      <protection locked="true" hidden="false"/>
    </xf>
    <xf numFmtId="164" fontId="87" fillId="0" borderId="0" xfId="0" applyFont="true" applyBorder="false" applyAlignment="true" applyProtection="false">
      <alignment horizontal="right" vertical="center" textRotation="0" wrapText="false" indent="0" shrinkToFit="false"/>
      <protection locked="true" hidden="false"/>
    </xf>
    <xf numFmtId="164" fontId="128" fillId="0" borderId="0" xfId="0" applyFont="true" applyBorder="false" applyAlignment="true" applyProtection="false">
      <alignment horizontal="right" vertical="center" textRotation="0" wrapText="false" indent="0" shrinkToFit="false"/>
      <protection locked="true" hidden="false"/>
    </xf>
    <xf numFmtId="164" fontId="129" fillId="0" borderId="0" xfId="0" applyFont="true" applyBorder="false" applyAlignment="true" applyProtection="false">
      <alignment horizontal="left" vertical="center" textRotation="0" wrapText="false" indent="5" shrinkToFit="false"/>
      <protection locked="true" hidden="false"/>
    </xf>
    <xf numFmtId="164" fontId="27" fillId="0" borderId="9" xfId="0" applyFont="true" applyBorder="true" applyAlignment="true" applyProtection="false">
      <alignment horizontal="center" vertical="center" textRotation="0" wrapText="true" indent="0" shrinkToFit="false"/>
      <protection locked="true" hidden="false"/>
    </xf>
    <xf numFmtId="164" fontId="27" fillId="2" borderId="9" xfId="0" applyFont="true" applyBorder="true" applyAlignment="true" applyProtection="false">
      <alignment horizontal="center" vertical="center" textRotation="0" wrapText="true" indent="0" shrinkToFit="false"/>
      <protection locked="true" hidden="false"/>
    </xf>
    <xf numFmtId="164" fontId="27" fillId="0" borderId="20" xfId="0" applyFont="true" applyBorder="true" applyAlignment="true" applyProtection="false">
      <alignment horizontal="center" vertical="center" textRotation="0" wrapText="true" indent="0" shrinkToFit="false"/>
      <protection locked="true" hidden="false"/>
    </xf>
    <xf numFmtId="164" fontId="27" fillId="2" borderId="23" xfId="0" applyFont="true" applyBorder="true" applyAlignment="true" applyProtection="false">
      <alignment horizontal="general" vertical="center" textRotation="0" wrapText="true" indent="0" shrinkToFit="false"/>
      <protection locked="true" hidden="false"/>
    </xf>
    <xf numFmtId="164" fontId="27" fillId="3" borderId="43" xfId="0" applyFont="true" applyBorder="true" applyAlignment="true" applyProtection="false">
      <alignment horizontal="general" vertical="center" textRotation="0" wrapText="true" indent="0" shrinkToFit="false"/>
      <protection locked="true" hidden="false"/>
    </xf>
    <xf numFmtId="164" fontId="27" fillId="3" borderId="44" xfId="0" applyFont="true" applyBorder="true" applyAlignment="true" applyProtection="false">
      <alignment horizontal="general" vertical="center" textRotation="0" wrapText="true" indent="0" shrinkToFit="false"/>
      <protection locked="true" hidden="false"/>
    </xf>
    <xf numFmtId="172" fontId="28" fillId="0" borderId="20" xfId="15" applyFont="true" applyBorder="true" applyAlignment="true" applyProtection="true">
      <alignment horizontal="general" vertical="center" textRotation="0" wrapText="true" indent="0" shrinkToFit="false"/>
      <protection locked="true" hidden="false"/>
    </xf>
    <xf numFmtId="172" fontId="28" fillId="2" borderId="20" xfId="15" applyFont="true" applyBorder="true" applyAlignment="true" applyProtection="true">
      <alignment horizontal="general" vertical="center" textRotation="0" wrapText="true" indent="0" shrinkToFit="false"/>
      <protection locked="true" hidden="false"/>
    </xf>
    <xf numFmtId="171" fontId="28" fillId="2" borderId="20" xfId="19" applyFont="true" applyBorder="true" applyAlignment="true" applyProtection="true">
      <alignment horizontal="general" vertical="center" textRotation="0" wrapText="true" indent="0" shrinkToFit="false"/>
      <protection locked="true" hidden="false"/>
    </xf>
    <xf numFmtId="172" fontId="28" fillId="3" borderId="43" xfId="0" applyFont="true" applyBorder="true" applyAlignment="true" applyProtection="false">
      <alignment horizontal="general" vertical="center" textRotation="0" wrapText="true" indent="0" shrinkToFit="false"/>
      <protection locked="true" hidden="false"/>
    </xf>
    <xf numFmtId="164" fontId="27" fillId="0" borderId="20" xfId="0" applyFont="true" applyBorder="true" applyAlignment="true" applyProtection="false">
      <alignment horizontal="justify" vertical="center" textRotation="0" wrapText="true" indent="0" shrinkToFit="false"/>
      <protection locked="true" hidden="false"/>
    </xf>
    <xf numFmtId="164" fontId="28" fillId="3" borderId="20" xfId="0" applyFont="true" applyBorder="true" applyAlignment="true" applyProtection="false">
      <alignment horizontal="general" vertical="center" textRotation="0" wrapText="true" indent="0" shrinkToFit="false"/>
      <protection locked="true" hidden="false"/>
    </xf>
    <xf numFmtId="164" fontId="27" fillId="3" borderId="20" xfId="0" applyFont="true" applyBorder="true" applyAlignment="true" applyProtection="false">
      <alignment horizontal="general" vertical="center" textRotation="0" wrapText="true" indent="0" shrinkToFit="false"/>
      <protection locked="true" hidden="false"/>
    </xf>
    <xf numFmtId="164" fontId="38" fillId="7" borderId="88" xfId="0" applyFont="true" applyBorder="true" applyAlignment="true" applyProtection="false">
      <alignment horizontal="general" vertical="center" textRotation="0" wrapText="true" indent="0" shrinkToFit="false"/>
      <protection locked="true" hidden="false"/>
    </xf>
    <xf numFmtId="172" fontId="38" fillId="7" borderId="43" xfId="0" applyFont="true" applyBorder="true" applyAlignment="true" applyProtection="false">
      <alignment horizontal="general" vertical="center" textRotation="0" wrapText="true" indent="0" shrinkToFit="false"/>
      <protection locked="true" hidden="false"/>
    </xf>
    <xf numFmtId="171" fontId="38" fillId="7" borderId="43" xfId="19" applyFont="true" applyBorder="true" applyAlignment="true" applyProtection="true">
      <alignment horizontal="general" vertical="center" textRotation="0" wrapText="true" indent="0" shrinkToFit="false"/>
      <protection locked="true" hidden="false"/>
    </xf>
    <xf numFmtId="164" fontId="51" fillId="7" borderId="43" xfId="0" applyFont="true" applyBorder="true" applyAlignment="true" applyProtection="false">
      <alignment horizontal="general" vertical="center" textRotation="0" wrapText="true" indent="0" shrinkToFit="false"/>
      <protection locked="true" hidden="false"/>
    </xf>
    <xf numFmtId="164" fontId="51" fillId="7" borderId="44" xfId="0" applyFont="true" applyBorder="true" applyAlignment="true" applyProtection="false">
      <alignment horizontal="general" vertical="center" textRotation="0" wrapText="true" indent="0" shrinkToFit="false"/>
      <protection locked="true" hidden="false"/>
    </xf>
    <xf numFmtId="164" fontId="91" fillId="0" borderId="26" xfId="0" applyFont="true" applyBorder="true" applyAlignment="true" applyProtection="false">
      <alignment horizontal="center" vertical="center" textRotation="0" wrapText="false" indent="0" shrinkToFit="false"/>
      <protection locked="true" hidden="false"/>
    </xf>
    <xf numFmtId="164" fontId="28" fillId="2" borderId="9" xfId="0" applyFont="true" applyBorder="true" applyAlignment="true" applyProtection="false">
      <alignment horizontal="center" vertical="center" textRotation="0" wrapText="true" indent="0" shrinkToFit="false"/>
      <protection locked="true" hidden="false"/>
    </xf>
    <xf numFmtId="164" fontId="28" fillId="2" borderId="15" xfId="0" applyFont="true" applyBorder="true" applyAlignment="true" applyProtection="false">
      <alignment horizontal="center" vertical="center" textRotation="0" wrapText="true" indent="0" shrinkToFit="false"/>
      <protection locked="true" hidden="false"/>
    </xf>
    <xf numFmtId="164" fontId="28" fillId="2" borderId="23" xfId="0" applyFont="true" applyBorder="true" applyAlignment="true" applyProtection="false">
      <alignment horizontal="center" vertical="center" textRotation="0" wrapText="true" indent="0" shrinkToFit="false"/>
      <protection locked="true" hidden="false"/>
    </xf>
    <xf numFmtId="164" fontId="28" fillId="2" borderId="47" xfId="0" applyFont="true" applyBorder="true" applyAlignment="true" applyProtection="false">
      <alignment horizontal="center" vertical="center" textRotation="0" wrapText="true" indent="0" shrinkToFit="false"/>
      <protection locked="true" hidden="false"/>
    </xf>
    <xf numFmtId="164" fontId="28" fillId="3" borderId="111" xfId="0" applyFont="true" applyBorder="true" applyAlignment="true" applyProtection="false">
      <alignment horizontal="general" vertical="center" textRotation="0" wrapText="true" indent="0" shrinkToFit="false"/>
      <protection locked="true" hidden="false"/>
    </xf>
    <xf numFmtId="164" fontId="28" fillId="3" borderId="44" xfId="0" applyFont="true" applyBorder="true" applyAlignment="true" applyProtection="false">
      <alignment horizontal="center" vertical="center" textRotation="0" wrapText="true" indent="0" shrinkToFit="false"/>
      <protection locked="true" hidden="false"/>
    </xf>
    <xf numFmtId="164" fontId="28" fillId="3" borderId="99" xfId="0" applyFont="true" applyBorder="true" applyAlignment="true" applyProtection="false">
      <alignment horizontal="general" vertical="center" textRotation="0" wrapText="true" indent="0" shrinkToFit="false"/>
      <protection locked="true" hidden="false"/>
    </xf>
    <xf numFmtId="164" fontId="28" fillId="0" borderId="9" xfId="0" applyFont="true" applyBorder="true" applyAlignment="true" applyProtection="false">
      <alignment horizontal="center" vertical="center" textRotation="0" wrapText="true" indent="0" shrinkToFit="false"/>
      <protection locked="true" hidden="false"/>
    </xf>
    <xf numFmtId="164" fontId="28" fillId="0" borderId="15" xfId="0" applyFont="true" applyBorder="true" applyAlignment="true" applyProtection="false">
      <alignment horizontal="center" vertical="center" textRotation="0" wrapText="true" indent="0" shrinkToFit="false"/>
      <protection locked="true" hidden="false"/>
    </xf>
    <xf numFmtId="164" fontId="28" fillId="2" borderId="20" xfId="0" applyFont="true" applyBorder="true" applyAlignment="true" applyProtection="false">
      <alignment horizontal="general" vertical="center" textRotation="0" wrapText="true" indent="0" shrinkToFit="false"/>
      <protection locked="true" hidden="false"/>
    </xf>
    <xf numFmtId="164" fontId="28" fillId="2" borderId="46" xfId="0" applyFont="true" applyBorder="true" applyAlignment="true" applyProtection="false">
      <alignment horizontal="general" vertical="center" textRotation="0" wrapText="true" indent="0" shrinkToFit="false"/>
      <protection locked="true" hidden="false"/>
    </xf>
    <xf numFmtId="166" fontId="28" fillId="2" borderId="23" xfId="0" applyFont="true" applyBorder="true" applyAlignment="true" applyProtection="false">
      <alignment horizontal="general" vertical="center" textRotation="0" wrapText="true" indent="0" shrinkToFit="false"/>
      <protection locked="true" hidden="false"/>
    </xf>
    <xf numFmtId="171" fontId="28" fillId="2" borderId="47" xfId="19" applyFont="true" applyBorder="true" applyAlignment="true" applyProtection="true">
      <alignment horizontal="general" vertical="center" textRotation="0" wrapText="true" indent="0" shrinkToFit="false"/>
      <protection locked="true" hidden="false"/>
    </xf>
    <xf numFmtId="166" fontId="28" fillId="3" borderId="43" xfId="0" applyFont="true" applyBorder="true" applyAlignment="true" applyProtection="false">
      <alignment horizontal="general" vertical="center" textRotation="0" wrapText="true" indent="0" shrinkToFit="false"/>
      <protection locked="true" hidden="false"/>
    </xf>
    <xf numFmtId="164" fontId="38" fillId="7" borderId="99" xfId="0" applyFont="true" applyBorder="true" applyAlignment="true" applyProtection="false">
      <alignment horizontal="center" vertical="center" textRotation="0" wrapText="true" indent="0" shrinkToFit="false"/>
      <protection locked="true" hidden="false"/>
    </xf>
    <xf numFmtId="166" fontId="38" fillId="7" borderId="85" xfId="0" applyFont="true" applyBorder="true" applyAlignment="true" applyProtection="false">
      <alignment horizontal="general" vertical="center" textRotation="0" wrapText="true" indent="0" shrinkToFit="false"/>
      <protection locked="true" hidden="false"/>
    </xf>
    <xf numFmtId="171" fontId="38" fillId="7" borderId="85" xfId="19" applyFont="true" applyBorder="true" applyAlignment="true" applyProtection="true">
      <alignment horizontal="general" vertical="center" textRotation="0" wrapText="true" indent="0" shrinkToFit="false"/>
      <protection locked="true" hidden="false"/>
    </xf>
    <xf numFmtId="164" fontId="130" fillId="0" borderId="0" xfId="0" applyFont="true" applyBorder="false" applyAlignment="true" applyProtection="false">
      <alignment horizontal="left" vertical="center" textRotation="0" wrapText="false" indent="1" shrinkToFit="false"/>
      <protection locked="true" hidden="false"/>
    </xf>
    <xf numFmtId="172" fontId="28" fillId="2" borderId="112" xfId="15" applyFont="true" applyBorder="true" applyAlignment="true" applyProtection="true">
      <alignment horizontal="general" vertical="bottom" textRotation="0" wrapText="false" indent="0" shrinkToFit="false"/>
      <protection locked="true" hidden="false"/>
    </xf>
    <xf numFmtId="171" fontId="24" fillId="2" borderId="113" xfId="19" applyFont="true" applyBorder="true" applyAlignment="true" applyProtection="true">
      <alignment horizontal="right" vertical="bottom" textRotation="0" wrapText="false" indent="0" shrinkToFit="false"/>
      <protection locked="true" hidden="false"/>
    </xf>
    <xf numFmtId="172" fontId="28" fillId="2" borderId="23" xfId="15" applyFont="true" applyBorder="true" applyAlignment="true" applyProtection="true">
      <alignment horizontal="right" vertical="center" textRotation="0" wrapText="true" indent="0" shrinkToFit="false"/>
      <protection locked="true" hidden="false"/>
    </xf>
    <xf numFmtId="171" fontId="24" fillId="0" borderId="113" xfId="19" applyFont="true" applyBorder="true" applyAlignment="true" applyProtection="true">
      <alignment horizontal="right" vertical="bottom" textRotation="0" wrapText="false" indent="0" shrinkToFit="false"/>
      <protection locked="true" hidden="false"/>
    </xf>
    <xf numFmtId="164" fontId="38" fillId="10" borderId="88" xfId="0" applyFont="true" applyBorder="true" applyAlignment="true" applyProtection="false">
      <alignment horizontal="general" vertical="center" textRotation="0" wrapText="true" indent="0" shrinkToFit="false"/>
      <protection locked="true" hidden="false"/>
    </xf>
    <xf numFmtId="172" fontId="38" fillId="10" borderId="43" xfId="15" applyFont="true" applyBorder="true" applyAlignment="true" applyProtection="true">
      <alignment horizontal="right" vertical="center" textRotation="0" wrapText="true" indent="0" shrinkToFit="false"/>
      <protection locked="true" hidden="false"/>
    </xf>
    <xf numFmtId="164" fontId="27" fillId="0" borderId="101" xfId="0" applyFont="true" applyBorder="true" applyAlignment="true" applyProtection="false">
      <alignment horizontal="general" vertical="center" textRotation="0" wrapText="true" indent="0" shrinkToFit="false"/>
      <protection locked="true" hidden="false"/>
    </xf>
    <xf numFmtId="172" fontId="28" fillId="0" borderId="24" xfId="15" applyFont="true" applyBorder="true" applyAlignment="true" applyProtection="true">
      <alignment horizontal="right" vertical="center" textRotation="0" wrapText="true" indent="0" shrinkToFit="false"/>
      <protection locked="true" hidden="false"/>
    </xf>
    <xf numFmtId="172" fontId="38" fillId="7" borderId="43" xfId="15" applyFont="true" applyBorder="true" applyAlignment="true" applyProtection="true">
      <alignment horizontal="right" vertical="center" textRotation="0" wrapText="true" indent="0" shrinkToFit="false"/>
      <protection locked="true" hidden="false"/>
    </xf>
    <xf numFmtId="164" fontId="91" fillId="0" borderId="0" xfId="0" applyFont="true" applyBorder="true" applyAlignment="true" applyProtection="false">
      <alignment horizontal="center" vertical="center" textRotation="0" wrapText="false" indent="0" shrinkToFit="false"/>
      <protection locked="true" hidden="false"/>
    </xf>
    <xf numFmtId="164" fontId="38" fillId="9" borderId="112" xfId="0" applyFont="true" applyBorder="true" applyAlignment="true" applyProtection="false">
      <alignment horizontal="center" vertical="center" textRotation="0" wrapText="true" indent="0" shrinkToFit="false"/>
      <protection locked="true" hidden="false"/>
    </xf>
    <xf numFmtId="164" fontId="38" fillId="9" borderId="113" xfId="0" applyFont="true" applyBorder="true" applyAlignment="true" applyProtection="false">
      <alignment horizontal="center" vertical="center" textRotation="0" wrapText="true" indent="0" shrinkToFit="false"/>
      <protection locked="true" hidden="false"/>
    </xf>
    <xf numFmtId="171" fontId="28" fillId="2" borderId="46" xfId="19" applyFont="true" applyBorder="true" applyAlignment="true" applyProtection="true">
      <alignment horizontal="right" vertical="center" textRotation="0" wrapText="true" indent="0" shrinkToFit="false"/>
      <protection locked="true" hidden="false"/>
    </xf>
    <xf numFmtId="172" fontId="28" fillId="2" borderId="46" xfId="15" applyFont="true" applyBorder="true" applyAlignment="true" applyProtection="true">
      <alignment horizontal="right" vertical="center" textRotation="0" wrapText="true" indent="0" shrinkToFit="false"/>
      <protection locked="true" hidden="false"/>
    </xf>
    <xf numFmtId="172" fontId="28" fillId="2" borderId="47" xfId="15" applyFont="true" applyBorder="true" applyAlignment="true" applyProtection="true">
      <alignment horizontal="right" vertical="center" textRotation="0" wrapText="true" indent="0" shrinkToFit="false"/>
      <protection locked="true" hidden="false"/>
    </xf>
    <xf numFmtId="172" fontId="28" fillId="0" borderId="15" xfId="15" applyFont="true" applyBorder="true" applyAlignment="true" applyProtection="true">
      <alignment horizontal="right" vertical="center" textRotation="0" wrapText="true" indent="0" shrinkToFit="false"/>
      <protection locked="true" hidden="false"/>
    </xf>
    <xf numFmtId="164" fontId="28" fillId="2" borderId="46" xfId="19" applyFont="true" applyBorder="true" applyAlignment="true" applyProtection="true">
      <alignment horizontal="right" vertical="center" textRotation="0" wrapText="true" indent="0" shrinkToFit="false"/>
      <protection locked="true" hidden="false"/>
    </xf>
    <xf numFmtId="171" fontId="28" fillId="2" borderId="46" xfId="19" applyFont="true" applyBorder="true" applyAlignment="true" applyProtection="true">
      <alignment horizontal="center" vertical="center" textRotation="0" wrapText="true" indent="0" shrinkToFit="false"/>
      <protection locked="true" hidden="false"/>
    </xf>
    <xf numFmtId="174" fontId="28" fillId="2" borderId="46" xfId="19" applyFont="true" applyBorder="true" applyAlignment="true" applyProtection="true">
      <alignment horizontal="right" vertical="center" textRotation="0" wrapText="true" indent="0" shrinkToFit="false"/>
      <protection locked="true" hidden="false"/>
    </xf>
    <xf numFmtId="164" fontId="30" fillId="0" borderId="0" xfId="0" applyFont="true" applyBorder="false" applyAlignment="true" applyProtection="false">
      <alignment horizontal="left" vertical="center" textRotation="0" wrapText="false" indent="5"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9" fillId="9" borderId="111" xfId="0" applyFont="true" applyBorder="true" applyAlignment="true" applyProtection="false">
      <alignment horizontal="center" vertical="center" textRotation="0" wrapText="true" indent="0" shrinkToFit="false"/>
      <protection locked="true" hidden="false"/>
    </xf>
    <xf numFmtId="164" fontId="27" fillId="2" borderId="46" xfId="19" applyFont="true" applyBorder="true" applyAlignment="true" applyProtection="true">
      <alignment horizontal="right" vertical="center" textRotation="0" wrapText="true" indent="0" shrinkToFit="false"/>
      <protection locked="true" hidden="false"/>
    </xf>
    <xf numFmtId="171" fontId="27" fillId="2" borderId="46" xfId="19" applyFont="true" applyBorder="true" applyAlignment="true" applyProtection="true">
      <alignment horizontal="center" vertical="center" textRotation="0" wrapText="true" indent="0" shrinkToFit="false"/>
      <protection locked="true" hidden="false"/>
    </xf>
    <xf numFmtId="164" fontId="27" fillId="2" borderId="46" xfId="19" applyFont="true" applyBorder="true" applyAlignment="true" applyProtection="true">
      <alignment horizontal="center" vertical="center" textRotation="0" wrapText="true" indent="0" shrinkToFit="false"/>
      <protection locked="true" hidden="false"/>
    </xf>
    <xf numFmtId="171" fontId="28" fillId="2" borderId="44" xfId="19" applyFont="true" applyBorder="true" applyAlignment="true" applyProtection="true">
      <alignment horizontal="center" vertical="center" textRotation="0" wrapText="true" indent="0" shrinkToFit="false"/>
      <protection locked="true" hidden="false"/>
    </xf>
    <xf numFmtId="171" fontId="28" fillId="3" borderId="44" xfId="19" applyFont="true" applyBorder="true" applyAlignment="true" applyProtection="true">
      <alignment horizontal="center" vertical="center" textRotation="0" wrapText="true" indent="0" shrinkToFit="false"/>
      <protection locked="true" hidden="false"/>
    </xf>
    <xf numFmtId="164" fontId="89" fillId="0" borderId="0" xfId="0" applyFont="true" applyBorder="false" applyAlignment="true" applyProtection="false">
      <alignment horizontal="general" vertical="center" textRotation="0" wrapText="false" indent="0" shrinkToFit="false"/>
      <protection locked="true" hidden="false"/>
    </xf>
    <xf numFmtId="164" fontId="90" fillId="0" borderId="0" xfId="0" applyFont="true" applyBorder="false" applyAlignment="true" applyProtection="false">
      <alignment horizontal="general" vertical="center" textRotation="0" wrapText="false" indent="0" shrinkToFit="false"/>
      <protection locked="true" hidden="false"/>
    </xf>
    <xf numFmtId="164" fontId="28" fillId="2" borderId="46" xfId="19" applyFont="true" applyBorder="true" applyAlignment="true" applyProtection="true">
      <alignment horizontal="center" vertical="center" textRotation="0" wrapText="true" indent="0" shrinkToFit="false"/>
      <protection locked="true" hidden="false"/>
    </xf>
    <xf numFmtId="164" fontId="111" fillId="0" borderId="0" xfId="0" applyFont="true" applyBorder="true" applyAlignment="true" applyProtection="false">
      <alignment horizontal="center" vertical="center" textRotation="0" wrapText="false" indent="0" shrinkToFit="false"/>
      <protection locked="true" hidden="false"/>
    </xf>
    <xf numFmtId="164" fontId="111" fillId="0" borderId="0" xfId="0" applyFont="true" applyBorder="false" applyAlignment="true" applyProtection="false">
      <alignment horizontal="center" vertical="center" textRotation="0" wrapText="false" indent="0" shrinkToFit="false"/>
      <protection locked="true" hidden="false"/>
    </xf>
    <xf numFmtId="164" fontId="133" fillId="0" borderId="26" xfId="0" applyFont="true" applyBorder="true" applyAlignment="true" applyProtection="false">
      <alignment horizontal="center" vertical="center" textRotation="0" wrapText="false" indent="0" shrinkToFit="false"/>
      <protection locked="true" hidden="false"/>
    </xf>
    <xf numFmtId="164" fontId="133" fillId="0" borderId="0" xfId="0" applyFont="true" applyBorder="false" applyAlignment="true" applyProtection="false">
      <alignment horizontal="center" vertical="center" textRotation="0" wrapText="false" indent="0" shrinkToFit="false"/>
      <protection locked="true" hidden="false"/>
    </xf>
    <xf numFmtId="172" fontId="28" fillId="2" borderId="9" xfId="15" applyFont="true" applyBorder="true" applyAlignment="true" applyProtection="true">
      <alignment horizontal="center" vertical="center" textRotation="0" wrapText="true" indent="0" shrinkToFit="false"/>
      <protection locked="true" hidden="false"/>
    </xf>
    <xf numFmtId="164" fontId="28" fillId="2" borderId="15" xfId="19" applyFont="true" applyBorder="true" applyAlignment="true" applyProtection="true">
      <alignment horizontal="center" vertical="center" textRotation="0" wrapText="true" indent="0" shrinkToFit="false"/>
      <protection locked="true" hidden="false"/>
    </xf>
    <xf numFmtId="172" fontId="28" fillId="2" borderId="20" xfId="15" applyFont="true" applyBorder="true" applyAlignment="true" applyProtection="true">
      <alignment horizontal="center" vertical="center" textRotation="0" wrapText="true" indent="0" shrinkToFit="false"/>
      <protection locked="true" hidden="false"/>
    </xf>
    <xf numFmtId="171" fontId="28" fillId="2" borderId="15" xfId="19" applyFont="true" applyBorder="true" applyAlignment="true" applyProtection="true">
      <alignment horizontal="center" vertical="center" textRotation="0" wrapText="true" indent="0" shrinkToFit="false"/>
      <protection locked="true" hidden="false"/>
    </xf>
    <xf numFmtId="164" fontId="134" fillId="0" borderId="0" xfId="0" applyFont="true" applyBorder="false" applyAlignment="true" applyProtection="false">
      <alignment horizontal="left" vertical="center" textRotation="0" wrapText="false" indent="1" shrinkToFit="false"/>
      <protection locked="true" hidden="false"/>
    </xf>
    <xf numFmtId="164" fontId="87" fillId="0" borderId="0" xfId="0" applyFont="true" applyBorder="false" applyAlignment="true" applyProtection="false">
      <alignment horizontal="general" vertical="center" textRotation="0" wrapText="false" indent="0" shrinkToFit="false"/>
      <protection locked="true" hidden="false"/>
    </xf>
    <xf numFmtId="164" fontId="27" fillId="2" borderId="15" xfId="15" applyFont="true" applyBorder="true" applyAlignment="true" applyProtection="true">
      <alignment horizontal="right" vertical="center" textRotation="0" wrapText="true" indent="0" shrinkToFit="false"/>
      <protection locked="true" hidden="false"/>
    </xf>
    <xf numFmtId="174" fontId="28" fillId="2" borderId="15" xfId="19" applyFont="true" applyBorder="true" applyAlignment="true" applyProtection="true">
      <alignment horizontal="center" vertical="center" textRotation="0" wrapText="true" indent="0" shrinkToFit="false"/>
      <protection locked="true" hidden="false"/>
    </xf>
    <xf numFmtId="174" fontId="28" fillId="2" borderId="15" xfId="19" applyFont="true" applyBorder="true" applyAlignment="true" applyProtection="true">
      <alignment horizontal="right" vertical="center" textRotation="0" wrapText="true" indent="0" shrinkToFit="false"/>
      <protection locked="true" hidden="false"/>
    </xf>
    <xf numFmtId="164" fontId="27" fillId="0" borderId="0" xfId="0" applyFont="true" applyBorder="false" applyAlignment="true" applyProtection="false">
      <alignment horizontal="left" vertical="center" textRotation="0" wrapText="false" indent="1"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4" fontId="27" fillId="2" borderId="0" xfId="0" applyFont="true" applyBorder="false" applyAlignment="false" applyProtection="false">
      <alignment horizontal="general" vertical="bottom" textRotation="0" wrapText="false" indent="0" shrinkToFit="false"/>
      <protection locked="true" hidden="false"/>
    </xf>
    <xf numFmtId="164" fontId="136" fillId="0" borderId="0" xfId="0" applyFont="true" applyBorder="true" applyAlignment="true" applyProtection="false">
      <alignment horizontal="center" vertical="center" textRotation="0" wrapText="false" indent="0" shrinkToFit="false"/>
      <protection locked="true" hidden="false"/>
    </xf>
    <xf numFmtId="164" fontId="138" fillId="0" borderId="0" xfId="0" applyFont="true" applyBorder="true" applyAlignment="true" applyProtection="false">
      <alignment horizontal="center" vertical="center" textRotation="0" wrapText="false" indent="0" shrinkToFit="false"/>
      <protection locked="true" hidden="false"/>
    </xf>
    <xf numFmtId="164" fontId="39" fillId="0" borderId="0" xfId="0" applyFont="true" applyBorder="true" applyAlignment="true" applyProtection="false">
      <alignment horizontal="general" vertical="center" textRotation="0" wrapText="true" indent="0" shrinkToFit="false"/>
      <protection locked="true" hidden="false"/>
    </xf>
    <xf numFmtId="164" fontId="44" fillId="13" borderId="103" xfId="0" applyFont="true" applyBorder="true" applyAlignment="true" applyProtection="false">
      <alignment horizontal="general" vertical="center" textRotation="0" wrapText="true" indent="0" shrinkToFit="false"/>
      <protection locked="true" hidden="false"/>
    </xf>
    <xf numFmtId="164" fontId="44" fillId="13" borderId="112" xfId="0" applyFont="true" applyBorder="true" applyAlignment="true" applyProtection="false">
      <alignment horizontal="center" vertical="center" textRotation="0" wrapText="true" indent="0" shrinkToFit="false"/>
      <protection locked="true" hidden="false"/>
    </xf>
    <xf numFmtId="164" fontId="44" fillId="13" borderId="112" xfId="0" applyFont="true" applyBorder="true" applyAlignment="true" applyProtection="false">
      <alignment horizontal="general" vertical="center" textRotation="0" wrapText="true" indent="0" shrinkToFit="false"/>
      <protection locked="true" hidden="false"/>
    </xf>
    <xf numFmtId="164" fontId="44" fillId="13" borderId="113" xfId="0" applyFont="true" applyBorder="true" applyAlignment="true" applyProtection="false">
      <alignment horizontal="center" vertical="center" textRotation="0" wrapText="true" indent="0" shrinkToFit="false"/>
      <protection locked="true" hidden="false"/>
    </xf>
    <xf numFmtId="164" fontId="44" fillId="13" borderId="101" xfId="0" applyFont="true" applyBorder="true" applyAlignment="true" applyProtection="false">
      <alignment horizontal="general" vertical="center" textRotation="0" wrapText="true" indent="0" shrinkToFit="false"/>
      <protection locked="true" hidden="false"/>
    </xf>
    <xf numFmtId="164" fontId="44" fillId="13" borderId="115" xfId="0" applyFont="true" applyBorder="true" applyAlignment="true" applyProtection="false">
      <alignment horizontal="general" vertical="center" textRotation="0" wrapText="true" indent="0" shrinkToFit="false"/>
      <protection locked="true" hidden="false"/>
    </xf>
    <xf numFmtId="164" fontId="39" fillId="0" borderId="0" xfId="0" applyFont="true" applyBorder="false" applyAlignment="true" applyProtection="false">
      <alignment horizontal="general" vertical="center" textRotation="0" wrapText="true" indent="0" shrinkToFit="false"/>
      <protection locked="true" hidden="false"/>
    </xf>
    <xf numFmtId="164" fontId="44" fillId="13" borderId="49" xfId="0" applyFont="true" applyBorder="true" applyAlignment="true" applyProtection="false">
      <alignment horizontal="general" vertical="center" textRotation="0" wrapText="true" indent="0" shrinkToFit="false"/>
      <protection locked="true" hidden="false"/>
    </xf>
    <xf numFmtId="164" fontId="44" fillId="13" borderId="22" xfId="0" applyFont="true" applyBorder="true" applyAlignment="true" applyProtection="false">
      <alignment horizontal="center" vertical="center" textRotation="0" wrapText="true" indent="0" shrinkToFit="false"/>
      <protection locked="true" hidden="false"/>
    </xf>
    <xf numFmtId="164" fontId="44" fillId="13" borderId="20" xfId="0" applyFont="true" applyBorder="true" applyAlignment="true" applyProtection="false">
      <alignment horizontal="center" vertical="center" textRotation="0" wrapText="true" indent="0" shrinkToFit="false"/>
      <protection locked="true" hidden="false"/>
    </xf>
    <xf numFmtId="164" fontId="44" fillId="13" borderId="46" xfId="0" applyFont="true" applyBorder="true" applyAlignment="true" applyProtection="false">
      <alignment horizontal="center" vertical="center" textRotation="0" wrapText="true" indent="0" shrinkToFit="false"/>
      <protection locked="true" hidden="false"/>
    </xf>
    <xf numFmtId="164" fontId="39" fillId="0" borderId="26" xfId="0" applyFont="true" applyBorder="true" applyAlignment="true" applyProtection="false">
      <alignment horizontal="general" vertical="center" textRotation="0" wrapText="true" indent="0" shrinkToFit="false"/>
      <protection locked="true" hidden="false"/>
    </xf>
    <xf numFmtId="164" fontId="44" fillId="13" borderId="33" xfId="0" applyFont="true" applyBorder="true" applyAlignment="true" applyProtection="false">
      <alignment horizontal="general" vertical="center" textRotation="0" wrapText="true" indent="0" shrinkToFit="false"/>
      <protection locked="true" hidden="false"/>
    </xf>
    <xf numFmtId="164" fontId="46" fillId="3" borderId="25" xfId="0" applyFont="true" applyBorder="true" applyAlignment="true" applyProtection="false">
      <alignment horizontal="general" vertical="center" textRotation="0" wrapText="true" indent="0" shrinkToFit="false"/>
      <protection locked="true" hidden="false"/>
    </xf>
    <xf numFmtId="164" fontId="39" fillId="2" borderId="20" xfId="0" applyFont="true" applyBorder="true" applyAlignment="true" applyProtection="false">
      <alignment horizontal="general" vertical="center" textRotation="0" wrapText="true" indent="0" shrinkToFit="false"/>
      <protection locked="true" hidden="false"/>
    </xf>
    <xf numFmtId="172" fontId="39" fillId="2" borderId="20" xfId="15" applyFont="true" applyBorder="true" applyAlignment="true" applyProtection="true">
      <alignment horizontal="right" vertical="center" textRotation="0" wrapText="true" indent="0" shrinkToFit="false"/>
      <protection locked="true" hidden="false"/>
    </xf>
    <xf numFmtId="172" fontId="39" fillId="2" borderId="46" xfId="15" applyFont="true" applyBorder="true" applyAlignment="true" applyProtection="true">
      <alignment horizontal="right" vertical="center" textRotation="0" wrapText="true" indent="0" shrinkToFit="false"/>
      <protection locked="true" hidden="false"/>
    </xf>
    <xf numFmtId="164" fontId="46" fillId="3" borderId="4" xfId="0" applyFont="true" applyBorder="true" applyAlignment="true" applyProtection="false">
      <alignment horizontal="general" vertical="center" textRotation="0" wrapText="true" indent="0" shrinkToFit="false"/>
      <protection locked="true" hidden="false"/>
    </xf>
    <xf numFmtId="164" fontId="39" fillId="2" borderId="23" xfId="0" applyFont="true" applyBorder="true" applyAlignment="true" applyProtection="false">
      <alignment horizontal="general" vertical="center" textRotation="0" wrapText="true" indent="0" shrinkToFit="false"/>
      <protection locked="true" hidden="false"/>
    </xf>
    <xf numFmtId="172" fontId="39" fillId="2" borderId="23" xfId="15" applyFont="true" applyBorder="true" applyAlignment="true" applyProtection="true">
      <alignment horizontal="right" vertical="center" textRotation="0" wrapText="true" indent="0" shrinkToFit="false"/>
      <protection locked="true" hidden="false"/>
    </xf>
    <xf numFmtId="164" fontId="46" fillId="3" borderId="41" xfId="0" applyFont="true" applyBorder="true" applyAlignment="true" applyProtection="false">
      <alignment horizontal="general" vertical="center" textRotation="0" wrapText="true" indent="0" shrinkToFit="false"/>
      <protection locked="true" hidden="false"/>
    </xf>
    <xf numFmtId="164" fontId="46" fillId="0" borderId="88" xfId="0" applyFont="true" applyBorder="true" applyAlignment="true" applyProtection="false">
      <alignment horizontal="general" vertical="center" textRotation="0" wrapText="true" indent="0" shrinkToFit="false"/>
      <protection locked="true" hidden="false"/>
    </xf>
    <xf numFmtId="175" fontId="46" fillId="0" borderId="43" xfId="0" applyFont="true" applyBorder="true" applyAlignment="true" applyProtection="false">
      <alignment horizontal="general" vertical="center" textRotation="0" wrapText="true" indent="0" shrinkToFit="false"/>
      <protection locked="true" hidden="false"/>
    </xf>
    <xf numFmtId="172" fontId="46" fillId="0" borderId="43" xfId="15" applyFont="true" applyBorder="true" applyAlignment="true" applyProtection="true">
      <alignment horizontal="right" vertical="center" textRotation="0" wrapText="true" indent="0" shrinkToFit="false"/>
      <protection locked="true" hidden="false"/>
    </xf>
    <xf numFmtId="164" fontId="39" fillId="2" borderId="9" xfId="0" applyFont="true" applyBorder="true" applyAlignment="true" applyProtection="false">
      <alignment horizontal="general" vertical="center" textRotation="0" wrapText="true" indent="0" shrinkToFit="false"/>
      <protection locked="true" hidden="false"/>
    </xf>
    <xf numFmtId="172" fontId="39" fillId="2" borderId="9" xfId="15" applyFont="true" applyBorder="true" applyAlignment="true" applyProtection="true">
      <alignment horizontal="right" vertical="center" textRotation="0" wrapText="true" indent="0" shrinkToFit="false"/>
      <protection locked="true" hidden="false"/>
    </xf>
    <xf numFmtId="172" fontId="39" fillId="2" borderId="15" xfId="15" applyFont="true" applyBorder="true" applyAlignment="true" applyProtection="true">
      <alignment horizontal="right" vertical="center" textRotation="0" wrapText="true" indent="0" shrinkToFit="false"/>
      <protection locked="true" hidden="false"/>
    </xf>
    <xf numFmtId="175" fontId="46" fillId="2" borderId="20" xfId="0" applyFont="true" applyBorder="true" applyAlignment="true" applyProtection="false">
      <alignment horizontal="general" vertical="center" textRotation="0" wrapText="true" indent="0" shrinkToFit="false"/>
      <protection locked="true" hidden="false"/>
    </xf>
    <xf numFmtId="172" fontId="46" fillId="2" borderId="20" xfId="15" applyFont="true" applyBorder="true" applyAlignment="true" applyProtection="true">
      <alignment horizontal="right" vertical="center" textRotation="0" wrapText="true" indent="0" shrinkToFit="false"/>
      <protection locked="true" hidden="false"/>
    </xf>
    <xf numFmtId="164" fontId="39" fillId="0" borderId="99" xfId="0" applyFont="true" applyBorder="true" applyAlignment="true" applyProtection="false">
      <alignment horizontal="general" vertical="center" textRotation="0" wrapText="true" indent="0" shrinkToFit="false"/>
      <protection locked="true" hidden="false"/>
    </xf>
    <xf numFmtId="164" fontId="139" fillId="2" borderId="20" xfId="15" applyFont="true" applyBorder="true" applyAlignment="true" applyProtection="true">
      <alignment horizontal="center" vertical="center" textRotation="0" wrapText="false" indent="0" shrinkToFit="false"/>
      <protection locked="true" hidden="false"/>
    </xf>
    <xf numFmtId="172" fontId="39" fillId="2" borderId="85" xfId="15" applyFont="true" applyBorder="true" applyAlignment="true" applyProtection="true">
      <alignment horizontal="right" vertical="center" textRotation="0" wrapText="true" indent="0" shrinkToFit="false"/>
      <protection locked="true" hidden="false"/>
    </xf>
    <xf numFmtId="172" fontId="39" fillId="2" borderId="100" xfId="15" applyFont="true" applyBorder="true" applyAlignment="true" applyProtection="true">
      <alignment horizontal="right" vertical="center" textRotation="0" wrapText="true" indent="0" shrinkToFit="false"/>
      <protection locked="true" hidden="false"/>
    </xf>
    <xf numFmtId="164" fontId="39" fillId="0" borderId="5" xfId="0" applyFont="true" applyBorder="true" applyAlignment="true" applyProtection="false">
      <alignment horizontal="general" vertical="center" textRotation="0" wrapText="true" indent="0" shrinkToFit="false"/>
      <protection locked="true" hidden="false"/>
    </xf>
    <xf numFmtId="164" fontId="39" fillId="0" borderId="32" xfId="0" applyFont="true" applyBorder="true" applyAlignment="true" applyProtection="false">
      <alignment horizontal="center" vertical="center" textRotation="0" wrapText="true" indent="0" shrinkToFit="false"/>
      <protection locked="true" hidden="false"/>
    </xf>
    <xf numFmtId="164" fontId="46" fillId="0" borderId="0" xfId="0" applyFont="true" applyBorder="false" applyAlignment="true" applyProtection="false">
      <alignment horizontal="general" vertical="center" textRotation="0" wrapText="true" indent="0" shrinkToFit="false"/>
      <protection locked="true" hidden="false"/>
    </xf>
    <xf numFmtId="172" fontId="39" fillId="0" borderId="0" xfId="15" applyFont="true" applyBorder="true" applyAlignment="true" applyProtection="true">
      <alignment horizontal="general" vertical="center" textRotation="0" wrapText="true" indent="0" shrinkToFit="false"/>
      <protection locked="true" hidden="false"/>
    </xf>
    <xf numFmtId="172" fontId="39" fillId="0" borderId="0" xfId="0" applyFont="true" applyBorder="false" applyAlignment="true" applyProtection="false">
      <alignment horizontal="general" vertical="center" textRotation="0" wrapText="true" indent="0" shrinkToFit="false"/>
      <protection locked="true" hidden="false"/>
    </xf>
    <xf numFmtId="164" fontId="46" fillId="3" borderId="111" xfId="0" applyFont="true" applyBorder="true" applyAlignment="true" applyProtection="false">
      <alignment horizontal="general" vertical="center" textRotation="0" wrapText="true" indent="0" shrinkToFit="false"/>
      <protection locked="true" hidden="false"/>
    </xf>
    <xf numFmtId="164" fontId="39" fillId="0" borderId="112" xfId="0" applyFont="true" applyBorder="true" applyAlignment="true" applyProtection="false">
      <alignment horizontal="general" vertical="center" textRotation="0" wrapText="true" indent="0" shrinkToFit="false"/>
      <protection locked="true" hidden="false"/>
    </xf>
    <xf numFmtId="164" fontId="39" fillId="2" borderId="112" xfId="0" applyFont="true" applyBorder="true" applyAlignment="true" applyProtection="false">
      <alignment horizontal="general" vertical="center" textRotation="0" wrapText="true" indent="0" shrinkToFit="false"/>
      <protection locked="true" hidden="false"/>
    </xf>
    <xf numFmtId="172" fontId="39" fillId="2" borderId="112" xfId="15" applyFont="true" applyBorder="true" applyAlignment="true" applyProtection="true">
      <alignment horizontal="right" vertical="center" textRotation="0" wrapText="true" indent="0" shrinkToFit="false"/>
      <protection locked="true" hidden="false"/>
    </xf>
    <xf numFmtId="172" fontId="39" fillId="2" borderId="113" xfId="15" applyFont="true" applyBorder="true" applyAlignment="true" applyProtection="true">
      <alignment horizontal="right" vertical="center" textRotation="0" wrapText="true" indent="0" shrinkToFit="false"/>
      <protection locked="true" hidden="false"/>
    </xf>
    <xf numFmtId="164" fontId="46" fillId="3" borderId="6" xfId="0" applyFont="true" applyBorder="true" applyAlignment="true" applyProtection="false">
      <alignment horizontal="general" vertical="center" textRotation="0" wrapText="true" indent="0" shrinkToFit="false"/>
      <protection locked="true" hidden="false"/>
    </xf>
    <xf numFmtId="164" fontId="39" fillId="0" borderId="20" xfId="0" applyFont="true" applyBorder="true" applyAlignment="true" applyProtection="false">
      <alignment horizontal="general" vertical="center" textRotation="0" wrapText="true" indent="0" shrinkToFit="false"/>
      <protection locked="true" hidden="false"/>
    </xf>
    <xf numFmtId="164" fontId="46" fillId="0" borderId="20" xfId="0" applyFont="true" applyBorder="true" applyAlignment="true" applyProtection="false">
      <alignment horizontal="general" vertical="center" textRotation="0" wrapText="true" indent="0" shrinkToFit="false"/>
      <protection locked="true" hidden="false"/>
    </xf>
    <xf numFmtId="164" fontId="46" fillId="3" borderId="90" xfId="0" applyFont="true" applyBorder="true" applyAlignment="true" applyProtection="false">
      <alignment horizontal="general" vertical="center" textRotation="0" wrapText="true" indent="0" shrinkToFit="false"/>
      <protection locked="true" hidden="false"/>
    </xf>
    <xf numFmtId="164" fontId="39" fillId="0" borderId="23" xfId="0" applyFont="true" applyBorder="true" applyAlignment="true" applyProtection="false">
      <alignment horizontal="general" vertical="center" textRotation="0" wrapText="true" indent="0" shrinkToFit="false"/>
      <protection locked="true" hidden="false"/>
    </xf>
    <xf numFmtId="164" fontId="39" fillId="3" borderId="107" xfId="0" applyFont="true" applyBorder="true" applyAlignment="true" applyProtection="false">
      <alignment horizontal="general" vertical="center" textRotation="0" wrapText="true" indent="0" shrinkToFit="false"/>
      <protection locked="true" hidden="false"/>
    </xf>
    <xf numFmtId="164" fontId="39" fillId="3" borderId="108" xfId="0" applyFont="true" applyBorder="true" applyAlignment="true" applyProtection="false">
      <alignment horizontal="general" vertical="center" textRotation="0" wrapText="true" indent="0" shrinkToFit="false"/>
      <protection locked="true" hidden="false"/>
    </xf>
    <xf numFmtId="164" fontId="46" fillId="3" borderId="88" xfId="0" applyFont="true" applyBorder="true" applyAlignment="true" applyProtection="false">
      <alignment horizontal="general" vertical="center" textRotation="0" wrapText="true" indent="0" shrinkToFit="false"/>
      <protection locked="true" hidden="false"/>
    </xf>
    <xf numFmtId="164" fontId="39" fillId="3" borderId="109" xfId="0" applyFont="true" applyBorder="true" applyAlignment="true" applyProtection="false">
      <alignment horizontal="general" vertical="center" textRotation="0" wrapText="true" indent="0" shrinkToFit="false"/>
      <protection locked="true" hidden="false"/>
    </xf>
    <xf numFmtId="164" fontId="39" fillId="3" borderId="110" xfId="0" applyFont="true" applyBorder="true" applyAlignment="true" applyProtection="false">
      <alignment horizontal="general" vertical="center" textRotation="0" wrapText="true" indent="0" shrinkToFit="false"/>
      <protection locked="true" hidden="false"/>
    </xf>
    <xf numFmtId="164" fontId="140"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141" fillId="0" borderId="0" xfId="0" applyFont="true" applyBorder="false" applyAlignment="true" applyProtection="false">
      <alignment horizontal="left" vertical="center" textRotation="0" wrapText="false" indent="7" shrinkToFit="false"/>
      <protection locked="true" hidden="false"/>
    </xf>
    <xf numFmtId="164" fontId="143" fillId="0" borderId="0" xfId="0" applyFont="true" applyBorder="false" applyAlignment="true" applyProtection="false">
      <alignment horizontal="general" vertical="center" textRotation="0" wrapText="false" indent="0" shrinkToFit="false"/>
      <protection locked="true" hidden="false"/>
    </xf>
    <xf numFmtId="164" fontId="66" fillId="0" borderId="0" xfId="0" applyFont="true" applyBorder="false" applyAlignment="true" applyProtection="false">
      <alignment horizontal="general" vertical="center" textRotation="0" wrapText="false" indent="0" shrinkToFit="false"/>
      <protection locked="true" hidden="false"/>
    </xf>
    <xf numFmtId="164" fontId="82" fillId="0" borderId="0" xfId="0" applyFont="true" applyBorder="false" applyAlignment="true" applyProtection="false">
      <alignment horizontal="left" vertical="center" textRotation="0" wrapText="false" indent="13" shrinkToFit="false"/>
      <protection locked="true" hidden="false"/>
    </xf>
    <xf numFmtId="164" fontId="44" fillId="13" borderId="116" xfId="0" applyFont="true" applyBorder="true" applyAlignment="true" applyProtection="false">
      <alignment horizontal="left" vertical="top" textRotation="0" wrapText="true" indent="0" shrinkToFit="false"/>
      <protection locked="true" hidden="false"/>
    </xf>
    <xf numFmtId="164" fontId="44" fillId="13" borderId="32" xfId="0" applyFont="true" applyBorder="true" applyAlignment="true" applyProtection="false">
      <alignment horizontal="center" vertical="center" textRotation="0" wrapText="true" indent="0" shrinkToFit="false"/>
      <protection locked="true" hidden="false"/>
    </xf>
    <xf numFmtId="164" fontId="44" fillId="13" borderId="30" xfId="0" applyFont="true" applyBorder="true" applyAlignment="true" applyProtection="false">
      <alignment horizontal="center" vertical="center" textRotation="0" wrapText="true" indent="0" shrinkToFit="false"/>
      <protection locked="true" hidden="false"/>
    </xf>
    <xf numFmtId="164" fontId="44" fillId="13" borderId="27" xfId="0" applyFont="true" applyBorder="true" applyAlignment="true" applyProtection="false">
      <alignment horizontal="center" vertical="center" textRotation="0" wrapText="true" indent="0" shrinkToFit="false"/>
      <protection locked="true" hidden="false"/>
    </xf>
    <xf numFmtId="164" fontId="27" fillId="0" borderId="30" xfId="0" applyFont="true" applyBorder="true" applyAlignment="true" applyProtection="false">
      <alignment horizontal="general" vertical="center" textRotation="0" wrapText="true" indent="0" shrinkToFit="false"/>
      <protection locked="true" hidden="false"/>
    </xf>
    <xf numFmtId="172" fontId="27" fillId="2" borderId="91" xfId="15" applyFont="true" applyBorder="true" applyAlignment="true" applyProtection="true">
      <alignment horizontal="right" vertical="center" textRotation="0" wrapText="true" indent="0" shrinkToFit="false"/>
      <protection locked="true" hidden="false"/>
    </xf>
    <xf numFmtId="172" fontId="28" fillId="3" borderId="30" xfId="15" applyFont="true" applyBorder="true" applyAlignment="true" applyProtection="true">
      <alignment horizontal="right" vertical="center" textRotation="0" wrapText="true" indent="0" shrinkToFit="false"/>
      <protection locked="true" hidden="false"/>
    </xf>
    <xf numFmtId="172" fontId="27" fillId="2" borderId="30" xfId="15" applyFont="true" applyBorder="true" applyAlignment="true" applyProtection="true">
      <alignment horizontal="right" vertical="center" textRotation="0" wrapText="true" indent="0" shrinkToFit="false"/>
      <protection locked="true" hidden="false"/>
    </xf>
    <xf numFmtId="172" fontId="27" fillId="2" borderId="30" xfId="15" applyFont="true" applyBorder="true" applyAlignment="true" applyProtection="true">
      <alignment horizontal="general" vertical="center" textRotation="0" wrapText="true" indent="0" shrinkToFit="false"/>
      <protection locked="true" hidden="false"/>
    </xf>
    <xf numFmtId="172" fontId="28" fillId="0" borderId="27" xfId="15" applyFont="true" applyBorder="true" applyAlignment="true" applyProtection="true">
      <alignment horizontal="right" vertical="center" textRotation="0" wrapText="true" indent="0" shrinkToFit="false"/>
      <protection locked="true" hidden="false"/>
    </xf>
    <xf numFmtId="172" fontId="28" fillId="0" borderId="30" xfId="15" applyFont="true" applyBorder="true" applyAlignment="true" applyProtection="true">
      <alignment horizontal="right" vertical="center" textRotation="0" wrapText="true" indent="0" shrinkToFit="false"/>
      <protection locked="true" hidden="false"/>
    </xf>
    <xf numFmtId="164" fontId="38" fillId="11" borderId="50" xfId="0" applyFont="true" applyBorder="true" applyAlignment="true" applyProtection="false">
      <alignment horizontal="general" vertical="center" textRotation="0" wrapText="true" indent="0" shrinkToFit="false"/>
      <protection locked="true" hidden="false"/>
    </xf>
    <xf numFmtId="172" fontId="38" fillId="11" borderId="27" xfId="15" applyFont="true" applyBorder="true" applyAlignment="true" applyProtection="true">
      <alignment horizontal="right" vertical="center" textRotation="0" wrapText="true" indent="0" shrinkToFit="false"/>
      <protection locked="true" hidden="false"/>
    </xf>
    <xf numFmtId="172" fontId="38" fillId="11" borderId="30" xfId="15" applyFont="true" applyBorder="true" applyAlignment="true" applyProtection="true">
      <alignment horizontal="right" vertical="center" textRotation="0" wrapText="true" indent="0" shrinkToFit="false"/>
      <protection locked="true" hidden="false"/>
    </xf>
    <xf numFmtId="164" fontId="144" fillId="0" borderId="0" xfId="0" applyFont="true" applyBorder="false" applyAlignment="true" applyProtection="false">
      <alignment horizontal="center" vertical="center" textRotation="0" wrapText="false" indent="0" shrinkToFit="false"/>
      <protection locked="true" hidden="false"/>
    </xf>
    <xf numFmtId="164" fontId="90" fillId="0" borderId="18" xfId="0" applyFont="true" applyBorder="true" applyAlignment="true" applyProtection="false">
      <alignment horizontal="center" vertical="center" textRotation="0" wrapText="false" indent="0" shrinkToFit="false"/>
      <protection locked="true" hidden="false"/>
    </xf>
    <xf numFmtId="164" fontId="38" fillId="9" borderId="20" xfId="0" applyFont="true" applyBorder="true" applyAlignment="true" applyProtection="false">
      <alignment horizontal="center" vertical="center" textRotation="0" wrapText="true" indent="0" shrinkToFit="false"/>
      <protection locked="true" hidden="false"/>
    </xf>
    <xf numFmtId="171" fontId="28" fillId="2" borderId="20" xfId="19" applyFont="true" applyBorder="true" applyAlignment="true" applyProtection="true">
      <alignment horizontal="center" vertical="center" textRotation="0" wrapText="true" indent="0" shrinkToFit="false"/>
      <protection locked="true" hidden="false"/>
    </xf>
    <xf numFmtId="172" fontId="27" fillId="2" borderId="20" xfId="15" applyFont="true" applyBorder="true" applyAlignment="true" applyProtection="true">
      <alignment horizontal="center" vertical="center" textRotation="0" wrapText="true" indent="0" shrinkToFit="false"/>
      <protection locked="true" hidden="false"/>
    </xf>
    <xf numFmtId="171" fontId="28" fillId="2" borderId="23" xfId="19" applyFont="true" applyBorder="true" applyAlignment="true" applyProtection="true">
      <alignment horizontal="right" vertical="center" textRotation="0" wrapText="true" indent="0" shrinkToFit="false"/>
      <protection locked="true" hidden="false"/>
    </xf>
    <xf numFmtId="164" fontId="27" fillId="0" borderId="24" xfId="0" applyFont="true" applyBorder="true" applyAlignment="true" applyProtection="false">
      <alignment horizontal="general" vertical="center" textRotation="0" wrapText="true" indent="0" shrinkToFit="false"/>
      <protection locked="true" hidden="false"/>
    </xf>
    <xf numFmtId="172" fontId="27" fillId="0" borderId="24" xfId="15" applyFont="true" applyBorder="true" applyAlignment="true" applyProtection="true">
      <alignment horizontal="general" vertical="center" textRotation="0" wrapText="true" indent="0" shrinkToFit="false"/>
      <protection locked="true" hidden="false"/>
    </xf>
    <xf numFmtId="164" fontId="68" fillId="0" borderId="0" xfId="0" applyFont="true" applyBorder="false" applyAlignment="true" applyProtection="false">
      <alignment horizontal="left" vertical="center" textRotation="0" wrapText="false" indent="4" shrinkToFit="false"/>
      <protection locked="true" hidden="false"/>
    </xf>
    <xf numFmtId="164" fontId="27" fillId="2" borderId="15" xfId="0" applyFont="true" applyBorder="true" applyAlignment="true" applyProtection="false">
      <alignment horizontal="center" vertical="center" textRotation="0" wrapText="true" indent="0" shrinkToFit="false"/>
      <protection locked="true" hidden="false"/>
    </xf>
    <xf numFmtId="164" fontId="27" fillId="2" borderId="47" xfId="0" applyFont="true" applyBorder="true" applyAlignment="true" applyProtection="false">
      <alignment horizontal="general" vertical="center" textRotation="0" wrapText="true" indent="0" shrinkToFit="false"/>
      <protection locked="true" hidden="false"/>
    </xf>
    <xf numFmtId="164" fontId="27" fillId="0" borderId="102" xfId="0" applyFont="true" applyBorder="true" applyAlignment="true" applyProtection="false">
      <alignment horizontal="general" vertical="center" textRotation="0" wrapText="true" indent="0" shrinkToFit="false"/>
      <protection locked="true" hidden="false"/>
    </xf>
    <xf numFmtId="164" fontId="104" fillId="0" borderId="0" xfId="0" applyFont="true" applyBorder="false" applyAlignment="true" applyProtection="false">
      <alignment horizontal="center" vertical="center" textRotation="0" wrapText="false" indent="0" shrinkToFit="false"/>
      <protection locked="true" hidden="false"/>
    </xf>
    <xf numFmtId="164" fontId="138" fillId="0" borderId="26" xfId="0" applyFont="true" applyBorder="true" applyAlignment="true" applyProtection="false">
      <alignment horizontal="center" vertical="center" textRotation="0" wrapText="true" indent="0" shrinkToFit="false"/>
      <protection locked="true" hidden="false"/>
    </xf>
    <xf numFmtId="164" fontId="138" fillId="0" borderId="0" xfId="0" applyFont="true" applyBorder="false" applyAlignment="true" applyProtection="false">
      <alignment horizontal="center" vertical="center" textRotation="0" wrapText="false" indent="0" shrinkToFit="false"/>
      <protection locked="true" hidden="false"/>
    </xf>
    <xf numFmtId="164" fontId="36" fillId="13" borderId="117" xfId="0" applyFont="true" applyBorder="true" applyAlignment="true" applyProtection="false">
      <alignment horizontal="center" vertical="center" textRotation="0" wrapText="true" indent="0" shrinkToFit="false"/>
      <protection locked="true" hidden="false"/>
    </xf>
    <xf numFmtId="164" fontId="36" fillId="13" borderId="43" xfId="0" applyFont="true" applyBorder="true" applyAlignment="true" applyProtection="false">
      <alignment horizontal="center" vertical="center" textRotation="0" wrapText="true" indent="0" shrinkToFit="false"/>
      <protection locked="true" hidden="false"/>
    </xf>
    <xf numFmtId="164" fontId="36" fillId="13" borderId="44"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72" fontId="24" fillId="3" borderId="43" xfId="0" applyFont="true" applyBorder="true" applyAlignment="true" applyProtection="false">
      <alignment horizontal="general" vertical="center" textRotation="0" wrapText="true" indent="0" shrinkToFit="false"/>
      <protection locked="true" hidden="false"/>
    </xf>
    <xf numFmtId="172" fontId="24" fillId="3" borderId="44" xfId="0" applyFont="true" applyBorder="true" applyAlignment="true" applyProtection="false">
      <alignment horizontal="general" vertical="center" textRotation="0" wrapText="true" indent="0" shrinkToFit="false"/>
      <protection locked="true" hidden="false"/>
    </xf>
    <xf numFmtId="172" fontId="26" fillId="2" borderId="9" xfId="15" applyFont="true" applyBorder="true" applyAlignment="true" applyProtection="true">
      <alignment horizontal="general" vertical="center" textRotation="0" wrapText="true" indent="0" shrinkToFit="false"/>
      <protection locked="true" hidden="false"/>
    </xf>
    <xf numFmtId="172" fontId="26" fillId="2" borderId="20" xfId="15" applyFont="true" applyBorder="true" applyAlignment="true" applyProtection="true">
      <alignment horizontal="right" vertical="center" textRotation="0" wrapText="true" indent="0" shrinkToFit="false"/>
      <protection locked="true" hidden="false"/>
    </xf>
    <xf numFmtId="172" fontId="26" fillId="2" borderId="46" xfId="15" applyFont="true" applyBorder="true" applyAlignment="true" applyProtection="true">
      <alignment horizontal="right" vertical="center" textRotation="0" wrapText="true" indent="0" shrinkToFit="false"/>
      <protection locked="true" hidden="false"/>
    </xf>
    <xf numFmtId="164" fontId="140" fillId="0" borderId="6" xfId="0" applyFont="true" applyBorder="true" applyAlignment="true" applyProtection="false">
      <alignment horizontal="left" vertical="center" textRotation="0" wrapText="true" indent="7" shrinkToFit="false"/>
      <protection locked="true" hidden="false"/>
    </xf>
    <xf numFmtId="172" fontId="26" fillId="0" borderId="20" xfId="15" applyFont="true" applyBorder="true" applyAlignment="true" applyProtection="true">
      <alignment horizontal="right" vertical="center" textRotation="0" wrapText="true" indent="0" shrinkToFit="false"/>
      <protection locked="true" hidden="false"/>
    </xf>
    <xf numFmtId="172" fontId="26" fillId="0" borderId="46" xfId="15" applyFont="true" applyBorder="true" applyAlignment="true" applyProtection="true">
      <alignment horizontal="right" vertical="center" textRotation="0" wrapText="true" indent="0" shrinkToFit="false"/>
      <protection locked="true" hidden="false"/>
    </xf>
    <xf numFmtId="164" fontId="140" fillId="0" borderId="90" xfId="0" applyFont="true" applyBorder="true" applyAlignment="true" applyProtection="false">
      <alignment horizontal="left" vertical="center" textRotation="0" wrapText="true" indent="7" shrinkToFit="false"/>
      <protection locked="true" hidden="false"/>
    </xf>
    <xf numFmtId="172" fontId="26" fillId="0" borderId="23" xfId="15" applyFont="true" applyBorder="true" applyAlignment="true" applyProtection="true">
      <alignment horizontal="right" vertical="center" textRotation="0" wrapText="true" indent="0" shrinkToFit="false"/>
      <protection locked="true" hidden="false"/>
    </xf>
    <xf numFmtId="172" fontId="26" fillId="0" borderId="47" xfId="15" applyFont="true" applyBorder="true" applyAlignment="true" applyProtection="true">
      <alignment horizontal="right" vertical="center" textRotation="0" wrapText="true" indent="0" shrinkToFit="false"/>
      <protection locked="true" hidden="false"/>
    </xf>
    <xf numFmtId="172" fontId="24" fillId="3" borderId="43" xfId="15" applyFont="true" applyBorder="true" applyAlignment="true" applyProtection="true">
      <alignment horizontal="right" vertical="center" textRotation="0" wrapText="true" indent="0" shrinkToFit="false"/>
      <protection locked="true" hidden="false"/>
    </xf>
    <xf numFmtId="172" fontId="24" fillId="3" borderId="44" xfId="15" applyFont="true" applyBorder="true" applyAlignment="true" applyProtection="true">
      <alignment horizontal="right" vertical="center" textRotation="0" wrapText="true" indent="0" shrinkToFit="false"/>
      <protection locked="true" hidden="false"/>
    </xf>
    <xf numFmtId="172" fontId="26" fillId="2" borderId="9" xfId="15" applyFont="true" applyBorder="true" applyAlignment="true" applyProtection="true">
      <alignment horizontal="right" vertical="center" textRotation="0" wrapText="true" indent="0" shrinkToFit="false"/>
      <protection locked="true" hidden="false"/>
    </xf>
    <xf numFmtId="172" fontId="26" fillId="2" borderId="15" xfId="15" applyFont="true" applyBorder="true" applyAlignment="true" applyProtection="true">
      <alignment horizontal="right" vertical="center" textRotation="0" wrapText="true" indent="0" shrinkToFit="false"/>
      <protection locked="true" hidden="false"/>
    </xf>
    <xf numFmtId="172" fontId="26" fillId="2" borderId="23" xfId="15" applyFont="true" applyBorder="true" applyAlignment="true" applyProtection="true">
      <alignment horizontal="right" vertical="center" textRotation="0" wrapText="true" indent="0" shrinkToFit="false"/>
      <protection locked="true" hidden="false"/>
    </xf>
    <xf numFmtId="172" fontId="26" fillId="2" borderId="47" xfId="15" applyFont="true" applyBorder="true" applyAlignment="true" applyProtection="true">
      <alignment horizontal="right" vertical="center" textRotation="0" wrapText="true" indent="0" shrinkToFit="false"/>
      <protection locked="true" hidden="false"/>
    </xf>
    <xf numFmtId="172" fontId="26" fillId="3" borderId="43" xfId="15" applyFont="true" applyBorder="true" applyAlignment="true" applyProtection="true">
      <alignment horizontal="right" vertical="center" textRotation="0" wrapText="true" indent="0" shrinkToFit="false"/>
      <protection locked="true" hidden="false"/>
    </xf>
    <xf numFmtId="172" fontId="26" fillId="3" borderId="44" xfId="15" applyFont="true" applyBorder="true" applyAlignment="true" applyProtection="true">
      <alignment horizontal="right" vertical="center" textRotation="0" wrapText="true" indent="0" shrinkToFit="false"/>
      <protection locked="true" hidden="false"/>
    </xf>
    <xf numFmtId="164" fontId="26" fillId="0" borderId="99" xfId="0" applyFont="true" applyBorder="true" applyAlignment="true" applyProtection="false">
      <alignment horizontal="general" vertical="center" textRotation="0" wrapText="true" indent="0" shrinkToFit="false"/>
      <protection locked="true" hidden="false"/>
    </xf>
    <xf numFmtId="172" fontId="26" fillId="2" borderId="85" xfId="15" applyFont="true" applyBorder="true" applyAlignment="true" applyProtection="true">
      <alignment horizontal="right" vertical="center" textRotation="0" wrapText="true" indent="0" shrinkToFit="false"/>
      <protection locked="true" hidden="false"/>
    </xf>
    <xf numFmtId="172" fontId="26" fillId="2" borderId="100" xfId="15" applyFont="true" applyBorder="true" applyAlignment="true" applyProtection="true">
      <alignment horizontal="right" vertical="center" textRotation="0" wrapText="true" indent="0" shrinkToFit="false"/>
      <protection locked="true" hidden="false"/>
    </xf>
    <xf numFmtId="164" fontId="81" fillId="0" borderId="48" xfId="0" applyFont="true" applyBorder="true" applyAlignment="true" applyProtection="false">
      <alignment horizontal="center" vertical="center" textRotation="0" wrapText="false" indent="0" shrinkToFit="false"/>
      <protection locked="true" hidden="false"/>
    </xf>
    <xf numFmtId="164" fontId="39" fillId="0" borderId="111" xfId="0" applyFont="true" applyBorder="true" applyAlignment="true" applyProtection="false">
      <alignment horizontal="general" vertical="center" textRotation="0" wrapText="true" indent="0" shrinkToFit="false"/>
      <protection locked="true" hidden="false"/>
    </xf>
    <xf numFmtId="164" fontId="39" fillId="0" borderId="113" xfId="0" applyFont="true" applyBorder="true" applyAlignment="true" applyProtection="false">
      <alignment horizontal="general" vertical="center" textRotation="0" wrapText="true" indent="0" shrinkToFit="false"/>
      <protection locked="true" hidden="false"/>
    </xf>
    <xf numFmtId="164" fontId="39" fillId="0" borderId="46" xfId="0" applyFont="true" applyBorder="true" applyAlignment="true" applyProtection="false">
      <alignment horizontal="general" vertical="center" textRotation="0" wrapText="true" indent="0" shrinkToFit="false"/>
      <protection locked="true" hidden="false"/>
    </xf>
    <xf numFmtId="164" fontId="39" fillId="0" borderId="100" xfId="0" applyFont="true" applyBorder="true" applyAlignment="true" applyProtection="false">
      <alignment horizontal="general" vertical="center" textRotation="0" wrapText="true" indent="0" shrinkToFit="false"/>
      <protection locked="true" hidden="false"/>
    </xf>
    <xf numFmtId="164" fontId="38" fillId="13" borderId="30" xfId="0" applyFont="true" applyBorder="true" applyAlignment="true" applyProtection="false">
      <alignment horizontal="center" vertical="center" textRotation="0" wrapText="true" indent="0" shrinkToFit="false"/>
      <protection locked="true" hidden="false"/>
    </xf>
    <xf numFmtId="164" fontId="38" fillId="13" borderId="31" xfId="0" applyFont="true" applyBorder="true" applyAlignment="true" applyProtection="false">
      <alignment horizontal="center" vertical="center" textRotation="0" wrapText="true" indent="0" shrinkToFit="false"/>
      <protection locked="true" hidden="false"/>
    </xf>
    <xf numFmtId="164" fontId="38" fillId="13" borderId="94" xfId="0" applyFont="true" applyBorder="true" applyAlignment="true" applyProtection="false">
      <alignment horizontal="center" vertical="center" textRotation="0" wrapText="true" indent="0" shrinkToFit="false"/>
      <protection locked="true" hidden="false"/>
    </xf>
    <xf numFmtId="164" fontId="147" fillId="13" borderId="99" xfId="0" applyFont="true" applyBorder="true" applyAlignment="true" applyProtection="false">
      <alignment horizontal="center" vertical="center" textRotation="0" wrapText="true" indent="0" shrinkToFit="false"/>
      <protection locked="true" hidden="false"/>
    </xf>
    <xf numFmtId="164" fontId="147" fillId="13" borderId="118" xfId="0" applyFont="true" applyBorder="true" applyAlignment="true" applyProtection="false">
      <alignment horizontal="center" vertical="center" textRotation="0" wrapText="true" indent="0" shrinkToFit="false"/>
      <protection locked="true" hidden="false"/>
    </xf>
    <xf numFmtId="164" fontId="147" fillId="13" borderId="100" xfId="0" applyFont="true" applyBorder="true" applyAlignment="true" applyProtection="false">
      <alignment horizontal="center" vertical="center" textRotation="0" wrapText="true" indent="0" shrinkToFit="false"/>
      <protection locked="true" hidden="false"/>
    </xf>
    <xf numFmtId="164" fontId="147" fillId="13" borderId="119" xfId="0" applyFont="true" applyBorder="true" applyAlignment="true" applyProtection="false">
      <alignment horizontal="general" vertical="center" textRotation="0" wrapText="true" indent="0" shrinkToFit="false"/>
      <protection locked="true" hidden="false"/>
    </xf>
    <xf numFmtId="164" fontId="27" fillId="0" borderId="33" xfId="0" applyFont="true" applyBorder="true" applyAlignment="true" applyProtection="false">
      <alignment horizontal="center" vertical="center" textRotation="0" wrapText="true" indent="0" shrinkToFit="false"/>
      <protection locked="true" hidden="false"/>
    </xf>
    <xf numFmtId="164" fontId="27" fillId="0" borderId="13" xfId="0" applyFont="true" applyBorder="true" applyAlignment="true" applyProtection="false">
      <alignment horizontal="center" vertical="center" textRotation="0" wrapText="true" indent="0" shrinkToFit="false"/>
      <protection locked="true" hidden="false"/>
    </xf>
    <xf numFmtId="164" fontId="27" fillId="0" borderId="10" xfId="0" applyFont="true" applyBorder="true" applyAlignment="true" applyProtection="false">
      <alignment horizontal="center" vertical="center" textRotation="0" wrapText="true" indent="0" shrinkToFit="false"/>
      <protection locked="true" hidden="false"/>
    </xf>
    <xf numFmtId="164" fontId="27" fillId="0" borderId="15" xfId="0" applyFont="true" applyBorder="true" applyAlignment="true" applyProtection="false">
      <alignment horizontal="center" vertical="center" textRotation="0" wrapText="true" indent="0" shrinkToFit="false"/>
      <protection locked="true" hidden="false"/>
    </xf>
    <xf numFmtId="164" fontId="27" fillId="0" borderId="14" xfId="0" applyFont="true" applyBorder="true" applyAlignment="true" applyProtection="false">
      <alignment horizontal="center" vertical="center" textRotation="0" wrapText="true" indent="0" shrinkToFit="false"/>
      <protection locked="true" hidden="false"/>
    </xf>
    <xf numFmtId="164" fontId="27" fillId="0" borderId="39" xfId="0" applyFont="true" applyBorder="true" applyAlignment="true" applyProtection="false">
      <alignment horizontal="center" vertical="center" textRotation="0" wrapText="true" indent="0" shrinkToFit="false"/>
      <protection locked="true" hidden="false"/>
    </xf>
    <xf numFmtId="164" fontId="27" fillId="0" borderId="6" xfId="0" applyFont="true" applyBorder="true" applyAlignment="true" applyProtection="false">
      <alignment horizontal="center" vertical="center" textRotation="0" wrapText="true" indent="0" shrinkToFit="false"/>
      <protection locked="true" hidden="false"/>
    </xf>
    <xf numFmtId="164" fontId="27" fillId="0" borderId="21" xfId="0" applyFont="true" applyBorder="true" applyAlignment="true" applyProtection="false">
      <alignment horizontal="center" vertical="center" textRotation="0" wrapText="true" indent="0" shrinkToFit="false"/>
      <protection locked="true" hidden="false"/>
    </xf>
    <xf numFmtId="164" fontId="27" fillId="0" borderId="46" xfId="0" applyFont="true" applyBorder="true" applyAlignment="true" applyProtection="false">
      <alignment horizontal="center" vertical="center" textRotation="0" wrapText="true" indent="0" shrinkToFit="false"/>
      <protection locked="true" hidden="false"/>
    </xf>
    <xf numFmtId="164" fontId="27" fillId="0" borderId="22" xfId="0" applyFont="true" applyBorder="true" applyAlignment="true" applyProtection="false">
      <alignment horizontal="center" vertical="center" textRotation="0" wrapText="true" indent="0" shrinkToFit="false"/>
      <protection locked="true" hidden="false"/>
    </xf>
    <xf numFmtId="164" fontId="28" fillId="0" borderId="12" xfId="0" applyFont="true" applyBorder="true" applyAlignment="true" applyProtection="false">
      <alignment horizontal="center" vertical="center" textRotation="0" wrapText="true" indent="0" shrinkToFit="false"/>
      <protection locked="true" hidden="false"/>
    </xf>
    <xf numFmtId="164" fontId="27" fillId="0" borderId="36" xfId="0" applyFont="true" applyBorder="true" applyAlignment="true" applyProtection="false">
      <alignment horizontal="center" vertical="center" textRotation="0" wrapText="true" indent="0" shrinkToFit="false"/>
      <protection locked="true" hidden="false"/>
    </xf>
    <xf numFmtId="164" fontId="27" fillId="0" borderId="90" xfId="0" applyFont="true" applyBorder="true" applyAlignment="true" applyProtection="false">
      <alignment horizontal="center" vertical="center" textRotation="0" wrapText="true" indent="0" shrinkToFit="false"/>
      <protection locked="true" hidden="false"/>
    </xf>
    <xf numFmtId="164" fontId="27" fillId="0" borderId="28" xfId="0" applyFont="true" applyBorder="true" applyAlignment="true" applyProtection="false">
      <alignment horizontal="center" vertical="center" textRotation="0" wrapText="true" indent="0" shrinkToFit="false"/>
      <protection locked="true" hidden="false"/>
    </xf>
    <xf numFmtId="164" fontId="27" fillId="0" borderId="47" xfId="0" applyFont="true" applyBorder="true" applyAlignment="true" applyProtection="false">
      <alignment horizontal="center" vertical="center" textRotation="0" wrapText="true" indent="0" shrinkToFit="false"/>
      <protection locked="true" hidden="false"/>
    </xf>
    <xf numFmtId="164" fontId="27" fillId="0" borderId="29" xfId="0" applyFont="true" applyBorder="true" applyAlignment="true" applyProtection="false">
      <alignment horizontal="center" vertical="center" textRotation="0" wrapText="true" indent="0" shrinkToFit="false"/>
      <protection locked="true" hidden="false"/>
    </xf>
    <xf numFmtId="164" fontId="28" fillId="14" borderId="41" xfId="0" applyFont="true" applyBorder="true" applyAlignment="true" applyProtection="false">
      <alignment horizontal="center" vertical="center" textRotation="0" wrapText="true" indent="0" shrinkToFit="false"/>
      <protection locked="true" hidden="false"/>
    </xf>
    <xf numFmtId="164" fontId="27" fillId="14" borderId="30" xfId="0" applyFont="true" applyBorder="true" applyAlignment="true" applyProtection="false">
      <alignment horizontal="center" vertical="center" textRotation="0" wrapText="true" indent="0" shrinkToFit="false"/>
      <protection locked="true" hidden="false"/>
    </xf>
    <xf numFmtId="164" fontId="27" fillId="14" borderId="111" xfId="0" applyFont="true" applyBorder="true" applyAlignment="true" applyProtection="false">
      <alignment horizontal="center" vertical="center" textRotation="0" wrapText="true" indent="0" shrinkToFit="false"/>
      <protection locked="true" hidden="false"/>
    </xf>
    <xf numFmtId="164" fontId="27" fillId="14" borderId="120" xfId="0" applyFont="true" applyBorder="true" applyAlignment="true" applyProtection="false">
      <alignment horizontal="center" vertical="center" textRotation="0" wrapText="true" indent="0" shrinkToFit="false"/>
      <protection locked="true" hidden="false"/>
    </xf>
    <xf numFmtId="164" fontId="27" fillId="14" borderId="113" xfId="0" applyFont="true" applyBorder="true" applyAlignment="true" applyProtection="false">
      <alignment horizontal="center" vertical="center" textRotation="0" wrapText="true" indent="0" shrinkToFit="false"/>
      <protection locked="true" hidden="false"/>
    </xf>
    <xf numFmtId="164" fontId="27" fillId="14" borderId="121" xfId="0" applyFont="true" applyBorder="true" applyAlignment="true" applyProtection="false">
      <alignment horizontal="center" vertical="center" textRotation="0" wrapText="true" indent="0" shrinkToFit="false"/>
      <protection locked="true" hidden="false"/>
    </xf>
    <xf numFmtId="164" fontId="27" fillId="14" borderId="99" xfId="0" applyFont="true" applyBorder="true" applyAlignment="true" applyProtection="false">
      <alignment horizontal="general" vertical="center" textRotation="0" wrapText="true" indent="0" shrinkToFit="false"/>
      <protection locked="true" hidden="false"/>
    </xf>
    <xf numFmtId="164" fontId="27" fillId="14" borderId="118" xfId="0" applyFont="true" applyBorder="true" applyAlignment="true" applyProtection="false">
      <alignment horizontal="general" vertical="center" textRotation="0" wrapText="true" indent="0" shrinkToFit="false"/>
      <protection locked="true" hidden="false"/>
    </xf>
    <xf numFmtId="164" fontId="27" fillId="14" borderId="100" xfId="0" applyFont="true" applyBorder="true" applyAlignment="true" applyProtection="false">
      <alignment horizontal="general" vertical="center" textRotation="0" wrapText="true" indent="0" shrinkToFit="false"/>
      <protection locked="true" hidden="false"/>
    </xf>
    <xf numFmtId="164" fontId="27" fillId="14" borderId="119" xfId="0" applyFont="true" applyBorder="true" applyAlignment="true" applyProtection="false">
      <alignment horizontal="general" vertical="center" textRotation="0" wrapText="true" indent="0" shrinkToFit="false"/>
      <protection locked="true" hidden="false"/>
    </xf>
    <xf numFmtId="164" fontId="105" fillId="0" borderId="0" xfId="0" applyFont="true" applyBorder="true" applyAlignment="true" applyProtection="false">
      <alignment horizontal="center" vertical="center" textRotation="0" wrapText="false" indent="0" shrinkToFit="false"/>
      <protection locked="true" hidden="false"/>
    </xf>
    <xf numFmtId="164" fontId="38" fillId="13" borderId="48" xfId="0" applyFont="true" applyBorder="true" applyAlignment="true" applyProtection="false">
      <alignment horizontal="center" vertical="center" textRotation="0" wrapText="true" indent="0" shrinkToFit="false"/>
      <protection locked="true" hidden="false"/>
    </xf>
    <xf numFmtId="164" fontId="38" fillId="13" borderId="6" xfId="0" applyFont="true" applyBorder="true" applyAlignment="true" applyProtection="false">
      <alignment horizontal="center" vertical="center" textRotation="0" wrapText="true" indent="0" shrinkToFit="false"/>
      <protection locked="true" hidden="false"/>
    </xf>
    <xf numFmtId="164" fontId="38" fillId="13" borderId="46" xfId="0" applyFont="true" applyBorder="true" applyAlignment="true" applyProtection="false">
      <alignment horizontal="center" vertical="center" textRotation="0" wrapText="true" indent="0" shrinkToFit="false"/>
      <protection locked="true" hidden="false"/>
    </xf>
    <xf numFmtId="164" fontId="38" fillId="13" borderId="35" xfId="0" applyFont="true" applyBorder="true" applyAlignment="true" applyProtection="false">
      <alignment horizontal="center" vertical="center" textRotation="0" wrapText="true" indent="0" shrinkToFit="false"/>
      <protection locked="true" hidden="false"/>
    </xf>
    <xf numFmtId="164" fontId="38" fillId="13" borderId="20" xfId="0" applyFont="true" applyBorder="true" applyAlignment="true" applyProtection="false">
      <alignment horizontal="center" vertical="center" textRotation="0" wrapText="true" indent="0" shrinkToFit="false"/>
      <protection locked="true" hidden="false"/>
    </xf>
    <xf numFmtId="164" fontId="30" fillId="13" borderId="35" xfId="0" applyFont="true" applyBorder="true" applyAlignment="true" applyProtection="false">
      <alignment horizontal="general" vertical="center" textRotation="0" wrapText="true" indent="0" shrinkToFit="false"/>
      <protection locked="true" hidden="false"/>
    </xf>
    <xf numFmtId="164" fontId="148" fillId="13" borderId="99" xfId="0" applyFont="true" applyBorder="true" applyAlignment="true" applyProtection="false">
      <alignment horizontal="center" vertical="center" textRotation="0" wrapText="true" indent="0" shrinkToFit="false"/>
      <protection locked="true" hidden="false"/>
    </xf>
    <xf numFmtId="164" fontId="148" fillId="13" borderId="85" xfId="0" applyFont="true" applyBorder="true" applyAlignment="true" applyProtection="false">
      <alignment horizontal="center" vertical="center" textRotation="0" wrapText="true" indent="0" shrinkToFit="false"/>
      <protection locked="true" hidden="false"/>
    </xf>
    <xf numFmtId="164" fontId="148" fillId="13" borderId="100" xfId="0" applyFont="true" applyBorder="true" applyAlignment="true" applyProtection="false">
      <alignment horizontal="center" vertical="center" textRotation="0" wrapText="true" indent="0" shrinkToFit="false"/>
      <protection locked="true" hidden="false"/>
    </xf>
    <xf numFmtId="164" fontId="148" fillId="13" borderId="38" xfId="0" applyFont="true" applyBorder="true" applyAlignment="true" applyProtection="false">
      <alignment horizontal="center" vertical="center" textRotation="0" wrapText="true" indent="0" shrinkToFit="false"/>
      <protection locked="true" hidden="false"/>
    </xf>
    <xf numFmtId="164" fontId="27" fillId="0" borderId="18" xfId="0" applyFont="true" applyBorder="true" applyAlignment="true" applyProtection="false">
      <alignment horizontal="general" vertical="center" textRotation="0" wrapText="true" indent="0" shrinkToFit="false"/>
      <protection locked="true" hidden="false"/>
    </xf>
    <xf numFmtId="164" fontId="27" fillId="0" borderId="11" xfId="0" applyFont="true" applyBorder="true" applyAlignment="true" applyProtection="false">
      <alignment horizontal="general" vertical="center" textRotation="0" wrapText="true" indent="0" shrinkToFit="false"/>
      <protection locked="true" hidden="false"/>
    </xf>
    <xf numFmtId="164" fontId="27" fillId="0" borderId="40" xfId="0" applyFont="true" applyBorder="true" applyAlignment="true" applyProtection="false">
      <alignment horizontal="general" vertical="center" textRotation="0" wrapText="true" indent="0" shrinkToFit="false"/>
      <protection locked="true" hidden="false"/>
    </xf>
    <xf numFmtId="164" fontId="28" fillId="0" borderId="36" xfId="0" applyFont="true" applyBorder="true" applyAlignment="true" applyProtection="false">
      <alignment horizontal="center" vertical="center" textRotation="0" wrapText="true" indent="0" shrinkToFit="false"/>
      <protection locked="true" hidden="false"/>
    </xf>
    <xf numFmtId="164" fontId="27" fillId="0" borderId="16" xfId="0" applyFont="true" applyBorder="true" applyAlignment="true" applyProtection="false">
      <alignment horizontal="general" vertical="center" textRotation="0" wrapText="true" indent="0" shrinkToFit="false"/>
      <protection locked="true" hidden="false"/>
    </xf>
    <xf numFmtId="164" fontId="28" fillId="14" borderId="30" xfId="0" applyFont="true" applyBorder="true" applyAlignment="true" applyProtection="false">
      <alignment horizontal="center" vertical="center" textRotation="0" wrapText="true" indent="0" shrinkToFit="false"/>
      <protection locked="true" hidden="false"/>
    </xf>
    <xf numFmtId="164" fontId="27" fillId="14" borderId="48" xfId="0" applyFont="true" applyBorder="true" applyAlignment="true" applyProtection="false">
      <alignment horizontal="general" vertical="center" textRotation="0" wrapText="true" indent="0" shrinkToFit="false"/>
      <protection locked="true" hidden="false"/>
    </xf>
    <xf numFmtId="164" fontId="27" fillId="14" borderId="111" xfId="0" applyFont="true" applyBorder="true" applyAlignment="true" applyProtection="false">
      <alignment horizontal="general" vertical="center" textRotation="0" wrapText="true" indent="0" shrinkToFit="false"/>
      <protection locked="true" hidden="false"/>
    </xf>
    <xf numFmtId="164" fontId="27" fillId="14" borderId="112" xfId="0" applyFont="true" applyBorder="true" applyAlignment="true" applyProtection="false">
      <alignment horizontal="general" vertical="center" textRotation="0" wrapText="true" indent="0" shrinkToFit="false"/>
      <protection locked="true" hidden="false"/>
    </xf>
    <xf numFmtId="164" fontId="27" fillId="14" borderId="113" xfId="0" applyFont="true" applyBorder="true" applyAlignment="true" applyProtection="false">
      <alignment horizontal="general" vertical="center" textRotation="0" wrapText="true" indent="0" shrinkToFit="false"/>
      <protection locked="true" hidden="false"/>
    </xf>
    <xf numFmtId="164" fontId="27" fillId="14" borderId="94" xfId="0" applyFont="true" applyBorder="true" applyAlignment="true" applyProtection="false">
      <alignment horizontal="general" vertical="center" textRotation="0" wrapText="true" indent="0" shrinkToFit="false"/>
      <protection locked="true" hidden="false"/>
    </xf>
    <xf numFmtId="164" fontId="27" fillId="14" borderId="85" xfId="0" applyFont="true" applyBorder="true" applyAlignment="true" applyProtection="false">
      <alignment horizontal="general" vertical="center" textRotation="0" wrapText="true" indent="0" shrinkToFit="false"/>
      <protection locked="true" hidden="false"/>
    </xf>
    <xf numFmtId="164" fontId="27" fillId="14" borderId="38" xfId="0" applyFont="true" applyBorder="true" applyAlignment="true" applyProtection="false">
      <alignment horizontal="general" vertical="center" textRotation="0" wrapText="true" indent="0" shrinkToFit="false"/>
      <protection locked="true" hidden="false"/>
    </xf>
    <xf numFmtId="164" fontId="149" fillId="0" borderId="0" xfId="0" applyFont="true" applyBorder="false" applyAlignment="true" applyProtection="false">
      <alignment horizontal="left" vertical="center" textRotation="0" wrapText="false" indent="1" shrinkToFit="false"/>
      <protection locked="true" hidden="false"/>
    </xf>
    <xf numFmtId="164" fontId="150" fillId="0" borderId="0" xfId="0" applyFont="true" applyBorder="false" applyAlignment="true" applyProtection="false">
      <alignment horizontal="left" vertical="center" textRotation="0" wrapText="false" indent="1" shrinkToFit="false"/>
      <protection locked="true" hidden="false"/>
    </xf>
    <xf numFmtId="164" fontId="44" fillId="9" borderId="30" xfId="0" applyFont="true" applyBorder="true" applyAlignment="true" applyProtection="false">
      <alignment horizontal="center" vertical="center" textRotation="0" wrapText="true" indent="0" shrinkToFit="false"/>
      <protection locked="true" hidden="false"/>
    </xf>
    <xf numFmtId="164" fontId="46" fillId="13" borderId="41" xfId="0" applyFont="true" applyBorder="true" applyAlignment="true" applyProtection="false">
      <alignment horizontal="center" vertical="center" textRotation="0" wrapText="true" indent="0" shrinkToFit="false"/>
      <protection locked="true" hidden="false"/>
    </xf>
    <xf numFmtId="164" fontId="39" fillId="13" borderId="26" xfId="0" applyFont="true" applyBorder="true" applyAlignment="true" applyProtection="false">
      <alignment horizontal="general" vertical="center" textRotation="0" wrapText="true" indent="0" shrinkToFit="false"/>
      <protection locked="true" hidden="false"/>
    </xf>
    <xf numFmtId="164" fontId="39" fillId="13" borderId="27" xfId="0" applyFont="true" applyBorder="true" applyAlignment="true" applyProtection="false">
      <alignment horizontal="general" vertical="center" textRotation="0" wrapText="true" indent="0" shrinkToFit="false"/>
      <protection locked="true" hidden="false"/>
    </xf>
    <xf numFmtId="164" fontId="46" fillId="3" borderId="30" xfId="0" applyFont="true" applyBorder="true" applyAlignment="true" applyProtection="false">
      <alignment horizontal="general" vertical="center" textRotation="0" wrapText="true" indent="0" shrinkToFit="false"/>
      <protection locked="true" hidden="false"/>
    </xf>
    <xf numFmtId="164" fontId="45" fillId="3" borderId="27" xfId="0" applyFont="true" applyBorder="true" applyAlignment="true" applyProtection="false">
      <alignment horizontal="general" vertical="center" textRotation="0" wrapText="true" indent="0" shrinkToFit="false"/>
      <protection locked="true" hidden="false"/>
    </xf>
    <xf numFmtId="164" fontId="39" fillId="0" borderId="32" xfId="0" applyFont="true" applyBorder="true" applyAlignment="true" applyProtection="false">
      <alignment horizontal="general" vertical="center" textRotation="0" wrapText="true" indent="0" shrinkToFit="false"/>
      <protection locked="true" hidden="false"/>
    </xf>
    <xf numFmtId="172" fontId="39" fillId="2" borderId="27" xfId="15" applyFont="true" applyBorder="true" applyAlignment="true" applyProtection="true">
      <alignment horizontal="general" vertical="center" textRotation="0" wrapText="true" indent="0" shrinkToFit="false"/>
      <protection locked="true" hidden="false"/>
    </xf>
    <xf numFmtId="174" fontId="39" fillId="2" borderId="27" xfId="19" applyFont="true" applyBorder="true" applyAlignment="true" applyProtection="true">
      <alignment horizontal="right" vertical="center" textRotation="0" wrapText="true" indent="0" shrinkToFit="false"/>
      <protection locked="true" hidden="false"/>
    </xf>
    <xf numFmtId="164" fontId="39" fillId="0" borderId="49" xfId="0" applyFont="true" applyBorder="true" applyAlignment="true" applyProtection="false">
      <alignment horizontal="general" vertical="center" textRotation="0" wrapText="true" indent="0" shrinkToFit="false"/>
      <protection locked="true" hidden="false"/>
    </xf>
    <xf numFmtId="171" fontId="39" fillId="2" borderId="27" xfId="19" applyFont="true" applyBorder="true" applyAlignment="true" applyProtection="true">
      <alignment horizontal="right" vertical="center" textRotation="0" wrapText="true" indent="0" shrinkToFit="false"/>
      <protection locked="true" hidden="false"/>
    </xf>
    <xf numFmtId="164" fontId="39" fillId="0" borderId="50" xfId="0" applyFont="true" applyBorder="true" applyAlignment="true" applyProtection="false">
      <alignment horizontal="general" vertical="center" textRotation="0" wrapText="true" indent="0" shrinkToFit="false"/>
      <protection locked="true" hidden="false"/>
    </xf>
    <xf numFmtId="172" fontId="39" fillId="3" borderId="27" xfId="15" applyFont="true" applyBorder="true" applyAlignment="true" applyProtection="true">
      <alignment horizontal="general" vertical="center" textRotation="0" wrapText="true" indent="0" shrinkToFit="false"/>
      <protection locked="true" hidden="false"/>
    </xf>
    <xf numFmtId="164" fontId="39" fillId="3" borderId="27" xfId="0" applyFont="true" applyBorder="true" applyAlignment="true" applyProtection="false">
      <alignment horizontal="general" vertical="center" textRotation="0" wrapText="true" indent="0" shrinkToFit="false"/>
      <protection locked="true" hidden="false"/>
    </xf>
    <xf numFmtId="164" fontId="46" fillId="0" borderId="32" xfId="0" applyFont="true" applyBorder="true" applyAlignment="true" applyProtection="false">
      <alignment horizontal="general" vertical="center" textRotation="0" wrapText="true" indent="0" shrinkToFit="false"/>
      <protection locked="true" hidden="false"/>
    </xf>
    <xf numFmtId="164" fontId="39" fillId="0" borderId="122" xfId="0" applyFont="true" applyBorder="true" applyAlignment="true" applyProtection="false">
      <alignment horizontal="general" vertical="center" textRotation="0" wrapText="true" indent="0" shrinkToFit="false"/>
      <protection locked="true" hidden="false"/>
    </xf>
    <xf numFmtId="164" fontId="44" fillId="15" borderId="123" xfId="0" applyFont="true" applyBorder="true" applyAlignment="true" applyProtection="false">
      <alignment horizontal="left" vertical="center" textRotation="0" wrapText="true" indent="0" shrinkToFit="false"/>
      <protection locked="true" hidden="false"/>
    </xf>
    <xf numFmtId="172" fontId="45" fillId="16" borderId="27" xfId="15" applyFont="true" applyBorder="true" applyAlignment="true" applyProtection="true">
      <alignment horizontal="general" vertical="center" textRotation="0" wrapText="true" indent="0" shrinkToFit="false"/>
      <protection locked="true" hidden="false"/>
    </xf>
    <xf numFmtId="164" fontId="45" fillId="16" borderId="26" xfId="0" applyFont="true" applyBorder="true" applyAlignment="true" applyProtection="false">
      <alignment horizontal="general" vertical="center" textRotation="0" wrapText="true" indent="0" shrinkToFit="false"/>
      <protection locked="true" hidden="false"/>
    </xf>
    <xf numFmtId="164" fontId="59" fillId="0" borderId="49" xfId="0" applyFont="true" applyBorder="true" applyAlignment="true" applyProtection="false">
      <alignment horizontal="left" vertical="center" textRotation="0" wrapText="true" indent="1" shrinkToFit="false"/>
      <protection locked="true" hidden="false"/>
    </xf>
    <xf numFmtId="164" fontId="59" fillId="0" borderId="122" xfId="0" applyFont="true" applyBorder="true" applyAlignment="true" applyProtection="false">
      <alignment horizontal="left" vertical="center" textRotation="0" wrapText="true" indent="1" shrinkToFit="false"/>
      <protection locked="true" hidden="false"/>
    </xf>
    <xf numFmtId="164" fontId="44" fillId="15" borderId="123" xfId="0" applyFont="true" applyBorder="true" applyAlignment="true" applyProtection="false">
      <alignment horizontal="general" vertical="center" textRotation="0" wrapText="true" indent="0" shrinkToFit="false"/>
      <protection locked="true" hidden="false"/>
    </xf>
    <xf numFmtId="172" fontId="45" fillId="15" borderId="27" xfId="15" applyFont="true" applyBorder="true" applyAlignment="true" applyProtection="true">
      <alignment horizontal="general" vertical="center" textRotation="0" wrapText="true" indent="0" shrinkToFit="false"/>
      <protection locked="true" hidden="false"/>
    </xf>
    <xf numFmtId="164" fontId="45" fillId="15" borderId="27" xfId="0" applyFont="true" applyBorder="true" applyAlignment="true" applyProtection="false">
      <alignment horizontal="general" vertical="center" textRotation="0" wrapText="true" indent="0" shrinkToFit="false"/>
      <protection locked="true" hidden="false"/>
    </xf>
    <xf numFmtId="164" fontId="39" fillId="2" borderId="27" xfId="0" applyFont="true" applyBorder="true" applyAlignment="true" applyProtection="false">
      <alignment horizontal="general" vertical="center" textRotation="0" wrapText="true" indent="0" shrinkToFit="false"/>
      <protection locked="true" hidden="false"/>
    </xf>
    <xf numFmtId="164" fontId="44" fillId="15" borderId="124" xfId="0" applyFont="true" applyBorder="true" applyAlignment="true" applyProtection="false">
      <alignment horizontal="general" vertical="center" textRotation="0" wrapText="true" indent="0" shrinkToFit="false"/>
      <protection locked="true" hidden="false"/>
    </xf>
    <xf numFmtId="172" fontId="45" fillId="15" borderId="27" xfId="0" applyFont="true" applyBorder="true" applyAlignment="true" applyProtection="false">
      <alignment horizontal="general" vertical="center" textRotation="0" wrapText="true" indent="0" shrinkToFit="false"/>
      <protection locked="true" hidden="false"/>
    </xf>
    <xf numFmtId="171" fontId="45" fillId="15" borderId="27" xfId="19" applyFont="true" applyBorder="true" applyAlignment="true" applyProtection="true">
      <alignment horizontal="center" vertical="center" textRotation="0" wrapText="true" indent="0" shrinkToFit="false"/>
      <protection locked="true" hidden="false"/>
    </xf>
    <xf numFmtId="164" fontId="46" fillId="13" borderId="30" xfId="0" applyFont="true" applyBorder="true" applyAlignment="true" applyProtection="false">
      <alignment horizontal="center" vertical="center" textRotation="0" wrapText="true" indent="0" shrinkToFit="false"/>
      <protection locked="true" hidden="false"/>
    </xf>
    <xf numFmtId="164" fontId="46" fillId="0" borderId="32" xfId="0" applyFont="true" applyBorder="true" applyAlignment="true" applyProtection="false">
      <alignment horizontal="justify" vertical="center" textRotation="0" wrapText="true" indent="0" shrinkToFit="false"/>
      <protection locked="true" hidden="false"/>
    </xf>
    <xf numFmtId="174" fontId="39" fillId="2" borderId="27" xfId="19" applyFont="true" applyBorder="true" applyAlignment="true" applyProtection="true">
      <alignment horizontal="center" vertical="center" textRotation="0" wrapText="true" indent="0" shrinkToFit="false"/>
      <protection locked="true" hidden="false"/>
    </xf>
    <xf numFmtId="164" fontId="46" fillId="0" borderId="50" xfId="0" applyFont="true" applyBorder="true" applyAlignment="true" applyProtection="false">
      <alignment horizontal="general" vertical="center" textRotation="0" wrapText="true" indent="0" shrinkToFit="false"/>
      <protection locked="true" hidden="false"/>
    </xf>
    <xf numFmtId="164" fontId="46" fillId="0" borderId="49" xfId="0" applyFont="true" applyBorder="true" applyAlignment="true" applyProtection="false">
      <alignment horizontal="general" vertical="center" textRotation="0" wrapText="true" indent="0" shrinkToFit="false"/>
      <protection locked="true" hidden="false"/>
    </xf>
    <xf numFmtId="172" fontId="46" fillId="2" borderId="27" xfId="15" applyFont="true" applyBorder="true" applyAlignment="true" applyProtection="true">
      <alignment horizontal="general" vertical="center" textRotation="0" wrapText="true" indent="0" shrinkToFit="false"/>
      <protection locked="true" hidden="false"/>
    </xf>
    <xf numFmtId="171" fontId="46" fillId="2" borderId="27" xfId="19" applyFont="true" applyBorder="true" applyAlignment="true" applyProtection="true">
      <alignment horizontal="right" vertical="center" textRotation="0" wrapText="true" indent="0" shrinkToFit="false"/>
      <protection locked="true" hidden="false"/>
    </xf>
    <xf numFmtId="164" fontId="46" fillId="0" borderId="122" xfId="0" applyFont="true" applyBorder="true" applyAlignment="true" applyProtection="false">
      <alignment horizontal="general" vertical="center" textRotation="0" wrapText="true" indent="0" shrinkToFit="false"/>
      <protection locked="true" hidden="false"/>
    </xf>
    <xf numFmtId="164" fontId="44" fillId="15" borderId="123" xfId="0" applyFont="true" applyBorder="true" applyAlignment="true" applyProtection="false">
      <alignment horizontal="justify" vertical="center" textRotation="0" wrapText="true" indent="0" shrinkToFit="false"/>
      <protection locked="true" hidden="false"/>
    </xf>
    <xf numFmtId="172" fontId="44" fillId="15" borderId="27" xfId="15" applyFont="true" applyBorder="true" applyAlignment="true" applyProtection="true">
      <alignment horizontal="general" vertical="center" textRotation="0" wrapText="true" indent="0" shrinkToFit="false"/>
      <protection locked="true" hidden="false"/>
    </xf>
    <xf numFmtId="171" fontId="44" fillId="15" borderId="27" xfId="19" applyFont="true" applyBorder="true" applyAlignment="true" applyProtection="true">
      <alignment horizontal="right" vertical="center" textRotation="0" wrapText="true" indent="0" shrinkToFit="false"/>
      <protection locked="true" hidden="false"/>
    </xf>
    <xf numFmtId="172" fontId="39" fillId="2" borderId="30" xfId="15" applyFont="true" applyBorder="true" applyAlignment="true" applyProtection="true">
      <alignment horizontal="general" vertical="center" textRotation="0" wrapText="true" indent="0" shrinkToFit="false"/>
      <protection locked="true" hidden="false"/>
    </xf>
    <xf numFmtId="174" fontId="39" fillId="2" borderId="30" xfId="19" applyFont="true" applyBorder="true" applyAlignment="true" applyProtection="true">
      <alignment horizontal="right" vertical="center" textRotation="0" wrapText="true" indent="0" shrinkToFit="false"/>
      <protection locked="true" hidden="false"/>
    </xf>
    <xf numFmtId="171" fontId="39" fillId="2" borderId="30" xfId="19" applyFont="true" applyBorder="true" applyAlignment="true" applyProtection="true">
      <alignment horizontal="right" vertical="center" textRotation="0" wrapText="true" indent="0" shrinkToFit="false"/>
      <protection locked="true" hidden="false"/>
    </xf>
    <xf numFmtId="164" fontId="45" fillId="0" borderId="122" xfId="0" applyFont="true" applyBorder="true" applyAlignment="true" applyProtection="false">
      <alignment horizontal="general" vertical="center" textRotation="0" wrapText="true" indent="0" shrinkToFit="false"/>
      <protection locked="true" hidden="false"/>
    </xf>
    <xf numFmtId="172" fontId="45" fillId="0" borderId="27" xfId="15" applyFont="true" applyBorder="true" applyAlignment="true" applyProtection="true">
      <alignment horizontal="general" vertical="center" textRotation="0" wrapText="true" indent="0" shrinkToFit="false"/>
      <protection locked="true" hidden="false"/>
    </xf>
    <xf numFmtId="172" fontId="45" fillId="0" borderId="27" xfId="15" applyFont="true" applyBorder="true" applyAlignment="true" applyProtection="true">
      <alignment horizontal="right" vertical="center" textRotation="0" wrapText="true" indent="0" shrinkToFit="false"/>
      <protection locked="true" hidden="false"/>
    </xf>
    <xf numFmtId="164" fontId="44" fillId="15" borderId="49" xfId="0" applyFont="true" applyBorder="true" applyAlignment="true" applyProtection="false">
      <alignment horizontal="justify" vertical="center" textRotation="0" wrapText="true" indent="0" shrinkToFit="false"/>
      <protection locked="true" hidden="false"/>
    </xf>
    <xf numFmtId="172" fontId="44" fillId="15" borderId="50" xfId="15" applyFont="true" applyBorder="true" applyAlignment="true" applyProtection="true">
      <alignment horizontal="general" vertical="center" textRotation="0" wrapText="true" indent="0" shrinkToFit="false"/>
      <protection locked="true" hidden="false"/>
    </xf>
    <xf numFmtId="171" fontId="44" fillId="15" borderId="50" xfId="19" applyFont="true" applyBorder="true" applyAlignment="true" applyProtection="true">
      <alignment horizontal="right" vertical="center" textRotation="0" wrapText="true" indent="0" shrinkToFit="false"/>
      <protection locked="true" hidden="false"/>
    </xf>
    <xf numFmtId="164" fontId="44" fillId="15" borderId="124" xfId="0" applyFont="true" applyBorder="true" applyAlignment="true" applyProtection="false">
      <alignment horizontal="justify" vertical="center" textRotation="0" wrapText="true" indent="0" shrinkToFit="false"/>
      <protection locked="true" hidden="false"/>
    </xf>
    <xf numFmtId="172" fontId="44" fillId="15" borderId="27" xfId="15" applyFont="true" applyBorder="true" applyAlignment="true" applyProtection="true">
      <alignment horizontal="right" vertical="center" textRotation="0" wrapText="true" indent="0" shrinkToFit="false"/>
      <protection locked="true" hidden="false"/>
    </xf>
    <xf numFmtId="164" fontId="45" fillId="15" borderId="124" xfId="0" applyFont="true" applyBorder="true" applyAlignment="true" applyProtection="false">
      <alignment horizontal="justify" vertical="center" textRotation="0" wrapText="true" indent="0" shrinkToFit="false"/>
      <protection locked="true" hidden="false"/>
    </xf>
    <xf numFmtId="164" fontId="30" fillId="0" borderId="0" xfId="0" applyFont="true" applyBorder="true" applyAlignment="true" applyProtection="false">
      <alignment horizontal="left" vertical="bottom" textRotation="0" wrapText="false" indent="0" shrinkToFit="false"/>
      <protection locked="true" hidden="false"/>
    </xf>
    <xf numFmtId="164" fontId="150" fillId="0" borderId="0" xfId="0" applyFont="true" applyBorder="false" applyAlignment="true" applyProtection="false">
      <alignment horizontal="center" vertical="center" textRotation="0" wrapText="false" indent="0" shrinkToFit="false"/>
      <protection locked="true" hidden="false"/>
    </xf>
    <xf numFmtId="164" fontId="75" fillId="0" borderId="0" xfId="0" applyFont="true" applyBorder="false" applyAlignment="true" applyProtection="false">
      <alignment horizontal="center" vertical="center" textRotation="0" wrapText="false" indent="0" shrinkToFit="false"/>
      <protection locked="true" hidden="false"/>
    </xf>
    <xf numFmtId="164" fontId="59" fillId="0" borderId="49" xfId="0" applyFont="true" applyBorder="true" applyAlignment="true" applyProtection="false">
      <alignment horizontal="general" vertical="center" textRotation="0" wrapText="true" indent="0" shrinkToFit="false"/>
      <protection locked="true" hidden="false"/>
    </xf>
    <xf numFmtId="164" fontId="59" fillId="0" borderId="50" xfId="0" applyFont="true" applyBorder="true" applyAlignment="true" applyProtection="false">
      <alignment horizontal="left" vertical="center" textRotation="0" wrapText="true" indent="1" shrinkToFit="false"/>
      <protection locked="true" hidden="false"/>
    </xf>
    <xf numFmtId="164" fontId="128" fillId="0" borderId="49" xfId="0" applyFont="true" applyBorder="true" applyAlignment="true" applyProtection="false">
      <alignment horizontal="left" vertical="center" textRotation="0" wrapText="true" indent="1" shrinkToFit="false"/>
      <protection locked="true" hidden="false"/>
    </xf>
    <xf numFmtId="164" fontId="128" fillId="0" borderId="50" xfId="0" applyFont="true" applyBorder="true" applyAlignment="true" applyProtection="false">
      <alignment horizontal="left" vertical="center" textRotation="0" wrapText="true" indent="1" shrinkToFit="false"/>
      <protection locked="true" hidden="false"/>
    </xf>
    <xf numFmtId="164" fontId="59" fillId="0" borderId="50" xfId="0" applyFont="true" applyBorder="true" applyAlignment="true" applyProtection="false">
      <alignment horizontal="general" vertical="center" textRotation="0" wrapText="true" indent="0" shrinkToFit="false"/>
      <protection locked="true" hidden="false"/>
    </xf>
    <xf numFmtId="164" fontId="128" fillId="0" borderId="49" xfId="0" applyFont="true" applyBorder="true" applyAlignment="true" applyProtection="false">
      <alignment horizontal="general" vertical="center" textRotation="0" wrapText="true" indent="0" shrinkToFit="false"/>
      <protection locked="true" hidden="false"/>
    </xf>
    <xf numFmtId="164" fontId="128" fillId="0" borderId="50" xfId="0" applyFont="true" applyBorder="true" applyAlignment="true" applyProtection="false">
      <alignment horizontal="general" vertical="center" textRotation="0" wrapText="true" indent="0" shrinkToFit="false"/>
      <protection locked="true" hidden="false"/>
    </xf>
    <xf numFmtId="164" fontId="28" fillId="3" borderId="49"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justify" vertical="center" textRotation="0" wrapText="false" indent="0" shrinkToFit="false"/>
      <protection locked="true" hidden="false"/>
    </xf>
    <xf numFmtId="164" fontId="24" fillId="0" borderId="6" xfId="0" applyFont="true" applyBorder="true" applyAlignment="true" applyProtection="false">
      <alignment horizontal="center" vertical="center" textRotation="0" wrapText="true" indent="0" shrinkToFit="false"/>
      <protection locked="true" hidden="false"/>
    </xf>
    <xf numFmtId="164" fontId="24" fillId="0" borderId="20" xfId="0" applyFont="true" applyBorder="true" applyAlignment="true" applyProtection="false">
      <alignment horizontal="center" vertical="center" textRotation="0" wrapText="true" indent="0" shrinkToFit="false"/>
      <protection locked="true" hidden="false"/>
    </xf>
    <xf numFmtId="164" fontId="26" fillId="0" borderId="46" xfId="0" applyFont="true" applyBorder="true" applyAlignment="true" applyProtection="false">
      <alignment horizontal="center" vertical="center" textRotation="0" wrapText="true" indent="0" shrinkToFit="false"/>
      <protection locked="true" hidden="false"/>
    </xf>
    <xf numFmtId="164" fontId="26" fillId="0" borderId="20" xfId="0" applyFont="true" applyBorder="true" applyAlignment="true" applyProtection="false">
      <alignment horizontal="general" vertical="center" textRotation="0" wrapText="true" indent="0" shrinkToFit="false"/>
      <protection locked="true" hidden="false"/>
    </xf>
    <xf numFmtId="164" fontId="26" fillId="0" borderId="85" xfId="0" applyFont="true" applyBorder="true" applyAlignment="true" applyProtection="false">
      <alignment horizontal="center" vertical="center" textRotation="0" wrapText="true" indent="0" shrinkToFit="false"/>
      <protection locked="true" hidden="false"/>
    </xf>
    <xf numFmtId="164" fontId="26" fillId="0" borderId="85" xfId="0" applyFont="true" applyBorder="true" applyAlignment="true" applyProtection="false">
      <alignment horizontal="general" vertical="center" textRotation="0" wrapText="true" indent="0" shrinkToFit="false"/>
      <protection locked="true" hidden="false"/>
    </xf>
    <xf numFmtId="164" fontId="26" fillId="0" borderId="100" xfId="0" applyFont="true" applyBorder="true" applyAlignment="true" applyProtection="false">
      <alignment horizontal="center" vertical="center" textRotation="0" wrapText="true" indent="0" shrinkToFit="false"/>
      <protection locked="true" hidden="false"/>
    </xf>
    <xf numFmtId="164" fontId="152" fillId="0" borderId="0" xfId="0" applyFont="true" applyBorder="false" applyAlignment="true" applyProtection="false">
      <alignment horizontal="general" vertical="center" textRotation="0" wrapText="false" indent="0" shrinkToFit="false"/>
      <protection locked="true" hidden="false"/>
    </xf>
    <xf numFmtId="164" fontId="154" fillId="0" borderId="0" xfId="0" applyFont="true" applyBorder="false" applyAlignment="true" applyProtection="false">
      <alignment horizontal="center" vertical="center" textRotation="0" wrapText="false" indent="0" shrinkToFit="false"/>
      <protection locked="true" hidden="false"/>
    </xf>
    <xf numFmtId="164" fontId="155" fillId="0" borderId="26" xfId="0" applyFont="true" applyBorder="true" applyAlignment="true" applyProtection="false">
      <alignment horizontal="center" vertical="center" textRotation="0" wrapText="false" indent="0" shrinkToFit="false"/>
      <protection locked="true" hidden="false"/>
    </xf>
    <xf numFmtId="164" fontId="154" fillId="0" borderId="0" xfId="0" applyFont="true" applyBorder="false" applyAlignment="true" applyProtection="false">
      <alignment horizontal="left" vertical="center" textRotation="0" wrapText="false" indent="0" shrinkToFit="false"/>
      <protection locked="true" hidden="false"/>
    </xf>
    <xf numFmtId="164" fontId="156" fillId="0" borderId="125" xfId="0" applyFont="true" applyBorder="true" applyAlignment="true" applyProtection="false">
      <alignment horizontal="general" vertical="center" textRotation="0" wrapText="true" indent="0" shrinkToFit="false"/>
      <protection locked="true" hidden="false"/>
    </xf>
    <xf numFmtId="164" fontId="157" fillId="3" borderId="126" xfId="0" applyFont="true" applyBorder="true" applyAlignment="true" applyProtection="false">
      <alignment horizontal="general" vertical="center" textRotation="0" wrapText="true" indent="0" shrinkToFit="false"/>
      <protection locked="true" hidden="false"/>
    </xf>
    <xf numFmtId="164" fontId="156" fillId="0" borderId="127" xfId="0" applyFont="true" applyBorder="true" applyAlignment="true" applyProtection="false">
      <alignment horizontal="general" vertical="center" textRotation="0" wrapText="true" indent="0" shrinkToFit="false"/>
      <protection locked="true" hidden="false"/>
    </xf>
    <xf numFmtId="164" fontId="157" fillId="0" borderId="128" xfId="0" applyFont="true" applyBorder="true" applyAlignment="true" applyProtection="false">
      <alignment horizontal="general" vertical="center" textRotation="0" wrapText="true" indent="0" shrinkToFit="false"/>
      <protection locked="true" hidden="false"/>
    </xf>
    <xf numFmtId="164" fontId="157" fillId="3" borderId="129" xfId="0" applyFont="true" applyBorder="true" applyAlignment="true" applyProtection="false">
      <alignment horizontal="general" vertical="center" textRotation="0" wrapText="true" indent="0" shrinkToFit="false"/>
      <protection locked="true" hidden="false"/>
    </xf>
    <xf numFmtId="164" fontId="157" fillId="0" borderId="130" xfId="0" applyFont="true" applyBorder="true" applyAlignment="true" applyProtection="false">
      <alignment horizontal="general" vertical="center" textRotation="0" wrapText="true" indent="0" shrinkToFit="false"/>
      <protection locked="true" hidden="false"/>
    </xf>
    <xf numFmtId="164" fontId="156" fillId="0" borderId="130" xfId="0" applyFont="true" applyBorder="true" applyAlignment="true" applyProtection="false">
      <alignment horizontal="general" vertical="center" textRotation="0" wrapText="true" indent="0" shrinkToFit="false"/>
      <protection locked="true" hidden="false"/>
    </xf>
    <xf numFmtId="164" fontId="156" fillId="0" borderId="128" xfId="0" applyFont="true" applyBorder="true" applyAlignment="true" applyProtection="false">
      <alignment horizontal="general" vertical="center" textRotation="0" wrapText="true" indent="0" shrinkToFit="false"/>
      <protection locked="true" hidden="false"/>
    </xf>
    <xf numFmtId="164" fontId="157" fillId="0" borderId="131" xfId="0" applyFont="true" applyBorder="true" applyAlignment="true" applyProtection="false">
      <alignment horizontal="general" vertical="center" textRotation="0" wrapText="true" indent="0" shrinkToFit="false"/>
      <protection locked="true" hidden="false"/>
    </xf>
    <xf numFmtId="164" fontId="157" fillId="3" borderId="132" xfId="0" applyFont="true" applyBorder="true" applyAlignment="true" applyProtection="false">
      <alignment horizontal="general" vertical="center" textRotation="0" wrapText="true" indent="0" shrinkToFit="false"/>
      <protection locked="true" hidden="false"/>
    </xf>
    <xf numFmtId="164" fontId="157" fillId="0" borderId="133" xfId="0" applyFont="true" applyBorder="true" applyAlignment="true" applyProtection="false">
      <alignment horizontal="general" vertical="center" textRotation="0" wrapText="true" indent="0" shrinkToFit="false"/>
      <protection locked="true" hidden="false"/>
    </xf>
    <xf numFmtId="164" fontId="73" fillId="0" borderId="0" xfId="0" applyFont="true" applyBorder="false" applyAlignment="true" applyProtection="false">
      <alignment horizontal="general" vertical="center" textRotation="0" wrapText="false" indent="0" shrinkToFit="false"/>
      <protection locked="true" hidden="false"/>
    </xf>
    <xf numFmtId="164" fontId="73" fillId="0" borderId="0" xfId="0" applyFont="true" applyBorder="false" applyAlignment="false" applyProtection="fals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Normal 3 2" xfId="23"/>
    <cellStyle name="Normal_LIASSE SYSCOA ESSAI 1999" xfId="24"/>
    <cellStyle name="*unknown*" xfId="20" builtinId="8"/>
  </cellStyles>
  <colors>
    <indexedColors>
      <rgbColor rgb="FF000000"/>
      <rgbColor rgb="FFFFFFFF"/>
      <rgbColor rgb="FFDD0806"/>
      <rgbColor rgb="FF00FF00"/>
      <rgbColor rgb="FF0000FF"/>
      <rgbColor rgb="FFFCF305"/>
      <rgbColor rgb="FFFF00FF"/>
      <rgbColor rgb="FF00FFFF"/>
      <rgbColor rgb="FF800000"/>
      <rgbColor rgb="FF008000"/>
      <rgbColor rgb="FF000080"/>
      <rgbColor rgb="FF90713A"/>
      <rgbColor rgb="FF800080"/>
      <rgbColor rgb="FF008080"/>
      <rgbColor rgb="FFC0C0C0"/>
      <rgbColor rgb="FF808080"/>
      <rgbColor rgb="FF63AAFE"/>
      <rgbColor rgb="FF993366"/>
      <rgbColor rgb="FFFFFFCC"/>
      <rgbColor rgb="FFCCFFFF"/>
      <rgbColor rgb="FF660066"/>
      <rgbColor rgb="FFFF8080"/>
      <rgbColor rgb="FF0066CC"/>
      <rgbColor rgb="FFA2BD90"/>
      <rgbColor rgb="FF000080"/>
      <rgbColor rgb="FFFF00FF"/>
      <rgbColor rgb="FFFFFF00"/>
      <rgbColor rgb="FF00FFFF"/>
      <rgbColor rgb="FF800080"/>
      <rgbColor rgb="FF800000"/>
      <rgbColor rgb="FF008080"/>
      <rgbColor rgb="FF0000FF"/>
      <rgbColor rgb="FF00ABEA"/>
      <rgbColor rgb="FFCCFFFF"/>
      <rgbColor rgb="FFCCFFCC"/>
      <rgbColor rgb="FFFFFF99"/>
      <rgbColor rgb="FF99CCFF"/>
      <rgbColor rgb="FFFF99CC"/>
      <rgbColor rgb="FFCC99FF"/>
      <rgbColor rgb="FFFFCC99"/>
      <rgbColor rgb="FF3366FF"/>
      <rgbColor rgb="FF33CCCC"/>
      <rgbColor rgb="FF4EE257"/>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externalLink" Target="externalLinks/externalLink1.xml"/><Relationship Id="rId5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102240</xdr:colOff>
      <xdr:row>0</xdr:row>
      <xdr:rowOff>152280</xdr:rowOff>
    </xdr:from>
    <xdr:to>
      <xdr:col>39</xdr:col>
      <xdr:colOff>384480</xdr:colOff>
      <xdr:row>3</xdr:row>
      <xdr:rowOff>51120</xdr:rowOff>
    </xdr:to>
    <xdr:grpSp>
      <xdr:nvGrpSpPr>
        <xdr:cNvPr id="0" name="Group 409191"/>
        <xdr:cNvGrpSpPr/>
      </xdr:nvGrpSpPr>
      <xdr:grpSpPr>
        <a:xfrm>
          <a:off x="925200" y="152280"/>
          <a:ext cx="6361560" cy="432360"/>
          <a:chOff x="925200" y="152280"/>
          <a:chExt cx="6361560" cy="432360"/>
        </a:xfrm>
      </xdr:grpSpPr>
      <xdr:sp>
        <xdr:nvSpPr>
          <xdr:cNvPr id="1" name="Rectangle 2"/>
          <xdr:cNvSpPr/>
        </xdr:nvSpPr>
        <xdr:spPr>
          <a:xfrm>
            <a:off x="1014480" y="177480"/>
            <a:ext cx="50760" cy="25452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2" name="Shape 508346"/>
          <xdr:cNvSpPr/>
        </xdr:nvSpPr>
        <xdr:spPr>
          <a:xfrm>
            <a:off x="925200" y="241200"/>
            <a:ext cx="6278760" cy="343440"/>
          </a:xfrm>
          <a:custGeom>
            <a:avLst/>
            <a:gdLst>
              <a:gd name="textAreaLeft" fmla="*/ 0 w 6278760"/>
              <a:gd name="textAreaRight" fmla="*/ 6279120 w 6278760"/>
              <a:gd name="textAreaTop" fmla="*/ 0 h 343440"/>
              <a:gd name="textAreaBottom" fmla="*/ 343800 h 34344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3" name="Shape 508347"/>
          <xdr:cNvSpPr/>
        </xdr:nvSpPr>
        <xdr:spPr>
          <a:xfrm>
            <a:off x="1008000" y="152280"/>
            <a:ext cx="6278760" cy="343440"/>
          </a:xfrm>
          <a:custGeom>
            <a:avLst/>
            <a:gdLst>
              <a:gd name="textAreaLeft" fmla="*/ 0 w 6278760"/>
              <a:gd name="textAreaRight" fmla="*/ 6279120 w 6278760"/>
              <a:gd name="textAreaTop" fmla="*/ 0 h 343440"/>
              <a:gd name="textAreaBottom" fmla="*/ 343800 h 34344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4" name="Shape 48252"/>
          <xdr:cNvSpPr/>
        </xdr:nvSpPr>
        <xdr:spPr>
          <a:xfrm>
            <a:off x="1008000" y="152280"/>
            <a:ext cx="6278760" cy="343440"/>
          </a:xfrm>
          <a:custGeom>
            <a:avLst/>
            <a:gdLst>
              <a:gd name="textAreaLeft" fmla="*/ 0 w 6278760"/>
              <a:gd name="textAreaRight" fmla="*/ 6279120 w 6278760"/>
              <a:gd name="textAreaTop" fmla="*/ 0 h 343440"/>
              <a:gd name="textAreaBottom" fmla="*/ 343800 h 34344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5" name="Rectangle 6"/>
          <xdr:cNvSpPr/>
        </xdr:nvSpPr>
        <xdr:spPr>
          <a:xfrm>
            <a:off x="2311200" y="241200"/>
            <a:ext cx="3474720" cy="267120"/>
          </a:xfrm>
          <a:prstGeom prst="rect">
            <a:avLst/>
          </a:prstGeom>
          <a:noFill/>
          <a:ln w="0">
            <a:noFill/>
          </a:ln>
        </xdr:spPr>
        <xdr:style>
          <a:lnRef idx="0"/>
          <a:fillRef idx="0"/>
          <a:effectRef idx="0"/>
          <a:fontRef idx="minor"/>
        </xdr:style>
        <xdr:txBody>
          <a:bodyPr lIns="0" rIns="0" tIns="0" bIns="0" anchor="t">
            <a:noAutofit/>
          </a:bodyPr>
          <a:p>
            <a:pPr algn="ctr"/>
            <a:r>
              <a:rPr b="1" lang="en-US" sz="1400" spc="-1" strike="noStrike">
                <a:solidFill>
                  <a:srgbClr val="ffffff"/>
                </a:solidFill>
                <a:latin typeface="Cambria"/>
              </a:rPr>
              <a:t>FICHE R1 </a:t>
            </a:r>
            <a:endParaRPr b="0" lang="en-US" sz="1400" spc="-1" strike="noStrike">
              <a:latin typeface="Times New Roman"/>
            </a:endParaRPr>
          </a:p>
        </xdr:txBody>
      </xdr:sp>
      <xdr:sp>
        <xdr:nvSpPr>
          <xdr:cNvPr id="6" name="Rectangle 7"/>
          <xdr:cNvSpPr/>
        </xdr:nvSpPr>
        <xdr:spPr>
          <a:xfrm>
            <a:off x="3227040" y="241560"/>
            <a:ext cx="3660840" cy="266760"/>
          </a:xfrm>
          <a:prstGeom prst="rect">
            <a:avLst/>
          </a:prstGeom>
          <a:noFill/>
          <a:ln w="0">
            <a:noFill/>
          </a:ln>
        </xdr:spPr>
        <xdr:style>
          <a:lnRef idx="0"/>
          <a:fillRef idx="0"/>
          <a:effectRef idx="0"/>
          <a:fontRef idx="minor"/>
        </xdr:style>
      </xdr:sp>
      <xdr:sp>
        <xdr:nvSpPr>
          <xdr:cNvPr id="7" name="Rectangle 8"/>
          <xdr:cNvSpPr/>
        </xdr:nvSpPr>
        <xdr:spPr>
          <a:xfrm>
            <a:off x="5977440" y="241200"/>
            <a:ext cx="63720" cy="2671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12600</xdr:colOff>
      <xdr:row>0</xdr:row>
      <xdr:rowOff>0</xdr:rowOff>
    </xdr:from>
    <xdr:to>
      <xdr:col>36</xdr:col>
      <xdr:colOff>12960</xdr:colOff>
      <xdr:row>2</xdr:row>
      <xdr:rowOff>107640</xdr:rowOff>
    </xdr:to>
    <xdr:grpSp>
      <xdr:nvGrpSpPr>
        <xdr:cNvPr id="8" name="Group 409191"/>
        <xdr:cNvGrpSpPr/>
      </xdr:nvGrpSpPr>
      <xdr:grpSpPr>
        <a:xfrm>
          <a:off x="434880" y="0"/>
          <a:ext cx="6784200" cy="463320"/>
          <a:chOff x="434880" y="0"/>
          <a:chExt cx="6784200" cy="463320"/>
        </a:xfrm>
      </xdr:grpSpPr>
      <xdr:sp>
        <xdr:nvSpPr>
          <xdr:cNvPr id="9" name="Rectangle 2"/>
          <xdr:cNvSpPr/>
        </xdr:nvSpPr>
        <xdr:spPr>
          <a:xfrm>
            <a:off x="524160" y="37800"/>
            <a:ext cx="63720" cy="26676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10" name="Shape 508346"/>
          <xdr:cNvSpPr/>
        </xdr:nvSpPr>
        <xdr:spPr>
          <a:xfrm>
            <a:off x="434880" y="88920"/>
            <a:ext cx="6694920" cy="374400"/>
          </a:xfrm>
          <a:custGeom>
            <a:avLst/>
            <a:gdLst>
              <a:gd name="textAreaLeft" fmla="*/ 0 w 6694920"/>
              <a:gd name="textAreaRight" fmla="*/ 6695280 w 6694920"/>
              <a:gd name="textAreaTop" fmla="*/ 0 h 374400"/>
              <a:gd name="textAreaBottom" fmla="*/ 374760 h 3744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11" name="Shape 508347"/>
          <xdr:cNvSpPr/>
        </xdr:nvSpPr>
        <xdr:spPr>
          <a:xfrm>
            <a:off x="524160" y="0"/>
            <a:ext cx="6694920" cy="374400"/>
          </a:xfrm>
          <a:custGeom>
            <a:avLst/>
            <a:gdLst>
              <a:gd name="textAreaLeft" fmla="*/ 0 w 6694920"/>
              <a:gd name="textAreaRight" fmla="*/ 6695280 w 6694920"/>
              <a:gd name="textAreaTop" fmla="*/ 0 h 374400"/>
              <a:gd name="textAreaBottom" fmla="*/ 374760 h 3744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12" name="Shape 48252"/>
          <xdr:cNvSpPr/>
        </xdr:nvSpPr>
        <xdr:spPr>
          <a:xfrm>
            <a:off x="524160" y="0"/>
            <a:ext cx="6694920" cy="374400"/>
          </a:xfrm>
          <a:custGeom>
            <a:avLst/>
            <a:gdLst>
              <a:gd name="textAreaLeft" fmla="*/ 0 w 6694920"/>
              <a:gd name="textAreaRight" fmla="*/ 6695280 w 6694920"/>
              <a:gd name="textAreaTop" fmla="*/ 0 h 374400"/>
              <a:gd name="textAreaBottom" fmla="*/ 374760 h 37440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13" name="Rectangle 6"/>
          <xdr:cNvSpPr/>
        </xdr:nvSpPr>
        <xdr:spPr>
          <a:xfrm>
            <a:off x="1917000" y="95040"/>
            <a:ext cx="3698640" cy="285480"/>
          </a:xfrm>
          <a:prstGeom prst="rect">
            <a:avLst/>
          </a:prstGeom>
          <a:noFill/>
          <a:ln w="0">
            <a:noFill/>
          </a:ln>
        </xdr:spPr>
        <xdr:style>
          <a:lnRef idx="0"/>
          <a:fillRef idx="0"/>
          <a:effectRef idx="0"/>
          <a:fontRef idx="minor"/>
        </xdr:style>
        <xdr:txBody>
          <a:bodyPr lIns="0" rIns="0" tIns="0" bIns="0" anchor="t">
            <a:noAutofit/>
          </a:bodyPr>
          <a:p>
            <a:pPr algn="ctr"/>
            <a:r>
              <a:rPr b="1" lang="en-US" sz="1400" spc="-1" strike="noStrike">
                <a:solidFill>
                  <a:srgbClr val="ffffff"/>
                </a:solidFill>
                <a:latin typeface="Cambria"/>
              </a:rPr>
              <a:t>FICHE R2 </a:t>
            </a:r>
            <a:endParaRPr b="0" lang="en-US" sz="1400" spc="-1" strike="noStrike">
              <a:latin typeface="Times New Roman"/>
            </a:endParaRPr>
          </a:p>
        </xdr:txBody>
      </xdr:sp>
      <xdr:sp>
        <xdr:nvSpPr>
          <xdr:cNvPr id="14" name="Rectangle 7"/>
          <xdr:cNvSpPr/>
        </xdr:nvSpPr>
        <xdr:spPr>
          <a:xfrm>
            <a:off x="2889360" y="95760"/>
            <a:ext cx="3904200" cy="286200"/>
          </a:xfrm>
          <a:prstGeom prst="rect">
            <a:avLst/>
          </a:prstGeom>
          <a:noFill/>
          <a:ln w="0">
            <a:noFill/>
          </a:ln>
        </xdr:spPr>
        <xdr:style>
          <a:lnRef idx="0"/>
          <a:fillRef idx="0"/>
          <a:effectRef idx="0"/>
          <a:fontRef idx="minor"/>
        </xdr:style>
      </xdr:sp>
      <xdr:sp>
        <xdr:nvSpPr>
          <xdr:cNvPr id="15" name="Rectangle 8"/>
          <xdr:cNvSpPr/>
        </xdr:nvSpPr>
        <xdr:spPr>
          <a:xfrm>
            <a:off x="5833080" y="95040"/>
            <a:ext cx="57240" cy="2854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5</xdr:col>
      <xdr:colOff>1392120</xdr:colOff>
      <xdr:row>2</xdr:row>
      <xdr:rowOff>177840</xdr:rowOff>
    </xdr:to>
    <xdr:grpSp>
      <xdr:nvGrpSpPr>
        <xdr:cNvPr id="16" name="Group 409191"/>
        <xdr:cNvGrpSpPr/>
      </xdr:nvGrpSpPr>
      <xdr:grpSpPr>
        <a:xfrm>
          <a:off x="383400" y="0"/>
          <a:ext cx="6516000" cy="533520"/>
          <a:chOff x="383400" y="0"/>
          <a:chExt cx="6516000" cy="533520"/>
        </a:xfrm>
      </xdr:grpSpPr>
      <xdr:sp>
        <xdr:nvSpPr>
          <xdr:cNvPr id="17" name="Rectangle 2"/>
          <xdr:cNvSpPr/>
        </xdr:nvSpPr>
        <xdr:spPr>
          <a:xfrm>
            <a:off x="473040" y="37800"/>
            <a:ext cx="51120" cy="31140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18" name="Shape 508346"/>
          <xdr:cNvSpPr/>
        </xdr:nvSpPr>
        <xdr:spPr>
          <a:xfrm>
            <a:off x="383400" y="101520"/>
            <a:ext cx="6432840" cy="432000"/>
          </a:xfrm>
          <a:custGeom>
            <a:avLst/>
            <a:gdLst>
              <a:gd name="textAreaLeft" fmla="*/ 0 w 6432840"/>
              <a:gd name="textAreaRight" fmla="*/ 6433200 w 6432840"/>
              <a:gd name="textAreaTop" fmla="*/ 0 h 432000"/>
              <a:gd name="textAreaBottom" fmla="*/ 432360 h 4320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19" name="Shape 508347"/>
          <xdr:cNvSpPr/>
        </xdr:nvSpPr>
        <xdr:spPr>
          <a:xfrm>
            <a:off x="466560" y="0"/>
            <a:ext cx="6432840" cy="432000"/>
          </a:xfrm>
          <a:custGeom>
            <a:avLst/>
            <a:gdLst>
              <a:gd name="textAreaLeft" fmla="*/ 0 w 6432840"/>
              <a:gd name="textAreaRight" fmla="*/ 6433200 w 6432840"/>
              <a:gd name="textAreaTop" fmla="*/ 0 h 432000"/>
              <a:gd name="textAreaBottom" fmla="*/ 432360 h 4320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20" name="Shape 48252"/>
          <xdr:cNvSpPr/>
        </xdr:nvSpPr>
        <xdr:spPr>
          <a:xfrm>
            <a:off x="466560" y="0"/>
            <a:ext cx="6432840" cy="432000"/>
          </a:xfrm>
          <a:custGeom>
            <a:avLst/>
            <a:gdLst>
              <a:gd name="textAreaLeft" fmla="*/ 0 w 6432840"/>
              <a:gd name="textAreaRight" fmla="*/ 6433200 w 6432840"/>
              <a:gd name="textAreaTop" fmla="*/ 0 h 432000"/>
              <a:gd name="textAreaBottom" fmla="*/ 432360 h 43200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21" name="Rectangle 6"/>
          <xdr:cNvSpPr/>
        </xdr:nvSpPr>
        <xdr:spPr>
          <a:xfrm>
            <a:off x="1805760" y="114120"/>
            <a:ext cx="3556080" cy="324000"/>
          </a:xfrm>
          <a:prstGeom prst="rect">
            <a:avLst/>
          </a:prstGeom>
          <a:noFill/>
          <a:ln w="0">
            <a:noFill/>
          </a:ln>
        </xdr:spPr>
        <xdr:style>
          <a:lnRef idx="0"/>
          <a:fillRef idx="0"/>
          <a:effectRef idx="0"/>
          <a:fontRef idx="minor"/>
        </xdr:style>
        <xdr:txBody>
          <a:bodyPr lIns="0" rIns="0" tIns="0" bIns="0" anchor="t">
            <a:noAutofit/>
          </a:bodyPr>
          <a:p>
            <a:pPr algn="ctr"/>
            <a:r>
              <a:rPr b="1" lang="en-US" sz="1400" spc="-1" strike="noStrike">
                <a:solidFill>
                  <a:srgbClr val="ffffff"/>
                </a:solidFill>
                <a:latin typeface="Cambria"/>
              </a:rPr>
              <a:t>FICHE R3 </a:t>
            </a:r>
            <a:endParaRPr b="0" lang="en-US" sz="1400" spc="-1" strike="noStrike">
              <a:latin typeface="Times New Roman"/>
            </a:endParaRPr>
          </a:p>
        </xdr:txBody>
      </xdr:sp>
      <xdr:sp>
        <xdr:nvSpPr>
          <xdr:cNvPr id="22" name="Rectangle 7"/>
          <xdr:cNvSpPr/>
        </xdr:nvSpPr>
        <xdr:spPr>
          <a:xfrm>
            <a:off x="2741040" y="110160"/>
            <a:ext cx="3749760" cy="329400"/>
          </a:xfrm>
          <a:prstGeom prst="rect">
            <a:avLst/>
          </a:prstGeom>
          <a:noFill/>
          <a:ln w="0">
            <a:noFill/>
          </a:ln>
        </xdr:spPr>
        <xdr:style>
          <a:lnRef idx="0"/>
          <a:fillRef idx="0"/>
          <a:effectRef idx="0"/>
          <a:fontRef idx="minor"/>
        </xdr:style>
      </xdr:sp>
      <xdr:sp>
        <xdr:nvSpPr>
          <xdr:cNvPr id="23" name="Rectangle 8"/>
          <xdr:cNvSpPr/>
        </xdr:nvSpPr>
        <xdr:spPr>
          <a:xfrm>
            <a:off x="5560560" y="114120"/>
            <a:ext cx="57600" cy="3240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32040</xdr:rowOff>
    </xdr:from>
    <xdr:to>
      <xdr:col>3</xdr:col>
      <xdr:colOff>724320</xdr:colOff>
      <xdr:row>1</xdr:row>
      <xdr:rowOff>228600</xdr:rowOff>
    </xdr:to>
    <xdr:grpSp>
      <xdr:nvGrpSpPr>
        <xdr:cNvPr id="24" name="Group 382594"/>
        <xdr:cNvGrpSpPr/>
      </xdr:nvGrpSpPr>
      <xdr:grpSpPr>
        <a:xfrm>
          <a:off x="0" y="32040"/>
          <a:ext cx="7923960" cy="425160"/>
          <a:chOff x="0" y="32040"/>
          <a:chExt cx="7923960" cy="425160"/>
        </a:xfrm>
      </xdr:grpSpPr>
      <xdr:sp>
        <xdr:nvSpPr>
          <xdr:cNvPr id="25" name="Rectangle 2"/>
          <xdr:cNvSpPr/>
        </xdr:nvSpPr>
        <xdr:spPr>
          <a:xfrm>
            <a:off x="211320" y="32040"/>
            <a:ext cx="57600" cy="17136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26" name="Rectangle 3"/>
          <xdr:cNvSpPr/>
        </xdr:nvSpPr>
        <xdr:spPr>
          <a:xfrm>
            <a:off x="211320" y="285840"/>
            <a:ext cx="57600" cy="17136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27" name="Shape 508250"/>
          <xdr:cNvSpPr/>
        </xdr:nvSpPr>
        <xdr:spPr>
          <a:xfrm>
            <a:off x="0" y="95400"/>
            <a:ext cx="7821720" cy="323640"/>
          </a:xfrm>
          <a:custGeom>
            <a:avLst/>
            <a:gdLst>
              <a:gd name="textAreaLeft" fmla="*/ 0 w 7821720"/>
              <a:gd name="textAreaRight" fmla="*/ 7822080 w 7821720"/>
              <a:gd name="textAreaTop" fmla="*/ 0 h 323640"/>
              <a:gd name="textAreaBottom" fmla="*/ 324000 h 32364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808080">
              <a:alpha val="50000"/>
            </a:srgbClr>
          </a:solidFill>
          <a:ln w="0">
            <a:noFill/>
          </a:ln>
        </xdr:spPr>
        <xdr:style>
          <a:lnRef idx="0"/>
          <a:fillRef idx="0"/>
          <a:effectRef idx="0"/>
          <a:fontRef idx="minor"/>
        </xdr:style>
      </xdr:sp>
      <xdr:sp>
        <xdr:nvSpPr>
          <xdr:cNvPr id="28" name="Shape 508251"/>
          <xdr:cNvSpPr/>
        </xdr:nvSpPr>
        <xdr:spPr>
          <a:xfrm>
            <a:off x="102240" y="50760"/>
            <a:ext cx="7821720" cy="285480"/>
          </a:xfrm>
          <a:custGeom>
            <a:avLst/>
            <a:gdLst>
              <a:gd name="textAreaLeft" fmla="*/ 0 w 7821720"/>
              <a:gd name="textAreaRight" fmla="*/ 7822080 w 7821720"/>
              <a:gd name="textAreaTop" fmla="*/ 0 h 285480"/>
              <a:gd name="textAreaBottom" fmla="*/ 285840 h 28548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4f81bd"/>
          </a:solidFill>
          <a:ln w="0">
            <a:noFill/>
          </a:ln>
        </xdr:spPr>
        <xdr:style>
          <a:lnRef idx="0"/>
          <a:fillRef idx="0"/>
          <a:effectRef idx="0"/>
          <a:fontRef idx="minor"/>
        </xdr:style>
      </xdr:sp>
      <xdr:sp>
        <xdr:nvSpPr>
          <xdr:cNvPr id="29" name="Shape 19229"/>
          <xdr:cNvSpPr/>
        </xdr:nvSpPr>
        <xdr:spPr>
          <a:xfrm>
            <a:off x="102240" y="32040"/>
            <a:ext cx="7821720" cy="323640"/>
          </a:xfrm>
          <a:custGeom>
            <a:avLst/>
            <a:gdLst>
              <a:gd name="textAreaLeft" fmla="*/ 0 w 7821720"/>
              <a:gd name="textAreaRight" fmla="*/ 7822080 w 7821720"/>
              <a:gd name="textAreaTop" fmla="*/ 0 h 323640"/>
              <a:gd name="textAreaBottom" fmla="*/ 324000 h 323640"/>
            </a:gdLst>
            <a:ahLst/>
            <a:rect l="textAreaLeft" t="textAreaTop" r="textAreaRight" b="textAreaBottom"/>
            <a:pathLst>
              <a:path w="5772150" h="352425">
                <a:moveTo>
                  <a:pt x="0" y="352425"/>
                </a:moveTo>
                <a:lnTo>
                  <a:pt x="5772150" y="352425"/>
                </a:lnTo>
                <a:lnTo>
                  <a:pt x="5772150" y="0"/>
                </a:lnTo>
                <a:lnTo>
                  <a:pt x="0" y="0"/>
                </a:lnTo>
                <a:lnTo>
                  <a:pt x="0" y="352425"/>
                </a:lnTo>
                <a:close/>
              </a:path>
            </a:pathLst>
          </a:custGeom>
          <a:noFill/>
          <a:ln cap="rnd" w="9360">
            <a:solidFill>
              <a:srgbClr val="000000"/>
            </a:solidFill>
            <a:miter/>
          </a:ln>
        </xdr:spPr>
        <xdr:style>
          <a:lnRef idx="0"/>
          <a:fillRef idx="0"/>
          <a:effectRef idx="0"/>
          <a:fontRef idx="minor"/>
        </xdr:style>
      </xdr:sp>
      <xdr:sp>
        <xdr:nvSpPr>
          <xdr:cNvPr id="30" name="Rectangle 7"/>
          <xdr:cNvSpPr/>
        </xdr:nvSpPr>
        <xdr:spPr>
          <a:xfrm>
            <a:off x="2856960" y="108000"/>
            <a:ext cx="70200" cy="2095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31" name="Rectangle 8"/>
          <xdr:cNvSpPr/>
        </xdr:nvSpPr>
        <xdr:spPr>
          <a:xfrm>
            <a:off x="3049200" y="108000"/>
            <a:ext cx="70200" cy="2095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32" name="Rectangle 9"/>
          <xdr:cNvSpPr/>
        </xdr:nvSpPr>
        <xdr:spPr>
          <a:xfrm>
            <a:off x="3113280" y="108000"/>
            <a:ext cx="89640" cy="20952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33" name="Rectangle 10"/>
          <xdr:cNvSpPr/>
        </xdr:nvSpPr>
        <xdr:spPr>
          <a:xfrm>
            <a:off x="1588680" y="108000"/>
            <a:ext cx="5951160" cy="2095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Arial"/>
              </a:rPr>
              <a:t>                           </a:t>
            </a:r>
            <a:r>
              <a:rPr b="1" lang="en-US" sz="1400" spc="-1" strike="noStrike">
                <a:solidFill>
                  <a:srgbClr val="ffffff"/>
                </a:solidFill>
                <a:latin typeface="Arial"/>
              </a:rPr>
              <a:t>FICHE R4</a:t>
            </a:r>
            <a:endParaRPr b="0" lang="en-US" sz="1400" spc="-1" strike="noStrike">
              <a:latin typeface="Times New Roman"/>
            </a:endParaRPr>
          </a:p>
        </xdr:txBody>
      </xdr:sp>
    </xdr:grp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6</xdr:col>
      <xdr:colOff>884880</xdr:colOff>
      <xdr:row>3</xdr:row>
      <xdr:rowOff>43920</xdr:rowOff>
    </xdr:to>
    <xdr:grpSp>
      <xdr:nvGrpSpPr>
        <xdr:cNvPr id="34" name="Group 381508"/>
        <xdr:cNvGrpSpPr/>
      </xdr:nvGrpSpPr>
      <xdr:grpSpPr>
        <a:xfrm>
          <a:off x="0" y="177840"/>
          <a:ext cx="7787880" cy="399600"/>
          <a:chOff x="0" y="177840"/>
          <a:chExt cx="7787880" cy="399600"/>
        </a:xfrm>
      </xdr:grpSpPr>
      <xdr:sp>
        <xdr:nvSpPr>
          <xdr:cNvPr id="35" name="Rectangle 12"/>
          <xdr:cNvSpPr/>
        </xdr:nvSpPr>
        <xdr:spPr>
          <a:xfrm>
            <a:off x="108720" y="374400"/>
            <a:ext cx="51120" cy="17748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36" name="Shape 508248"/>
          <xdr:cNvSpPr/>
        </xdr:nvSpPr>
        <xdr:spPr>
          <a:xfrm>
            <a:off x="0" y="253800"/>
            <a:ext cx="7685640" cy="323640"/>
          </a:xfrm>
          <a:custGeom>
            <a:avLst/>
            <a:gdLst>
              <a:gd name="textAreaLeft" fmla="*/ 0 w 7685640"/>
              <a:gd name="textAreaRight" fmla="*/ 7686000 w 7685640"/>
              <a:gd name="textAreaTop" fmla="*/ 0 h 323640"/>
              <a:gd name="textAreaBottom" fmla="*/ 324000 h 32364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808080">
              <a:alpha val="50000"/>
            </a:srgbClr>
          </a:solidFill>
          <a:ln w="0">
            <a:noFill/>
          </a:ln>
        </xdr:spPr>
        <xdr:style>
          <a:lnRef idx="0"/>
          <a:fillRef idx="0"/>
          <a:effectRef idx="0"/>
          <a:fontRef idx="minor"/>
        </xdr:style>
      </xdr:sp>
      <xdr:sp>
        <xdr:nvSpPr>
          <xdr:cNvPr id="37" name="Shape 508249"/>
          <xdr:cNvSpPr/>
        </xdr:nvSpPr>
        <xdr:spPr>
          <a:xfrm>
            <a:off x="102240" y="177840"/>
            <a:ext cx="7685640" cy="323640"/>
          </a:xfrm>
          <a:custGeom>
            <a:avLst/>
            <a:gdLst>
              <a:gd name="textAreaLeft" fmla="*/ 0 w 7685640"/>
              <a:gd name="textAreaRight" fmla="*/ 7686000 w 7685640"/>
              <a:gd name="textAreaTop" fmla="*/ 0 h 323640"/>
              <a:gd name="textAreaBottom" fmla="*/ 324000 h 32364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4f81bd"/>
          </a:solidFill>
          <a:ln w="0">
            <a:noFill/>
          </a:ln>
        </xdr:spPr>
        <xdr:style>
          <a:lnRef idx="0"/>
          <a:fillRef idx="0"/>
          <a:effectRef idx="0"/>
          <a:fontRef idx="minor"/>
        </xdr:style>
      </xdr:sp>
      <xdr:sp>
        <xdr:nvSpPr>
          <xdr:cNvPr id="38" name="Shape 18128"/>
          <xdr:cNvSpPr/>
        </xdr:nvSpPr>
        <xdr:spPr>
          <a:xfrm>
            <a:off x="102240" y="177840"/>
            <a:ext cx="7685640" cy="323640"/>
          </a:xfrm>
          <a:custGeom>
            <a:avLst/>
            <a:gdLst>
              <a:gd name="textAreaLeft" fmla="*/ 0 w 7685640"/>
              <a:gd name="textAreaRight" fmla="*/ 7686000 w 7685640"/>
              <a:gd name="textAreaTop" fmla="*/ 0 h 323640"/>
              <a:gd name="textAreaBottom" fmla="*/ 324000 h 323640"/>
            </a:gdLst>
            <a:ahLst/>
            <a:rect l="textAreaLeft" t="textAreaTop" r="textAreaRight" b="textAreaBottom"/>
            <a:pathLst>
              <a:path w="5772150" h="352425">
                <a:moveTo>
                  <a:pt x="0" y="352425"/>
                </a:moveTo>
                <a:lnTo>
                  <a:pt x="5772150" y="352425"/>
                </a:lnTo>
                <a:lnTo>
                  <a:pt x="5772150" y="0"/>
                </a:lnTo>
                <a:lnTo>
                  <a:pt x="0" y="0"/>
                </a:lnTo>
                <a:lnTo>
                  <a:pt x="0" y="352425"/>
                </a:lnTo>
                <a:close/>
              </a:path>
            </a:pathLst>
          </a:custGeom>
          <a:noFill/>
          <a:ln cap="rnd" w="9360">
            <a:solidFill>
              <a:srgbClr val="000000"/>
            </a:solidFill>
            <a:miter/>
          </a:ln>
        </xdr:spPr>
        <xdr:style>
          <a:lnRef idx="0"/>
          <a:fillRef idx="0"/>
          <a:effectRef idx="0"/>
          <a:fontRef idx="minor"/>
        </xdr:style>
      </xdr:sp>
      <xdr:sp>
        <xdr:nvSpPr>
          <xdr:cNvPr id="39" name="Rectangle 16"/>
          <xdr:cNvSpPr/>
        </xdr:nvSpPr>
        <xdr:spPr>
          <a:xfrm>
            <a:off x="1901880" y="253800"/>
            <a:ext cx="1530720" cy="22212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40" name="Rectangle 17"/>
          <xdr:cNvSpPr/>
        </xdr:nvSpPr>
        <xdr:spPr>
          <a:xfrm>
            <a:off x="3048480" y="253800"/>
            <a:ext cx="70200" cy="2221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41" name="Rectangle 19"/>
          <xdr:cNvSpPr/>
        </xdr:nvSpPr>
        <xdr:spPr>
          <a:xfrm>
            <a:off x="492840" y="177840"/>
            <a:ext cx="6782400" cy="241200"/>
          </a:xfrm>
          <a:prstGeom prst="rect">
            <a:avLst/>
          </a:prstGeom>
          <a:noFill/>
          <a:ln w="0">
            <a:noFill/>
          </a:ln>
        </xdr:spPr>
        <xdr:style>
          <a:lnRef idx="0"/>
          <a:fillRef idx="0"/>
          <a:effectRef idx="0"/>
          <a:fontRef idx="minor"/>
        </xdr:style>
        <xdr:txBody>
          <a:bodyPr lIns="0" rIns="0" tIns="0" bIns="0" anchor="t">
            <a:noAutofit/>
          </a:bodyPr>
          <a:p>
            <a:pPr algn="ctr"/>
            <a:r>
              <a:rPr b="1" lang="en-US" sz="1400" spc="-1" strike="noStrike">
                <a:solidFill>
                  <a:srgbClr val="ffffff"/>
                </a:solidFill>
                <a:latin typeface="Gill Sans MT"/>
              </a:rPr>
              <a:t>BILAN (ACTIF)_MODELE 2 (PORTRAIT)</a:t>
            </a:r>
            <a:endParaRPr b="0" lang="en-US" sz="1400" spc="-1" strike="noStrike">
              <a:latin typeface="Times New Roman"/>
            </a:endParaRPr>
          </a:p>
        </xdr:txBody>
      </xdr:sp>
      <xdr:sp>
        <xdr:nvSpPr>
          <xdr:cNvPr id="42" name="Rectangle 20"/>
          <xdr:cNvSpPr/>
        </xdr:nvSpPr>
        <xdr:spPr>
          <a:xfrm>
            <a:off x="5988240" y="253800"/>
            <a:ext cx="70200" cy="2221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230400</xdr:colOff>
      <xdr:row>0</xdr:row>
      <xdr:rowOff>57240</xdr:rowOff>
    </xdr:from>
    <xdr:to>
      <xdr:col>4</xdr:col>
      <xdr:colOff>628920</xdr:colOff>
      <xdr:row>2</xdr:row>
      <xdr:rowOff>50760</xdr:rowOff>
    </xdr:to>
    <xdr:grpSp>
      <xdr:nvGrpSpPr>
        <xdr:cNvPr id="43" name="Group 382594"/>
        <xdr:cNvGrpSpPr/>
      </xdr:nvGrpSpPr>
      <xdr:grpSpPr>
        <a:xfrm>
          <a:off x="230400" y="57240"/>
          <a:ext cx="6746040" cy="450720"/>
          <a:chOff x="230400" y="57240"/>
          <a:chExt cx="6746040" cy="450720"/>
        </a:xfrm>
      </xdr:grpSpPr>
      <xdr:sp>
        <xdr:nvSpPr>
          <xdr:cNvPr id="44" name="Rectangle 12"/>
          <xdr:cNvSpPr/>
        </xdr:nvSpPr>
        <xdr:spPr>
          <a:xfrm>
            <a:off x="409680" y="57240"/>
            <a:ext cx="51120" cy="18396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45" name="Rectangle 13"/>
          <xdr:cNvSpPr/>
        </xdr:nvSpPr>
        <xdr:spPr>
          <a:xfrm>
            <a:off x="409680" y="324000"/>
            <a:ext cx="51120" cy="18396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46" name="Shape 508250"/>
          <xdr:cNvSpPr/>
        </xdr:nvSpPr>
        <xdr:spPr>
          <a:xfrm>
            <a:off x="230400" y="133200"/>
            <a:ext cx="6656400" cy="336600"/>
          </a:xfrm>
          <a:custGeom>
            <a:avLst/>
            <a:gdLst>
              <a:gd name="textAreaLeft" fmla="*/ 0 w 6656400"/>
              <a:gd name="textAreaRight" fmla="*/ 6656760 w 6656400"/>
              <a:gd name="textAreaTop" fmla="*/ 0 h 336600"/>
              <a:gd name="textAreaBottom" fmla="*/ 336960 h 33660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808080">
              <a:alpha val="50000"/>
            </a:srgbClr>
          </a:solidFill>
          <a:ln w="0">
            <a:noFill/>
          </a:ln>
        </xdr:spPr>
        <xdr:style>
          <a:lnRef idx="0"/>
          <a:fillRef idx="0"/>
          <a:effectRef idx="0"/>
          <a:fontRef idx="minor"/>
        </xdr:style>
      </xdr:sp>
      <xdr:sp>
        <xdr:nvSpPr>
          <xdr:cNvPr id="47" name="Shape 508251"/>
          <xdr:cNvSpPr/>
        </xdr:nvSpPr>
        <xdr:spPr>
          <a:xfrm>
            <a:off x="320040" y="75960"/>
            <a:ext cx="6656400" cy="336600"/>
          </a:xfrm>
          <a:custGeom>
            <a:avLst/>
            <a:gdLst>
              <a:gd name="textAreaLeft" fmla="*/ 0 w 6656400"/>
              <a:gd name="textAreaRight" fmla="*/ 6656760 w 6656400"/>
              <a:gd name="textAreaTop" fmla="*/ 0 h 336600"/>
              <a:gd name="textAreaBottom" fmla="*/ 336960 h 33660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4f81bd"/>
          </a:solidFill>
          <a:ln w="0">
            <a:noFill/>
          </a:ln>
        </xdr:spPr>
        <xdr:style>
          <a:lnRef idx="0"/>
          <a:fillRef idx="0"/>
          <a:effectRef idx="0"/>
          <a:fontRef idx="minor"/>
        </xdr:style>
      </xdr:sp>
      <xdr:sp>
        <xdr:nvSpPr>
          <xdr:cNvPr id="48" name="Shape 19229"/>
          <xdr:cNvSpPr/>
        </xdr:nvSpPr>
        <xdr:spPr>
          <a:xfrm>
            <a:off x="320040" y="57240"/>
            <a:ext cx="6656400" cy="336600"/>
          </a:xfrm>
          <a:custGeom>
            <a:avLst/>
            <a:gdLst>
              <a:gd name="textAreaLeft" fmla="*/ 0 w 6656400"/>
              <a:gd name="textAreaRight" fmla="*/ 6656760 w 6656400"/>
              <a:gd name="textAreaTop" fmla="*/ 0 h 336600"/>
              <a:gd name="textAreaBottom" fmla="*/ 336960 h 336600"/>
            </a:gdLst>
            <a:ahLst/>
            <a:rect l="textAreaLeft" t="textAreaTop" r="textAreaRight" b="textAreaBottom"/>
            <a:pathLst>
              <a:path w="5772150" h="352425">
                <a:moveTo>
                  <a:pt x="0" y="352425"/>
                </a:moveTo>
                <a:lnTo>
                  <a:pt x="5772150" y="352425"/>
                </a:lnTo>
                <a:lnTo>
                  <a:pt x="5772150" y="0"/>
                </a:lnTo>
                <a:lnTo>
                  <a:pt x="0" y="0"/>
                </a:lnTo>
                <a:lnTo>
                  <a:pt x="0" y="352425"/>
                </a:lnTo>
                <a:close/>
              </a:path>
            </a:pathLst>
          </a:custGeom>
          <a:noFill/>
          <a:ln cap="rnd" w="9360">
            <a:solidFill>
              <a:srgbClr val="000000"/>
            </a:solidFill>
            <a:miter/>
          </a:ln>
        </xdr:spPr>
        <xdr:style>
          <a:lnRef idx="0"/>
          <a:fillRef idx="0"/>
          <a:effectRef idx="0"/>
          <a:fontRef idx="minor"/>
        </xdr:style>
      </xdr:sp>
      <xdr:sp>
        <xdr:nvSpPr>
          <xdr:cNvPr id="49" name="Rectangle 17"/>
          <xdr:cNvSpPr/>
        </xdr:nvSpPr>
        <xdr:spPr>
          <a:xfrm>
            <a:off x="2664720" y="133200"/>
            <a:ext cx="63720" cy="2286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50" name="Rectangle 18"/>
          <xdr:cNvSpPr/>
        </xdr:nvSpPr>
        <xdr:spPr>
          <a:xfrm>
            <a:off x="2824920" y="133200"/>
            <a:ext cx="63720" cy="2286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51" name="Rectangle 19"/>
          <xdr:cNvSpPr/>
        </xdr:nvSpPr>
        <xdr:spPr>
          <a:xfrm>
            <a:off x="2876400" y="133200"/>
            <a:ext cx="70200" cy="22860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52" name="Rectangle 20"/>
          <xdr:cNvSpPr/>
        </xdr:nvSpPr>
        <xdr:spPr>
          <a:xfrm>
            <a:off x="1620360" y="95040"/>
            <a:ext cx="4670280" cy="228600"/>
          </a:xfrm>
          <a:prstGeom prst="rect">
            <a:avLst/>
          </a:prstGeom>
          <a:noFill/>
          <a:ln w="0">
            <a:noFill/>
          </a:ln>
        </xdr:spPr>
        <xdr:style>
          <a:lnRef idx="0"/>
          <a:fillRef idx="0"/>
          <a:effectRef idx="0"/>
          <a:fontRef idx="minor"/>
        </xdr:style>
        <xdr:txBody>
          <a:bodyPr lIns="0" rIns="0" tIns="0" bIns="0" anchor="t">
            <a:noAutofit/>
          </a:bodyPr>
          <a:p>
            <a:pPr algn="ctr"/>
            <a:r>
              <a:rPr b="1" lang="en-US" sz="1400" spc="-1" strike="noStrike">
                <a:solidFill>
                  <a:srgbClr val="ffffff"/>
                </a:solidFill>
                <a:latin typeface="ITC Avant Garde Gothic Demi"/>
              </a:rPr>
              <a:t>BILAN (PASSIF)_MODELE 2 (PORTRAIT)</a:t>
            </a:r>
            <a:endParaRPr b="0" lang="en-US" sz="1400" spc="-1" strike="noStrike">
              <a:latin typeface="Times New Roman"/>
            </a:endParaRPr>
          </a:p>
        </xdr:txBody>
      </xdr:sp>
    </xdr:grp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32040</xdr:rowOff>
    </xdr:from>
    <xdr:to>
      <xdr:col>5</xdr:col>
      <xdr:colOff>988200</xdr:colOff>
      <xdr:row>1</xdr:row>
      <xdr:rowOff>228600</xdr:rowOff>
    </xdr:to>
    <xdr:grpSp>
      <xdr:nvGrpSpPr>
        <xdr:cNvPr id="53" name="Group 382594"/>
        <xdr:cNvGrpSpPr/>
      </xdr:nvGrpSpPr>
      <xdr:grpSpPr>
        <a:xfrm>
          <a:off x="0" y="32040"/>
          <a:ext cx="7174440" cy="425160"/>
          <a:chOff x="0" y="32040"/>
          <a:chExt cx="7174440" cy="425160"/>
        </a:xfrm>
      </xdr:grpSpPr>
      <xdr:sp>
        <xdr:nvSpPr>
          <xdr:cNvPr id="54" name="Rectangle 2"/>
          <xdr:cNvSpPr/>
        </xdr:nvSpPr>
        <xdr:spPr>
          <a:xfrm>
            <a:off x="191880" y="32040"/>
            <a:ext cx="51120" cy="17136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55" name="Rectangle 3"/>
          <xdr:cNvSpPr/>
        </xdr:nvSpPr>
        <xdr:spPr>
          <a:xfrm>
            <a:off x="191880" y="285840"/>
            <a:ext cx="51120" cy="17136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56" name="Shape 508250"/>
          <xdr:cNvSpPr/>
        </xdr:nvSpPr>
        <xdr:spPr>
          <a:xfrm>
            <a:off x="0" y="95400"/>
            <a:ext cx="7084800" cy="323640"/>
          </a:xfrm>
          <a:custGeom>
            <a:avLst/>
            <a:gdLst>
              <a:gd name="textAreaLeft" fmla="*/ 0 w 7084800"/>
              <a:gd name="textAreaRight" fmla="*/ 7085160 w 7084800"/>
              <a:gd name="textAreaTop" fmla="*/ 0 h 323640"/>
              <a:gd name="textAreaBottom" fmla="*/ 324000 h 32364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808080">
              <a:alpha val="50000"/>
            </a:srgbClr>
          </a:solidFill>
          <a:ln w="0">
            <a:noFill/>
          </a:ln>
        </xdr:spPr>
        <xdr:style>
          <a:lnRef idx="0"/>
          <a:fillRef idx="0"/>
          <a:effectRef idx="0"/>
          <a:fontRef idx="minor"/>
        </xdr:style>
      </xdr:sp>
      <xdr:sp>
        <xdr:nvSpPr>
          <xdr:cNvPr id="57" name="Shape 508251"/>
          <xdr:cNvSpPr/>
        </xdr:nvSpPr>
        <xdr:spPr>
          <a:xfrm>
            <a:off x="89640" y="50760"/>
            <a:ext cx="7084800" cy="285480"/>
          </a:xfrm>
          <a:custGeom>
            <a:avLst/>
            <a:gdLst>
              <a:gd name="textAreaLeft" fmla="*/ 0 w 7084800"/>
              <a:gd name="textAreaRight" fmla="*/ 7085160 w 7084800"/>
              <a:gd name="textAreaTop" fmla="*/ 0 h 285480"/>
              <a:gd name="textAreaBottom" fmla="*/ 285840 h 28548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4f81bd"/>
          </a:solidFill>
          <a:ln w="0">
            <a:noFill/>
          </a:ln>
        </xdr:spPr>
        <xdr:style>
          <a:lnRef idx="0"/>
          <a:fillRef idx="0"/>
          <a:effectRef idx="0"/>
          <a:fontRef idx="minor"/>
        </xdr:style>
      </xdr:sp>
      <xdr:sp>
        <xdr:nvSpPr>
          <xdr:cNvPr id="58" name="Shape 19229"/>
          <xdr:cNvSpPr/>
        </xdr:nvSpPr>
        <xdr:spPr>
          <a:xfrm>
            <a:off x="89640" y="32040"/>
            <a:ext cx="7084800" cy="323640"/>
          </a:xfrm>
          <a:custGeom>
            <a:avLst/>
            <a:gdLst>
              <a:gd name="textAreaLeft" fmla="*/ 0 w 7084800"/>
              <a:gd name="textAreaRight" fmla="*/ 7085160 w 7084800"/>
              <a:gd name="textAreaTop" fmla="*/ 0 h 323640"/>
              <a:gd name="textAreaBottom" fmla="*/ 324000 h 323640"/>
            </a:gdLst>
            <a:ahLst/>
            <a:rect l="textAreaLeft" t="textAreaTop" r="textAreaRight" b="textAreaBottom"/>
            <a:pathLst>
              <a:path w="5772150" h="352425">
                <a:moveTo>
                  <a:pt x="0" y="352425"/>
                </a:moveTo>
                <a:lnTo>
                  <a:pt x="5772150" y="352425"/>
                </a:lnTo>
                <a:lnTo>
                  <a:pt x="5772150" y="0"/>
                </a:lnTo>
                <a:lnTo>
                  <a:pt x="0" y="0"/>
                </a:lnTo>
                <a:lnTo>
                  <a:pt x="0" y="352425"/>
                </a:lnTo>
                <a:close/>
              </a:path>
            </a:pathLst>
          </a:custGeom>
          <a:noFill/>
          <a:ln cap="rnd" w="9360">
            <a:solidFill>
              <a:srgbClr val="000000"/>
            </a:solidFill>
            <a:miter/>
          </a:ln>
        </xdr:spPr>
        <xdr:style>
          <a:lnRef idx="0"/>
          <a:fillRef idx="0"/>
          <a:effectRef idx="0"/>
          <a:fontRef idx="minor"/>
        </xdr:style>
      </xdr:sp>
      <xdr:sp>
        <xdr:nvSpPr>
          <xdr:cNvPr id="59" name="Rectangle 7"/>
          <xdr:cNvSpPr/>
        </xdr:nvSpPr>
        <xdr:spPr>
          <a:xfrm>
            <a:off x="2588040" y="108000"/>
            <a:ext cx="70200" cy="2095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60" name="Rectangle 8"/>
          <xdr:cNvSpPr/>
        </xdr:nvSpPr>
        <xdr:spPr>
          <a:xfrm>
            <a:off x="2767320" y="108000"/>
            <a:ext cx="57600" cy="2095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61" name="Rectangle 9"/>
          <xdr:cNvSpPr/>
        </xdr:nvSpPr>
        <xdr:spPr>
          <a:xfrm>
            <a:off x="2818440" y="108000"/>
            <a:ext cx="76680" cy="20952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62" name="Rectangle 10"/>
          <xdr:cNvSpPr/>
        </xdr:nvSpPr>
        <xdr:spPr>
          <a:xfrm>
            <a:off x="1441080" y="108000"/>
            <a:ext cx="5380920" cy="2095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Arial"/>
              </a:rPr>
              <a:t>               </a:t>
            </a:r>
            <a:r>
              <a:rPr b="1" lang="en-US" sz="1400" spc="-1" strike="noStrike">
                <a:solidFill>
                  <a:srgbClr val="ffffff"/>
                </a:solidFill>
                <a:latin typeface="Arial"/>
              </a:rPr>
              <a:t>COMPTE DE RESULTAT</a:t>
            </a:r>
            <a:endParaRPr b="0" lang="en-US" sz="1400" spc="-1" strike="noStrike">
              <a:latin typeface="Times New Roman"/>
            </a:endParaRPr>
          </a:p>
        </xdr:txBody>
      </xdr:sp>
    </xdr:grp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63000</xdr:rowOff>
    </xdr:from>
    <xdr:to>
      <xdr:col>8</xdr:col>
      <xdr:colOff>750240</xdr:colOff>
      <xdr:row>3</xdr:row>
      <xdr:rowOff>126720</xdr:rowOff>
    </xdr:to>
    <xdr:grpSp>
      <xdr:nvGrpSpPr>
        <xdr:cNvPr id="63" name="Group 382594"/>
        <xdr:cNvGrpSpPr/>
      </xdr:nvGrpSpPr>
      <xdr:grpSpPr>
        <a:xfrm>
          <a:off x="281160" y="247320"/>
          <a:ext cx="8319600" cy="476280"/>
          <a:chOff x="281160" y="247320"/>
          <a:chExt cx="8319600" cy="476280"/>
        </a:xfrm>
      </xdr:grpSpPr>
      <xdr:sp>
        <xdr:nvSpPr>
          <xdr:cNvPr id="64" name="Rectangle 17"/>
          <xdr:cNvSpPr/>
        </xdr:nvSpPr>
        <xdr:spPr>
          <a:xfrm>
            <a:off x="505080" y="247320"/>
            <a:ext cx="57600" cy="19044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65" name="Rectangle 18"/>
          <xdr:cNvSpPr/>
        </xdr:nvSpPr>
        <xdr:spPr>
          <a:xfrm>
            <a:off x="505080" y="533160"/>
            <a:ext cx="57600" cy="19044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66" name="Shape 508250"/>
          <xdr:cNvSpPr/>
        </xdr:nvSpPr>
        <xdr:spPr>
          <a:xfrm>
            <a:off x="281160" y="323280"/>
            <a:ext cx="8210880" cy="349200"/>
          </a:xfrm>
          <a:custGeom>
            <a:avLst/>
            <a:gdLst>
              <a:gd name="textAreaLeft" fmla="*/ 0 w 8210880"/>
              <a:gd name="textAreaRight" fmla="*/ 8211240 w 8210880"/>
              <a:gd name="textAreaTop" fmla="*/ 0 h 349200"/>
              <a:gd name="textAreaBottom" fmla="*/ 349560 h 34920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808080">
              <a:alpha val="50000"/>
            </a:srgbClr>
          </a:solidFill>
          <a:ln w="0">
            <a:noFill/>
          </a:ln>
        </xdr:spPr>
        <xdr:style>
          <a:lnRef idx="0"/>
          <a:fillRef idx="0"/>
          <a:effectRef idx="0"/>
          <a:fontRef idx="minor"/>
        </xdr:style>
      </xdr:sp>
      <xdr:sp>
        <xdr:nvSpPr>
          <xdr:cNvPr id="67" name="Shape 508251"/>
          <xdr:cNvSpPr/>
        </xdr:nvSpPr>
        <xdr:spPr>
          <a:xfrm>
            <a:off x="389880" y="266040"/>
            <a:ext cx="8210880" cy="355680"/>
          </a:xfrm>
          <a:custGeom>
            <a:avLst/>
            <a:gdLst>
              <a:gd name="textAreaLeft" fmla="*/ 0 w 8210880"/>
              <a:gd name="textAreaRight" fmla="*/ 8211240 w 8210880"/>
              <a:gd name="textAreaTop" fmla="*/ 0 h 355680"/>
              <a:gd name="textAreaBottom" fmla="*/ 355680 h 35568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4f81bd"/>
          </a:solidFill>
          <a:ln w="0">
            <a:noFill/>
          </a:ln>
        </xdr:spPr>
        <xdr:style>
          <a:lnRef idx="0"/>
          <a:fillRef idx="0"/>
          <a:effectRef idx="0"/>
          <a:fontRef idx="minor"/>
        </xdr:style>
      </xdr:sp>
      <xdr:sp>
        <xdr:nvSpPr>
          <xdr:cNvPr id="68" name="Shape 19229"/>
          <xdr:cNvSpPr/>
        </xdr:nvSpPr>
        <xdr:spPr>
          <a:xfrm>
            <a:off x="389880" y="247320"/>
            <a:ext cx="8210880" cy="349200"/>
          </a:xfrm>
          <a:custGeom>
            <a:avLst/>
            <a:gdLst>
              <a:gd name="textAreaLeft" fmla="*/ 0 w 8210880"/>
              <a:gd name="textAreaRight" fmla="*/ 8211240 w 8210880"/>
              <a:gd name="textAreaTop" fmla="*/ 0 h 349200"/>
              <a:gd name="textAreaBottom" fmla="*/ 349560 h 349200"/>
            </a:gdLst>
            <a:ahLst/>
            <a:rect l="textAreaLeft" t="textAreaTop" r="textAreaRight" b="textAreaBottom"/>
            <a:pathLst>
              <a:path w="5772150" h="352425">
                <a:moveTo>
                  <a:pt x="0" y="352425"/>
                </a:moveTo>
                <a:lnTo>
                  <a:pt x="5772150" y="352425"/>
                </a:lnTo>
                <a:lnTo>
                  <a:pt x="5772150" y="0"/>
                </a:lnTo>
                <a:lnTo>
                  <a:pt x="0" y="0"/>
                </a:lnTo>
                <a:lnTo>
                  <a:pt x="0" y="352425"/>
                </a:lnTo>
                <a:close/>
              </a:path>
            </a:pathLst>
          </a:custGeom>
          <a:noFill/>
          <a:ln cap="rnd" w="9360">
            <a:solidFill>
              <a:srgbClr val="000000"/>
            </a:solidFill>
            <a:miter/>
          </a:ln>
        </xdr:spPr>
        <xdr:style>
          <a:lnRef idx="0"/>
          <a:fillRef idx="0"/>
          <a:effectRef idx="0"/>
          <a:fontRef idx="minor"/>
        </xdr:style>
      </xdr:sp>
      <xdr:sp>
        <xdr:nvSpPr>
          <xdr:cNvPr id="69" name="Rectangle 22"/>
          <xdr:cNvSpPr/>
        </xdr:nvSpPr>
        <xdr:spPr>
          <a:xfrm>
            <a:off x="3291120" y="323280"/>
            <a:ext cx="70200" cy="2476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70" name="Rectangle 23"/>
          <xdr:cNvSpPr/>
        </xdr:nvSpPr>
        <xdr:spPr>
          <a:xfrm>
            <a:off x="3489840" y="323280"/>
            <a:ext cx="70200" cy="2476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71" name="Rectangle 24"/>
          <xdr:cNvSpPr/>
        </xdr:nvSpPr>
        <xdr:spPr>
          <a:xfrm>
            <a:off x="3540960" y="323280"/>
            <a:ext cx="102240" cy="24768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72" name="Rectangle 25"/>
          <xdr:cNvSpPr/>
        </xdr:nvSpPr>
        <xdr:spPr>
          <a:xfrm>
            <a:off x="1952640" y="323280"/>
            <a:ext cx="5764320" cy="247680"/>
          </a:xfrm>
          <a:prstGeom prst="rect">
            <a:avLst/>
          </a:prstGeom>
          <a:noFill/>
          <a:ln w="0">
            <a:noFill/>
          </a:ln>
        </xdr:spPr>
        <xdr:style>
          <a:lnRef idx="0"/>
          <a:fillRef idx="0"/>
          <a:effectRef idx="0"/>
          <a:fontRef idx="minor"/>
        </xdr:style>
        <xdr:txBody>
          <a:bodyPr lIns="0" rIns="0" tIns="0" bIns="0" anchor="t">
            <a:noAutofit/>
          </a:bodyPr>
          <a:p>
            <a:pPr algn="ctr"/>
            <a:r>
              <a:rPr b="1" lang="en-US" sz="1400" spc="-1" strike="noStrike">
                <a:solidFill>
                  <a:srgbClr val="ffffff"/>
                </a:solidFill>
                <a:latin typeface="Arial"/>
              </a:rPr>
              <a:t>TABLEAU DES FLUX DE TRESORERIE</a:t>
            </a:r>
            <a:endParaRPr b="0" lang="en-US" sz="1400" spc="-1" strike="noStrike">
              <a:latin typeface="Times New Roman"/>
            </a:endParaRPr>
          </a:p>
        </xdr:txBody>
      </xdr:sp>
    </xdr:grp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108000</xdr:rowOff>
    </xdr:from>
    <xdr:to>
      <xdr:col>5</xdr:col>
      <xdr:colOff>737640</xdr:colOff>
      <xdr:row>3</xdr:row>
      <xdr:rowOff>108000</xdr:rowOff>
    </xdr:to>
    <xdr:grpSp>
      <xdr:nvGrpSpPr>
        <xdr:cNvPr id="73" name="Group 382594"/>
        <xdr:cNvGrpSpPr/>
      </xdr:nvGrpSpPr>
      <xdr:grpSpPr>
        <a:xfrm>
          <a:off x="0" y="108000"/>
          <a:ext cx="7443360" cy="380880"/>
          <a:chOff x="0" y="108000"/>
          <a:chExt cx="7443360" cy="380880"/>
        </a:xfrm>
      </xdr:grpSpPr>
      <xdr:sp>
        <xdr:nvSpPr>
          <xdr:cNvPr id="74" name="Rectangle 25"/>
          <xdr:cNvSpPr/>
        </xdr:nvSpPr>
        <xdr:spPr>
          <a:xfrm>
            <a:off x="198360" y="139680"/>
            <a:ext cx="51120" cy="14580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75" name="Rectangle 26"/>
          <xdr:cNvSpPr/>
        </xdr:nvSpPr>
        <xdr:spPr>
          <a:xfrm>
            <a:off x="198360" y="349200"/>
            <a:ext cx="51120" cy="13968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76" name="Shape 508250"/>
          <xdr:cNvSpPr/>
        </xdr:nvSpPr>
        <xdr:spPr>
          <a:xfrm>
            <a:off x="0" y="196920"/>
            <a:ext cx="7341120" cy="222120"/>
          </a:xfrm>
          <a:custGeom>
            <a:avLst/>
            <a:gdLst>
              <a:gd name="textAreaLeft" fmla="*/ 0 w 7341120"/>
              <a:gd name="textAreaRight" fmla="*/ 7341480 w 7341120"/>
              <a:gd name="textAreaTop" fmla="*/ 0 h 222120"/>
              <a:gd name="textAreaBottom" fmla="*/ 222480 h 22212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808080">
              <a:alpha val="50000"/>
            </a:srgbClr>
          </a:solidFill>
          <a:ln w="0">
            <a:noFill/>
          </a:ln>
        </xdr:spPr>
        <xdr:style>
          <a:lnRef idx="0"/>
          <a:fillRef idx="0"/>
          <a:effectRef idx="0"/>
          <a:fontRef idx="minor"/>
        </xdr:style>
      </xdr:sp>
      <xdr:sp>
        <xdr:nvSpPr>
          <xdr:cNvPr id="77" name="Shape 508251"/>
          <xdr:cNvSpPr/>
        </xdr:nvSpPr>
        <xdr:spPr>
          <a:xfrm>
            <a:off x="102240" y="145800"/>
            <a:ext cx="7341120" cy="203040"/>
          </a:xfrm>
          <a:custGeom>
            <a:avLst/>
            <a:gdLst>
              <a:gd name="textAreaLeft" fmla="*/ 0 w 7341120"/>
              <a:gd name="textAreaRight" fmla="*/ 7341480 w 7341120"/>
              <a:gd name="textAreaTop" fmla="*/ 0 h 203040"/>
              <a:gd name="textAreaBottom" fmla="*/ 203400 h 20304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4f81bd"/>
          </a:solidFill>
          <a:ln w="0">
            <a:noFill/>
          </a:ln>
        </xdr:spPr>
        <xdr:style>
          <a:lnRef idx="0"/>
          <a:fillRef idx="0"/>
          <a:effectRef idx="0"/>
          <a:fontRef idx="minor"/>
        </xdr:style>
      </xdr:sp>
      <xdr:sp>
        <xdr:nvSpPr>
          <xdr:cNvPr id="78" name="Shape 19229"/>
          <xdr:cNvSpPr/>
        </xdr:nvSpPr>
        <xdr:spPr>
          <a:xfrm>
            <a:off x="102240" y="139680"/>
            <a:ext cx="7341120" cy="235080"/>
          </a:xfrm>
          <a:custGeom>
            <a:avLst/>
            <a:gdLst>
              <a:gd name="textAreaLeft" fmla="*/ 0 w 7341120"/>
              <a:gd name="textAreaRight" fmla="*/ 7341480 w 7341120"/>
              <a:gd name="textAreaTop" fmla="*/ 0 h 235080"/>
              <a:gd name="textAreaBottom" fmla="*/ 235440 h 235080"/>
            </a:gdLst>
            <a:ahLst/>
            <a:rect l="textAreaLeft" t="textAreaTop" r="textAreaRight" b="textAreaBottom"/>
            <a:pathLst>
              <a:path w="5772150" h="352425">
                <a:moveTo>
                  <a:pt x="0" y="352425"/>
                </a:moveTo>
                <a:lnTo>
                  <a:pt x="5772150" y="352425"/>
                </a:lnTo>
                <a:lnTo>
                  <a:pt x="5772150" y="0"/>
                </a:lnTo>
                <a:lnTo>
                  <a:pt x="0" y="0"/>
                </a:lnTo>
                <a:lnTo>
                  <a:pt x="0" y="352425"/>
                </a:lnTo>
                <a:close/>
              </a:path>
            </a:pathLst>
          </a:custGeom>
          <a:noFill/>
          <a:ln cap="rnd" w="9360">
            <a:solidFill>
              <a:srgbClr val="000000"/>
            </a:solidFill>
            <a:miter/>
          </a:ln>
        </xdr:spPr>
        <xdr:style>
          <a:lnRef idx="0"/>
          <a:fillRef idx="0"/>
          <a:effectRef idx="0"/>
          <a:fontRef idx="minor"/>
        </xdr:style>
      </xdr:sp>
      <xdr:sp>
        <xdr:nvSpPr>
          <xdr:cNvPr id="79" name="Rectangle 30"/>
          <xdr:cNvSpPr/>
        </xdr:nvSpPr>
        <xdr:spPr>
          <a:xfrm>
            <a:off x="2683800" y="196920"/>
            <a:ext cx="70200" cy="1778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80" name="Rectangle 31"/>
          <xdr:cNvSpPr/>
        </xdr:nvSpPr>
        <xdr:spPr>
          <a:xfrm>
            <a:off x="2869560" y="196920"/>
            <a:ext cx="70200" cy="1778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81" name="Rectangle 32"/>
          <xdr:cNvSpPr/>
        </xdr:nvSpPr>
        <xdr:spPr>
          <a:xfrm>
            <a:off x="2914560" y="196920"/>
            <a:ext cx="95760" cy="17784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82" name="Rectangle 33"/>
          <xdr:cNvSpPr/>
        </xdr:nvSpPr>
        <xdr:spPr>
          <a:xfrm>
            <a:off x="198360" y="108000"/>
            <a:ext cx="6982200" cy="362160"/>
          </a:xfrm>
          <a:prstGeom prst="rect">
            <a:avLst/>
          </a:prstGeom>
          <a:noFill/>
          <a:ln w="0">
            <a:noFill/>
          </a:ln>
        </xdr:spPr>
        <xdr:style>
          <a:lnRef idx="0"/>
          <a:fillRef idx="0"/>
          <a:effectRef idx="0"/>
          <a:fontRef idx="minor"/>
        </xdr:style>
        <xdr:txBody>
          <a:bodyPr lIns="0" rIns="0" tIns="0" bIns="0" anchor="t">
            <a:noAutofit/>
          </a:bodyPr>
          <a:p>
            <a:pPr algn="ctr"/>
            <a:r>
              <a:rPr b="1" lang="en-US" sz="1500" spc="-1" strike="noStrike">
                <a:solidFill>
                  <a:srgbClr val="ffffff"/>
                </a:solidFill>
                <a:latin typeface="Arial"/>
              </a:rPr>
              <a:t>NOTE 1 : DETTES GARANTIES PAR DES SURETES REELLES</a:t>
            </a:r>
            <a:endParaRPr b="0" lang="en-US" sz="1500" spc="-1" strike="noStrike">
              <a:latin typeface="Times New Roman"/>
            </a:endParaRPr>
          </a:p>
        </xdr:txBody>
      </xdr:sp>
    </xdr:grp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122400</xdr:colOff>
      <xdr:row>1</xdr:row>
      <xdr:rowOff>127080</xdr:rowOff>
    </xdr:from>
    <xdr:to>
      <xdr:col>5</xdr:col>
      <xdr:colOff>757080</xdr:colOff>
      <xdr:row>3</xdr:row>
      <xdr:rowOff>146160</xdr:rowOff>
    </xdr:to>
    <xdr:grpSp>
      <xdr:nvGrpSpPr>
        <xdr:cNvPr id="83" name="Group 392908"/>
        <xdr:cNvGrpSpPr/>
      </xdr:nvGrpSpPr>
      <xdr:grpSpPr>
        <a:xfrm>
          <a:off x="365040" y="311400"/>
          <a:ext cx="6437160" cy="425160"/>
          <a:chOff x="365040" y="311400"/>
          <a:chExt cx="6437160" cy="425160"/>
        </a:xfrm>
      </xdr:grpSpPr>
      <xdr:sp>
        <xdr:nvSpPr>
          <xdr:cNvPr id="84" name="Rectangle 2"/>
          <xdr:cNvSpPr/>
        </xdr:nvSpPr>
        <xdr:spPr>
          <a:xfrm>
            <a:off x="473760" y="507960"/>
            <a:ext cx="51120" cy="19044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85" name="Shape 508285"/>
          <xdr:cNvSpPr/>
        </xdr:nvSpPr>
        <xdr:spPr>
          <a:xfrm>
            <a:off x="365040" y="387360"/>
            <a:ext cx="6354000" cy="349200"/>
          </a:xfrm>
          <a:custGeom>
            <a:avLst/>
            <a:gdLst>
              <a:gd name="textAreaLeft" fmla="*/ 0 w 6354000"/>
              <a:gd name="textAreaRight" fmla="*/ 6354360 w 6354000"/>
              <a:gd name="textAreaTop" fmla="*/ 0 h 349200"/>
              <a:gd name="textAreaBottom" fmla="*/ 349560 h 349200"/>
            </a:gdLst>
            <a:ahLst/>
            <a:rect l="textAreaLeft" t="textAreaTop" r="textAreaRight" b="textAreaBottom"/>
            <a:pathLst>
              <a:path w="5772151" h="352425">
                <a:moveTo>
                  <a:pt x="0" y="0"/>
                </a:moveTo>
                <a:lnTo>
                  <a:pt x="5772151" y="0"/>
                </a:lnTo>
                <a:lnTo>
                  <a:pt x="5772151" y="352425"/>
                </a:lnTo>
                <a:lnTo>
                  <a:pt x="0" y="352425"/>
                </a:lnTo>
                <a:lnTo>
                  <a:pt x="0" y="0"/>
                </a:lnTo>
              </a:path>
            </a:pathLst>
          </a:custGeom>
          <a:solidFill>
            <a:srgbClr val="808080">
              <a:alpha val="50000"/>
            </a:srgbClr>
          </a:solidFill>
          <a:ln w="0">
            <a:noFill/>
          </a:ln>
        </xdr:spPr>
        <xdr:style>
          <a:lnRef idx="0"/>
          <a:fillRef idx="0"/>
          <a:effectRef idx="0"/>
          <a:fontRef idx="minor"/>
        </xdr:style>
      </xdr:sp>
      <xdr:sp>
        <xdr:nvSpPr>
          <xdr:cNvPr id="86" name="Shape 508286"/>
          <xdr:cNvSpPr/>
        </xdr:nvSpPr>
        <xdr:spPr>
          <a:xfrm>
            <a:off x="448200" y="311400"/>
            <a:ext cx="6354000" cy="349200"/>
          </a:xfrm>
          <a:custGeom>
            <a:avLst/>
            <a:gdLst>
              <a:gd name="textAreaLeft" fmla="*/ 0 w 6354000"/>
              <a:gd name="textAreaRight" fmla="*/ 6354360 w 6354000"/>
              <a:gd name="textAreaTop" fmla="*/ 0 h 349200"/>
              <a:gd name="textAreaBottom" fmla="*/ 349560 h 349200"/>
            </a:gdLst>
            <a:ahLst/>
            <a:rect l="textAreaLeft" t="textAreaTop" r="textAreaRight" b="textAreaBottom"/>
            <a:pathLst>
              <a:path w="5772151" h="352425">
                <a:moveTo>
                  <a:pt x="0" y="0"/>
                </a:moveTo>
                <a:lnTo>
                  <a:pt x="5772151" y="0"/>
                </a:lnTo>
                <a:lnTo>
                  <a:pt x="5772151" y="352425"/>
                </a:lnTo>
                <a:lnTo>
                  <a:pt x="0" y="352425"/>
                </a:lnTo>
                <a:lnTo>
                  <a:pt x="0" y="0"/>
                </a:lnTo>
              </a:path>
            </a:pathLst>
          </a:custGeom>
          <a:solidFill>
            <a:srgbClr val="4f81bd"/>
          </a:solidFill>
          <a:ln w="0">
            <a:noFill/>
          </a:ln>
        </xdr:spPr>
        <xdr:style>
          <a:lnRef idx="0"/>
          <a:fillRef idx="0"/>
          <a:effectRef idx="0"/>
          <a:fontRef idx="minor"/>
        </xdr:style>
      </xdr:sp>
      <xdr:sp>
        <xdr:nvSpPr>
          <xdr:cNvPr id="87" name="Shape 31309"/>
          <xdr:cNvSpPr/>
        </xdr:nvSpPr>
        <xdr:spPr>
          <a:xfrm>
            <a:off x="448200" y="311400"/>
            <a:ext cx="6354000" cy="349200"/>
          </a:xfrm>
          <a:custGeom>
            <a:avLst/>
            <a:gdLst>
              <a:gd name="textAreaLeft" fmla="*/ 0 w 6354000"/>
              <a:gd name="textAreaRight" fmla="*/ 6354360 w 6354000"/>
              <a:gd name="textAreaTop" fmla="*/ 0 h 349200"/>
              <a:gd name="textAreaBottom" fmla="*/ 349560 h 349200"/>
            </a:gdLst>
            <a:ahLst/>
            <a:rect l="textAreaLeft" t="textAreaTop" r="textAreaRight" b="textAreaBottom"/>
            <a:pathLst>
              <a:path w="5772151" h="352425">
                <a:moveTo>
                  <a:pt x="0" y="352425"/>
                </a:moveTo>
                <a:lnTo>
                  <a:pt x="5772151" y="352425"/>
                </a:lnTo>
                <a:lnTo>
                  <a:pt x="5772151" y="0"/>
                </a:lnTo>
                <a:lnTo>
                  <a:pt x="0" y="0"/>
                </a:lnTo>
                <a:lnTo>
                  <a:pt x="0" y="352425"/>
                </a:lnTo>
                <a:close/>
              </a:path>
            </a:pathLst>
          </a:custGeom>
          <a:noFill/>
          <a:ln cap="rnd" w="9360">
            <a:solidFill>
              <a:srgbClr val="000000"/>
            </a:solidFill>
            <a:miter/>
          </a:ln>
        </xdr:spPr>
        <xdr:style>
          <a:lnRef idx="0"/>
          <a:fillRef idx="0"/>
          <a:effectRef idx="0"/>
          <a:fontRef idx="minor"/>
        </xdr:style>
      </xdr:sp>
      <xdr:sp>
        <xdr:nvSpPr>
          <xdr:cNvPr id="88" name="Rectangle 6"/>
          <xdr:cNvSpPr/>
        </xdr:nvSpPr>
        <xdr:spPr>
          <a:xfrm>
            <a:off x="1806120" y="393840"/>
            <a:ext cx="883800" cy="2347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2</a:t>
            </a:r>
            <a:endParaRPr b="0" lang="en-US" sz="1400" spc="-1" strike="noStrike">
              <a:latin typeface="Times New Roman"/>
            </a:endParaRPr>
          </a:p>
        </xdr:txBody>
      </xdr:sp>
      <xdr:sp>
        <xdr:nvSpPr>
          <xdr:cNvPr id="89" name="Rectangle 7"/>
          <xdr:cNvSpPr/>
        </xdr:nvSpPr>
        <xdr:spPr>
          <a:xfrm>
            <a:off x="2472120" y="393840"/>
            <a:ext cx="57600" cy="2347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90" name="Rectangle 8"/>
          <xdr:cNvSpPr/>
        </xdr:nvSpPr>
        <xdr:spPr>
          <a:xfrm>
            <a:off x="2510640" y="393840"/>
            <a:ext cx="70200" cy="2347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a:t>
            </a:r>
            <a:endParaRPr b="0" lang="en-US" sz="1400" spc="-1" strike="noStrike">
              <a:latin typeface="Times New Roman"/>
            </a:endParaRPr>
          </a:p>
        </xdr:txBody>
      </xdr:sp>
      <xdr:sp>
        <xdr:nvSpPr>
          <xdr:cNvPr id="91" name="Rectangle 9"/>
          <xdr:cNvSpPr/>
        </xdr:nvSpPr>
        <xdr:spPr>
          <a:xfrm>
            <a:off x="2568240" y="393840"/>
            <a:ext cx="51120" cy="2347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92" name="Rectangle 10"/>
          <xdr:cNvSpPr/>
        </xdr:nvSpPr>
        <xdr:spPr>
          <a:xfrm>
            <a:off x="2613240" y="393840"/>
            <a:ext cx="3778920" cy="2347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INFORMATIONS OBLIGATOIRES</a:t>
            </a:r>
            <a:endParaRPr b="0" lang="en-US" sz="1400" spc="-1" strike="noStrike">
              <a:latin typeface="Times New Roman"/>
            </a:endParaRPr>
          </a:p>
        </xdr:txBody>
      </xdr:sp>
      <xdr:sp>
        <xdr:nvSpPr>
          <xdr:cNvPr id="93" name="Rectangle 11"/>
          <xdr:cNvSpPr/>
        </xdr:nvSpPr>
        <xdr:spPr>
          <a:xfrm>
            <a:off x="5450760" y="393840"/>
            <a:ext cx="51120" cy="2347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18720</xdr:colOff>
      <xdr:row>0</xdr:row>
      <xdr:rowOff>107640</xdr:rowOff>
    </xdr:from>
    <xdr:to>
      <xdr:col>7</xdr:col>
      <xdr:colOff>794880</xdr:colOff>
      <xdr:row>3</xdr:row>
      <xdr:rowOff>69480</xdr:rowOff>
    </xdr:to>
    <xdr:grpSp>
      <xdr:nvGrpSpPr>
        <xdr:cNvPr id="94" name="Group 394340"/>
        <xdr:cNvGrpSpPr/>
      </xdr:nvGrpSpPr>
      <xdr:grpSpPr>
        <a:xfrm>
          <a:off x="18720" y="107640"/>
          <a:ext cx="11754000" cy="419040"/>
          <a:chOff x="18720" y="107640"/>
          <a:chExt cx="11754000" cy="419040"/>
        </a:xfrm>
      </xdr:grpSpPr>
      <xdr:sp>
        <xdr:nvSpPr>
          <xdr:cNvPr id="95" name="Shape 508287"/>
          <xdr:cNvSpPr/>
        </xdr:nvSpPr>
        <xdr:spPr>
          <a:xfrm>
            <a:off x="18720" y="209160"/>
            <a:ext cx="11600280" cy="317520"/>
          </a:xfrm>
          <a:custGeom>
            <a:avLst/>
            <a:gdLst>
              <a:gd name="textAreaLeft" fmla="*/ 0 w 11600280"/>
              <a:gd name="textAreaRight" fmla="*/ 11600640 w 11600280"/>
              <a:gd name="textAreaTop" fmla="*/ 0 h 317520"/>
              <a:gd name="textAreaBottom" fmla="*/ 317880 h 317520"/>
            </a:gdLst>
            <a:ahLst/>
            <a:rect l="textAreaLeft" t="textAreaTop" r="textAreaRight" b="textAreaBottom"/>
            <a:pathLst>
              <a:path w="5772150" h="238125">
                <a:moveTo>
                  <a:pt x="0" y="0"/>
                </a:moveTo>
                <a:lnTo>
                  <a:pt x="5772150" y="0"/>
                </a:lnTo>
                <a:lnTo>
                  <a:pt x="5772150" y="238125"/>
                </a:lnTo>
                <a:lnTo>
                  <a:pt x="0" y="238125"/>
                </a:lnTo>
                <a:lnTo>
                  <a:pt x="0" y="0"/>
                </a:lnTo>
              </a:path>
            </a:pathLst>
          </a:custGeom>
          <a:solidFill>
            <a:srgbClr val="808080">
              <a:alpha val="50000"/>
            </a:srgbClr>
          </a:solidFill>
          <a:ln w="0">
            <a:noFill/>
          </a:ln>
        </xdr:spPr>
        <xdr:style>
          <a:lnRef idx="0"/>
          <a:fillRef idx="0"/>
          <a:effectRef idx="0"/>
          <a:fontRef idx="minor"/>
        </xdr:style>
      </xdr:sp>
      <xdr:sp>
        <xdr:nvSpPr>
          <xdr:cNvPr id="96" name="Shape 508288"/>
          <xdr:cNvSpPr/>
        </xdr:nvSpPr>
        <xdr:spPr>
          <a:xfrm>
            <a:off x="172440" y="107640"/>
            <a:ext cx="11600280" cy="317520"/>
          </a:xfrm>
          <a:custGeom>
            <a:avLst/>
            <a:gdLst>
              <a:gd name="textAreaLeft" fmla="*/ 0 w 11600280"/>
              <a:gd name="textAreaRight" fmla="*/ 11600640 w 11600280"/>
              <a:gd name="textAreaTop" fmla="*/ 0 h 317520"/>
              <a:gd name="textAreaBottom" fmla="*/ 317880 h 317520"/>
            </a:gdLst>
            <a:ahLst/>
            <a:rect l="textAreaLeft" t="textAreaTop" r="textAreaRight" b="textAreaBottom"/>
            <a:pathLst>
              <a:path w="5772150" h="238125">
                <a:moveTo>
                  <a:pt x="0" y="0"/>
                </a:moveTo>
                <a:lnTo>
                  <a:pt x="5772150" y="0"/>
                </a:lnTo>
                <a:lnTo>
                  <a:pt x="5772150" y="238125"/>
                </a:lnTo>
                <a:lnTo>
                  <a:pt x="0" y="238125"/>
                </a:lnTo>
                <a:lnTo>
                  <a:pt x="0" y="0"/>
                </a:lnTo>
              </a:path>
            </a:pathLst>
          </a:custGeom>
          <a:solidFill>
            <a:srgbClr val="4f81bd"/>
          </a:solidFill>
          <a:ln w="0">
            <a:noFill/>
          </a:ln>
        </xdr:spPr>
        <xdr:style>
          <a:lnRef idx="0"/>
          <a:fillRef idx="0"/>
          <a:effectRef idx="0"/>
          <a:fontRef idx="minor"/>
        </xdr:style>
      </xdr:sp>
      <xdr:sp>
        <xdr:nvSpPr>
          <xdr:cNvPr id="97" name="Shape 32702"/>
          <xdr:cNvSpPr/>
        </xdr:nvSpPr>
        <xdr:spPr>
          <a:xfrm>
            <a:off x="172440" y="107640"/>
            <a:ext cx="11600280" cy="317520"/>
          </a:xfrm>
          <a:custGeom>
            <a:avLst/>
            <a:gdLst>
              <a:gd name="textAreaLeft" fmla="*/ 0 w 11600280"/>
              <a:gd name="textAreaRight" fmla="*/ 11600640 w 11600280"/>
              <a:gd name="textAreaTop" fmla="*/ 0 h 317520"/>
              <a:gd name="textAreaBottom" fmla="*/ 317880 h 317520"/>
            </a:gdLst>
            <a:ahLst/>
            <a:rect l="textAreaLeft" t="textAreaTop" r="textAreaRight" b="textAreaBottom"/>
            <a:pathLst>
              <a:path w="5772150" h="238125">
                <a:moveTo>
                  <a:pt x="0" y="238125"/>
                </a:moveTo>
                <a:lnTo>
                  <a:pt x="5772150" y="238125"/>
                </a:lnTo>
                <a:lnTo>
                  <a:pt x="5772150" y="0"/>
                </a:lnTo>
                <a:lnTo>
                  <a:pt x="0" y="0"/>
                </a:lnTo>
                <a:lnTo>
                  <a:pt x="0" y="238125"/>
                </a:lnTo>
                <a:close/>
              </a:path>
            </a:pathLst>
          </a:custGeom>
          <a:noFill/>
          <a:ln cap="rnd" w="9360">
            <a:solidFill>
              <a:srgbClr val="000000"/>
            </a:solidFill>
            <a:miter/>
          </a:ln>
        </xdr:spPr>
        <xdr:style>
          <a:lnRef idx="0"/>
          <a:fillRef idx="0"/>
          <a:effectRef idx="0"/>
          <a:fontRef idx="minor"/>
        </xdr:style>
      </xdr:sp>
      <xdr:sp>
        <xdr:nvSpPr>
          <xdr:cNvPr id="98" name="Rectangle 5"/>
          <xdr:cNvSpPr/>
        </xdr:nvSpPr>
        <xdr:spPr>
          <a:xfrm>
            <a:off x="4227120" y="209160"/>
            <a:ext cx="1511640" cy="260280"/>
          </a:xfrm>
          <a:prstGeom prst="rect">
            <a:avLst/>
          </a:prstGeom>
          <a:noFill/>
          <a:ln w="0">
            <a:noFill/>
          </a:ln>
        </xdr:spPr>
        <xdr:style>
          <a:lnRef idx="0"/>
          <a:fillRef idx="0"/>
          <a:effectRef idx="0"/>
          <a:fontRef idx="minor"/>
        </xdr:style>
        <xdr:txBody>
          <a:bodyPr lIns="0" rIns="0" tIns="0" bIns="0" anchor="t">
            <a:noAutofit/>
          </a:bodyPr>
          <a:p>
            <a:r>
              <a:rPr b="1" lang="en-US" sz="1100" spc="-1" strike="noStrike">
                <a:solidFill>
                  <a:srgbClr val="ffffff"/>
                </a:solidFill>
                <a:latin typeface="Cambria"/>
              </a:rPr>
              <a:t>NOTE 3A</a:t>
            </a:r>
            <a:endParaRPr b="0" lang="en-US" sz="1100" spc="-1" strike="noStrike">
              <a:latin typeface="Times New Roman"/>
            </a:endParaRPr>
          </a:p>
        </xdr:txBody>
      </xdr:sp>
      <xdr:sp>
        <xdr:nvSpPr>
          <xdr:cNvPr id="99" name="Rectangle 6"/>
          <xdr:cNvSpPr/>
        </xdr:nvSpPr>
        <xdr:spPr>
          <a:xfrm>
            <a:off x="4809960" y="202680"/>
            <a:ext cx="83160" cy="260280"/>
          </a:xfrm>
          <a:prstGeom prst="rect">
            <a:avLst/>
          </a:prstGeom>
          <a:noFill/>
          <a:ln w="0">
            <a:noFill/>
          </a:ln>
        </xdr:spPr>
        <xdr:style>
          <a:lnRef idx="0"/>
          <a:fillRef idx="0"/>
          <a:effectRef idx="0"/>
          <a:fontRef idx="minor"/>
        </xdr:style>
        <xdr:txBody>
          <a:bodyPr lIns="0" rIns="0" tIns="0" bIns="0" anchor="t">
            <a:noAutofit/>
          </a:bodyPr>
          <a:p>
            <a:r>
              <a:rPr b="1" lang="en-US" sz="1100" spc="-1" strike="noStrike">
                <a:solidFill>
                  <a:srgbClr val="ffffff"/>
                </a:solidFill>
                <a:latin typeface="Cambria"/>
              </a:rPr>
              <a:t> </a:t>
            </a:r>
            <a:endParaRPr b="0" lang="en-US" sz="1100" spc="-1" strike="noStrike">
              <a:latin typeface="Times New Roman"/>
            </a:endParaRPr>
          </a:p>
        </xdr:txBody>
      </xdr:sp>
      <xdr:sp>
        <xdr:nvSpPr>
          <xdr:cNvPr id="100" name="Rectangle 7"/>
          <xdr:cNvSpPr/>
        </xdr:nvSpPr>
        <xdr:spPr>
          <a:xfrm>
            <a:off x="4874040" y="202680"/>
            <a:ext cx="108720" cy="260280"/>
          </a:xfrm>
          <a:prstGeom prst="rect">
            <a:avLst/>
          </a:prstGeom>
          <a:noFill/>
          <a:ln w="0">
            <a:noFill/>
          </a:ln>
        </xdr:spPr>
        <xdr:style>
          <a:lnRef idx="0"/>
          <a:fillRef idx="0"/>
          <a:effectRef idx="0"/>
          <a:fontRef idx="minor"/>
        </xdr:style>
        <xdr:txBody>
          <a:bodyPr lIns="0" rIns="0" tIns="0" bIns="0" anchor="t">
            <a:noAutofit/>
          </a:bodyPr>
          <a:p>
            <a:r>
              <a:rPr b="1" lang="en-US" sz="1100" spc="-1" strike="noStrike">
                <a:solidFill>
                  <a:srgbClr val="ffffff"/>
                </a:solidFill>
                <a:latin typeface="Cambria"/>
              </a:rPr>
              <a:t>:</a:t>
            </a:r>
            <a:endParaRPr b="0" lang="en-US" sz="1100" spc="-1" strike="noStrike">
              <a:latin typeface="Times New Roman"/>
            </a:endParaRPr>
          </a:p>
        </xdr:txBody>
      </xdr:sp>
      <xdr:sp>
        <xdr:nvSpPr>
          <xdr:cNvPr id="101" name="Rectangle 8"/>
          <xdr:cNvSpPr/>
        </xdr:nvSpPr>
        <xdr:spPr>
          <a:xfrm>
            <a:off x="4950720" y="202680"/>
            <a:ext cx="4426200" cy="260280"/>
          </a:xfrm>
          <a:prstGeom prst="rect">
            <a:avLst/>
          </a:prstGeom>
          <a:noFill/>
          <a:ln w="0">
            <a:noFill/>
          </a:ln>
        </xdr:spPr>
        <xdr:style>
          <a:lnRef idx="0"/>
          <a:fillRef idx="0"/>
          <a:effectRef idx="0"/>
          <a:fontRef idx="minor"/>
        </xdr:style>
        <xdr:txBody>
          <a:bodyPr lIns="0" rIns="0" tIns="0" bIns="0" anchor="t">
            <a:noAutofit/>
          </a:bodyPr>
          <a:p>
            <a:r>
              <a:rPr b="1" lang="en-US" sz="1100" spc="-1" strike="noStrike">
                <a:solidFill>
                  <a:srgbClr val="ffffff"/>
                </a:solidFill>
                <a:latin typeface="Cambria"/>
              </a:rPr>
              <a:t> </a:t>
            </a:r>
            <a:r>
              <a:rPr b="1" lang="en-US" sz="1100" spc="-1" strike="noStrike">
                <a:solidFill>
                  <a:srgbClr val="ffffff"/>
                </a:solidFill>
                <a:latin typeface="Cambria"/>
              </a:rPr>
              <a:t>IMMOBILISATION BRUTE</a:t>
            </a:r>
            <a:endParaRPr b="0" lang="en-US" sz="1100" spc="-1" strike="noStrike">
              <a:latin typeface="Times New Roman"/>
            </a:endParaRPr>
          </a:p>
        </xdr:txBody>
      </xdr:sp>
      <xdr:sp>
        <xdr:nvSpPr>
          <xdr:cNvPr id="102" name="Rectangle 9"/>
          <xdr:cNvSpPr/>
        </xdr:nvSpPr>
        <xdr:spPr>
          <a:xfrm>
            <a:off x="8275320" y="202680"/>
            <a:ext cx="83160" cy="260280"/>
          </a:xfrm>
          <a:prstGeom prst="rect">
            <a:avLst/>
          </a:prstGeom>
          <a:noFill/>
          <a:ln w="0">
            <a:noFill/>
          </a:ln>
        </xdr:spPr>
        <xdr:style>
          <a:lnRef idx="0"/>
          <a:fillRef idx="0"/>
          <a:effectRef idx="0"/>
          <a:fontRef idx="minor"/>
        </xdr:style>
        <xdr:txBody>
          <a:bodyPr lIns="0" rIns="0" tIns="0" bIns="0" anchor="t">
            <a:noAutofit/>
          </a:bodyPr>
          <a:p>
            <a:r>
              <a:rPr b="1" lang="en-US" sz="1100" spc="-1" strike="noStrike">
                <a:solidFill>
                  <a:srgbClr val="ffffff"/>
                </a:solidFill>
                <a:latin typeface="Cambria"/>
              </a:rPr>
              <a:t> </a:t>
            </a:r>
            <a:endParaRPr b="0" lang="en-US" sz="1100" spc="-1" strike="noStrike">
              <a:latin typeface="Times New Roman"/>
            </a:endParaRPr>
          </a:p>
        </xdr:txBody>
      </xdr:sp>
    </xdr:grpSp>
    <xdr:clientData/>
  </xdr:twoCellAnchor>
  <xdr:twoCellAnchor editAs="oneCell">
    <xdr:from>
      <xdr:col>0</xdr:col>
      <xdr:colOff>4680</xdr:colOff>
      <xdr:row>10</xdr:row>
      <xdr:rowOff>19080</xdr:rowOff>
    </xdr:from>
    <xdr:to>
      <xdr:col>1</xdr:col>
      <xdr:colOff>1080</xdr:colOff>
      <xdr:row>13</xdr:row>
      <xdr:rowOff>133560</xdr:rowOff>
    </xdr:to>
    <xdr:sp>
      <xdr:nvSpPr>
        <xdr:cNvPr id="103" name="Connecteur droit 13"/>
        <xdr:cNvSpPr/>
      </xdr:nvSpPr>
      <xdr:spPr>
        <a:xfrm>
          <a:off x="4680" y="1562040"/>
          <a:ext cx="4820400" cy="711360"/>
        </a:xfrm>
        <a:prstGeom prst="line">
          <a:avLst/>
        </a:prstGeom>
        <a:ln w="0">
          <a:solidFill>
            <a:srgbClr val="000000"/>
          </a:solidFill>
        </a:ln>
      </xdr:spPr>
      <xdr:style>
        <a:lnRef idx="0"/>
        <a:fillRef idx="0"/>
        <a:effectRef idx="0"/>
        <a:fontRef idx="minor"/>
      </xdr:style>
    </xdr:sp>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114480</xdr:rowOff>
    </xdr:from>
    <xdr:to>
      <xdr:col>8</xdr:col>
      <xdr:colOff>563760</xdr:colOff>
      <xdr:row>2</xdr:row>
      <xdr:rowOff>152280</xdr:rowOff>
    </xdr:to>
    <xdr:grpSp>
      <xdr:nvGrpSpPr>
        <xdr:cNvPr id="104" name="Group 395480"/>
        <xdr:cNvGrpSpPr/>
      </xdr:nvGrpSpPr>
      <xdr:grpSpPr>
        <a:xfrm>
          <a:off x="0" y="114480"/>
          <a:ext cx="9235440" cy="342720"/>
          <a:chOff x="0" y="114480"/>
          <a:chExt cx="9235440" cy="342720"/>
        </a:xfrm>
      </xdr:grpSpPr>
      <xdr:sp>
        <xdr:nvSpPr>
          <xdr:cNvPr id="105" name="Shape 508289"/>
          <xdr:cNvSpPr/>
        </xdr:nvSpPr>
        <xdr:spPr>
          <a:xfrm>
            <a:off x="0" y="171360"/>
            <a:ext cx="8358120" cy="285840"/>
          </a:xfrm>
          <a:custGeom>
            <a:avLst/>
            <a:gdLst>
              <a:gd name="textAreaLeft" fmla="*/ 0 w 8358120"/>
              <a:gd name="textAreaRight" fmla="*/ 8358480 w 8358120"/>
              <a:gd name="textAreaTop" fmla="*/ 0 h 285840"/>
              <a:gd name="textAreaBottom" fmla="*/ 286200 h 28584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808080">
              <a:alpha val="50000"/>
            </a:srgbClr>
          </a:solidFill>
          <a:ln w="0">
            <a:noFill/>
          </a:ln>
        </xdr:spPr>
        <xdr:style>
          <a:lnRef idx="0"/>
          <a:fillRef idx="0"/>
          <a:effectRef idx="0"/>
          <a:fontRef idx="minor"/>
        </xdr:style>
      </xdr:sp>
      <xdr:sp>
        <xdr:nvSpPr>
          <xdr:cNvPr id="106" name="Shape 508290"/>
          <xdr:cNvSpPr/>
        </xdr:nvSpPr>
        <xdr:spPr>
          <a:xfrm>
            <a:off x="108720" y="114480"/>
            <a:ext cx="8364600" cy="285840"/>
          </a:xfrm>
          <a:custGeom>
            <a:avLst/>
            <a:gdLst>
              <a:gd name="textAreaLeft" fmla="*/ 0 w 8364600"/>
              <a:gd name="textAreaRight" fmla="*/ 8364960 w 8364600"/>
              <a:gd name="textAreaTop" fmla="*/ 0 h 285840"/>
              <a:gd name="textAreaBottom" fmla="*/ 286200 h 28584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4f81bd"/>
          </a:solidFill>
          <a:ln w="0">
            <a:noFill/>
          </a:ln>
        </xdr:spPr>
        <xdr:style>
          <a:lnRef idx="0"/>
          <a:fillRef idx="0"/>
          <a:effectRef idx="0"/>
          <a:fontRef idx="minor"/>
        </xdr:style>
      </xdr:sp>
      <xdr:sp>
        <xdr:nvSpPr>
          <xdr:cNvPr id="107" name="Shape 34006"/>
          <xdr:cNvSpPr/>
        </xdr:nvSpPr>
        <xdr:spPr>
          <a:xfrm>
            <a:off x="108720" y="114480"/>
            <a:ext cx="8364600" cy="285840"/>
          </a:xfrm>
          <a:custGeom>
            <a:avLst/>
            <a:gdLst>
              <a:gd name="textAreaLeft" fmla="*/ 0 w 8364600"/>
              <a:gd name="textAreaRight" fmla="*/ 8364960 w 8364600"/>
              <a:gd name="textAreaTop" fmla="*/ 0 h 285840"/>
              <a:gd name="textAreaBottom" fmla="*/ 286200 h 285840"/>
            </a:gdLst>
            <a:ahLst/>
            <a:rect l="textAreaLeft" t="textAreaTop" r="textAreaRight" b="textAreaBottom"/>
            <a:pathLst>
              <a:path w="5772150" h="352425">
                <a:moveTo>
                  <a:pt x="0" y="352425"/>
                </a:moveTo>
                <a:lnTo>
                  <a:pt x="5772150" y="352425"/>
                </a:lnTo>
                <a:lnTo>
                  <a:pt x="5772150" y="0"/>
                </a:lnTo>
                <a:lnTo>
                  <a:pt x="0" y="0"/>
                </a:lnTo>
                <a:lnTo>
                  <a:pt x="0" y="352425"/>
                </a:lnTo>
                <a:close/>
              </a:path>
            </a:pathLst>
          </a:custGeom>
          <a:noFill/>
          <a:ln cap="rnd" w="9360">
            <a:solidFill>
              <a:srgbClr val="000000"/>
            </a:solidFill>
            <a:miter/>
          </a:ln>
        </xdr:spPr>
        <xdr:style>
          <a:lnRef idx="0"/>
          <a:fillRef idx="0"/>
          <a:effectRef idx="0"/>
          <a:fontRef idx="minor"/>
        </xdr:style>
      </xdr:sp>
      <xdr:sp>
        <xdr:nvSpPr>
          <xdr:cNvPr id="108" name="Rectangle 7"/>
          <xdr:cNvSpPr/>
        </xdr:nvSpPr>
        <xdr:spPr>
          <a:xfrm>
            <a:off x="2100600" y="152280"/>
            <a:ext cx="1396080" cy="1904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3B</a:t>
            </a:r>
            <a:endParaRPr b="0" lang="en-US" sz="1400" spc="-1" strike="noStrike">
              <a:latin typeface="Times New Roman"/>
            </a:endParaRPr>
          </a:p>
        </xdr:txBody>
      </xdr:sp>
      <xdr:sp>
        <xdr:nvSpPr>
          <xdr:cNvPr id="109" name="Rectangle 8"/>
          <xdr:cNvSpPr/>
        </xdr:nvSpPr>
        <xdr:spPr>
          <a:xfrm>
            <a:off x="2388960" y="184320"/>
            <a:ext cx="83160" cy="1904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110" name="Rectangle 9"/>
          <xdr:cNvSpPr/>
        </xdr:nvSpPr>
        <xdr:spPr>
          <a:xfrm>
            <a:off x="2894760" y="120600"/>
            <a:ext cx="89640" cy="1904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a:t>
            </a:r>
            <a:endParaRPr b="0" lang="en-US" sz="1400" spc="-1" strike="noStrike">
              <a:latin typeface="Times New Roman"/>
            </a:endParaRPr>
          </a:p>
        </xdr:txBody>
      </xdr:sp>
      <xdr:sp>
        <xdr:nvSpPr>
          <xdr:cNvPr id="111" name="Rectangle 10"/>
          <xdr:cNvSpPr/>
        </xdr:nvSpPr>
        <xdr:spPr>
          <a:xfrm>
            <a:off x="2971800" y="133200"/>
            <a:ext cx="6263640" cy="1904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r>
              <a:rPr b="1" lang="en-US" sz="1400" spc="-1" strike="noStrike">
                <a:solidFill>
                  <a:srgbClr val="ffffff"/>
                </a:solidFill>
                <a:latin typeface="Cambria"/>
              </a:rPr>
              <a:t>BIENS PRIS EN LOCATION ACQUISITION</a:t>
            </a:r>
            <a:endParaRPr b="0" lang="en-US" sz="1400" spc="-1" strike="noStrike">
              <a:latin typeface="Times New Roman"/>
            </a:endParaRPr>
          </a:p>
        </xdr:txBody>
      </xdr:sp>
      <xdr:sp>
        <xdr:nvSpPr>
          <xdr:cNvPr id="112" name="Rectangle 11"/>
          <xdr:cNvSpPr/>
        </xdr:nvSpPr>
        <xdr:spPr>
          <a:xfrm>
            <a:off x="7224480" y="209520"/>
            <a:ext cx="63720" cy="15228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grpSp>
    <xdr:clientData/>
  </xdr:twoCellAnchor>
  <xdr:twoCellAnchor editAs="oneCell">
    <xdr:from>
      <xdr:col>0</xdr:col>
      <xdr:colOff>0</xdr:colOff>
      <xdr:row>9</xdr:row>
      <xdr:rowOff>0</xdr:rowOff>
    </xdr:from>
    <xdr:to>
      <xdr:col>0</xdr:col>
      <xdr:colOff>2738880</xdr:colOff>
      <xdr:row>19</xdr:row>
      <xdr:rowOff>12960</xdr:rowOff>
    </xdr:to>
    <xdr:sp>
      <xdr:nvSpPr>
        <xdr:cNvPr id="113" name="Connecteur droit 13"/>
        <xdr:cNvSpPr/>
      </xdr:nvSpPr>
      <xdr:spPr>
        <a:xfrm>
          <a:off x="0" y="1604160"/>
          <a:ext cx="2738880" cy="1282680"/>
        </a:xfrm>
        <a:prstGeom prst="line">
          <a:avLst/>
        </a:prstGeom>
        <a:ln w="12600">
          <a:solidFill>
            <a:srgbClr val="000000"/>
          </a:solidFill>
          <a:miter/>
        </a:ln>
      </xdr:spPr>
      <xdr:style>
        <a:lnRef idx="0"/>
        <a:fillRef idx="0"/>
        <a:effectRef idx="0"/>
        <a:fontRef idx="minor"/>
      </xdr:style>
    </xdr:sp>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364320</xdr:colOff>
      <xdr:row>1</xdr:row>
      <xdr:rowOff>50760</xdr:rowOff>
    </xdr:from>
    <xdr:to>
      <xdr:col>5</xdr:col>
      <xdr:colOff>1007280</xdr:colOff>
      <xdr:row>3</xdr:row>
      <xdr:rowOff>69480</xdr:rowOff>
    </xdr:to>
    <xdr:sp>
      <xdr:nvSpPr>
        <xdr:cNvPr id="114" name="Zone de texte 5"/>
        <xdr:cNvSpPr/>
      </xdr:nvSpPr>
      <xdr:spPr>
        <a:xfrm>
          <a:off x="364320" y="203040"/>
          <a:ext cx="9981360" cy="323640"/>
        </a:xfrm>
        <a:prstGeom prst="rect">
          <a:avLst/>
        </a:prstGeom>
        <a:solidFill>
          <a:srgbClr val="0070c0"/>
        </a:solidFill>
        <a:ln w="6480">
          <a:solidFill>
            <a:srgbClr val="000000"/>
          </a:solidFill>
          <a:miter/>
        </a:ln>
        <a:effectLst>
          <a:outerShdw dist="50596" dir="7136148" blurRad="0" rotWithShape="0">
            <a:srgbClr val="808080"/>
          </a:outerShdw>
        </a:effectLst>
      </xdr:spPr>
      <xdr:style>
        <a:lnRef idx="0"/>
        <a:fillRef idx="0"/>
        <a:effectRef idx="0"/>
        <a:fontRef idx="minor"/>
      </xdr:style>
      <xdr:txBody>
        <a:bodyPr lIns="36360" rIns="0" tIns="27360" bIns="0" anchor="t">
          <a:noAutofit/>
        </a:bodyPr>
        <a:p>
          <a:r>
            <a:rPr b="1" lang="en-US" sz="1400" spc="-1" strike="noStrike">
              <a:solidFill>
                <a:srgbClr val="ffffff"/>
              </a:solidFill>
              <a:latin typeface="Cambria"/>
            </a:rPr>
            <a:t>                                                           </a:t>
          </a:r>
          <a:r>
            <a:rPr b="1" lang="en-US" sz="1400" spc="-1" strike="noStrike">
              <a:solidFill>
                <a:srgbClr val="ffffff"/>
              </a:solidFill>
              <a:latin typeface="Cambria"/>
            </a:rPr>
            <a:t>NOTE 3C : IMMOBILISATIONS (AMORTISSEMENTS)</a:t>
          </a:r>
          <a:endParaRPr b="0" lang="en-US" sz="1400" spc="-1" strike="noStrike">
            <a:latin typeface="Times New Roman"/>
          </a:endParaRPr>
        </a:p>
      </xdr:txBody>
    </xdr:sp>
    <xdr:clientData/>
  </xdr:twoCellAnchor>
  <xdr:twoCellAnchor editAs="oneCell">
    <xdr:from>
      <xdr:col>0</xdr:col>
      <xdr:colOff>30600</xdr:colOff>
      <xdr:row>10</xdr:row>
      <xdr:rowOff>12600</xdr:rowOff>
    </xdr:from>
    <xdr:to>
      <xdr:col>0</xdr:col>
      <xdr:colOff>2624040</xdr:colOff>
      <xdr:row>13</xdr:row>
      <xdr:rowOff>590760</xdr:rowOff>
    </xdr:to>
    <xdr:sp>
      <xdr:nvSpPr>
        <xdr:cNvPr id="115" name="Connecteur droit 20"/>
        <xdr:cNvSpPr/>
      </xdr:nvSpPr>
      <xdr:spPr>
        <a:xfrm>
          <a:off x="30600" y="1482480"/>
          <a:ext cx="2593440" cy="1035360"/>
        </a:xfrm>
        <a:prstGeom prst="line">
          <a:avLst/>
        </a:prstGeom>
        <a:ln w="12600">
          <a:solidFill>
            <a:srgbClr val="000000"/>
          </a:solidFill>
          <a:miter/>
        </a:ln>
      </xdr:spPr>
      <xdr:style>
        <a:lnRef idx="0"/>
        <a:fillRef idx="0"/>
        <a:effectRef idx="0"/>
        <a:fontRef idx="minor"/>
      </xdr:style>
    </xdr:sp>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6</xdr:col>
      <xdr:colOff>480600</xdr:colOff>
      <xdr:row>3</xdr:row>
      <xdr:rowOff>69480</xdr:rowOff>
    </xdr:to>
    <xdr:grpSp>
      <xdr:nvGrpSpPr>
        <xdr:cNvPr id="116" name="Group 382594"/>
        <xdr:cNvGrpSpPr/>
      </xdr:nvGrpSpPr>
      <xdr:grpSpPr>
        <a:xfrm>
          <a:off x="198000" y="0"/>
          <a:ext cx="6807960" cy="526680"/>
          <a:chOff x="198000" y="0"/>
          <a:chExt cx="6807960" cy="526680"/>
        </a:xfrm>
      </xdr:grpSpPr>
      <xdr:sp>
        <xdr:nvSpPr>
          <xdr:cNvPr id="117" name="Rectangle 16"/>
          <xdr:cNvSpPr/>
        </xdr:nvSpPr>
        <xdr:spPr>
          <a:xfrm>
            <a:off x="377280" y="0"/>
            <a:ext cx="51120" cy="20952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118" name="Rectangle 17"/>
          <xdr:cNvSpPr/>
        </xdr:nvSpPr>
        <xdr:spPr>
          <a:xfrm>
            <a:off x="377280" y="317160"/>
            <a:ext cx="51120" cy="20952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119" name="Shape 508250"/>
          <xdr:cNvSpPr/>
        </xdr:nvSpPr>
        <xdr:spPr>
          <a:xfrm>
            <a:off x="198000" y="88560"/>
            <a:ext cx="6718320" cy="387000"/>
          </a:xfrm>
          <a:custGeom>
            <a:avLst/>
            <a:gdLst>
              <a:gd name="textAreaLeft" fmla="*/ 0 w 6718320"/>
              <a:gd name="textAreaRight" fmla="*/ 6718680 w 6718320"/>
              <a:gd name="textAreaTop" fmla="*/ 0 h 387000"/>
              <a:gd name="textAreaBottom" fmla="*/ 387360 h 38700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808080">
              <a:alpha val="50000"/>
            </a:srgbClr>
          </a:solidFill>
          <a:ln w="0">
            <a:noFill/>
          </a:ln>
        </xdr:spPr>
        <xdr:style>
          <a:lnRef idx="0"/>
          <a:fillRef idx="0"/>
          <a:effectRef idx="0"/>
          <a:fontRef idx="minor"/>
        </xdr:style>
      </xdr:sp>
      <xdr:sp>
        <xdr:nvSpPr>
          <xdr:cNvPr id="120" name="Shape 508251"/>
          <xdr:cNvSpPr/>
        </xdr:nvSpPr>
        <xdr:spPr>
          <a:xfrm>
            <a:off x="287640" y="18720"/>
            <a:ext cx="6718320" cy="393480"/>
          </a:xfrm>
          <a:custGeom>
            <a:avLst/>
            <a:gdLst>
              <a:gd name="textAreaLeft" fmla="*/ 0 w 6718320"/>
              <a:gd name="textAreaRight" fmla="*/ 6718680 w 6718320"/>
              <a:gd name="textAreaTop" fmla="*/ 0 h 393480"/>
              <a:gd name="textAreaBottom" fmla="*/ 393840 h 39348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4f81bd"/>
          </a:solidFill>
          <a:ln w="0">
            <a:noFill/>
          </a:ln>
        </xdr:spPr>
        <xdr:style>
          <a:lnRef idx="0"/>
          <a:fillRef idx="0"/>
          <a:effectRef idx="0"/>
          <a:fontRef idx="minor"/>
        </xdr:style>
      </xdr:sp>
      <xdr:sp>
        <xdr:nvSpPr>
          <xdr:cNvPr id="121" name="Shape 19229"/>
          <xdr:cNvSpPr/>
        </xdr:nvSpPr>
        <xdr:spPr>
          <a:xfrm>
            <a:off x="287640" y="0"/>
            <a:ext cx="6718320" cy="393480"/>
          </a:xfrm>
          <a:custGeom>
            <a:avLst/>
            <a:gdLst>
              <a:gd name="textAreaLeft" fmla="*/ 0 w 6718320"/>
              <a:gd name="textAreaRight" fmla="*/ 6718680 w 6718320"/>
              <a:gd name="textAreaTop" fmla="*/ 0 h 393480"/>
              <a:gd name="textAreaBottom" fmla="*/ 393840 h 393480"/>
            </a:gdLst>
            <a:ahLst/>
            <a:rect l="textAreaLeft" t="textAreaTop" r="textAreaRight" b="textAreaBottom"/>
            <a:pathLst>
              <a:path w="5772150" h="352425">
                <a:moveTo>
                  <a:pt x="0" y="352425"/>
                </a:moveTo>
                <a:lnTo>
                  <a:pt x="5772150" y="352425"/>
                </a:lnTo>
                <a:lnTo>
                  <a:pt x="5772150" y="0"/>
                </a:lnTo>
                <a:lnTo>
                  <a:pt x="0" y="0"/>
                </a:lnTo>
                <a:lnTo>
                  <a:pt x="0" y="352425"/>
                </a:lnTo>
                <a:close/>
              </a:path>
            </a:pathLst>
          </a:custGeom>
          <a:noFill/>
          <a:ln cap="rnd" w="9360">
            <a:solidFill>
              <a:srgbClr val="000000"/>
            </a:solidFill>
            <a:miter/>
          </a:ln>
        </xdr:spPr>
        <xdr:style>
          <a:lnRef idx="0"/>
          <a:fillRef idx="0"/>
          <a:effectRef idx="0"/>
          <a:fontRef idx="minor"/>
        </xdr:style>
      </xdr:sp>
      <xdr:sp>
        <xdr:nvSpPr>
          <xdr:cNvPr id="122" name="Rectangle 21"/>
          <xdr:cNvSpPr/>
        </xdr:nvSpPr>
        <xdr:spPr>
          <a:xfrm>
            <a:off x="2651040" y="88560"/>
            <a:ext cx="63720" cy="2664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123" name="Rectangle 22"/>
          <xdr:cNvSpPr/>
        </xdr:nvSpPr>
        <xdr:spPr>
          <a:xfrm>
            <a:off x="2823840" y="88560"/>
            <a:ext cx="57600" cy="2664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124" name="Rectangle 23"/>
          <xdr:cNvSpPr/>
        </xdr:nvSpPr>
        <xdr:spPr>
          <a:xfrm>
            <a:off x="2874960" y="88560"/>
            <a:ext cx="70200" cy="26640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125" name="Rectangle 24"/>
          <xdr:cNvSpPr/>
        </xdr:nvSpPr>
        <xdr:spPr>
          <a:xfrm>
            <a:off x="511560" y="88560"/>
            <a:ext cx="6302160" cy="266400"/>
          </a:xfrm>
          <a:prstGeom prst="rect">
            <a:avLst/>
          </a:prstGeom>
          <a:noFill/>
          <a:ln w="0">
            <a:noFill/>
          </a:ln>
        </xdr:spPr>
        <xdr:style>
          <a:lnRef idx="0"/>
          <a:fillRef idx="0"/>
          <a:effectRef idx="0"/>
          <a:fontRef idx="minor"/>
        </xdr:style>
        <xdr:txBody>
          <a:bodyPr lIns="0" rIns="0" tIns="0" bIns="0" anchor="t">
            <a:noAutofit/>
          </a:bodyPr>
          <a:p>
            <a:pPr algn="ctr"/>
            <a:r>
              <a:rPr b="1" lang="en-US" sz="1200" spc="-1" strike="noStrike">
                <a:solidFill>
                  <a:srgbClr val="ffffff"/>
                </a:solidFill>
                <a:latin typeface="Arial"/>
              </a:rPr>
              <a:t>NOTE 3D : IMMOBILISATIONS (PLUS-VALUES ET MOINS VALUE DE CESSION)</a:t>
            </a:r>
            <a:endParaRPr b="0" lang="en-US" sz="1200" spc="-1" strike="noStrike">
              <a:latin typeface="Times New Roman"/>
            </a:endParaRPr>
          </a:p>
        </xdr:txBody>
      </xdr:sp>
    </xdr:grpSp>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3</xdr:col>
      <xdr:colOff>1642680</xdr:colOff>
      <xdr:row>4</xdr:row>
      <xdr:rowOff>127080</xdr:rowOff>
    </xdr:to>
    <xdr:grpSp>
      <xdr:nvGrpSpPr>
        <xdr:cNvPr id="126" name="Group 382594"/>
        <xdr:cNvGrpSpPr/>
      </xdr:nvGrpSpPr>
      <xdr:grpSpPr>
        <a:xfrm>
          <a:off x="339120" y="152280"/>
          <a:ext cx="9798480" cy="584280"/>
          <a:chOff x="339120" y="152280"/>
          <a:chExt cx="9798480" cy="584280"/>
        </a:xfrm>
      </xdr:grpSpPr>
      <xdr:sp>
        <xdr:nvSpPr>
          <xdr:cNvPr id="127" name="Rectangle 20"/>
          <xdr:cNvSpPr/>
        </xdr:nvSpPr>
        <xdr:spPr>
          <a:xfrm>
            <a:off x="601560" y="152280"/>
            <a:ext cx="70200" cy="24120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128" name="Rectangle 21"/>
          <xdr:cNvSpPr/>
        </xdr:nvSpPr>
        <xdr:spPr>
          <a:xfrm>
            <a:off x="601560" y="495360"/>
            <a:ext cx="70200" cy="24120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129" name="Shape 508250"/>
          <xdr:cNvSpPr/>
        </xdr:nvSpPr>
        <xdr:spPr>
          <a:xfrm>
            <a:off x="339120" y="247320"/>
            <a:ext cx="9670320" cy="432000"/>
          </a:xfrm>
          <a:custGeom>
            <a:avLst/>
            <a:gdLst>
              <a:gd name="textAreaLeft" fmla="*/ 0 w 9670320"/>
              <a:gd name="textAreaRight" fmla="*/ 9670680 w 9670320"/>
              <a:gd name="textAreaTop" fmla="*/ 0 h 432000"/>
              <a:gd name="textAreaBottom" fmla="*/ 432360 h 43200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808080">
              <a:alpha val="50000"/>
            </a:srgbClr>
          </a:solidFill>
          <a:ln w="0">
            <a:noFill/>
          </a:ln>
        </xdr:spPr>
        <xdr:style>
          <a:lnRef idx="0"/>
          <a:fillRef idx="0"/>
          <a:effectRef idx="0"/>
          <a:fontRef idx="minor"/>
        </xdr:style>
      </xdr:sp>
      <xdr:sp>
        <xdr:nvSpPr>
          <xdr:cNvPr id="130" name="Shape 508251"/>
          <xdr:cNvSpPr/>
        </xdr:nvSpPr>
        <xdr:spPr>
          <a:xfrm>
            <a:off x="467280" y="171000"/>
            <a:ext cx="9670320" cy="438480"/>
          </a:xfrm>
          <a:custGeom>
            <a:avLst/>
            <a:gdLst>
              <a:gd name="textAreaLeft" fmla="*/ 0 w 9670320"/>
              <a:gd name="textAreaRight" fmla="*/ 9670680 w 9670320"/>
              <a:gd name="textAreaTop" fmla="*/ 0 h 438480"/>
              <a:gd name="textAreaBottom" fmla="*/ 438840 h 438480"/>
            </a:gdLst>
            <a:ahLst/>
            <a:rect l="textAreaLeft" t="textAreaTop" r="textAreaRight" b="textAreaBottom"/>
            <a:pathLst>
              <a:path w="5772150" h="352425">
                <a:moveTo>
                  <a:pt x="0" y="0"/>
                </a:moveTo>
                <a:lnTo>
                  <a:pt x="5772150" y="0"/>
                </a:lnTo>
                <a:lnTo>
                  <a:pt x="5772150" y="352425"/>
                </a:lnTo>
                <a:lnTo>
                  <a:pt x="0" y="352425"/>
                </a:lnTo>
                <a:lnTo>
                  <a:pt x="0" y="0"/>
                </a:lnTo>
              </a:path>
            </a:pathLst>
          </a:custGeom>
          <a:solidFill>
            <a:srgbClr val="4f81bd"/>
          </a:solidFill>
          <a:ln w="0">
            <a:noFill/>
          </a:ln>
        </xdr:spPr>
        <xdr:style>
          <a:lnRef idx="0"/>
          <a:fillRef idx="0"/>
          <a:effectRef idx="0"/>
          <a:fontRef idx="minor"/>
        </xdr:style>
      </xdr:sp>
      <xdr:sp>
        <xdr:nvSpPr>
          <xdr:cNvPr id="131" name="Shape 19229"/>
          <xdr:cNvSpPr/>
        </xdr:nvSpPr>
        <xdr:spPr>
          <a:xfrm>
            <a:off x="467280" y="152280"/>
            <a:ext cx="9670320" cy="432000"/>
          </a:xfrm>
          <a:custGeom>
            <a:avLst/>
            <a:gdLst>
              <a:gd name="textAreaLeft" fmla="*/ 0 w 9670320"/>
              <a:gd name="textAreaRight" fmla="*/ 9670680 w 9670320"/>
              <a:gd name="textAreaTop" fmla="*/ 0 h 432000"/>
              <a:gd name="textAreaBottom" fmla="*/ 432360 h 432000"/>
            </a:gdLst>
            <a:ahLst/>
            <a:rect l="textAreaLeft" t="textAreaTop" r="textAreaRight" b="textAreaBottom"/>
            <a:pathLst>
              <a:path w="5772150" h="352425">
                <a:moveTo>
                  <a:pt x="0" y="352425"/>
                </a:moveTo>
                <a:lnTo>
                  <a:pt x="5772150" y="352425"/>
                </a:lnTo>
                <a:lnTo>
                  <a:pt x="5772150" y="0"/>
                </a:lnTo>
                <a:lnTo>
                  <a:pt x="0" y="0"/>
                </a:lnTo>
                <a:lnTo>
                  <a:pt x="0" y="352425"/>
                </a:lnTo>
                <a:close/>
              </a:path>
            </a:pathLst>
          </a:custGeom>
          <a:noFill/>
          <a:ln cap="rnd" w="9360">
            <a:solidFill>
              <a:srgbClr val="000000"/>
            </a:solidFill>
            <a:miter/>
          </a:ln>
        </xdr:spPr>
        <xdr:style>
          <a:lnRef idx="0"/>
          <a:fillRef idx="0"/>
          <a:effectRef idx="0"/>
          <a:fontRef idx="minor"/>
        </xdr:style>
      </xdr:sp>
      <xdr:sp>
        <xdr:nvSpPr>
          <xdr:cNvPr id="132" name="Rectangle 25"/>
          <xdr:cNvSpPr/>
        </xdr:nvSpPr>
        <xdr:spPr>
          <a:xfrm>
            <a:off x="3876480" y="247320"/>
            <a:ext cx="89640" cy="2984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133" name="Rectangle 26"/>
          <xdr:cNvSpPr/>
        </xdr:nvSpPr>
        <xdr:spPr>
          <a:xfrm>
            <a:off x="4113720" y="247320"/>
            <a:ext cx="89640" cy="2984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134" name="Rectangle 27"/>
          <xdr:cNvSpPr/>
        </xdr:nvSpPr>
        <xdr:spPr>
          <a:xfrm>
            <a:off x="4184280" y="247320"/>
            <a:ext cx="115200" cy="29844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135" name="Rectangle 28"/>
          <xdr:cNvSpPr/>
        </xdr:nvSpPr>
        <xdr:spPr>
          <a:xfrm>
            <a:off x="492840" y="247320"/>
            <a:ext cx="9375840" cy="298440"/>
          </a:xfrm>
          <a:prstGeom prst="rect">
            <a:avLst/>
          </a:prstGeom>
          <a:noFill/>
          <a:ln w="0">
            <a:noFill/>
          </a:ln>
        </xdr:spPr>
        <xdr:style>
          <a:lnRef idx="0"/>
          <a:fillRef idx="0"/>
          <a:effectRef idx="0"/>
          <a:fontRef idx="minor"/>
        </xdr:style>
        <xdr:txBody>
          <a:bodyPr lIns="0" rIns="0" tIns="0" bIns="0" anchor="t">
            <a:noAutofit/>
          </a:bodyPr>
          <a:p>
            <a:pPr algn="ctr"/>
            <a:r>
              <a:rPr b="1" lang="en-US" sz="1400" spc="-1" strike="noStrike">
                <a:solidFill>
                  <a:srgbClr val="ffffff"/>
                </a:solidFill>
                <a:latin typeface="Arial"/>
              </a:rPr>
              <a:t>NOTE 3E : </a:t>
            </a:r>
            <a:r>
              <a:rPr b="1" lang="en-US" sz="1200" spc="-1" strike="noStrike">
                <a:solidFill>
                  <a:srgbClr val="ffffff"/>
                </a:solidFill>
                <a:latin typeface="Arial"/>
              </a:rPr>
              <a:t>INFORMATIONS SUR LES REEVALUATIONS EFFECTUER PAR L'ENTITE</a:t>
            </a:r>
            <a:endParaRPr b="0" lang="en-US" sz="1200" spc="-1" strike="noStrike">
              <a:latin typeface="Times New Roman"/>
            </a:endParaRPr>
          </a:p>
        </xdr:txBody>
      </xdr:sp>
    </xdr:grpSp>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6</xdr:col>
      <xdr:colOff>769320</xdr:colOff>
      <xdr:row>3</xdr:row>
      <xdr:rowOff>101160</xdr:rowOff>
    </xdr:to>
    <xdr:grpSp>
      <xdr:nvGrpSpPr>
        <xdr:cNvPr id="136" name="Group 397787"/>
        <xdr:cNvGrpSpPr/>
      </xdr:nvGrpSpPr>
      <xdr:grpSpPr>
        <a:xfrm>
          <a:off x="0" y="184320"/>
          <a:ext cx="7583040" cy="469440"/>
          <a:chOff x="0" y="184320"/>
          <a:chExt cx="7583040" cy="469440"/>
        </a:xfrm>
      </xdr:grpSpPr>
      <xdr:sp>
        <xdr:nvSpPr>
          <xdr:cNvPr id="137" name="Rectangle 11"/>
          <xdr:cNvSpPr/>
        </xdr:nvSpPr>
        <xdr:spPr>
          <a:xfrm>
            <a:off x="7410240" y="266760"/>
            <a:ext cx="63720" cy="22824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138" name="Shape 508298"/>
          <xdr:cNvSpPr/>
        </xdr:nvSpPr>
        <xdr:spPr>
          <a:xfrm>
            <a:off x="0" y="279360"/>
            <a:ext cx="7480800" cy="374400"/>
          </a:xfrm>
          <a:custGeom>
            <a:avLst/>
            <a:gdLst>
              <a:gd name="textAreaLeft" fmla="*/ 0 w 7480800"/>
              <a:gd name="textAreaRight" fmla="*/ 7481160 w 7480800"/>
              <a:gd name="textAreaTop" fmla="*/ 0 h 374400"/>
              <a:gd name="textAreaBottom" fmla="*/ 374760 h 3744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139" name="Shape 508299"/>
          <xdr:cNvSpPr/>
        </xdr:nvSpPr>
        <xdr:spPr>
          <a:xfrm>
            <a:off x="102240" y="184320"/>
            <a:ext cx="7480800" cy="374400"/>
          </a:xfrm>
          <a:custGeom>
            <a:avLst/>
            <a:gdLst>
              <a:gd name="textAreaLeft" fmla="*/ 0 w 7480800"/>
              <a:gd name="textAreaRight" fmla="*/ 7481160 w 7480800"/>
              <a:gd name="textAreaTop" fmla="*/ 0 h 374400"/>
              <a:gd name="textAreaBottom" fmla="*/ 374760 h 3744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140" name="Shape 37500"/>
          <xdr:cNvSpPr/>
        </xdr:nvSpPr>
        <xdr:spPr>
          <a:xfrm>
            <a:off x="102240" y="184320"/>
            <a:ext cx="7480800" cy="374400"/>
          </a:xfrm>
          <a:custGeom>
            <a:avLst/>
            <a:gdLst>
              <a:gd name="textAreaLeft" fmla="*/ 0 w 7480800"/>
              <a:gd name="textAreaRight" fmla="*/ 7481160 w 7480800"/>
              <a:gd name="textAreaTop" fmla="*/ 0 h 374400"/>
              <a:gd name="textAreaBottom" fmla="*/ 374760 h 37440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141" name="Rectangle 15"/>
          <xdr:cNvSpPr/>
        </xdr:nvSpPr>
        <xdr:spPr>
          <a:xfrm>
            <a:off x="1652400" y="285840"/>
            <a:ext cx="1197360" cy="2854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4 : </a:t>
            </a:r>
            <a:endParaRPr b="0" lang="en-US" sz="1400" spc="-1" strike="noStrike">
              <a:latin typeface="Times New Roman"/>
            </a:endParaRPr>
          </a:p>
        </xdr:txBody>
      </xdr:sp>
      <xdr:sp>
        <xdr:nvSpPr>
          <xdr:cNvPr id="142" name="Rectangle 16"/>
          <xdr:cNvSpPr/>
        </xdr:nvSpPr>
        <xdr:spPr>
          <a:xfrm>
            <a:off x="2427120" y="304920"/>
            <a:ext cx="2728440" cy="2854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r>
              <a:rPr b="1" lang="en-US" sz="1400" spc="-1" strike="noStrike">
                <a:solidFill>
                  <a:srgbClr val="ffffff"/>
                </a:solidFill>
                <a:latin typeface="Cambria"/>
              </a:rPr>
              <a:t>IMMOBILISATIONS </a:t>
            </a:r>
            <a:endParaRPr b="0" lang="en-US" sz="1400" spc="-1" strike="noStrike">
              <a:latin typeface="Times New Roman"/>
            </a:endParaRPr>
          </a:p>
        </xdr:txBody>
      </xdr:sp>
      <xdr:sp>
        <xdr:nvSpPr>
          <xdr:cNvPr id="143" name="Rectangle 17"/>
          <xdr:cNvSpPr/>
        </xdr:nvSpPr>
        <xdr:spPr>
          <a:xfrm>
            <a:off x="4137480" y="311040"/>
            <a:ext cx="1933920" cy="2664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FINANCIERES</a:t>
            </a:r>
            <a:endParaRPr b="0" lang="en-US" sz="1400" spc="-1" strike="noStrike">
              <a:latin typeface="Times New Roman"/>
            </a:endParaRPr>
          </a:p>
        </xdr:txBody>
      </xdr:sp>
      <xdr:sp>
        <xdr:nvSpPr>
          <xdr:cNvPr id="144" name="Rectangle 18"/>
          <xdr:cNvSpPr/>
        </xdr:nvSpPr>
        <xdr:spPr>
          <a:xfrm>
            <a:off x="6033240" y="323640"/>
            <a:ext cx="51120" cy="22824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grpSp>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25560</xdr:rowOff>
    </xdr:from>
    <xdr:to>
      <xdr:col>4</xdr:col>
      <xdr:colOff>755640</xdr:colOff>
      <xdr:row>4</xdr:row>
      <xdr:rowOff>25560</xdr:rowOff>
    </xdr:to>
    <xdr:grpSp>
      <xdr:nvGrpSpPr>
        <xdr:cNvPr id="145" name="Group 398290"/>
        <xdr:cNvGrpSpPr/>
      </xdr:nvGrpSpPr>
      <xdr:grpSpPr>
        <a:xfrm>
          <a:off x="0" y="25560"/>
          <a:ext cx="6738120" cy="584280"/>
          <a:chOff x="0" y="25560"/>
          <a:chExt cx="6738120" cy="584280"/>
        </a:xfrm>
      </xdr:grpSpPr>
      <xdr:sp>
        <xdr:nvSpPr>
          <xdr:cNvPr id="146" name="Rectangle 2"/>
          <xdr:cNvSpPr/>
        </xdr:nvSpPr>
        <xdr:spPr>
          <a:xfrm>
            <a:off x="19080" y="311400"/>
            <a:ext cx="51120" cy="29232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147" name="Shape 508300"/>
          <xdr:cNvSpPr/>
        </xdr:nvSpPr>
        <xdr:spPr>
          <a:xfrm>
            <a:off x="0" y="146160"/>
            <a:ext cx="6648480" cy="463680"/>
          </a:xfrm>
          <a:custGeom>
            <a:avLst/>
            <a:gdLst>
              <a:gd name="textAreaLeft" fmla="*/ 0 w 6648480"/>
              <a:gd name="textAreaRight" fmla="*/ 6648840 w 6648480"/>
              <a:gd name="textAreaTop" fmla="*/ 0 h 463680"/>
              <a:gd name="textAreaBottom" fmla="*/ 463680 h 46368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148" name="Shape 508301"/>
          <xdr:cNvSpPr/>
        </xdr:nvSpPr>
        <xdr:spPr>
          <a:xfrm>
            <a:off x="89640" y="25560"/>
            <a:ext cx="6648480" cy="463680"/>
          </a:xfrm>
          <a:custGeom>
            <a:avLst/>
            <a:gdLst>
              <a:gd name="textAreaLeft" fmla="*/ 0 w 6648480"/>
              <a:gd name="textAreaRight" fmla="*/ 6648840 w 6648480"/>
              <a:gd name="textAreaTop" fmla="*/ 0 h 463680"/>
              <a:gd name="textAreaBottom" fmla="*/ 463680 h 46368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149" name="Shape 38085"/>
          <xdr:cNvSpPr/>
        </xdr:nvSpPr>
        <xdr:spPr>
          <a:xfrm>
            <a:off x="89640" y="25560"/>
            <a:ext cx="6648480" cy="463680"/>
          </a:xfrm>
          <a:custGeom>
            <a:avLst/>
            <a:gdLst>
              <a:gd name="textAreaLeft" fmla="*/ 0 w 6648480"/>
              <a:gd name="textAreaRight" fmla="*/ 6648840 w 6648480"/>
              <a:gd name="textAreaTop" fmla="*/ 0 h 463680"/>
              <a:gd name="textAreaBottom" fmla="*/ 463680 h 46368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150" name="Rectangle 6"/>
          <xdr:cNvSpPr/>
        </xdr:nvSpPr>
        <xdr:spPr>
          <a:xfrm>
            <a:off x="1921320" y="146160"/>
            <a:ext cx="1069560" cy="3621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5 : </a:t>
            </a:r>
            <a:endParaRPr b="0" lang="en-US" sz="1400" spc="-1" strike="noStrike">
              <a:latin typeface="Times New Roman"/>
            </a:endParaRPr>
          </a:p>
        </xdr:txBody>
      </xdr:sp>
      <xdr:sp>
        <xdr:nvSpPr>
          <xdr:cNvPr id="151" name="Rectangle 7"/>
          <xdr:cNvSpPr/>
        </xdr:nvSpPr>
        <xdr:spPr>
          <a:xfrm>
            <a:off x="2689920" y="146160"/>
            <a:ext cx="2888640" cy="3621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ACTIF CIRCULANT HAO</a:t>
            </a:r>
            <a:endParaRPr b="0" lang="en-US" sz="1400" spc="-1" strike="noStrike">
              <a:latin typeface="Times New Roman"/>
            </a:endParaRPr>
          </a:p>
        </xdr:txBody>
      </xdr:sp>
      <xdr:sp>
        <xdr:nvSpPr>
          <xdr:cNvPr id="152" name="Rectangle 8"/>
          <xdr:cNvSpPr/>
        </xdr:nvSpPr>
        <xdr:spPr>
          <a:xfrm>
            <a:off x="4906440" y="196920"/>
            <a:ext cx="51120" cy="29232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grpSp>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126720</xdr:rowOff>
    </xdr:from>
    <xdr:to>
      <xdr:col>4</xdr:col>
      <xdr:colOff>596160</xdr:colOff>
      <xdr:row>3</xdr:row>
      <xdr:rowOff>152280</xdr:rowOff>
    </xdr:to>
    <xdr:grpSp>
      <xdr:nvGrpSpPr>
        <xdr:cNvPr id="153" name="Group 398763"/>
        <xdr:cNvGrpSpPr/>
      </xdr:nvGrpSpPr>
      <xdr:grpSpPr>
        <a:xfrm>
          <a:off x="383400" y="126720"/>
          <a:ext cx="7008480" cy="482760"/>
          <a:chOff x="383400" y="126720"/>
          <a:chExt cx="7008480" cy="482760"/>
        </a:xfrm>
      </xdr:grpSpPr>
      <xdr:sp>
        <xdr:nvSpPr>
          <xdr:cNvPr id="154" name="Rectangle 2"/>
          <xdr:cNvSpPr/>
        </xdr:nvSpPr>
        <xdr:spPr>
          <a:xfrm>
            <a:off x="466560" y="393480"/>
            <a:ext cx="44640" cy="21600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155" name="Shape 508302"/>
          <xdr:cNvSpPr/>
        </xdr:nvSpPr>
        <xdr:spPr>
          <a:xfrm>
            <a:off x="383400" y="209160"/>
            <a:ext cx="6918840" cy="355680"/>
          </a:xfrm>
          <a:custGeom>
            <a:avLst/>
            <a:gdLst>
              <a:gd name="textAreaLeft" fmla="*/ 0 w 6918840"/>
              <a:gd name="textAreaRight" fmla="*/ 6919200 w 6918840"/>
              <a:gd name="textAreaTop" fmla="*/ 0 h 355680"/>
              <a:gd name="textAreaBottom" fmla="*/ 356040 h 35568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156" name="Shape 508303"/>
          <xdr:cNvSpPr/>
        </xdr:nvSpPr>
        <xdr:spPr>
          <a:xfrm>
            <a:off x="473040" y="126720"/>
            <a:ext cx="6918840" cy="349560"/>
          </a:xfrm>
          <a:custGeom>
            <a:avLst/>
            <a:gdLst>
              <a:gd name="textAreaLeft" fmla="*/ 0 w 6918840"/>
              <a:gd name="textAreaRight" fmla="*/ 6919200 w 6918840"/>
              <a:gd name="textAreaTop" fmla="*/ 0 h 349560"/>
              <a:gd name="textAreaBottom" fmla="*/ 349920 h 3495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157" name="Shape 38572"/>
          <xdr:cNvSpPr/>
        </xdr:nvSpPr>
        <xdr:spPr>
          <a:xfrm>
            <a:off x="473040" y="126720"/>
            <a:ext cx="6918840" cy="349560"/>
          </a:xfrm>
          <a:custGeom>
            <a:avLst/>
            <a:gdLst>
              <a:gd name="textAreaLeft" fmla="*/ 0 w 6918840"/>
              <a:gd name="textAreaRight" fmla="*/ 6919200 w 6918840"/>
              <a:gd name="textAreaTop" fmla="*/ 0 h 349560"/>
              <a:gd name="textAreaBottom" fmla="*/ 349920 h 34956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158" name="Rectangle 6"/>
          <xdr:cNvSpPr/>
        </xdr:nvSpPr>
        <xdr:spPr>
          <a:xfrm>
            <a:off x="2446200" y="209160"/>
            <a:ext cx="1172160" cy="2793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6 : </a:t>
            </a:r>
            <a:endParaRPr b="0" lang="en-US" sz="1400" spc="-1" strike="noStrike">
              <a:latin typeface="Times New Roman"/>
            </a:endParaRPr>
          </a:p>
        </xdr:txBody>
      </xdr:sp>
      <xdr:sp>
        <xdr:nvSpPr>
          <xdr:cNvPr id="159" name="Rectangle 7"/>
          <xdr:cNvSpPr/>
        </xdr:nvSpPr>
        <xdr:spPr>
          <a:xfrm>
            <a:off x="3323880" y="209160"/>
            <a:ext cx="1851480" cy="2793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STOCKS ET EN</a:t>
            </a:r>
            <a:endParaRPr b="0" lang="en-US" sz="1400" spc="-1" strike="noStrike">
              <a:latin typeface="Times New Roman"/>
            </a:endParaRPr>
          </a:p>
        </xdr:txBody>
      </xdr:sp>
      <xdr:sp>
        <xdr:nvSpPr>
          <xdr:cNvPr id="160" name="Rectangle 8"/>
          <xdr:cNvSpPr/>
        </xdr:nvSpPr>
        <xdr:spPr>
          <a:xfrm>
            <a:off x="4714200" y="209160"/>
            <a:ext cx="57600" cy="2793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sp>
        <xdr:nvSpPr>
          <xdr:cNvPr id="161" name="Rectangle 9"/>
          <xdr:cNvSpPr/>
        </xdr:nvSpPr>
        <xdr:spPr>
          <a:xfrm>
            <a:off x="4611600" y="221760"/>
            <a:ext cx="877680" cy="2541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COURS</a:t>
            </a:r>
            <a:endParaRPr b="0" lang="en-US" sz="1400" spc="-1" strike="noStrike">
              <a:latin typeface="Times New Roman"/>
            </a:endParaRPr>
          </a:p>
        </xdr:txBody>
      </xdr:sp>
      <xdr:sp>
        <xdr:nvSpPr>
          <xdr:cNvPr id="162" name="Rectangle 10"/>
          <xdr:cNvSpPr/>
        </xdr:nvSpPr>
        <xdr:spPr>
          <a:xfrm>
            <a:off x="5425200" y="247320"/>
            <a:ext cx="51120" cy="22248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grpSp>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126360</xdr:colOff>
      <xdr:row>0</xdr:row>
      <xdr:rowOff>69480</xdr:rowOff>
    </xdr:from>
    <xdr:to>
      <xdr:col>6</xdr:col>
      <xdr:colOff>634680</xdr:colOff>
      <xdr:row>2</xdr:row>
      <xdr:rowOff>75960</xdr:rowOff>
    </xdr:to>
    <xdr:grpSp>
      <xdr:nvGrpSpPr>
        <xdr:cNvPr id="163" name="Group 399847"/>
        <xdr:cNvGrpSpPr/>
      </xdr:nvGrpSpPr>
      <xdr:grpSpPr>
        <a:xfrm>
          <a:off x="126360" y="69480"/>
          <a:ext cx="9281520" cy="311400"/>
          <a:chOff x="126360" y="69480"/>
          <a:chExt cx="9281520" cy="311400"/>
        </a:xfrm>
      </xdr:grpSpPr>
      <xdr:sp>
        <xdr:nvSpPr>
          <xdr:cNvPr id="164" name="Rectangle 2"/>
          <xdr:cNvSpPr/>
        </xdr:nvSpPr>
        <xdr:spPr>
          <a:xfrm>
            <a:off x="209520" y="69480"/>
            <a:ext cx="76680" cy="17784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165" name="Shape 508304"/>
          <xdr:cNvSpPr/>
        </xdr:nvSpPr>
        <xdr:spPr>
          <a:xfrm>
            <a:off x="126360" y="132840"/>
            <a:ext cx="9159840" cy="248040"/>
          </a:xfrm>
          <a:custGeom>
            <a:avLst/>
            <a:gdLst>
              <a:gd name="textAreaLeft" fmla="*/ 0 w 9159840"/>
              <a:gd name="textAreaRight" fmla="*/ 9160200 w 9159840"/>
              <a:gd name="textAreaTop" fmla="*/ 0 h 248040"/>
              <a:gd name="textAreaBottom" fmla="*/ 248400 h 24804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166" name="Shape 508305"/>
          <xdr:cNvSpPr/>
        </xdr:nvSpPr>
        <xdr:spPr>
          <a:xfrm>
            <a:off x="248040" y="69480"/>
            <a:ext cx="9159840" cy="254160"/>
          </a:xfrm>
          <a:custGeom>
            <a:avLst/>
            <a:gdLst>
              <a:gd name="textAreaLeft" fmla="*/ 0 w 9159840"/>
              <a:gd name="textAreaRight" fmla="*/ 9160200 w 9159840"/>
              <a:gd name="textAreaTop" fmla="*/ 0 h 254160"/>
              <a:gd name="textAreaBottom" fmla="*/ 254160 h 2541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167" name="Shape 39545"/>
          <xdr:cNvSpPr/>
        </xdr:nvSpPr>
        <xdr:spPr>
          <a:xfrm>
            <a:off x="248040" y="69480"/>
            <a:ext cx="9159840" cy="254160"/>
          </a:xfrm>
          <a:custGeom>
            <a:avLst/>
            <a:gdLst>
              <a:gd name="textAreaLeft" fmla="*/ 0 w 9159840"/>
              <a:gd name="textAreaRight" fmla="*/ 9160200 w 9159840"/>
              <a:gd name="textAreaTop" fmla="*/ 0 h 254160"/>
              <a:gd name="textAreaBottom" fmla="*/ 254160 h 25416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168" name="Rectangle 6"/>
          <xdr:cNvSpPr/>
        </xdr:nvSpPr>
        <xdr:spPr>
          <a:xfrm>
            <a:off x="3681360" y="69480"/>
            <a:ext cx="1556280" cy="1908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7 : </a:t>
            </a:r>
            <a:endParaRPr b="0" lang="en-US" sz="1400" spc="-1" strike="noStrike">
              <a:latin typeface="Times New Roman"/>
            </a:endParaRPr>
          </a:p>
        </xdr:txBody>
      </xdr:sp>
      <xdr:sp>
        <xdr:nvSpPr>
          <xdr:cNvPr id="169" name="Rectangle 7"/>
          <xdr:cNvSpPr/>
        </xdr:nvSpPr>
        <xdr:spPr>
          <a:xfrm>
            <a:off x="4469400" y="69480"/>
            <a:ext cx="1454040" cy="1908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CLIENTS</a:t>
            </a:r>
            <a:endParaRPr b="0" lang="en-US" sz="1400" spc="-1" strike="noStrike">
              <a:latin typeface="Times New Roman"/>
            </a:endParaRPr>
          </a:p>
        </xdr:txBody>
      </xdr:sp>
      <xdr:sp>
        <xdr:nvSpPr>
          <xdr:cNvPr id="170" name="Rectangle 8"/>
          <xdr:cNvSpPr/>
        </xdr:nvSpPr>
        <xdr:spPr>
          <a:xfrm>
            <a:off x="5961960" y="164880"/>
            <a:ext cx="57600" cy="15264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grpSp>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122760</xdr:colOff>
      <xdr:row>0</xdr:row>
      <xdr:rowOff>82800</xdr:rowOff>
    </xdr:from>
    <xdr:to>
      <xdr:col>6</xdr:col>
      <xdr:colOff>512640</xdr:colOff>
      <xdr:row>3</xdr:row>
      <xdr:rowOff>146160</xdr:rowOff>
    </xdr:to>
    <xdr:grpSp>
      <xdr:nvGrpSpPr>
        <xdr:cNvPr id="171" name="Group 400734"/>
        <xdr:cNvGrpSpPr/>
      </xdr:nvGrpSpPr>
      <xdr:grpSpPr>
        <a:xfrm>
          <a:off x="122760" y="82800"/>
          <a:ext cx="9175680" cy="501480"/>
          <a:chOff x="122760" y="82800"/>
          <a:chExt cx="9175680" cy="501480"/>
        </a:xfrm>
      </xdr:grpSpPr>
      <xdr:sp>
        <xdr:nvSpPr>
          <xdr:cNvPr id="172" name="Rectangle 2"/>
          <xdr:cNvSpPr/>
        </xdr:nvSpPr>
        <xdr:spPr>
          <a:xfrm>
            <a:off x="436320" y="171720"/>
            <a:ext cx="76680" cy="29196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173" name="Shape 508306"/>
          <xdr:cNvSpPr/>
        </xdr:nvSpPr>
        <xdr:spPr>
          <a:xfrm>
            <a:off x="122760" y="184320"/>
            <a:ext cx="9054360" cy="399960"/>
          </a:xfrm>
          <a:custGeom>
            <a:avLst/>
            <a:gdLst>
              <a:gd name="textAreaLeft" fmla="*/ 0 w 9054360"/>
              <a:gd name="textAreaRight" fmla="*/ 9054720 w 9054360"/>
              <a:gd name="textAreaTop" fmla="*/ 0 h 399960"/>
              <a:gd name="textAreaBottom" fmla="*/ 400320 h 3999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174" name="Shape 508307"/>
          <xdr:cNvSpPr/>
        </xdr:nvSpPr>
        <xdr:spPr>
          <a:xfrm>
            <a:off x="244080" y="82800"/>
            <a:ext cx="9054360" cy="399960"/>
          </a:xfrm>
          <a:custGeom>
            <a:avLst/>
            <a:gdLst>
              <a:gd name="textAreaLeft" fmla="*/ 0 w 9054360"/>
              <a:gd name="textAreaRight" fmla="*/ 9054720 w 9054360"/>
              <a:gd name="textAreaTop" fmla="*/ 0 h 399960"/>
              <a:gd name="textAreaBottom" fmla="*/ 400320 h 3999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175" name="Shape 40365"/>
          <xdr:cNvSpPr/>
        </xdr:nvSpPr>
        <xdr:spPr>
          <a:xfrm>
            <a:off x="244080" y="82800"/>
            <a:ext cx="9054360" cy="399960"/>
          </a:xfrm>
          <a:custGeom>
            <a:avLst/>
            <a:gdLst>
              <a:gd name="textAreaLeft" fmla="*/ 0 w 9054360"/>
              <a:gd name="textAreaRight" fmla="*/ 9054720 w 9054360"/>
              <a:gd name="textAreaTop" fmla="*/ 0 h 399960"/>
              <a:gd name="textAreaBottom" fmla="*/ 400320 h 39996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176" name="Rectangle 6"/>
          <xdr:cNvSpPr/>
        </xdr:nvSpPr>
        <xdr:spPr>
          <a:xfrm>
            <a:off x="3305160" y="184320"/>
            <a:ext cx="1530360" cy="3110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8 : </a:t>
            </a:r>
            <a:endParaRPr b="0" lang="en-US" sz="1400" spc="-1" strike="noStrike">
              <a:latin typeface="Times New Roman"/>
            </a:endParaRPr>
          </a:p>
        </xdr:txBody>
      </xdr:sp>
      <xdr:sp>
        <xdr:nvSpPr>
          <xdr:cNvPr id="177" name="Rectangle 7"/>
          <xdr:cNvSpPr/>
        </xdr:nvSpPr>
        <xdr:spPr>
          <a:xfrm>
            <a:off x="4131000" y="184320"/>
            <a:ext cx="3246480" cy="3110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AUTRES CREANCES</a:t>
            </a:r>
            <a:endParaRPr b="0" lang="en-US" sz="1400" spc="-1" strike="noStrike">
              <a:latin typeface="Times New Roman"/>
            </a:endParaRPr>
          </a:p>
        </xdr:txBody>
      </xdr:sp>
      <xdr:sp>
        <xdr:nvSpPr>
          <xdr:cNvPr id="178" name="Rectangle 8"/>
          <xdr:cNvSpPr/>
        </xdr:nvSpPr>
        <xdr:spPr>
          <a:xfrm>
            <a:off x="6570720" y="228600"/>
            <a:ext cx="57600" cy="24768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grpSp>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88560</xdr:rowOff>
    </xdr:from>
    <xdr:to>
      <xdr:col>6</xdr:col>
      <xdr:colOff>551160</xdr:colOff>
      <xdr:row>3</xdr:row>
      <xdr:rowOff>126720</xdr:rowOff>
    </xdr:to>
    <xdr:grpSp>
      <xdr:nvGrpSpPr>
        <xdr:cNvPr id="179" name="Group 398290"/>
        <xdr:cNvGrpSpPr/>
      </xdr:nvGrpSpPr>
      <xdr:grpSpPr>
        <a:xfrm>
          <a:off x="0" y="88560"/>
          <a:ext cx="8711640" cy="495360"/>
          <a:chOff x="0" y="88560"/>
          <a:chExt cx="8711640" cy="495360"/>
        </a:xfrm>
      </xdr:grpSpPr>
      <xdr:sp>
        <xdr:nvSpPr>
          <xdr:cNvPr id="180" name="Rectangle 6"/>
          <xdr:cNvSpPr/>
        </xdr:nvSpPr>
        <xdr:spPr>
          <a:xfrm>
            <a:off x="19080" y="336240"/>
            <a:ext cx="70200" cy="24120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181" name="Shape 508300"/>
          <xdr:cNvSpPr/>
        </xdr:nvSpPr>
        <xdr:spPr>
          <a:xfrm>
            <a:off x="0" y="183600"/>
            <a:ext cx="8410680" cy="400320"/>
          </a:xfrm>
          <a:custGeom>
            <a:avLst/>
            <a:gdLst>
              <a:gd name="textAreaLeft" fmla="*/ 0 w 8410680"/>
              <a:gd name="textAreaRight" fmla="*/ 8411040 w 8410680"/>
              <a:gd name="textAreaTop" fmla="*/ 0 h 400320"/>
              <a:gd name="textAreaBottom" fmla="*/ 400680 h 40032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182" name="Shape 508301"/>
          <xdr:cNvSpPr/>
        </xdr:nvSpPr>
        <xdr:spPr>
          <a:xfrm>
            <a:off x="108720" y="88560"/>
            <a:ext cx="8410680" cy="400320"/>
          </a:xfrm>
          <a:custGeom>
            <a:avLst/>
            <a:gdLst>
              <a:gd name="textAreaLeft" fmla="*/ 0 w 8410680"/>
              <a:gd name="textAreaRight" fmla="*/ 8411040 w 8410680"/>
              <a:gd name="textAreaTop" fmla="*/ 0 h 400320"/>
              <a:gd name="textAreaBottom" fmla="*/ 400680 h 40032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183" name="Shape 38085"/>
          <xdr:cNvSpPr/>
        </xdr:nvSpPr>
        <xdr:spPr>
          <a:xfrm>
            <a:off x="108720" y="88560"/>
            <a:ext cx="8410680" cy="400320"/>
          </a:xfrm>
          <a:custGeom>
            <a:avLst/>
            <a:gdLst>
              <a:gd name="textAreaLeft" fmla="*/ 0 w 8410680"/>
              <a:gd name="textAreaRight" fmla="*/ 8411040 w 8410680"/>
              <a:gd name="textAreaTop" fmla="*/ 0 h 400320"/>
              <a:gd name="textAreaBottom" fmla="*/ 400680 h 40032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184" name="Rectangle 10"/>
          <xdr:cNvSpPr/>
        </xdr:nvSpPr>
        <xdr:spPr>
          <a:xfrm>
            <a:off x="2133000" y="164520"/>
            <a:ext cx="1031040" cy="3049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8A :</a:t>
            </a:r>
            <a:endParaRPr b="0" lang="en-US" sz="1400" spc="-1" strike="noStrike">
              <a:latin typeface="Times New Roman"/>
            </a:endParaRPr>
          </a:p>
        </xdr:txBody>
      </xdr:sp>
      <xdr:sp>
        <xdr:nvSpPr>
          <xdr:cNvPr id="185" name="Rectangle 11"/>
          <xdr:cNvSpPr/>
        </xdr:nvSpPr>
        <xdr:spPr>
          <a:xfrm>
            <a:off x="2972160" y="177480"/>
            <a:ext cx="5739480" cy="2602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TABLEAU D'ETALEMENT DES CHARGES IMMOBILISEES </a:t>
            </a:r>
            <a:endParaRPr b="0" lang="en-US" sz="1400" spc="-1" strike="noStrike">
              <a:latin typeface="Times New Roman"/>
            </a:endParaRPr>
          </a:p>
        </xdr:txBody>
      </xdr:sp>
      <xdr:sp>
        <xdr:nvSpPr>
          <xdr:cNvPr id="186" name="Rectangle 12"/>
          <xdr:cNvSpPr/>
        </xdr:nvSpPr>
        <xdr:spPr>
          <a:xfrm>
            <a:off x="6200640" y="234720"/>
            <a:ext cx="57600" cy="24768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grpSp>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38880</xdr:colOff>
      <xdr:row>0</xdr:row>
      <xdr:rowOff>50760</xdr:rowOff>
    </xdr:from>
    <xdr:to>
      <xdr:col>3</xdr:col>
      <xdr:colOff>570600</xdr:colOff>
      <xdr:row>2</xdr:row>
      <xdr:rowOff>145800</xdr:rowOff>
    </xdr:to>
    <xdr:grpSp>
      <xdr:nvGrpSpPr>
        <xdr:cNvPr id="187" name="Group 401837"/>
        <xdr:cNvGrpSpPr/>
      </xdr:nvGrpSpPr>
      <xdr:grpSpPr>
        <a:xfrm>
          <a:off x="38880" y="50760"/>
          <a:ext cx="5668920" cy="399960"/>
          <a:chOff x="38880" y="50760"/>
          <a:chExt cx="5668920" cy="399960"/>
        </a:xfrm>
      </xdr:grpSpPr>
      <xdr:sp>
        <xdr:nvSpPr>
          <xdr:cNvPr id="188" name="Shape 508314"/>
          <xdr:cNvSpPr/>
        </xdr:nvSpPr>
        <xdr:spPr>
          <a:xfrm>
            <a:off x="38880" y="126720"/>
            <a:ext cx="5598720" cy="324000"/>
          </a:xfrm>
          <a:custGeom>
            <a:avLst/>
            <a:gdLst>
              <a:gd name="textAreaLeft" fmla="*/ 0 w 5598720"/>
              <a:gd name="textAreaRight" fmla="*/ 5599080 w 5598720"/>
              <a:gd name="textAreaTop" fmla="*/ 0 h 324000"/>
              <a:gd name="textAreaBottom" fmla="*/ 324360 h 3240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189" name="Shape 508315"/>
          <xdr:cNvSpPr/>
        </xdr:nvSpPr>
        <xdr:spPr>
          <a:xfrm>
            <a:off x="109080" y="50760"/>
            <a:ext cx="5598720" cy="324000"/>
          </a:xfrm>
          <a:custGeom>
            <a:avLst/>
            <a:gdLst>
              <a:gd name="textAreaLeft" fmla="*/ 0 w 5598720"/>
              <a:gd name="textAreaRight" fmla="*/ 5599080 w 5598720"/>
              <a:gd name="textAreaTop" fmla="*/ 0 h 324000"/>
              <a:gd name="textAreaBottom" fmla="*/ 324360 h 3240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190" name="Shape 41398"/>
          <xdr:cNvSpPr/>
        </xdr:nvSpPr>
        <xdr:spPr>
          <a:xfrm>
            <a:off x="109080" y="50760"/>
            <a:ext cx="5598720" cy="324000"/>
          </a:xfrm>
          <a:custGeom>
            <a:avLst/>
            <a:gdLst>
              <a:gd name="textAreaLeft" fmla="*/ 0 w 5598720"/>
              <a:gd name="textAreaRight" fmla="*/ 5599080 w 5598720"/>
              <a:gd name="textAreaTop" fmla="*/ 0 h 324000"/>
              <a:gd name="textAreaBottom" fmla="*/ 324360 h 32400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191" name="Rectangle 5"/>
          <xdr:cNvSpPr/>
        </xdr:nvSpPr>
        <xdr:spPr>
          <a:xfrm>
            <a:off x="1659240" y="114120"/>
            <a:ext cx="941400" cy="2541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9 : </a:t>
            </a:r>
            <a:endParaRPr b="0" lang="en-US" sz="1400" spc="-1" strike="noStrike">
              <a:latin typeface="Times New Roman"/>
            </a:endParaRPr>
          </a:p>
        </xdr:txBody>
      </xdr:sp>
      <xdr:sp>
        <xdr:nvSpPr>
          <xdr:cNvPr id="192" name="Rectangle 6"/>
          <xdr:cNvSpPr/>
        </xdr:nvSpPr>
        <xdr:spPr>
          <a:xfrm>
            <a:off x="2370600" y="126720"/>
            <a:ext cx="2485440" cy="2476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TITRES DE PLACEMENT</a:t>
            </a:r>
            <a:endParaRPr b="0" lang="en-US" sz="1400" spc="-1" strike="noStrike">
              <a:latin typeface="Times New Roman"/>
            </a:endParaRPr>
          </a:p>
        </xdr:txBody>
      </xdr:sp>
      <xdr:sp>
        <xdr:nvSpPr>
          <xdr:cNvPr id="193" name="Rectangle 7"/>
          <xdr:cNvSpPr/>
        </xdr:nvSpPr>
        <xdr:spPr>
          <a:xfrm>
            <a:off x="4202640" y="164880"/>
            <a:ext cx="38160" cy="19692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grpSp>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90720</xdr:colOff>
      <xdr:row>0</xdr:row>
      <xdr:rowOff>0</xdr:rowOff>
    </xdr:from>
    <xdr:to>
      <xdr:col>3</xdr:col>
      <xdr:colOff>583560</xdr:colOff>
      <xdr:row>2</xdr:row>
      <xdr:rowOff>152280</xdr:rowOff>
    </xdr:to>
    <xdr:grpSp>
      <xdr:nvGrpSpPr>
        <xdr:cNvPr id="194" name="Group 402232"/>
        <xdr:cNvGrpSpPr/>
      </xdr:nvGrpSpPr>
      <xdr:grpSpPr>
        <a:xfrm>
          <a:off x="90720" y="0"/>
          <a:ext cx="5713200" cy="457200"/>
          <a:chOff x="90720" y="0"/>
          <a:chExt cx="5713200" cy="457200"/>
        </a:xfrm>
      </xdr:grpSpPr>
      <xdr:sp>
        <xdr:nvSpPr>
          <xdr:cNvPr id="195" name="Rectangle 2"/>
          <xdr:cNvSpPr/>
        </xdr:nvSpPr>
        <xdr:spPr>
          <a:xfrm>
            <a:off x="122400" y="247680"/>
            <a:ext cx="51120" cy="20952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196" name="Shape 508316"/>
          <xdr:cNvSpPr/>
        </xdr:nvSpPr>
        <xdr:spPr>
          <a:xfrm>
            <a:off x="90720" y="69840"/>
            <a:ext cx="5643000" cy="292320"/>
          </a:xfrm>
          <a:custGeom>
            <a:avLst/>
            <a:gdLst>
              <a:gd name="textAreaLeft" fmla="*/ 0 w 5643000"/>
              <a:gd name="textAreaRight" fmla="*/ 5643360 w 5643000"/>
              <a:gd name="textAreaTop" fmla="*/ 0 h 292320"/>
              <a:gd name="textAreaBottom" fmla="*/ 292680 h 29232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197" name="Shape 508317"/>
          <xdr:cNvSpPr/>
        </xdr:nvSpPr>
        <xdr:spPr>
          <a:xfrm>
            <a:off x="160920" y="0"/>
            <a:ext cx="5643000" cy="285840"/>
          </a:xfrm>
          <a:custGeom>
            <a:avLst/>
            <a:gdLst>
              <a:gd name="textAreaLeft" fmla="*/ 0 w 5643000"/>
              <a:gd name="textAreaRight" fmla="*/ 5643360 w 5643000"/>
              <a:gd name="textAreaTop" fmla="*/ 0 h 285840"/>
              <a:gd name="textAreaBottom" fmla="*/ 285840 h 28584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198" name="Shape 41790"/>
          <xdr:cNvSpPr/>
        </xdr:nvSpPr>
        <xdr:spPr>
          <a:xfrm>
            <a:off x="160920" y="0"/>
            <a:ext cx="5643000" cy="285840"/>
          </a:xfrm>
          <a:custGeom>
            <a:avLst/>
            <a:gdLst>
              <a:gd name="textAreaLeft" fmla="*/ 0 w 5643000"/>
              <a:gd name="textAreaRight" fmla="*/ 5643360 w 5643000"/>
              <a:gd name="textAreaTop" fmla="*/ 0 h 285840"/>
              <a:gd name="textAreaBottom" fmla="*/ 285840 h 28584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199" name="Rectangle 6"/>
          <xdr:cNvSpPr/>
        </xdr:nvSpPr>
        <xdr:spPr>
          <a:xfrm>
            <a:off x="1672560" y="18720"/>
            <a:ext cx="1082160" cy="2793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10 : </a:t>
            </a:r>
            <a:endParaRPr b="0" lang="en-US" sz="1400" spc="-1" strike="noStrike">
              <a:latin typeface="Times New Roman"/>
            </a:endParaRPr>
          </a:p>
        </xdr:txBody>
      </xdr:sp>
      <xdr:sp>
        <xdr:nvSpPr>
          <xdr:cNvPr id="200" name="Rectangle 7"/>
          <xdr:cNvSpPr/>
        </xdr:nvSpPr>
        <xdr:spPr>
          <a:xfrm>
            <a:off x="2562840" y="31680"/>
            <a:ext cx="2414520" cy="2667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VALEURS A ENCAISSER</a:t>
            </a:r>
            <a:endParaRPr b="0" lang="en-US" sz="1400" spc="-1" strike="noStrike">
              <a:latin typeface="Times New Roman"/>
            </a:endParaRPr>
          </a:p>
        </xdr:txBody>
      </xdr:sp>
      <xdr:sp>
        <xdr:nvSpPr>
          <xdr:cNvPr id="201" name="Rectangle 8"/>
          <xdr:cNvSpPr/>
        </xdr:nvSpPr>
        <xdr:spPr>
          <a:xfrm>
            <a:off x="4305240" y="101520"/>
            <a:ext cx="38160" cy="18396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grpSp>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108360</xdr:colOff>
      <xdr:row>0</xdr:row>
      <xdr:rowOff>69480</xdr:rowOff>
    </xdr:from>
    <xdr:to>
      <xdr:col>4</xdr:col>
      <xdr:colOff>365760</xdr:colOff>
      <xdr:row>3</xdr:row>
      <xdr:rowOff>181080</xdr:rowOff>
    </xdr:to>
    <xdr:grpSp>
      <xdr:nvGrpSpPr>
        <xdr:cNvPr id="202" name="Group 402232"/>
        <xdr:cNvGrpSpPr/>
      </xdr:nvGrpSpPr>
      <xdr:grpSpPr>
        <a:xfrm>
          <a:off x="108360" y="69480"/>
          <a:ext cx="6406200" cy="568800"/>
          <a:chOff x="108360" y="69480"/>
          <a:chExt cx="6406200" cy="568800"/>
        </a:xfrm>
      </xdr:grpSpPr>
      <xdr:sp>
        <xdr:nvSpPr>
          <xdr:cNvPr id="203" name="Rectangle 7"/>
          <xdr:cNvSpPr/>
        </xdr:nvSpPr>
        <xdr:spPr>
          <a:xfrm>
            <a:off x="140040" y="382680"/>
            <a:ext cx="57600" cy="25560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204" name="Shape 508316"/>
          <xdr:cNvSpPr/>
        </xdr:nvSpPr>
        <xdr:spPr>
          <a:xfrm>
            <a:off x="108360" y="152280"/>
            <a:ext cx="6323040" cy="364320"/>
          </a:xfrm>
          <a:custGeom>
            <a:avLst/>
            <a:gdLst>
              <a:gd name="textAreaLeft" fmla="*/ 0 w 6323040"/>
              <a:gd name="textAreaRight" fmla="*/ 6323400 w 6323040"/>
              <a:gd name="textAreaTop" fmla="*/ 0 h 364320"/>
              <a:gd name="textAreaBottom" fmla="*/ 364680 h 36432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205" name="Shape 508317"/>
          <xdr:cNvSpPr/>
        </xdr:nvSpPr>
        <xdr:spPr>
          <a:xfrm>
            <a:off x="191520" y="69480"/>
            <a:ext cx="6323040" cy="357840"/>
          </a:xfrm>
          <a:custGeom>
            <a:avLst/>
            <a:gdLst>
              <a:gd name="textAreaLeft" fmla="*/ 0 w 6323040"/>
              <a:gd name="textAreaRight" fmla="*/ 6323400 w 6323040"/>
              <a:gd name="textAreaTop" fmla="*/ 0 h 357840"/>
              <a:gd name="textAreaBottom" fmla="*/ 358200 h 35784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206" name="Shape 41790"/>
          <xdr:cNvSpPr/>
        </xdr:nvSpPr>
        <xdr:spPr>
          <a:xfrm>
            <a:off x="191520" y="69480"/>
            <a:ext cx="6323040" cy="357840"/>
          </a:xfrm>
          <a:custGeom>
            <a:avLst/>
            <a:gdLst>
              <a:gd name="textAreaLeft" fmla="*/ 0 w 6323040"/>
              <a:gd name="textAreaRight" fmla="*/ 6323400 w 6323040"/>
              <a:gd name="textAreaTop" fmla="*/ 0 h 357840"/>
              <a:gd name="textAreaBottom" fmla="*/ 358200 h 35784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207" name="Rectangle 11"/>
          <xdr:cNvSpPr/>
        </xdr:nvSpPr>
        <xdr:spPr>
          <a:xfrm>
            <a:off x="1248480" y="107640"/>
            <a:ext cx="1217160" cy="2746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11 : </a:t>
            </a:r>
            <a:endParaRPr b="0" lang="en-US" sz="1400" spc="-1" strike="noStrike">
              <a:latin typeface="Times New Roman"/>
            </a:endParaRPr>
          </a:p>
        </xdr:txBody>
      </xdr:sp>
      <xdr:sp>
        <xdr:nvSpPr>
          <xdr:cNvPr id="208" name="Rectangle 12"/>
          <xdr:cNvSpPr/>
        </xdr:nvSpPr>
        <xdr:spPr>
          <a:xfrm>
            <a:off x="2119680" y="114120"/>
            <a:ext cx="4336920" cy="3132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BANQUES, CHEQUES POSTAUX ET CHEQUES</a:t>
            </a:r>
            <a:endParaRPr b="0" lang="en-US" sz="1400" spc="-1" strike="noStrike">
              <a:latin typeface="Times New Roman"/>
            </a:endParaRPr>
          </a:p>
        </xdr:txBody>
      </xdr:sp>
      <xdr:sp>
        <xdr:nvSpPr>
          <xdr:cNvPr id="209" name="Rectangle 13"/>
          <xdr:cNvSpPr/>
        </xdr:nvSpPr>
        <xdr:spPr>
          <a:xfrm>
            <a:off x="4829760" y="203760"/>
            <a:ext cx="44640" cy="21708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grpSp>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18360</xdr:colOff>
      <xdr:row>0</xdr:row>
      <xdr:rowOff>31680</xdr:rowOff>
    </xdr:from>
    <xdr:to>
      <xdr:col>5</xdr:col>
      <xdr:colOff>634680</xdr:colOff>
      <xdr:row>3</xdr:row>
      <xdr:rowOff>6120</xdr:rowOff>
    </xdr:to>
    <xdr:grpSp>
      <xdr:nvGrpSpPr>
        <xdr:cNvPr id="210" name="Group 403565"/>
        <xdr:cNvGrpSpPr/>
      </xdr:nvGrpSpPr>
      <xdr:grpSpPr>
        <a:xfrm>
          <a:off x="18360" y="31680"/>
          <a:ext cx="6565680" cy="431640"/>
          <a:chOff x="18360" y="31680"/>
          <a:chExt cx="6565680" cy="431640"/>
        </a:xfrm>
      </xdr:grpSpPr>
      <xdr:sp>
        <xdr:nvSpPr>
          <xdr:cNvPr id="211" name="Rectangle 2"/>
          <xdr:cNvSpPr/>
        </xdr:nvSpPr>
        <xdr:spPr>
          <a:xfrm>
            <a:off x="75960" y="253800"/>
            <a:ext cx="63720" cy="20952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212" name="Shape 508320"/>
          <xdr:cNvSpPr/>
        </xdr:nvSpPr>
        <xdr:spPr>
          <a:xfrm>
            <a:off x="18360" y="107640"/>
            <a:ext cx="6482520" cy="279360"/>
          </a:xfrm>
          <a:custGeom>
            <a:avLst/>
            <a:gdLst>
              <a:gd name="textAreaLeft" fmla="*/ 0 w 6482520"/>
              <a:gd name="textAreaRight" fmla="*/ 6482880 w 6482520"/>
              <a:gd name="textAreaTop" fmla="*/ 0 h 279360"/>
              <a:gd name="textAreaBottom" fmla="*/ 279720 h 2793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213" name="Shape 508321"/>
          <xdr:cNvSpPr/>
        </xdr:nvSpPr>
        <xdr:spPr>
          <a:xfrm>
            <a:off x="101520" y="31680"/>
            <a:ext cx="6482520" cy="291960"/>
          </a:xfrm>
          <a:custGeom>
            <a:avLst/>
            <a:gdLst>
              <a:gd name="textAreaLeft" fmla="*/ 0 w 6482520"/>
              <a:gd name="textAreaRight" fmla="*/ 6482880 w 6482520"/>
              <a:gd name="textAreaTop" fmla="*/ 0 h 291960"/>
              <a:gd name="textAreaBottom" fmla="*/ 292320 h 2919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214" name="Shape 42987"/>
          <xdr:cNvSpPr/>
        </xdr:nvSpPr>
        <xdr:spPr>
          <a:xfrm>
            <a:off x="101520" y="31680"/>
            <a:ext cx="6482520" cy="291960"/>
          </a:xfrm>
          <a:custGeom>
            <a:avLst/>
            <a:gdLst>
              <a:gd name="textAreaLeft" fmla="*/ 0 w 6482520"/>
              <a:gd name="textAreaRight" fmla="*/ 6482880 w 6482520"/>
              <a:gd name="textAreaTop" fmla="*/ 0 h 291960"/>
              <a:gd name="textAreaBottom" fmla="*/ 292320 h 29196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215" name="Rectangle 6"/>
          <xdr:cNvSpPr/>
        </xdr:nvSpPr>
        <xdr:spPr>
          <a:xfrm>
            <a:off x="1741320" y="31680"/>
            <a:ext cx="1248840" cy="2984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12 : </a:t>
            </a:r>
            <a:endParaRPr b="0" lang="en-US" sz="1400" spc="-1" strike="noStrike">
              <a:latin typeface="Times New Roman"/>
            </a:endParaRPr>
          </a:p>
        </xdr:txBody>
      </xdr:sp>
      <xdr:sp>
        <xdr:nvSpPr>
          <xdr:cNvPr id="216" name="Rectangle 7"/>
          <xdr:cNvSpPr/>
        </xdr:nvSpPr>
        <xdr:spPr>
          <a:xfrm>
            <a:off x="2676600" y="37800"/>
            <a:ext cx="3029760" cy="2919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ECARTS DE CONVERSION</a:t>
            </a:r>
            <a:endParaRPr b="0" lang="en-US" sz="1400" spc="-1" strike="noStrike">
              <a:latin typeface="Times New Roman"/>
            </a:endParaRPr>
          </a:p>
        </xdr:txBody>
      </xdr:sp>
      <xdr:sp>
        <xdr:nvSpPr>
          <xdr:cNvPr id="217" name="Rectangle 8"/>
          <xdr:cNvSpPr/>
        </xdr:nvSpPr>
        <xdr:spPr>
          <a:xfrm>
            <a:off x="4950720" y="133200"/>
            <a:ext cx="51120" cy="17784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grpSp>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89280</xdr:colOff>
      <xdr:row>0</xdr:row>
      <xdr:rowOff>126720</xdr:rowOff>
    </xdr:from>
    <xdr:to>
      <xdr:col>6</xdr:col>
      <xdr:colOff>596160</xdr:colOff>
      <xdr:row>2</xdr:row>
      <xdr:rowOff>107640</xdr:rowOff>
    </xdr:to>
    <xdr:sp>
      <xdr:nvSpPr>
        <xdr:cNvPr id="218" name="Zone de texte 6"/>
        <xdr:cNvSpPr/>
      </xdr:nvSpPr>
      <xdr:spPr>
        <a:xfrm>
          <a:off x="351360" y="126720"/>
          <a:ext cx="6297120" cy="285840"/>
        </a:xfrm>
        <a:prstGeom prst="rect">
          <a:avLst/>
        </a:prstGeom>
        <a:solidFill>
          <a:srgbClr val="0070c0"/>
        </a:solidFill>
        <a:ln w="6480">
          <a:solidFill>
            <a:srgbClr val="000000"/>
          </a:solidFill>
          <a:miter/>
        </a:ln>
        <a:effectLst>
          <a:outerShdw dist="50596" dir="7136148" blurRad="0" rotWithShape="0">
            <a:srgbClr val="808080"/>
          </a:outerShdw>
        </a:effectLst>
      </xdr:spPr>
      <xdr:style>
        <a:lnRef idx="0"/>
        <a:fillRef idx="0"/>
        <a:effectRef idx="0"/>
        <a:fontRef idx="minor"/>
      </xdr:style>
      <xdr:txBody>
        <a:bodyPr lIns="36360" rIns="36360" tIns="27360" bIns="0" anchor="t">
          <a:noAutofit/>
        </a:bodyPr>
        <a:p>
          <a:pPr algn="ctr"/>
          <a:r>
            <a:rPr b="1" lang="en-US" sz="1400" spc="-1" strike="noStrike">
              <a:solidFill>
                <a:srgbClr val="ffffff"/>
              </a:solidFill>
              <a:latin typeface="Cambria"/>
            </a:rPr>
            <a:t>NOTE 13 : CAPITAL</a:t>
          </a:r>
          <a:endParaRPr b="0" lang="en-US" sz="1400" spc="-1" strike="noStrike">
            <a:latin typeface="Times New Roman"/>
          </a:endParaRPr>
        </a:p>
        <a:p>
          <a:pPr algn="ctr"/>
          <a:r>
            <a:rPr b="1" lang="en-US" sz="1400" spc="-1" strike="noStrike">
              <a:solidFill>
                <a:srgbClr val="000000"/>
              </a:solidFill>
              <a:latin typeface="Cambria"/>
            </a:rPr>
            <a:t> </a:t>
          </a:r>
          <a:endParaRPr b="0" lang="en-US" sz="1400" spc="-1" strike="noStrike">
            <a:latin typeface="Times New Roman"/>
          </a:endParaRPr>
        </a:p>
      </xdr:txBody>
    </xdr:sp>
    <xdr:clientData/>
  </xdr:twoCellAnchor>
</xdr:wsDr>
</file>

<file path=xl/drawings/drawing2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39960</xdr:colOff>
      <xdr:row>0</xdr:row>
      <xdr:rowOff>25560</xdr:rowOff>
    </xdr:from>
    <xdr:to>
      <xdr:col>4</xdr:col>
      <xdr:colOff>602640</xdr:colOff>
      <xdr:row>2</xdr:row>
      <xdr:rowOff>146160</xdr:rowOff>
    </xdr:to>
    <xdr:grpSp>
      <xdr:nvGrpSpPr>
        <xdr:cNvPr id="219" name="Group 404201"/>
        <xdr:cNvGrpSpPr/>
      </xdr:nvGrpSpPr>
      <xdr:grpSpPr>
        <a:xfrm>
          <a:off x="334080" y="25560"/>
          <a:ext cx="6634440" cy="412560"/>
          <a:chOff x="334080" y="25560"/>
          <a:chExt cx="6634440" cy="412560"/>
        </a:xfrm>
      </xdr:grpSpPr>
      <xdr:sp>
        <xdr:nvSpPr>
          <xdr:cNvPr id="220" name="Rectangle 2"/>
          <xdr:cNvSpPr/>
        </xdr:nvSpPr>
        <xdr:spPr>
          <a:xfrm>
            <a:off x="385200" y="235080"/>
            <a:ext cx="57600" cy="20304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221" name="Shape 508324"/>
          <xdr:cNvSpPr/>
        </xdr:nvSpPr>
        <xdr:spPr>
          <a:xfrm>
            <a:off x="334080" y="82440"/>
            <a:ext cx="6583320" cy="279360"/>
          </a:xfrm>
          <a:custGeom>
            <a:avLst/>
            <a:gdLst>
              <a:gd name="textAreaLeft" fmla="*/ 0 w 6583320"/>
              <a:gd name="textAreaRight" fmla="*/ 6583680 w 6583320"/>
              <a:gd name="textAreaTop" fmla="*/ 0 h 279360"/>
              <a:gd name="textAreaBottom" fmla="*/ 279720 h 2793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222" name="Shape 508325"/>
          <xdr:cNvSpPr/>
        </xdr:nvSpPr>
        <xdr:spPr>
          <a:xfrm>
            <a:off x="385200" y="25560"/>
            <a:ext cx="6583320" cy="272880"/>
          </a:xfrm>
          <a:custGeom>
            <a:avLst/>
            <a:gdLst>
              <a:gd name="textAreaLeft" fmla="*/ 0 w 6583320"/>
              <a:gd name="textAreaRight" fmla="*/ 6583680 w 6583320"/>
              <a:gd name="textAreaTop" fmla="*/ 0 h 272880"/>
              <a:gd name="textAreaBottom" fmla="*/ 273240 h 27288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223" name="Shape 44063"/>
          <xdr:cNvSpPr/>
        </xdr:nvSpPr>
        <xdr:spPr>
          <a:xfrm>
            <a:off x="385200" y="25560"/>
            <a:ext cx="6583320" cy="272880"/>
          </a:xfrm>
          <a:custGeom>
            <a:avLst/>
            <a:gdLst>
              <a:gd name="textAreaLeft" fmla="*/ 0 w 6583320"/>
              <a:gd name="textAreaRight" fmla="*/ 6583680 w 6583320"/>
              <a:gd name="textAreaTop" fmla="*/ 0 h 272880"/>
              <a:gd name="textAreaBottom" fmla="*/ 273240 h 27288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224" name="Rectangle 6"/>
          <xdr:cNvSpPr/>
        </xdr:nvSpPr>
        <xdr:spPr>
          <a:xfrm>
            <a:off x="2088720" y="44280"/>
            <a:ext cx="2785680" cy="2667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14 : PRIMES ET </a:t>
            </a:r>
            <a:endParaRPr b="0" lang="en-US" sz="1400" spc="-1" strike="noStrike">
              <a:latin typeface="Times New Roman"/>
            </a:endParaRPr>
          </a:p>
        </xdr:txBody>
      </xdr:sp>
      <xdr:sp>
        <xdr:nvSpPr>
          <xdr:cNvPr id="225" name="Rectangle 7"/>
          <xdr:cNvSpPr/>
        </xdr:nvSpPr>
        <xdr:spPr>
          <a:xfrm>
            <a:off x="3971520" y="44280"/>
            <a:ext cx="1504800" cy="2667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RESERVES</a:t>
            </a:r>
            <a:endParaRPr b="0" lang="en-US" sz="1400" spc="-1" strike="noStrike">
              <a:latin typeface="Times New Roman"/>
            </a:endParaRPr>
          </a:p>
        </xdr:txBody>
      </xdr:sp>
      <xdr:sp>
        <xdr:nvSpPr>
          <xdr:cNvPr id="226" name="Rectangle 8"/>
          <xdr:cNvSpPr/>
        </xdr:nvSpPr>
        <xdr:spPr>
          <a:xfrm>
            <a:off x="5169240" y="127080"/>
            <a:ext cx="44640" cy="17136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grpSp>
    <xdr:clientData/>
  </xdr:twoCellAnchor>
</xdr:wsDr>
</file>

<file path=xl/drawings/drawing2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132840</xdr:colOff>
      <xdr:row>0</xdr:row>
      <xdr:rowOff>69840</xdr:rowOff>
    </xdr:from>
    <xdr:to>
      <xdr:col>7</xdr:col>
      <xdr:colOff>551520</xdr:colOff>
      <xdr:row>2</xdr:row>
      <xdr:rowOff>123840</xdr:rowOff>
    </xdr:to>
    <xdr:grpSp>
      <xdr:nvGrpSpPr>
        <xdr:cNvPr id="227" name="Group 404201"/>
        <xdr:cNvGrpSpPr/>
      </xdr:nvGrpSpPr>
      <xdr:grpSpPr>
        <a:xfrm>
          <a:off x="132840" y="69840"/>
          <a:ext cx="9558360" cy="434880"/>
          <a:chOff x="132840" y="69840"/>
          <a:chExt cx="9558360" cy="434880"/>
        </a:xfrm>
      </xdr:grpSpPr>
      <xdr:sp>
        <xdr:nvSpPr>
          <xdr:cNvPr id="228" name="Rectangle 6"/>
          <xdr:cNvSpPr/>
        </xdr:nvSpPr>
        <xdr:spPr>
          <a:xfrm>
            <a:off x="209520" y="293760"/>
            <a:ext cx="83160" cy="21096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229" name="Shape 508324"/>
          <xdr:cNvSpPr/>
        </xdr:nvSpPr>
        <xdr:spPr>
          <a:xfrm>
            <a:off x="132840" y="133560"/>
            <a:ext cx="9481680" cy="288000"/>
          </a:xfrm>
          <a:custGeom>
            <a:avLst/>
            <a:gdLst>
              <a:gd name="textAreaLeft" fmla="*/ 0 w 9481680"/>
              <a:gd name="textAreaRight" fmla="*/ 9482040 w 9481680"/>
              <a:gd name="textAreaTop" fmla="*/ 0 h 288000"/>
              <a:gd name="textAreaBottom" fmla="*/ 288360 h 2880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230" name="Shape 508325"/>
          <xdr:cNvSpPr/>
        </xdr:nvSpPr>
        <xdr:spPr>
          <a:xfrm>
            <a:off x="209520" y="69840"/>
            <a:ext cx="9481680" cy="294120"/>
          </a:xfrm>
          <a:custGeom>
            <a:avLst/>
            <a:gdLst>
              <a:gd name="textAreaLeft" fmla="*/ 0 w 9481680"/>
              <a:gd name="textAreaRight" fmla="*/ 9482040 w 9481680"/>
              <a:gd name="textAreaTop" fmla="*/ 0 h 294120"/>
              <a:gd name="textAreaBottom" fmla="*/ 294480 h 29412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231" name="Shape 44063"/>
          <xdr:cNvSpPr/>
        </xdr:nvSpPr>
        <xdr:spPr>
          <a:xfrm>
            <a:off x="209520" y="69840"/>
            <a:ext cx="9481680" cy="294120"/>
          </a:xfrm>
          <a:custGeom>
            <a:avLst/>
            <a:gdLst>
              <a:gd name="textAreaLeft" fmla="*/ 0 w 9481680"/>
              <a:gd name="textAreaRight" fmla="*/ 9482040 w 9481680"/>
              <a:gd name="textAreaTop" fmla="*/ 0 h 294120"/>
              <a:gd name="textAreaBottom" fmla="*/ 294480 h 29412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232" name="Rectangle 10"/>
          <xdr:cNvSpPr/>
        </xdr:nvSpPr>
        <xdr:spPr>
          <a:xfrm>
            <a:off x="1779120" y="75960"/>
            <a:ext cx="7610760" cy="3006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15 A : TOTAL SUBVENTION ET PROVISIONS REGLEMENTEES</a:t>
            </a:r>
            <a:endParaRPr b="0" lang="en-US" sz="1400" spc="-1" strike="noStrike">
              <a:latin typeface="Times New Roman"/>
            </a:endParaRPr>
          </a:p>
        </xdr:txBody>
      </xdr:sp>
      <xdr:sp>
        <xdr:nvSpPr>
          <xdr:cNvPr id="233" name="Rectangle 12"/>
          <xdr:cNvSpPr/>
        </xdr:nvSpPr>
        <xdr:spPr>
          <a:xfrm>
            <a:off x="7090200" y="178560"/>
            <a:ext cx="70200" cy="17892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grpSp>
    <xdr:clientData/>
  </xdr:twoCellAnchor>
</xdr:wsDr>
</file>

<file path=xl/drawings/drawing2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123120</xdr:colOff>
      <xdr:row>0</xdr:row>
      <xdr:rowOff>0</xdr:rowOff>
    </xdr:from>
    <xdr:to>
      <xdr:col>6</xdr:col>
      <xdr:colOff>577080</xdr:colOff>
      <xdr:row>2</xdr:row>
      <xdr:rowOff>177840</xdr:rowOff>
    </xdr:to>
    <xdr:grpSp>
      <xdr:nvGrpSpPr>
        <xdr:cNvPr id="234" name="Group 405892"/>
        <xdr:cNvGrpSpPr/>
      </xdr:nvGrpSpPr>
      <xdr:grpSpPr>
        <a:xfrm>
          <a:off x="123120" y="0"/>
          <a:ext cx="8646120" cy="546120"/>
          <a:chOff x="123120" y="0"/>
          <a:chExt cx="8646120" cy="546120"/>
        </a:xfrm>
      </xdr:grpSpPr>
      <xdr:sp>
        <xdr:nvSpPr>
          <xdr:cNvPr id="235" name="Rectangle 2"/>
          <xdr:cNvSpPr/>
        </xdr:nvSpPr>
        <xdr:spPr>
          <a:xfrm>
            <a:off x="193320" y="18720"/>
            <a:ext cx="76680" cy="298440"/>
          </a:xfrm>
          <a:prstGeom prst="rect">
            <a:avLst/>
          </a:prstGeom>
          <a:noFill/>
          <a:ln w="0">
            <a:noFill/>
          </a:ln>
        </xdr:spPr>
        <xdr:style>
          <a:lnRef idx="0"/>
          <a:fillRef idx="0"/>
          <a:effectRef idx="0"/>
          <a:fontRef idx="minor"/>
        </xdr:style>
        <xdr:txBody>
          <a:bodyPr lIns="0" rIns="0" tIns="0" bIns="0" anchor="t">
            <a:noAutofit/>
          </a:bodyPr>
          <a:p>
            <a:r>
              <a:rPr b="1" lang="en-US" sz="1100" spc="-1" strike="noStrike">
                <a:solidFill>
                  <a:srgbClr val="000000"/>
                </a:solidFill>
                <a:latin typeface="Times New Roman"/>
              </a:rPr>
              <a:t> </a:t>
            </a:r>
            <a:endParaRPr b="0" lang="en-US" sz="1100" spc="-1" strike="noStrike">
              <a:latin typeface="Times New Roman"/>
            </a:endParaRPr>
          </a:p>
        </xdr:txBody>
      </xdr:sp>
      <xdr:sp>
        <xdr:nvSpPr>
          <xdr:cNvPr id="236" name="Rectangle 3"/>
          <xdr:cNvSpPr/>
        </xdr:nvSpPr>
        <xdr:spPr>
          <a:xfrm>
            <a:off x="193320" y="247680"/>
            <a:ext cx="76680" cy="298440"/>
          </a:xfrm>
          <a:prstGeom prst="rect">
            <a:avLst/>
          </a:prstGeom>
          <a:noFill/>
          <a:ln w="0">
            <a:noFill/>
          </a:ln>
        </xdr:spPr>
        <xdr:style>
          <a:lnRef idx="0"/>
          <a:fillRef idx="0"/>
          <a:effectRef idx="0"/>
          <a:fontRef idx="minor"/>
        </xdr:style>
        <xdr:txBody>
          <a:bodyPr lIns="0" rIns="0" tIns="0" bIns="0" anchor="t">
            <a:noAutofit/>
          </a:bodyPr>
          <a:p>
            <a:r>
              <a:rPr b="1" lang="en-US" sz="1100" spc="-1" strike="noStrike">
                <a:solidFill>
                  <a:srgbClr val="000000"/>
                </a:solidFill>
                <a:latin typeface="Times New Roman"/>
              </a:rPr>
              <a:t> </a:t>
            </a:r>
            <a:endParaRPr b="0" lang="en-US" sz="1100" spc="-1" strike="noStrike">
              <a:latin typeface="Times New Roman"/>
            </a:endParaRPr>
          </a:p>
        </xdr:txBody>
      </xdr:sp>
      <xdr:sp>
        <xdr:nvSpPr>
          <xdr:cNvPr id="237" name="Shape 508328"/>
          <xdr:cNvSpPr/>
        </xdr:nvSpPr>
        <xdr:spPr>
          <a:xfrm>
            <a:off x="123120" y="108000"/>
            <a:ext cx="8537400" cy="374760"/>
          </a:xfrm>
          <a:custGeom>
            <a:avLst/>
            <a:gdLst>
              <a:gd name="textAreaLeft" fmla="*/ 0 w 8537400"/>
              <a:gd name="textAreaRight" fmla="*/ 8537760 w 8537400"/>
              <a:gd name="textAreaTop" fmla="*/ 0 h 374760"/>
              <a:gd name="textAreaBottom" fmla="*/ 375120 h 374760"/>
            </a:gdLst>
            <a:ahLst/>
            <a:rect l="textAreaLeft" t="textAreaTop" r="textAreaRight" b="textAreaBottom"/>
            <a:pathLst>
              <a:path w="5772151" h="257175">
                <a:moveTo>
                  <a:pt x="0" y="0"/>
                </a:moveTo>
                <a:lnTo>
                  <a:pt x="5772151" y="0"/>
                </a:lnTo>
                <a:lnTo>
                  <a:pt x="5772151" y="257175"/>
                </a:lnTo>
                <a:lnTo>
                  <a:pt x="0" y="257175"/>
                </a:lnTo>
                <a:lnTo>
                  <a:pt x="0" y="0"/>
                </a:lnTo>
              </a:path>
            </a:pathLst>
          </a:custGeom>
          <a:solidFill>
            <a:srgbClr val="808080">
              <a:alpha val="50000"/>
            </a:srgbClr>
          </a:solidFill>
          <a:ln w="0">
            <a:noFill/>
          </a:ln>
        </xdr:spPr>
        <xdr:style>
          <a:lnRef idx="0"/>
          <a:fillRef idx="0"/>
          <a:effectRef idx="0"/>
          <a:fontRef idx="minor"/>
        </xdr:style>
      </xdr:sp>
      <xdr:sp>
        <xdr:nvSpPr>
          <xdr:cNvPr id="238" name="Shape 508329"/>
          <xdr:cNvSpPr/>
        </xdr:nvSpPr>
        <xdr:spPr>
          <a:xfrm>
            <a:off x="231840" y="0"/>
            <a:ext cx="8537400" cy="368280"/>
          </a:xfrm>
          <a:custGeom>
            <a:avLst/>
            <a:gdLst>
              <a:gd name="textAreaLeft" fmla="*/ 0 w 8537400"/>
              <a:gd name="textAreaRight" fmla="*/ 8537760 w 8537400"/>
              <a:gd name="textAreaTop" fmla="*/ 0 h 368280"/>
              <a:gd name="textAreaBottom" fmla="*/ 368640 h 368280"/>
            </a:gdLst>
            <a:ahLst/>
            <a:rect l="textAreaLeft" t="textAreaTop" r="textAreaRight" b="textAreaBottom"/>
            <a:pathLst>
              <a:path w="5772151" h="257175">
                <a:moveTo>
                  <a:pt x="0" y="0"/>
                </a:moveTo>
                <a:lnTo>
                  <a:pt x="5772151" y="0"/>
                </a:lnTo>
                <a:lnTo>
                  <a:pt x="5772151" y="257175"/>
                </a:lnTo>
                <a:lnTo>
                  <a:pt x="0" y="257175"/>
                </a:lnTo>
                <a:lnTo>
                  <a:pt x="0" y="0"/>
                </a:lnTo>
              </a:path>
            </a:pathLst>
          </a:custGeom>
          <a:solidFill>
            <a:srgbClr val="4f81bd"/>
          </a:solidFill>
          <a:ln w="0">
            <a:noFill/>
          </a:ln>
        </xdr:spPr>
        <xdr:style>
          <a:lnRef idx="0"/>
          <a:fillRef idx="0"/>
          <a:effectRef idx="0"/>
          <a:fontRef idx="minor"/>
        </xdr:style>
      </xdr:sp>
      <xdr:sp>
        <xdr:nvSpPr>
          <xdr:cNvPr id="239" name="Shape 45663"/>
          <xdr:cNvSpPr/>
        </xdr:nvSpPr>
        <xdr:spPr>
          <a:xfrm>
            <a:off x="231840" y="0"/>
            <a:ext cx="8537400" cy="368280"/>
          </a:xfrm>
          <a:custGeom>
            <a:avLst/>
            <a:gdLst>
              <a:gd name="textAreaLeft" fmla="*/ 0 w 8537400"/>
              <a:gd name="textAreaRight" fmla="*/ 8537760 w 8537400"/>
              <a:gd name="textAreaTop" fmla="*/ 0 h 368280"/>
              <a:gd name="textAreaBottom" fmla="*/ 368640 h 368280"/>
            </a:gdLst>
            <a:ahLst/>
            <a:rect l="textAreaLeft" t="textAreaTop" r="textAreaRight" b="textAreaBottom"/>
            <a:pathLst>
              <a:path w="5772151" h="257175">
                <a:moveTo>
                  <a:pt x="0" y="257175"/>
                </a:moveTo>
                <a:lnTo>
                  <a:pt x="5772151" y="257175"/>
                </a:lnTo>
                <a:lnTo>
                  <a:pt x="5772151" y="0"/>
                </a:lnTo>
                <a:lnTo>
                  <a:pt x="0" y="0"/>
                </a:lnTo>
                <a:lnTo>
                  <a:pt x="0" y="257175"/>
                </a:lnTo>
                <a:close/>
              </a:path>
            </a:pathLst>
          </a:custGeom>
          <a:noFill/>
          <a:ln cap="rnd" w="9360">
            <a:solidFill>
              <a:srgbClr val="000000"/>
            </a:solidFill>
            <a:miter/>
          </a:ln>
        </xdr:spPr>
        <xdr:style>
          <a:lnRef idx="0"/>
          <a:fillRef idx="0"/>
          <a:effectRef idx="0"/>
          <a:fontRef idx="minor"/>
        </xdr:style>
      </xdr:sp>
      <xdr:sp>
        <xdr:nvSpPr>
          <xdr:cNvPr id="240" name="Rectangle 7"/>
          <xdr:cNvSpPr/>
        </xdr:nvSpPr>
        <xdr:spPr>
          <a:xfrm>
            <a:off x="2556720" y="108000"/>
            <a:ext cx="1812240" cy="2984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15 B</a:t>
            </a:r>
            <a:endParaRPr b="0" lang="en-US" sz="1400" spc="-1" strike="noStrike">
              <a:latin typeface="Times New Roman"/>
            </a:endParaRPr>
          </a:p>
        </xdr:txBody>
      </xdr:sp>
      <xdr:sp>
        <xdr:nvSpPr>
          <xdr:cNvPr id="241" name="Rectangle 8"/>
          <xdr:cNvSpPr/>
        </xdr:nvSpPr>
        <xdr:spPr>
          <a:xfrm>
            <a:off x="3562200" y="108000"/>
            <a:ext cx="134280" cy="29844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ffffff"/>
                </a:solidFill>
                <a:latin typeface="Cambria"/>
              </a:rPr>
              <a:t>:</a:t>
            </a:r>
            <a:endParaRPr b="0" lang="en-US" sz="1200" spc="-1" strike="noStrike">
              <a:latin typeface="Times New Roman"/>
            </a:endParaRPr>
          </a:p>
        </xdr:txBody>
      </xdr:sp>
      <xdr:sp>
        <xdr:nvSpPr>
          <xdr:cNvPr id="242" name="Rectangle 9"/>
          <xdr:cNvSpPr/>
        </xdr:nvSpPr>
        <xdr:spPr>
          <a:xfrm>
            <a:off x="3767400" y="108000"/>
            <a:ext cx="70200" cy="29844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ffffff"/>
                </a:solidFill>
                <a:latin typeface="Cambria"/>
              </a:rPr>
              <a:t> </a:t>
            </a:r>
            <a:endParaRPr b="0" lang="en-US" sz="1200" spc="-1" strike="noStrike">
              <a:latin typeface="Times New Roman"/>
            </a:endParaRPr>
          </a:p>
        </xdr:txBody>
      </xdr:sp>
      <xdr:sp>
        <xdr:nvSpPr>
          <xdr:cNvPr id="243" name="Rectangle 10"/>
          <xdr:cNvSpPr/>
        </xdr:nvSpPr>
        <xdr:spPr>
          <a:xfrm>
            <a:off x="3671280" y="101520"/>
            <a:ext cx="3631320" cy="3049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AUTRES FONDS PROPRES</a:t>
            </a:r>
            <a:endParaRPr b="0" lang="en-US" sz="1400" spc="-1" strike="noStrike">
              <a:latin typeface="Times New Roman"/>
            </a:endParaRPr>
          </a:p>
        </xdr:txBody>
      </xdr:sp>
      <xdr:sp>
        <xdr:nvSpPr>
          <xdr:cNvPr id="244" name="Rectangle 11"/>
          <xdr:cNvSpPr/>
        </xdr:nvSpPr>
        <xdr:spPr>
          <a:xfrm>
            <a:off x="6438240" y="108000"/>
            <a:ext cx="70200" cy="29844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ffffff"/>
                </a:solidFill>
                <a:latin typeface="Cambria"/>
              </a:rPr>
              <a:t> </a:t>
            </a:r>
            <a:endParaRPr b="0" lang="en-US" sz="1200" spc="-1" strike="noStrike">
              <a:latin typeface="Times New Roman"/>
            </a:endParaRPr>
          </a:p>
        </xdr:txBody>
      </xdr:sp>
    </xdr:grpSp>
    <xdr:clientData/>
  </xdr:twoCellAnchor>
</xdr:wsDr>
</file>

<file path=xl/drawings/drawing3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78840</xdr:colOff>
      <xdr:row>0</xdr:row>
      <xdr:rowOff>38160</xdr:rowOff>
    </xdr:from>
    <xdr:to>
      <xdr:col>7</xdr:col>
      <xdr:colOff>750600</xdr:colOff>
      <xdr:row>1</xdr:row>
      <xdr:rowOff>152640</xdr:rowOff>
    </xdr:to>
    <xdr:sp>
      <xdr:nvSpPr>
        <xdr:cNvPr id="245" name="Zone de texte 7"/>
        <xdr:cNvSpPr/>
      </xdr:nvSpPr>
      <xdr:spPr>
        <a:xfrm>
          <a:off x="78840" y="38160"/>
          <a:ext cx="11918880" cy="266760"/>
        </a:xfrm>
        <a:prstGeom prst="rect">
          <a:avLst/>
        </a:prstGeom>
        <a:solidFill>
          <a:srgbClr val="0070c0"/>
        </a:solidFill>
        <a:ln w="6480">
          <a:solidFill>
            <a:srgbClr val="000000"/>
          </a:solidFill>
          <a:miter/>
        </a:ln>
        <a:effectLst>
          <a:outerShdw dist="50596" dir="7136148" blurRad="0" rotWithShape="0">
            <a:srgbClr val="808080"/>
          </a:outerShdw>
        </a:effectLst>
      </xdr:spPr>
      <xdr:style>
        <a:lnRef idx="0"/>
        <a:fillRef idx="0"/>
        <a:effectRef idx="0"/>
        <a:fontRef idx="minor"/>
      </xdr:style>
      <xdr:txBody>
        <a:bodyPr lIns="36360" rIns="0" tIns="27360" bIns="0" anchor="t">
          <a:noAutofit/>
        </a:bodyPr>
        <a:p>
          <a:r>
            <a:rPr b="1" lang="en-US" sz="1200" spc="-1" strike="noStrike">
              <a:solidFill>
                <a:srgbClr val="ffffff"/>
              </a:solidFill>
              <a:latin typeface="Cambria"/>
            </a:rPr>
            <a:t>                                                                                                       </a:t>
          </a:r>
          <a:r>
            <a:rPr b="1" lang="en-US" sz="1200" spc="-1" strike="noStrike">
              <a:solidFill>
                <a:srgbClr val="ffffff"/>
              </a:solidFill>
              <a:latin typeface="Cambria"/>
            </a:rPr>
            <a:t>NOTE 16A : DETTES FINANCIERES ET RESSOURCES</a:t>
          </a:r>
          <a:endParaRPr b="0" lang="en-US" sz="1200" spc="-1" strike="noStrike">
            <a:latin typeface="Times New Roman"/>
          </a:endParaRPr>
        </a:p>
      </xdr:txBody>
    </xdr:sp>
    <xdr:clientData/>
  </xdr:twoCellAnchor>
</xdr:wsDr>
</file>

<file path=xl/drawings/drawing3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193320</xdr:colOff>
      <xdr:row>0</xdr:row>
      <xdr:rowOff>50760</xdr:rowOff>
    </xdr:from>
    <xdr:to>
      <xdr:col>4</xdr:col>
      <xdr:colOff>1071000</xdr:colOff>
      <xdr:row>2</xdr:row>
      <xdr:rowOff>88560</xdr:rowOff>
    </xdr:to>
    <xdr:sp>
      <xdr:nvSpPr>
        <xdr:cNvPr id="246" name="Zone de texte 7"/>
        <xdr:cNvSpPr/>
      </xdr:nvSpPr>
      <xdr:spPr>
        <a:xfrm>
          <a:off x="193320" y="50760"/>
          <a:ext cx="11863800" cy="342720"/>
        </a:xfrm>
        <a:prstGeom prst="rect">
          <a:avLst/>
        </a:prstGeom>
        <a:solidFill>
          <a:srgbClr val="0070c0"/>
        </a:solidFill>
        <a:ln w="6480">
          <a:solidFill>
            <a:srgbClr val="000000"/>
          </a:solidFill>
          <a:miter/>
        </a:ln>
        <a:effectLst>
          <a:outerShdw dist="50596" dir="7136148" blurRad="0" rotWithShape="0">
            <a:srgbClr val="808080"/>
          </a:outerShdw>
        </a:effectLst>
      </xdr:spPr>
      <xdr:style>
        <a:lnRef idx="0"/>
        <a:fillRef idx="0"/>
        <a:effectRef idx="0"/>
        <a:fontRef idx="minor"/>
      </xdr:style>
      <xdr:txBody>
        <a:bodyPr lIns="36360" rIns="36360" tIns="27360" bIns="0" anchor="t">
          <a:noAutofit/>
        </a:bodyPr>
        <a:p>
          <a:pPr algn="ctr"/>
          <a:r>
            <a:rPr b="1" lang="en-US" sz="1200" spc="-1" strike="noStrike">
              <a:solidFill>
                <a:srgbClr val="ffffff"/>
              </a:solidFill>
              <a:latin typeface="Cambria"/>
            </a:rPr>
            <a:t>NOTE 16B : ENGAGEMENTS DE RETRAITE ET AVANTAGES ASSIMILES (METHODE ACTUARIELLE)</a:t>
          </a:r>
          <a:endParaRPr b="0" lang="en-US" sz="1200" spc="-1" strike="noStrike">
            <a:latin typeface="Times New Roman"/>
          </a:endParaRPr>
        </a:p>
      </xdr:txBody>
    </xdr:sp>
    <xdr:clientData/>
  </xdr:twoCellAnchor>
</xdr:wsDr>
</file>

<file path=xl/drawings/drawing3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81720</xdr:colOff>
      <xdr:row>0</xdr:row>
      <xdr:rowOff>31680</xdr:rowOff>
    </xdr:from>
    <xdr:to>
      <xdr:col>4</xdr:col>
      <xdr:colOff>647640</xdr:colOff>
      <xdr:row>2</xdr:row>
      <xdr:rowOff>107640</xdr:rowOff>
    </xdr:to>
    <xdr:sp>
      <xdr:nvSpPr>
        <xdr:cNvPr id="247" name="Zone de texte 7"/>
        <xdr:cNvSpPr/>
      </xdr:nvSpPr>
      <xdr:spPr>
        <a:xfrm>
          <a:off x="81720" y="31680"/>
          <a:ext cx="6336720" cy="380880"/>
        </a:xfrm>
        <a:prstGeom prst="rect">
          <a:avLst/>
        </a:prstGeom>
        <a:solidFill>
          <a:srgbClr val="0070c0"/>
        </a:solidFill>
        <a:ln w="6480">
          <a:solidFill>
            <a:srgbClr val="000000"/>
          </a:solidFill>
          <a:miter/>
        </a:ln>
        <a:effectLst>
          <a:outerShdw dist="50596" dir="7136148" blurRad="0" rotWithShape="0">
            <a:srgbClr val="808080"/>
          </a:outerShdw>
        </a:effectLst>
      </xdr:spPr>
      <xdr:style>
        <a:lnRef idx="0"/>
        <a:fillRef idx="0"/>
        <a:effectRef idx="0"/>
        <a:fontRef idx="minor"/>
      </xdr:style>
      <xdr:txBody>
        <a:bodyPr lIns="36360" rIns="36360" tIns="27360" bIns="0" anchor="t">
          <a:noAutofit/>
        </a:bodyPr>
        <a:p>
          <a:pPr algn="ctr"/>
          <a:r>
            <a:rPr b="1" lang="en-US" sz="1200" spc="-1" strike="noStrike">
              <a:solidFill>
                <a:srgbClr val="ffffff"/>
              </a:solidFill>
              <a:latin typeface="Cambria"/>
            </a:rPr>
            <a:t>NOTE 16B Bis : ENGAGEMENTS DE RETRAITE ET AVANTAGES ASSIMILES </a:t>
          </a:r>
          <a:endParaRPr b="0" lang="en-US" sz="1200" spc="-1" strike="noStrike">
            <a:latin typeface="Times New Roman"/>
          </a:endParaRPr>
        </a:p>
      </xdr:txBody>
    </xdr:sp>
    <xdr:clientData/>
  </xdr:twoCellAnchor>
</xdr:wsDr>
</file>

<file path=xl/drawings/drawing3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132840</xdr:colOff>
      <xdr:row>0</xdr:row>
      <xdr:rowOff>139680</xdr:rowOff>
    </xdr:from>
    <xdr:to>
      <xdr:col>2</xdr:col>
      <xdr:colOff>570960</xdr:colOff>
      <xdr:row>3</xdr:row>
      <xdr:rowOff>6480</xdr:rowOff>
    </xdr:to>
    <xdr:sp>
      <xdr:nvSpPr>
        <xdr:cNvPr id="248" name="Zone de texte 7"/>
        <xdr:cNvSpPr/>
      </xdr:nvSpPr>
      <xdr:spPr>
        <a:xfrm>
          <a:off x="132840" y="139680"/>
          <a:ext cx="5383440" cy="304920"/>
        </a:xfrm>
        <a:prstGeom prst="rect">
          <a:avLst/>
        </a:prstGeom>
        <a:solidFill>
          <a:srgbClr val="0070c0"/>
        </a:solidFill>
        <a:ln w="6480">
          <a:solidFill>
            <a:srgbClr val="000000"/>
          </a:solidFill>
          <a:miter/>
        </a:ln>
        <a:effectLst>
          <a:outerShdw dist="50596" dir="7136148" blurRad="0" rotWithShape="0">
            <a:srgbClr val="808080"/>
          </a:outerShdw>
        </a:effectLst>
      </xdr:spPr>
      <xdr:style>
        <a:lnRef idx="0"/>
        <a:fillRef idx="0"/>
        <a:effectRef idx="0"/>
        <a:fontRef idx="minor"/>
      </xdr:style>
      <xdr:txBody>
        <a:bodyPr lIns="36360" rIns="36360" tIns="27360" bIns="0" anchor="t">
          <a:noAutofit/>
        </a:bodyPr>
        <a:p>
          <a:pPr algn="ctr"/>
          <a:r>
            <a:rPr b="1" lang="en-US" sz="1400" spc="-1" strike="noStrike">
              <a:solidFill>
                <a:srgbClr val="ffffff"/>
              </a:solidFill>
              <a:latin typeface="Cambria"/>
            </a:rPr>
            <a:t>NOTE 16C : ACITIFS ET PASSIFS EVENTUELS</a:t>
          </a:r>
          <a:endParaRPr b="0" lang="en-US" sz="1400" spc="-1" strike="noStrike">
            <a:latin typeface="Times New Roman"/>
          </a:endParaRPr>
        </a:p>
      </xdr:txBody>
    </xdr:sp>
    <xdr:clientData/>
  </xdr:twoCellAnchor>
</xdr:wsDr>
</file>

<file path=xl/drawings/drawing3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622080</xdr:colOff>
      <xdr:row>2</xdr:row>
      <xdr:rowOff>146160</xdr:rowOff>
    </xdr:to>
    <xdr:grpSp>
      <xdr:nvGrpSpPr>
        <xdr:cNvPr id="249" name="Group 408708"/>
        <xdr:cNvGrpSpPr/>
      </xdr:nvGrpSpPr>
      <xdr:grpSpPr>
        <a:xfrm>
          <a:off x="0" y="0"/>
          <a:ext cx="9101880" cy="438120"/>
          <a:chOff x="0" y="0"/>
          <a:chExt cx="9101880" cy="438120"/>
        </a:xfrm>
      </xdr:grpSpPr>
      <xdr:sp>
        <xdr:nvSpPr>
          <xdr:cNvPr id="250" name="Rectangle 2"/>
          <xdr:cNvSpPr/>
        </xdr:nvSpPr>
        <xdr:spPr>
          <a:xfrm>
            <a:off x="108720" y="164880"/>
            <a:ext cx="83160" cy="24768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251" name="Shape 508338"/>
          <xdr:cNvSpPr/>
        </xdr:nvSpPr>
        <xdr:spPr>
          <a:xfrm>
            <a:off x="0" y="101520"/>
            <a:ext cx="8980200" cy="336600"/>
          </a:xfrm>
          <a:custGeom>
            <a:avLst/>
            <a:gdLst>
              <a:gd name="textAreaLeft" fmla="*/ 0 w 8980200"/>
              <a:gd name="textAreaRight" fmla="*/ 8980560 w 8980200"/>
              <a:gd name="textAreaTop" fmla="*/ 0 h 336600"/>
              <a:gd name="textAreaBottom" fmla="*/ 336960 h 3366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252" name="Shape 508339"/>
          <xdr:cNvSpPr/>
        </xdr:nvSpPr>
        <xdr:spPr>
          <a:xfrm>
            <a:off x="121680" y="0"/>
            <a:ext cx="8980200" cy="355680"/>
          </a:xfrm>
          <a:custGeom>
            <a:avLst/>
            <a:gdLst>
              <a:gd name="textAreaLeft" fmla="*/ 0 w 8980200"/>
              <a:gd name="textAreaRight" fmla="*/ 8980560 w 8980200"/>
              <a:gd name="textAreaTop" fmla="*/ 0 h 355680"/>
              <a:gd name="textAreaBottom" fmla="*/ 356040 h 35568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253" name="Shape 48076"/>
          <xdr:cNvSpPr/>
        </xdr:nvSpPr>
        <xdr:spPr>
          <a:xfrm>
            <a:off x="121680" y="6120"/>
            <a:ext cx="8980200" cy="349200"/>
          </a:xfrm>
          <a:custGeom>
            <a:avLst/>
            <a:gdLst>
              <a:gd name="textAreaLeft" fmla="*/ 0 w 8980200"/>
              <a:gd name="textAreaRight" fmla="*/ 8980560 w 8980200"/>
              <a:gd name="textAreaTop" fmla="*/ 0 h 349200"/>
              <a:gd name="textAreaBottom" fmla="*/ 349560 h 34920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254" name="Rectangle 6"/>
          <xdr:cNvSpPr/>
        </xdr:nvSpPr>
        <xdr:spPr>
          <a:xfrm>
            <a:off x="1844640" y="101520"/>
            <a:ext cx="1729440" cy="2667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17 : </a:t>
            </a:r>
            <a:endParaRPr b="0" lang="en-US" sz="1400" spc="-1" strike="noStrike">
              <a:latin typeface="Times New Roman"/>
            </a:endParaRPr>
          </a:p>
        </xdr:txBody>
      </xdr:sp>
      <xdr:sp>
        <xdr:nvSpPr>
          <xdr:cNvPr id="255" name="Rectangle 7"/>
          <xdr:cNvSpPr/>
        </xdr:nvSpPr>
        <xdr:spPr>
          <a:xfrm>
            <a:off x="2747880" y="101520"/>
            <a:ext cx="6033960" cy="2667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FOURNISSEURS D'EXPLOITATION</a:t>
            </a:r>
            <a:endParaRPr b="0" lang="en-US" sz="1400" spc="-1" strike="noStrike">
              <a:latin typeface="Times New Roman"/>
            </a:endParaRPr>
          </a:p>
        </xdr:txBody>
      </xdr:sp>
      <xdr:sp>
        <xdr:nvSpPr>
          <xdr:cNvPr id="256" name="Rectangle 8"/>
          <xdr:cNvSpPr/>
        </xdr:nvSpPr>
        <xdr:spPr>
          <a:xfrm>
            <a:off x="7378920" y="101520"/>
            <a:ext cx="83160" cy="2667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3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63360</xdr:rowOff>
    </xdr:from>
    <xdr:to>
      <xdr:col>7</xdr:col>
      <xdr:colOff>653400</xdr:colOff>
      <xdr:row>2</xdr:row>
      <xdr:rowOff>120600</xdr:rowOff>
    </xdr:to>
    <xdr:grpSp>
      <xdr:nvGrpSpPr>
        <xdr:cNvPr id="257" name="Group 409191"/>
        <xdr:cNvGrpSpPr/>
      </xdr:nvGrpSpPr>
      <xdr:grpSpPr>
        <a:xfrm>
          <a:off x="0" y="63360"/>
          <a:ext cx="11105640" cy="432000"/>
          <a:chOff x="0" y="63360"/>
          <a:chExt cx="11105640" cy="432000"/>
        </a:xfrm>
      </xdr:grpSpPr>
      <xdr:sp>
        <xdr:nvSpPr>
          <xdr:cNvPr id="258" name="Rectangle 2"/>
          <xdr:cNvSpPr/>
        </xdr:nvSpPr>
        <xdr:spPr>
          <a:xfrm>
            <a:off x="563400" y="88560"/>
            <a:ext cx="89640" cy="24768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259" name="Shape 508346"/>
          <xdr:cNvSpPr/>
        </xdr:nvSpPr>
        <xdr:spPr>
          <a:xfrm>
            <a:off x="409680" y="145800"/>
            <a:ext cx="10554840" cy="330480"/>
          </a:xfrm>
          <a:custGeom>
            <a:avLst/>
            <a:gdLst>
              <a:gd name="textAreaLeft" fmla="*/ 0 w 10554840"/>
              <a:gd name="textAreaRight" fmla="*/ 10555200 w 10554840"/>
              <a:gd name="textAreaTop" fmla="*/ 0 h 330480"/>
              <a:gd name="textAreaBottom" fmla="*/ 330840 h 33048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260" name="Shape 508347"/>
          <xdr:cNvSpPr/>
        </xdr:nvSpPr>
        <xdr:spPr>
          <a:xfrm>
            <a:off x="0" y="63360"/>
            <a:ext cx="11022480" cy="330480"/>
          </a:xfrm>
          <a:custGeom>
            <a:avLst/>
            <a:gdLst>
              <a:gd name="textAreaLeft" fmla="*/ 0 w 11022480"/>
              <a:gd name="textAreaRight" fmla="*/ 11022840 w 11022480"/>
              <a:gd name="textAreaTop" fmla="*/ 0 h 330480"/>
              <a:gd name="textAreaBottom" fmla="*/ 330840 h 33048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261" name="Shape 48252"/>
          <xdr:cNvSpPr/>
        </xdr:nvSpPr>
        <xdr:spPr>
          <a:xfrm>
            <a:off x="57600" y="63360"/>
            <a:ext cx="11048040" cy="330480"/>
          </a:xfrm>
          <a:custGeom>
            <a:avLst/>
            <a:gdLst>
              <a:gd name="textAreaLeft" fmla="*/ 0 w 11048040"/>
              <a:gd name="textAreaRight" fmla="*/ 11048400 w 11048040"/>
              <a:gd name="textAreaTop" fmla="*/ 0 h 330480"/>
              <a:gd name="textAreaBottom" fmla="*/ 330840 h 33048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262" name="Rectangle 6"/>
          <xdr:cNvSpPr/>
        </xdr:nvSpPr>
        <xdr:spPr>
          <a:xfrm>
            <a:off x="2734560" y="69480"/>
            <a:ext cx="2049480" cy="3369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18 : </a:t>
            </a:r>
            <a:endParaRPr b="0" lang="en-US" sz="1400" spc="-1" strike="noStrike">
              <a:latin typeface="Times New Roman"/>
            </a:endParaRPr>
          </a:p>
        </xdr:txBody>
      </xdr:sp>
      <xdr:sp>
        <xdr:nvSpPr>
          <xdr:cNvPr id="263" name="Rectangle 7"/>
          <xdr:cNvSpPr/>
        </xdr:nvSpPr>
        <xdr:spPr>
          <a:xfrm>
            <a:off x="3695400" y="82080"/>
            <a:ext cx="6737760" cy="4132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DETTES FISCALES ET SOCIALES</a:t>
            </a:r>
            <a:endParaRPr b="0" lang="en-US" sz="1400" spc="-1" strike="noStrike">
              <a:latin typeface="Times New Roman"/>
            </a:endParaRPr>
          </a:p>
        </xdr:txBody>
      </xdr:sp>
      <xdr:sp>
        <xdr:nvSpPr>
          <xdr:cNvPr id="264" name="Rectangle 8"/>
          <xdr:cNvSpPr/>
        </xdr:nvSpPr>
        <xdr:spPr>
          <a:xfrm>
            <a:off x="8915400" y="145800"/>
            <a:ext cx="89640" cy="2606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3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25560</xdr:rowOff>
    </xdr:from>
    <xdr:to>
      <xdr:col>7</xdr:col>
      <xdr:colOff>724320</xdr:colOff>
      <xdr:row>2</xdr:row>
      <xdr:rowOff>146160</xdr:rowOff>
    </xdr:to>
    <xdr:grpSp>
      <xdr:nvGrpSpPr>
        <xdr:cNvPr id="265" name="Group 408708"/>
        <xdr:cNvGrpSpPr/>
      </xdr:nvGrpSpPr>
      <xdr:grpSpPr>
        <a:xfrm>
          <a:off x="0" y="25560"/>
          <a:ext cx="11887560" cy="412560"/>
          <a:chOff x="0" y="25560"/>
          <a:chExt cx="11887560" cy="412560"/>
        </a:xfrm>
      </xdr:grpSpPr>
      <xdr:sp>
        <xdr:nvSpPr>
          <xdr:cNvPr id="266" name="Rectangle 6"/>
          <xdr:cNvSpPr/>
        </xdr:nvSpPr>
        <xdr:spPr>
          <a:xfrm>
            <a:off x="153720" y="171360"/>
            <a:ext cx="95760" cy="24768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267" name="Shape 508338"/>
          <xdr:cNvSpPr/>
        </xdr:nvSpPr>
        <xdr:spPr>
          <a:xfrm>
            <a:off x="0" y="108000"/>
            <a:ext cx="11733840" cy="330120"/>
          </a:xfrm>
          <a:custGeom>
            <a:avLst/>
            <a:gdLst>
              <a:gd name="textAreaLeft" fmla="*/ 0 w 11733840"/>
              <a:gd name="textAreaRight" fmla="*/ 11734200 w 11733840"/>
              <a:gd name="textAreaTop" fmla="*/ 0 h 330120"/>
              <a:gd name="textAreaBottom" fmla="*/ 330480 h 33012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268" name="Shape 508339"/>
          <xdr:cNvSpPr/>
        </xdr:nvSpPr>
        <xdr:spPr>
          <a:xfrm>
            <a:off x="153720" y="25560"/>
            <a:ext cx="11733840" cy="330120"/>
          </a:xfrm>
          <a:custGeom>
            <a:avLst/>
            <a:gdLst>
              <a:gd name="textAreaLeft" fmla="*/ 0 w 11733840"/>
              <a:gd name="textAreaRight" fmla="*/ 11734200 w 11733840"/>
              <a:gd name="textAreaTop" fmla="*/ 0 h 330120"/>
              <a:gd name="textAreaBottom" fmla="*/ 330480 h 33012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269" name="Shape 48076"/>
          <xdr:cNvSpPr/>
        </xdr:nvSpPr>
        <xdr:spPr>
          <a:xfrm>
            <a:off x="153720" y="25560"/>
            <a:ext cx="11733840" cy="330120"/>
          </a:xfrm>
          <a:custGeom>
            <a:avLst/>
            <a:gdLst>
              <a:gd name="textAreaLeft" fmla="*/ 0 w 11733840"/>
              <a:gd name="textAreaRight" fmla="*/ 11734200 w 11733840"/>
              <a:gd name="textAreaTop" fmla="*/ 0 h 330120"/>
              <a:gd name="textAreaBottom" fmla="*/ 330480 h 33012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270" name="Rectangle 10"/>
          <xdr:cNvSpPr/>
        </xdr:nvSpPr>
        <xdr:spPr>
          <a:xfrm>
            <a:off x="2408040" y="108000"/>
            <a:ext cx="2260800" cy="2538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19 : </a:t>
            </a:r>
            <a:endParaRPr b="0" lang="en-US" sz="1400" spc="-1" strike="noStrike">
              <a:latin typeface="Times New Roman"/>
            </a:endParaRPr>
          </a:p>
        </xdr:txBody>
      </xdr:sp>
      <xdr:sp>
        <xdr:nvSpPr>
          <xdr:cNvPr id="271" name="Rectangle 11"/>
          <xdr:cNvSpPr/>
        </xdr:nvSpPr>
        <xdr:spPr>
          <a:xfrm>
            <a:off x="3394440" y="108000"/>
            <a:ext cx="8070120" cy="2538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AUTRES DETTES ET PROVISIONS POUR RISQUES A COURT TERME</a:t>
            </a:r>
            <a:endParaRPr b="0" lang="en-US" sz="1400" spc="-1" strike="noStrike">
              <a:latin typeface="Times New Roman"/>
            </a:endParaRPr>
          </a:p>
        </xdr:txBody>
      </xdr:sp>
      <xdr:sp>
        <xdr:nvSpPr>
          <xdr:cNvPr id="272" name="Rectangle 12"/>
          <xdr:cNvSpPr/>
        </xdr:nvSpPr>
        <xdr:spPr>
          <a:xfrm>
            <a:off x="9645840" y="108000"/>
            <a:ext cx="95760" cy="2538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3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140760</xdr:colOff>
      <xdr:row>0</xdr:row>
      <xdr:rowOff>107640</xdr:rowOff>
    </xdr:from>
    <xdr:to>
      <xdr:col>3</xdr:col>
      <xdr:colOff>634680</xdr:colOff>
      <xdr:row>3</xdr:row>
      <xdr:rowOff>145800</xdr:rowOff>
    </xdr:to>
    <xdr:grpSp>
      <xdr:nvGrpSpPr>
        <xdr:cNvPr id="273" name="Group 408708"/>
        <xdr:cNvGrpSpPr/>
      </xdr:nvGrpSpPr>
      <xdr:grpSpPr>
        <a:xfrm>
          <a:off x="140760" y="107640"/>
          <a:ext cx="5797440" cy="482760"/>
          <a:chOff x="140760" y="107640"/>
          <a:chExt cx="5797440" cy="482760"/>
        </a:xfrm>
      </xdr:grpSpPr>
      <xdr:sp>
        <xdr:nvSpPr>
          <xdr:cNvPr id="274" name="Rectangle 6"/>
          <xdr:cNvSpPr/>
        </xdr:nvSpPr>
        <xdr:spPr>
          <a:xfrm>
            <a:off x="210960" y="259920"/>
            <a:ext cx="51120" cy="22860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275" name="Shape 508338"/>
          <xdr:cNvSpPr/>
        </xdr:nvSpPr>
        <xdr:spPr>
          <a:xfrm>
            <a:off x="140760" y="196560"/>
            <a:ext cx="5714280" cy="311400"/>
          </a:xfrm>
          <a:custGeom>
            <a:avLst/>
            <a:gdLst>
              <a:gd name="textAreaLeft" fmla="*/ 0 w 5714280"/>
              <a:gd name="textAreaRight" fmla="*/ 5714640 w 5714280"/>
              <a:gd name="textAreaTop" fmla="*/ 0 h 311400"/>
              <a:gd name="textAreaBottom" fmla="*/ 311760 h 3114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276" name="Shape 508339"/>
          <xdr:cNvSpPr/>
        </xdr:nvSpPr>
        <xdr:spPr>
          <a:xfrm>
            <a:off x="198360" y="107640"/>
            <a:ext cx="5720760" cy="311400"/>
          </a:xfrm>
          <a:custGeom>
            <a:avLst/>
            <a:gdLst>
              <a:gd name="textAreaLeft" fmla="*/ 0 w 5720760"/>
              <a:gd name="textAreaRight" fmla="*/ 5720760 w 5720760"/>
              <a:gd name="textAreaTop" fmla="*/ 0 h 311400"/>
              <a:gd name="textAreaBottom" fmla="*/ 311760 h 3114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277" name="Shape 48076"/>
          <xdr:cNvSpPr/>
        </xdr:nvSpPr>
        <xdr:spPr>
          <a:xfrm>
            <a:off x="223920" y="126360"/>
            <a:ext cx="5714280" cy="311400"/>
          </a:xfrm>
          <a:custGeom>
            <a:avLst/>
            <a:gdLst>
              <a:gd name="textAreaLeft" fmla="*/ 0 w 5714280"/>
              <a:gd name="textAreaRight" fmla="*/ 5714640 w 5714280"/>
              <a:gd name="textAreaTop" fmla="*/ 0 h 311400"/>
              <a:gd name="textAreaBottom" fmla="*/ 311760 h 31140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278" name="Rectangle 10"/>
          <xdr:cNvSpPr/>
        </xdr:nvSpPr>
        <xdr:spPr>
          <a:xfrm>
            <a:off x="371160" y="151920"/>
            <a:ext cx="1915200" cy="2858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20 : </a:t>
            </a:r>
            <a:endParaRPr b="0" lang="en-US" sz="1400" spc="-1" strike="noStrike">
              <a:latin typeface="Times New Roman"/>
            </a:endParaRPr>
          </a:p>
        </xdr:txBody>
      </xdr:sp>
      <xdr:sp>
        <xdr:nvSpPr>
          <xdr:cNvPr id="279" name="Rectangle 11"/>
          <xdr:cNvSpPr/>
        </xdr:nvSpPr>
        <xdr:spPr>
          <a:xfrm>
            <a:off x="1229760" y="151920"/>
            <a:ext cx="4510080" cy="4384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BANQUES, CREDIT D'ESCOMPTE ET DE TRESORERIE</a:t>
            </a:r>
            <a:endParaRPr b="0" lang="en-US" sz="1400" spc="-1" strike="noStrike">
              <a:latin typeface="Times New Roman"/>
            </a:endParaRPr>
          </a:p>
        </xdr:txBody>
      </xdr:sp>
      <xdr:sp>
        <xdr:nvSpPr>
          <xdr:cNvPr id="280" name="Rectangle 12"/>
          <xdr:cNvSpPr/>
        </xdr:nvSpPr>
        <xdr:spPr>
          <a:xfrm>
            <a:off x="4842720" y="209160"/>
            <a:ext cx="51120" cy="2350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3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138960</xdr:colOff>
      <xdr:row>1</xdr:row>
      <xdr:rowOff>127080</xdr:rowOff>
    </xdr:from>
    <xdr:to>
      <xdr:col>3</xdr:col>
      <xdr:colOff>654120</xdr:colOff>
      <xdr:row>4</xdr:row>
      <xdr:rowOff>82800</xdr:rowOff>
    </xdr:to>
    <xdr:grpSp>
      <xdr:nvGrpSpPr>
        <xdr:cNvPr id="281" name="Group 408708"/>
        <xdr:cNvGrpSpPr/>
      </xdr:nvGrpSpPr>
      <xdr:grpSpPr>
        <a:xfrm>
          <a:off x="138960" y="279360"/>
          <a:ext cx="7234560" cy="400320"/>
          <a:chOff x="138960" y="279360"/>
          <a:chExt cx="7234560" cy="400320"/>
        </a:xfrm>
      </xdr:grpSpPr>
      <xdr:sp>
        <xdr:nvSpPr>
          <xdr:cNvPr id="282" name="Rectangle 6"/>
          <xdr:cNvSpPr/>
        </xdr:nvSpPr>
        <xdr:spPr>
          <a:xfrm>
            <a:off x="222120" y="425520"/>
            <a:ext cx="57600" cy="23508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283" name="Shape 508338"/>
          <xdr:cNvSpPr/>
        </xdr:nvSpPr>
        <xdr:spPr>
          <a:xfrm>
            <a:off x="138960" y="361800"/>
            <a:ext cx="6478560" cy="317880"/>
          </a:xfrm>
          <a:custGeom>
            <a:avLst/>
            <a:gdLst>
              <a:gd name="textAreaLeft" fmla="*/ 0 w 6478560"/>
              <a:gd name="textAreaRight" fmla="*/ 6478920 w 6478560"/>
              <a:gd name="textAreaTop" fmla="*/ 0 h 317880"/>
              <a:gd name="textAreaBottom" fmla="*/ 318240 h 31788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284" name="Shape 508339"/>
          <xdr:cNvSpPr/>
        </xdr:nvSpPr>
        <xdr:spPr>
          <a:xfrm>
            <a:off x="222120" y="279360"/>
            <a:ext cx="6657840" cy="317880"/>
          </a:xfrm>
          <a:custGeom>
            <a:avLst/>
            <a:gdLst>
              <a:gd name="textAreaLeft" fmla="*/ 0 w 6657840"/>
              <a:gd name="textAreaRight" fmla="*/ 6658200 w 6657840"/>
              <a:gd name="textAreaTop" fmla="*/ 0 h 317880"/>
              <a:gd name="textAreaBottom" fmla="*/ 318240 h 31788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285" name="Shape 48076"/>
          <xdr:cNvSpPr/>
        </xdr:nvSpPr>
        <xdr:spPr>
          <a:xfrm>
            <a:off x="222120" y="279360"/>
            <a:ext cx="6677280" cy="317880"/>
          </a:xfrm>
          <a:custGeom>
            <a:avLst/>
            <a:gdLst>
              <a:gd name="textAreaLeft" fmla="*/ 0 w 6677280"/>
              <a:gd name="textAreaRight" fmla="*/ 6677640 w 6677280"/>
              <a:gd name="textAreaTop" fmla="*/ 0 h 317880"/>
              <a:gd name="textAreaBottom" fmla="*/ 318240 h 31788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286" name="Rectangle 10"/>
          <xdr:cNvSpPr/>
        </xdr:nvSpPr>
        <xdr:spPr>
          <a:xfrm>
            <a:off x="1176840" y="304560"/>
            <a:ext cx="1832760" cy="2858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21 : </a:t>
            </a:r>
            <a:endParaRPr b="0" lang="en-US" sz="1400" spc="-1" strike="noStrike">
              <a:latin typeface="Times New Roman"/>
            </a:endParaRPr>
          </a:p>
        </xdr:txBody>
      </xdr:sp>
      <xdr:sp>
        <xdr:nvSpPr>
          <xdr:cNvPr id="287" name="Rectangle 11"/>
          <xdr:cNvSpPr/>
        </xdr:nvSpPr>
        <xdr:spPr>
          <a:xfrm>
            <a:off x="2054880" y="298440"/>
            <a:ext cx="5318640" cy="2606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CFIFFRE D'AFFAIRES ET AUTRES PRODUITS</a:t>
            </a:r>
            <a:endParaRPr b="0" lang="en-US" sz="1400" spc="-1" strike="noStrike">
              <a:latin typeface="Times New Roman"/>
            </a:endParaRPr>
          </a:p>
        </xdr:txBody>
      </xdr:sp>
      <xdr:sp>
        <xdr:nvSpPr>
          <xdr:cNvPr id="288" name="Rectangle 12"/>
          <xdr:cNvSpPr/>
        </xdr:nvSpPr>
        <xdr:spPr>
          <a:xfrm>
            <a:off x="5457600" y="361800"/>
            <a:ext cx="64080" cy="2476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3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180720</xdr:colOff>
      <xdr:row>0</xdr:row>
      <xdr:rowOff>114480</xdr:rowOff>
    </xdr:from>
    <xdr:to>
      <xdr:col>3</xdr:col>
      <xdr:colOff>634680</xdr:colOff>
      <xdr:row>3</xdr:row>
      <xdr:rowOff>107640</xdr:rowOff>
    </xdr:to>
    <xdr:grpSp>
      <xdr:nvGrpSpPr>
        <xdr:cNvPr id="289" name="Group 412989"/>
        <xdr:cNvGrpSpPr/>
      </xdr:nvGrpSpPr>
      <xdr:grpSpPr>
        <a:xfrm>
          <a:off x="180720" y="114480"/>
          <a:ext cx="6533280" cy="450360"/>
          <a:chOff x="180720" y="114480"/>
          <a:chExt cx="6533280" cy="450360"/>
        </a:xfrm>
      </xdr:grpSpPr>
      <xdr:sp>
        <xdr:nvSpPr>
          <xdr:cNvPr id="290" name="Rectangle 9"/>
          <xdr:cNvSpPr/>
        </xdr:nvSpPr>
        <xdr:spPr>
          <a:xfrm>
            <a:off x="238320" y="266760"/>
            <a:ext cx="51120" cy="222120"/>
          </a:xfrm>
          <a:prstGeom prst="rect">
            <a:avLst/>
          </a:prstGeom>
          <a:noFill/>
          <a:ln w="0">
            <a:noFill/>
          </a:ln>
        </xdr:spPr>
        <xdr:style>
          <a:lnRef idx="0"/>
          <a:fillRef idx="0"/>
          <a:effectRef idx="0"/>
          <a:fontRef idx="minor"/>
        </xdr:style>
        <xdr:txBody>
          <a:bodyPr lIns="0" rIns="0" tIns="0" bIns="0" anchor="t">
            <a:noAutofit/>
          </a:bodyPr>
          <a:p>
            <a:r>
              <a:rPr b="0" lang="en-US" sz="1100" spc="-1" strike="noStrike">
                <a:solidFill>
                  <a:srgbClr val="000000"/>
                </a:solidFill>
                <a:latin typeface="Calibri"/>
              </a:rPr>
              <a:t> </a:t>
            </a:r>
            <a:endParaRPr b="0" lang="en-US" sz="1100" spc="-1" strike="noStrike">
              <a:latin typeface="Times New Roman"/>
            </a:endParaRPr>
          </a:p>
        </xdr:txBody>
      </xdr:sp>
      <xdr:sp>
        <xdr:nvSpPr>
          <xdr:cNvPr id="291" name="Shape 508394"/>
          <xdr:cNvSpPr/>
        </xdr:nvSpPr>
        <xdr:spPr>
          <a:xfrm>
            <a:off x="180720" y="203040"/>
            <a:ext cx="6450120" cy="361800"/>
          </a:xfrm>
          <a:custGeom>
            <a:avLst/>
            <a:gdLst>
              <a:gd name="textAreaLeft" fmla="*/ 0 w 6450120"/>
              <a:gd name="textAreaRight" fmla="*/ 6450480 w 6450120"/>
              <a:gd name="textAreaTop" fmla="*/ 0 h 361800"/>
              <a:gd name="textAreaBottom" fmla="*/ 362160 h 3618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292" name="Shape 508395"/>
          <xdr:cNvSpPr/>
        </xdr:nvSpPr>
        <xdr:spPr>
          <a:xfrm>
            <a:off x="263880" y="114480"/>
            <a:ext cx="6450120" cy="361800"/>
          </a:xfrm>
          <a:custGeom>
            <a:avLst/>
            <a:gdLst>
              <a:gd name="textAreaLeft" fmla="*/ 0 w 6450120"/>
              <a:gd name="textAreaRight" fmla="*/ 6450480 w 6450120"/>
              <a:gd name="textAreaTop" fmla="*/ 0 h 361800"/>
              <a:gd name="textAreaBottom" fmla="*/ 362160 h 36180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293" name="Shape 51751"/>
          <xdr:cNvSpPr/>
        </xdr:nvSpPr>
        <xdr:spPr>
          <a:xfrm>
            <a:off x="263880" y="114480"/>
            <a:ext cx="6450120" cy="361800"/>
          </a:xfrm>
          <a:custGeom>
            <a:avLst/>
            <a:gdLst>
              <a:gd name="textAreaLeft" fmla="*/ 0 w 6450120"/>
              <a:gd name="textAreaRight" fmla="*/ 6450480 w 6450120"/>
              <a:gd name="textAreaTop" fmla="*/ 0 h 361800"/>
              <a:gd name="textAreaBottom" fmla="*/ 362160 h 36180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294" name="Rectangle 13"/>
          <xdr:cNvSpPr/>
        </xdr:nvSpPr>
        <xdr:spPr>
          <a:xfrm>
            <a:off x="2646720" y="209520"/>
            <a:ext cx="2248200" cy="2091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22 : ACHATS</a:t>
            </a:r>
            <a:endParaRPr b="0" lang="en-US" sz="1400" spc="-1" strike="noStrike">
              <a:latin typeface="Times New Roman"/>
            </a:endParaRPr>
          </a:p>
        </xdr:txBody>
      </xdr:sp>
      <xdr:sp>
        <xdr:nvSpPr>
          <xdr:cNvPr id="295" name="Rectangle 14"/>
          <xdr:cNvSpPr/>
        </xdr:nvSpPr>
        <xdr:spPr>
          <a:xfrm>
            <a:off x="4331160" y="209520"/>
            <a:ext cx="57600" cy="2790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4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20880</xdr:colOff>
      <xdr:row>0</xdr:row>
      <xdr:rowOff>50760</xdr:rowOff>
    </xdr:from>
    <xdr:to>
      <xdr:col>3</xdr:col>
      <xdr:colOff>583200</xdr:colOff>
      <xdr:row>2</xdr:row>
      <xdr:rowOff>145800</xdr:rowOff>
    </xdr:to>
    <xdr:grpSp>
      <xdr:nvGrpSpPr>
        <xdr:cNvPr id="296" name="Group 413264"/>
        <xdr:cNvGrpSpPr/>
      </xdr:nvGrpSpPr>
      <xdr:grpSpPr>
        <a:xfrm>
          <a:off x="20880" y="50760"/>
          <a:ext cx="5706000" cy="399960"/>
          <a:chOff x="20880" y="50760"/>
          <a:chExt cx="5706000" cy="399960"/>
        </a:xfrm>
      </xdr:grpSpPr>
      <xdr:sp>
        <xdr:nvSpPr>
          <xdr:cNvPr id="297" name="Rectangle 2"/>
          <xdr:cNvSpPr/>
        </xdr:nvSpPr>
        <xdr:spPr>
          <a:xfrm>
            <a:off x="142560" y="82440"/>
            <a:ext cx="51120" cy="20952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298" name="Shape 508396"/>
          <xdr:cNvSpPr/>
        </xdr:nvSpPr>
        <xdr:spPr>
          <a:xfrm>
            <a:off x="20880" y="126720"/>
            <a:ext cx="5635800" cy="291960"/>
          </a:xfrm>
          <a:custGeom>
            <a:avLst/>
            <a:gdLst>
              <a:gd name="textAreaLeft" fmla="*/ 0 w 5635800"/>
              <a:gd name="textAreaRight" fmla="*/ 5636160 w 5635800"/>
              <a:gd name="textAreaTop" fmla="*/ 0 h 291960"/>
              <a:gd name="textAreaBottom" fmla="*/ 292320 h 2919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299" name="Shape 508397"/>
          <xdr:cNvSpPr/>
        </xdr:nvSpPr>
        <xdr:spPr>
          <a:xfrm>
            <a:off x="91080" y="50760"/>
            <a:ext cx="5635800" cy="291960"/>
          </a:xfrm>
          <a:custGeom>
            <a:avLst/>
            <a:gdLst>
              <a:gd name="textAreaLeft" fmla="*/ 0 w 5635800"/>
              <a:gd name="textAreaRight" fmla="*/ 5636160 w 5635800"/>
              <a:gd name="textAreaTop" fmla="*/ 0 h 291960"/>
              <a:gd name="textAreaBottom" fmla="*/ 292320 h 2919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300" name="Shape 52047"/>
          <xdr:cNvSpPr/>
        </xdr:nvSpPr>
        <xdr:spPr>
          <a:xfrm>
            <a:off x="91080" y="50760"/>
            <a:ext cx="5635800" cy="291960"/>
          </a:xfrm>
          <a:custGeom>
            <a:avLst/>
            <a:gdLst>
              <a:gd name="textAreaLeft" fmla="*/ 0 w 5635800"/>
              <a:gd name="textAreaRight" fmla="*/ 5636160 w 5635800"/>
              <a:gd name="textAreaTop" fmla="*/ 0 h 291960"/>
              <a:gd name="textAreaBottom" fmla="*/ 292320 h 29196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301" name="Rectangle 7"/>
          <xdr:cNvSpPr/>
        </xdr:nvSpPr>
        <xdr:spPr>
          <a:xfrm>
            <a:off x="1980360" y="69480"/>
            <a:ext cx="1088640" cy="3812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23 : </a:t>
            </a:r>
            <a:endParaRPr b="0" lang="en-US" sz="1400" spc="-1" strike="noStrike">
              <a:latin typeface="Times New Roman"/>
            </a:endParaRPr>
          </a:p>
        </xdr:txBody>
      </xdr:sp>
      <xdr:sp>
        <xdr:nvSpPr>
          <xdr:cNvPr id="302" name="Rectangle 8"/>
          <xdr:cNvSpPr/>
        </xdr:nvSpPr>
        <xdr:spPr>
          <a:xfrm>
            <a:off x="2870640" y="82440"/>
            <a:ext cx="1396080" cy="2541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TRANSPORTS</a:t>
            </a:r>
            <a:endParaRPr b="0" lang="en-US" sz="1400" spc="-1" strike="noStrike">
              <a:latin typeface="Times New Roman"/>
            </a:endParaRPr>
          </a:p>
        </xdr:txBody>
      </xdr:sp>
      <xdr:sp>
        <xdr:nvSpPr>
          <xdr:cNvPr id="303" name="Rectangle 9"/>
          <xdr:cNvSpPr/>
        </xdr:nvSpPr>
        <xdr:spPr>
          <a:xfrm>
            <a:off x="3863520" y="126720"/>
            <a:ext cx="51120" cy="2286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4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121320</xdr:colOff>
      <xdr:row>0</xdr:row>
      <xdr:rowOff>69480</xdr:rowOff>
    </xdr:from>
    <xdr:to>
      <xdr:col>3</xdr:col>
      <xdr:colOff>634320</xdr:colOff>
      <xdr:row>2</xdr:row>
      <xdr:rowOff>88200</xdr:rowOff>
    </xdr:to>
    <xdr:grpSp>
      <xdr:nvGrpSpPr>
        <xdr:cNvPr id="304" name="Group 413829"/>
        <xdr:cNvGrpSpPr/>
      </xdr:nvGrpSpPr>
      <xdr:grpSpPr>
        <a:xfrm>
          <a:off x="121320" y="69480"/>
          <a:ext cx="6143040" cy="323640"/>
          <a:chOff x="121320" y="69480"/>
          <a:chExt cx="6143040" cy="323640"/>
        </a:xfrm>
      </xdr:grpSpPr>
      <xdr:sp>
        <xdr:nvSpPr>
          <xdr:cNvPr id="305" name="Rectangle 2"/>
          <xdr:cNvSpPr/>
        </xdr:nvSpPr>
        <xdr:spPr>
          <a:xfrm>
            <a:off x="210960" y="126360"/>
            <a:ext cx="63720" cy="18432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306" name="Shape 508398"/>
          <xdr:cNvSpPr/>
        </xdr:nvSpPr>
        <xdr:spPr>
          <a:xfrm>
            <a:off x="121320" y="145440"/>
            <a:ext cx="6059880" cy="247680"/>
          </a:xfrm>
          <a:custGeom>
            <a:avLst/>
            <a:gdLst>
              <a:gd name="textAreaLeft" fmla="*/ 0 w 6059880"/>
              <a:gd name="textAreaRight" fmla="*/ 6060240 w 6059880"/>
              <a:gd name="textAreaTop" fmla="*/ 0 h 247680"/>
              <a:gd name="textAreaBottom" fmla="*/ 248040 h 24768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307" name="Shape 508399"/>
          <xdr:cNvSpPr/>
        </xdr:nvSpPr>
        <xdr:spPr>
          <a:xfrm>
            <a:off x="204480" y="88200"/>
            <a:ext cx="6059880" cy="247680"/>
          </a:xfrm>
          <a:custGeom>
            <a:avLst/>
            <a:gdLst>
              <a:gd name="textAreaLeft" fmla="*/ 0 w 6059880"/>
              <a:gd name="textAreaRight" fmla="*/ 6060240 w 6059880"/>
              <a:gd name="textAreaTop" fmla="*/ 0 h 247680"/>
              <a:gd name="textAreaBottom" fmla="*/ 248040 h 24768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308" name="Shape 52545"/>
          <xdr:cNvSpPr/>
        </xdr:nvSpPr>
        <xdr:spPr>
          <a:xfrm>
            <a:off x="204480" y="88200"/>
            <a:ext cx="6059880" cy="247680"/>
          </a:xfrm>
          <a:custGeom>
            <a:avLst/>
            <a:gdLst>
              <a:gd name="textAreaLeft" fmla="*/ 0 w 6059880"/>
              <a:gd name="textAreaRight" fmla="*/ 6060240 w 6059880"/>
              <a:gd name="textAreaTop" fmla="*/ 0 h 247680"/>
              <a:gd name="textAreaBottom" fmla="*/ 248040 h 24768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309" name="Rectangle 6"/>
          <xdr:cNvSpPr/>
        </xdr:nvSpPr>
        <xdr:spPr>
          <a:xfrm>
            <a:off x="1844280" y="69480"/>
            <a:ext cx="1146600" cy="2667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24 : </a:t>
            </a:r>
            <a:endParaRPr b="0" lang="en-US" sz="1400" spc="-1" strike="noStrike">
              <a:latin typeface="Times New Roman"/>
            </a:endParaRPr>
          </a:p>
        </xdr:txBody>
      </xdr:sp>
      <xdr:sp>
        <xdr:nvSpPr>
          <xdr:cNvPr id="310" name="Rectangle 7"/>
          <xdr:cNvSpPr/>
        </xdr:nvSpPr>
        <xdr:spPr>
          <a:xfrm>
            <a:off x="2721960" y="69480"/>
            <a:ext cx="2575080" cy="2667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r>
              <a:rPr b="1" lang="en-US" sz="1400" spc="-1" strike="noStrike">
                <a:solidFill>
                  <a:srgbClr val="ffffff"/>
                </a:solidFill>
                <a:latin typeface="Cambria"/>
              </a:rPr>
              <a:t>SERVICES EXTERIEURS</a:t>
            </a:r>
            <a:endParaRPr b="0" lang="en-US" sz="1400" spc="-1" strike="noStrike">
              <a:latin typeface="Times New Roman"/>
            </a:endParaRPr>
          </a:p>
        </xdr:txBody>
      </xdr:sp>
      <xdr:sp>
        <xdr:nvSpPr>
          <xdr:cNvPr id="311" name="Rectangle 8"/>
          <xdr:cNvSpPr/>
        </xdr:nvSpPr>
        <xdr:spPr>
          <a:xfrm>
            <a:off x="4650120" y="151920"/>
            <a:ext cx="51120" cy="1843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4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171360</xdr:colOff>
      <xdr:row>0</xdr:row>
      <xdr:rowOff>165240</xdr:rowOff>
    </xdr:from>
    <xdr:to>
      <xdr:col>3</xdr:col>
      <xdr:colOff>596520</xdr:colOff>
      <xdr:row>2</xdr:row>
      <xdr:rowOff>184320</xdr:rowOff>
    </xdr:to>
    <xdr:grpSp>
      <xdr:nvGrpSpPr>
        <xdr:cNvPr id="312" name="Group 414119"/>
        <xdr:cNvGrpSpPr/>
      </xdr:nvGrpSpPr>
      <xdr:grpSpPr>
        <a:xfrm>
          <a:off x="171360" y="165240"/>
          <a:ext cx="6062040" cy="399960"/>
          <a:chOff x="171360" y="165240"/>
          <a:chExt cx="6062040" cy="399960"/>
        </a:xfrm>
      </xdr:grpSpPr>
      <xdr:sp>
        <xdr:nvSpPr>
          <xdr:cNvPr id="313" name="Rectangle 2"/>
          <xdr:cNvSpPr/>
        </xdr:nvSpPr>
        <xdr:spPr>
          <a:xfrm>
            <a:off x="203400" y="209520"/>
            <a:ext cx="57600" cy="22860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314" name="Shape 508400"/>
          <xdr:cNvSpPr/>
        </xdr:nvSpPr>
        <xdr:spPr>
          <a:xfrm>
            <a:off x="171360" y="247680"/>
            <a:ext cx="5978880" cy="317520"/>
          </a:xfrm>
          <a:custGeom>
            <a:avLst/>
            <a:gdLst>
              <a:gd name="textAreaLeft" fmla="*/ 0 w 5978880"/>
              <a:gd name="textAreaRight" fmla="*/ 5979240 w 5978880"/>
              <a:gd name="textAreaTop" fmla="*/ 0 h 317520"/>
              <a:gd name="textAreaBottom" fmla="*/ 317880 h 31752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315" name="Shape 508401"/>
          <xdr:cNvSpPr/>
        </xdr:nvSpPr>
        <xdr:spPr>
          <a:xfrm>
            <a:off x="254520" y="165240"/>
            <a:ext cx="5978880" cy="317520"/>
          </a:xfrm>
          <a:custGeom>
            <a:avLst/>
            <a:gdLst>
              <a:gd name="textAreaLeft" fmla="*/ 0 w 5978880"/>
              <a:gd name="textAreaRight" fmla="*/ 5979240 w 5978880"/>
              <a:gd name="textAreaTop" fmla="*/ 0 h 317520"/>
              <a:gd name="textAreaBottom" fmla="*/ 317880 h 31752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316" name="Shape 52841"/>
          <xdr:cNvSpPr/>
        </xdr:nvSpPr>
        <xdr:spPr>
          <a:xfrm>
            <a:off x="254520" y="165240"/>
            <a:ext cx="5978880" cy="317520"/>
          </a:xfrm>
          <a:custGeom>
            <a:avLst/>
            <a:gdLst>
              <a:gd name="textAreaLeft" fmla="*/ 0 w 5978880"/>
              <a:gd name="textAreaRight" fmla="*/ 5979240 w 5978880"/>
              <a:gd name="textAreaTop" fmla="*/ 0 h 317520"/>
              <a:gd name="textAreaBottom" fmla="*/ 317880 h 31752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317" name="Rectangle 6"/>
          <xdr:cNvSpPr/>
        </xdr:nvSpPr>
        <xdr:spPr>
          <a:xfrm>
            <a:off x="2023200" y="209520"/>
            <a:ext cx="1172520" cy="2858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25 : </a:t>
            </a:r>
            <a:endParaRPr b="0" lang="en-US" sz="1400" spc="-1" strike="noStrike">
              <a:latin typeface="Times New Roman"/>
            </a:endParaRPr>
          </a:p>
        </xdr:txBody>
      </xdr:sp>
      <xdr:sp>
        <xdr:nvSpPr>
          <xdr:cNvPr id="318" name="Rectangle 7"/>
          <xdr:cNvSpPr/>
        </xdr:nvSpPr>
        <xdr:spPr>
          <a:xfrm>
            <a:off x="2888280" y="209520"/>
            <a:ext cx="2063520" cy="25416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r>
              <a:rPr b="1" lang="en-US" sz="1400" spc="-1" strike="noStrike">
                <a:solidFill>
                  <a:srgbClr val="ffffff"/>
                </a:solidFill>
                <a:latin typeface="Cambria"/>
              </a:rPr>
              <a:t>IMPOTS ET TAXES</a:t>
            </a:r>
            <a:endParaRPr b="0" lang="en-US" sz="1400" spc="-1" strike="noStrike">
              <a:latin typeface="Times New Roman"/>
            </a:endParaRPr>
          </a:p>
        </xdr:txBody>
      </xdr:sp>
      <xdr:sp>
        <xdr:nvSpPr>
          <xdr:cNvPr id="319" name="Rectangle 8"/>
          <xdr:cNvSpPr/>
        </xdr:nvSpPr>
        <xdr:spPr>
          <a:xfrm>
            <a:off x="4439160" y="247680"/>
            <a:ext cx="57600" cy="2476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4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69480</xdr:rowOff>
    </xdr:from>
    <xdr:to>
      <xdr:col>3</xdr:col>
      <xdr:colOff>595800</xdr:colOff>
      <xdr:row>2</xdr:row>
      <xdr:rowOff>75960</xdr:rowOff>
    </xdr:to>
    <xdr:grpSp>
      <xdr:nvGrpSpPr>
        <xdr:cNvPr id="320" name="Group 414525"/>
        <xdr:cNvGrpSpPr/>
      </xdr:nvGrpSpPr>
      <xdr:grpSpPr>
        <a:xfrm>
          <a:off x="0" y="69480"/>
          <a:ext cx="6206760" cy="311400"/>
          <a:chOff x="0" y="69480"/>
          <a:chExt cx="6206760" cy="311400"/>
        </a:xfrm>
      </xdr:grpSpPr>
      <xdr:sp>
        <xdr:nvSpPr>
          <xdr:cNvPr id="321" name="Rectangle 2"/>
          <xdr:cNvSpPr/>
        </xdr:nvSpPr>
        <xdr:spPr>
          <a:xfrm>
            <a:off x="108720" y="113760"/>
            <a:ext cx="51120" cy="17172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322" name="Shape 508402"/>
          <xdr:cNvSpPr/>
        </xdr:nvSpPr>
        <xdr:spPr>
          <a:xfrm>
            <a:off x="0" y="145800"/>
            <a:ext cx="6123600" cy="235080"/>
          </a:xfrm>
          <a:custGeom>
            <a:avLst/>
            <a:gdLst>
              <a:gd name="textAreaLeft" fmla="*/ 0 w 6123600"/>
              <a:gd name="textAreaRight" fmla="*/ 6123960 w 6123600"/>
              <a:gd name="textAreaTop" fmla="*/ 0 h 235080"/>
              <a:gd name="textAreaBottom" fmla="*/ 235440 h 23508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323" name="Shape 508403"/>
          <xdr:cNvSpPr/>
        </xdr:nvSpPr>
        <xdr:spPr>
          <a:xfrm>
            <a:off x="83160" y="88560"/>
            <a:ext cx="6123600" cy="235080"/>
          </a:xfrm>
          <a:custGeom>
            <a:avLst/>
            <a:gdLst>
              <a:gd name="textAreaLeft" fmla="*/ 0 w 6123600"/>
              <a:gd name="textAreaRight" fmla="*/ 6123960 w 6123600"/>
              <a:gd name="textAreaTop" fmla="*/ 0 h 235080"/>
              <a:gd name="textAreaBottom" fmla="*/ 235440 h 23508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324" name="Shape 53222"/>
          <xdr:cNvSpPr/>
        </xdr:nvSpPr>
        <xdr:spPr>
          <a:xfrm>
            <a:off x="83160" y="88560"/>
            <a:ext cx="6123600" cy="235080"/>
          </a:xfrm>
          <a:custGeom>
            <a:avLst/>
            <a:gdLst>
              <a:gd name="textAreaLeft" fmla="*/ 0 w 6123600"/>
              <a:gd name="textAreaRight" fmla="*/ 6123960 w 6123600"/>
              <a:gd name="textAreaTop" fmla="*/ 0 h 235080"/>
              <a:gd name="textAreaBottom" fmla="*/ 235440 h 23508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325" name="Rectangle 6"/>
          <xdr:cNvSpPr/>
        </xdr:nvSpPr>
        <xdr:spPr>
          <a:xfrm>
            <a:off x="1902240" y="69480"/>
            <a:ext cx="1204200" cy="2671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26 : </a:t>
            </a:r>
            <a:endParaRPr b="0" lang="en-US" sz="1400" spc="-1" strike="noStrike">
              <a:latin typeface="Times New Roman"/>
            </a:endParaRPr>
          </a:p>
        </xdr:txBody>
      </xdr:sp>
      <xdr:sp>
        <xdr:nvSpPr>
          <xdr:cNvPr id="326" name="Rectangle 7"/>
          <xdr:cNvSpPr/>
        </xdr:nvSpPr>
        <xdr:spPr>
          <a:xfrm>
            <a:off x="2779920" y="75600"/>
            <a:ext cx="2036880" cy="26064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AUTRES CHARGES</a:t>
            </a:r>
            <a:endParaRPr b="0" lang="en-US" sz="1400" spc="-1" strike="noStrike">
              <a:latin typeface="Times New Roman"/>
            </a:endParaRPr>
          </a:p>
        </xdr:txBody>
      </xdr:sp>
      <xdr:sp>
        <xdr:nvSpPr>
          <xdr:cNvPr id="327" name="Rectangle 8"/>
          <xdr:cNvSpPr/>
        </xdr:nvSpPr>
        <xdr:spPr>
          <a:xfrm>
            <a:off x="4375080" y="145800"/>
            <a:ext cx="51120" cy="1908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4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82800</xdr:rowOff>
    </xdr:from>
    <xdr:to>
      <xdr:col>3</xdr:col>
      <xdr:colOff>634680</xdr:colOff>
      <xdr:row>3</xdr:row>
      <xdr:rowOff>63360</xdr:rowOff>
    </xdr:to>
    <xdr:grpSp>
      <xdr:nvGrpSpPr>
        <xdr:cNvPr id="328" name="Group 414860"/>
        <xdr:cNvGrpSpPr/>
      </xdr:nvGrpSpPr>
      <xdr:grpSpPr>
        <a:xfrm>
          <a:off x="0" y="82800"/>
          <a:ext cx="6501960" cy="418680"/>
          <a:chOff x="0" y="82800"/>
          <a:chExt cx="6501960" cy="418680"/>
        </a:xfrm>
      </xdr:grpSpPr>
      <xdr:sp>
        <xdr:nvSpPr>
          <xdr:cNvPr id="329" name="Rectangle 2"/>
          <xdr:cNvSpPr/>
        </xdr:nvSpPr>
        <xdr:spPr>
          <a:xfrm>
            <a:off x="102240" y="101520"/>
            <a:ext cx="57600" cy="247320"/>
          </a:xfrm>
          <a:prstGeom prst="rect">
            <a:avLst/>
          </a:prstGeom>
          <a:noFill/>
          <a:ln w="0">
            <a:noFill/>
          </a:ln>
        </xdr:spPr>
        <xdr:style>
          <a:lnRef idx="0"/>
          <a:fillRef idx="0"/>
          <a:effectRef idx="0"/>
          <a:fontRef idx="minor"/>
        </xdr:style>
        <xdr:txBody>
          <a:bodyPr lIns="0" rIns="0" tIns="0" bIns="0" anchor="t">
            <a:noAutofit/>
          </a:bodyPr>
          <a:p>
            <a:r>
              <a:rPr b="1" lang="en-US" sz="1200" spc="-1" strike="noStrike">
                <a:solidFill>
                  <a:srgbClr val="000000"/>
                </a:solidFill>
                <a:latin typeface="Times New Roman"/>
              </a:rPr>
              <a:t> </a:t>
            </a:r>
            <a:endParaRPr b="0" lang="en-US" sz="1200" spc="-1" strike="noStrike">
              <a:latin typeface="Times New Roman"/>
            </a:endParaRPr>
          </a:p>
        </xdr:txBody>
      </xdr:sp>
      <xdr:sp>
        <xdr:nvSpPr>
          <xdr:cNvPr id="330" name="Shape 508404"/>
          <xdr:cNvSpPr/>
        </xdr:nvSpPr>
        <xdr:spPr>
          <a:xfrm>
            <a:off x="0" y="165240"/>
            <a:ext cx="6418800" cy="336240"/>
          </a:xfrm>
          <a:custGeom>
            <a:avLst/>
            <a:gdLst>
              <a:gd name="textAreaLeft" fmla="*/ 0 w 6418800"/>
              <a:gd name="textAreaRight" fmla="*/ 6419160 w 6418800"/>
              <a:gd name="textAreaTop" fmla="*/ 0 h 336240"/>
              <a:gd name="textAreaBottom" fmla="*/ 336600 h 336240"/>
            </a:gdLst>
            <a:ahLst/>
            <a:rect l="textAreaLeft" t="textAreaTop" r="textAreaRight" b="textAreaBottom"/>
            <a:pathLst>
              <a:path w="5772151" h="307975">
                <a:moveTo>
                  <a:pt x="0" y="0"/>
                </a:moveTo>
                <a:lnTo>
                  <a:pt x="5772151" y="0"/>
                </a:lnTo>
                <a:lnTo>
                  <a:pt x="5772151"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331" name="Shape 508405"/>
          <xdr:cNvSpPr/>
        </xdr:nvSpPr>
        <xdr:spPr>
          <a:xfrm>
            <a:off x="83160" y="82800"/>
            <a:ext cx="6418800" cy="336240"/>
          </a:xfrm>
          <a:custGeom>
            <a:avLst/>
            <a:gdLst>
              <a:gd name="textAreaLeft" fmla="*/ 0 w 6418800"/>
              <a:gd name="textAreaRight" fmla="*/ 6419160 w 6418800"/>
              <a:gd name="textAreaTop" fmla="*/ 0 h 336240"/>
              <a:gd name="textAreaBottom" fmla="*/ 336600 h 336240"/>
            </a:gdLst>
            <a:ahLst/>
            <a:rect l="textAreaLeft" t="textAreaTop" r="textAreaRight" b="textAreaBottom"/>
            <a:pathLst>
              <a:path w="5772151" h="307975">
                <a:moveTo>
                  <a:pt x="0" y="0"/>
                </a:moveTo>
                <a:lnTo>
                  <a:pt x="5772151" y="0"/>
                </a:lnTo>
                <a:lnTo>
                  <a:pt x="5772151" y="307975"/>
                </a:lnTo>
                <a:lnTo>
                  <a:pt x="0" y="307975"/>
                </a:lnTo>
                <a:lnTo>
                  <a:pt x="0" y="0"/>
                </a:lnTo>
              </a:path>
            </a:pathLst>
          </a:custGeom>
          <a:solidFill>
            <a:srgbClr val="4f81bd"/>
          </a:solidFill>
          <a:ln w="0">
            <a:noFill/>
          </a:ln>
        </xdr:spPr>
        <xdr:style>
          <a:lnRef idx="0"/>
          <a:fillRef idx="0"/>
          <a:effectRef idx="0"/>
          <a:fontRef idx="minor"/>
        </xdr:style>
      </xdr:sp>
      <xdr:sp>
        <xdr:nvSpPr>
          <xdr:cNvPr id="332" name="Shape 53541"/>
          <xdr:cNvSpPr/>
        </xdr:nvSpPr>
        <xdr:spPr>
          <a:xfrm>
            <a:off x="83160" y="82800"/>
            <a:ext cx="6418800" cy="336240"/>
          </a:xfrm>
          <a:custGeom>
            <a:avLst/>
            <a:gdLst>
              <a:gd name="textAreaLeft" fmla="*/ 0 w 6418800"/>
              <a:gd name="textAreaRight" fmla="*/ 6419160 w 6418800"/>
              <a:gd name="textAreaTop" fmla="*/ 0 h 336240"/>
              <a:gd name="textAreaBottom" fmla="*/ 336600 h 336240"/>
            </a:gdLst>
            <a:ahLst/>
            <a:rect l="textAreaLeft" t="textAreaTop" r="textAreaRight" b="textAreaBottom"/>
            <a:pathLst>
              <a:path w="5772151" h="307975">
                <a:moveTo>
                  <a:pt x="0" y="307975"/>
                </a:moveTo>
                <a:lnTo>
                  <a:pt x="5772151" y="307975"/>
                </a:lnTo>
                <a:lnTo>
                  <a:pt x="5772151"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333" name="Rectangle 6"/>
          <xdr:cNvSpPr/>
        </xdr:nvSpPr>
        <xdr:spPr>
          <a:xfrm>
            <a:off x="1607760" y="139680"/>
            <a:ext cx="1422000" cy="25380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NOTE 27A :   </a:t>
            </a:r>
            <a:endParaRPr b="0" lang="en-US" sz="1400" spc="-1" strike="noStrike">
              <a:latin typeface="Times New Roman"/>
            </a:endParaRPr>
          </a:p>
        </xdr:txBody>
      </xdr:sp>
      <xdr:sp>
        <xdr:nvSpPr>
          <xdr:cNvPr id="334" name="Rectangle 7"/>
          <xdr:cNvSpPr/>
        </xdr:nvSpPr>
        <xdr:spPr>
          <a:xfrm>
            <a:off x="2626200" y="139680"/>
            <a:ext cx="2998080" cy="2347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CHARGES DE PERSONNEL</a:t>
            </a:r>
            <a:endParaRPr b="0" lang="en-US" sz="1400" spc="-1" strike="noStrike">
              <a:latin typeface="Times New Roman"/>
            </a:endParaRPr>
          </a:p>
        </xdr:txBody>
      </xdr:sp>
      <xdr:sp>
        <xdr:nvSpPr>
          <xdr:cNvPr id="335" name="Rectangle 8"/>
          <xdr:cNvSpPr/>
        </xdr:nvSpPr>
        <xdr:spPr>
          <a:xfrm>
            <a:off x="4970880" y="171360"/>
            <a:ext cx="63720" cy="26028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4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172440</xdr:colOff>
      <xdr:row>0</xdr:row>
      <xdr:rowOff>0</xdr:rowOff>
    </xdr:from>
    <xdr:to>
      <xdr:col>15</xdr:col>
      <xdr:colOff>557640</xdr:colOff>
      <xdr:row>1</xdr:row>
      <xdr:rowOff>69480</xdr:rowOff>
    </xdr:to>
    <xdr:sp>
      <xdr:nvSpPr>
        <xdr:cNvPr id="336" name="Zone de texte 8"/>
        <xdr:cNvSpPr/>
      </xdr:nvSpPr>
      <xdr:spPr>
        <a:xfrm>
          <a:off x="172440" y="0"/>
          <a:ext cx="12452760" cy="253800"/>
        </a:xfrm>
        <a:prstGeom prst="rect">
          <a:avLst/>
        </a:prstGeom>
        <a:solidFill>
          <a:srgbClr val="0070c0"/>
        </a:solidFill>
        <a:ln w="6480">
          <a:solidFill>
            <a:srgbClr val="000000"/>
          </a:solidFill>
          <a:miter/>
        </a:ln>
        <a:effectLst>
          <a:outerShdw dist="50596" dir="7136148" blurRad="0" rotWithShape="0">
            <a:srgbClr val="808080"/>
          </a:outerShdw>
        </a:effectLst>
      </xdr:spPr>
      <xdr:style>
        <a:lnRef idx="0"/>
        <a:fillRef idx="0"/>
        <a:effectRef idx="0"/>
        <a:fontRef idx="minor"/>
      </xdr:style>
      <xdr:txBody>
        <a:bodyPr lIns="36360" rIns="36360" tIns="27360" bIns="0" anchor="t">
          <a:noAutofit/>
        </a:bodyPr>
        <a:p>
          <a:pPr algn="ctr"/>
          <a:r>
            <a:rPr b="1" lang="en-US" sz="1200" spc="-1" strike="noStrike">
              <a:solidFill>
                <a:srgbClr val="ffffff"/>
              </a:solidFill>
              <a:latin typeface="Cambria"/>
            </a:rPr>
            <a:t>NOTE 27B : EFFECTIFS, MASSE SALARIALE ET PERSONNEL EXTERIEUR</a:t>
          </a:r>
          <a:endParaRPr b="0" lang="en-US" sz="1200" spc="-1" strike="noStrike">
            <a:latin typeface="Times New Roman"/>
          </a:endParaRPr>
        </a:p>
      </xdr:txBody>
    </xdr:sp>
    <xdr:clientData/>
  </xdr:twoCellAnchor>
</xdr:wsDr>
</file>

<file path=xl/drawings/drawing4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8</xdr:col>
      <xdr:colOff>660240</xdr:colOff>
      <xdr:row>1</xdr:row>
      <xdr:rowOff>133560</xdr:rowOff>
    </xdr:to>
    <xdr:sp>
      <xdr:nvSpPr>
        <xdr:cNvPr id="337" name="Zone de texte 9"/>
        <xdr:cNvSpPr/>
      </xdr:nvSpPr>
      <xdr:spPr>
        <a:xfrm>
          <a:off x="0" y="0"/>
          <a:ext cx="11874240" cy="285840"/>
        </a:xfrm>
        <a:prstGeom prst="rect">
          <a:avLst/>
        </a:prstGeom>
        <a:solidFill>
          <a:srgbClr val="0070c0"/>
        </a:solidFill>
        <a:ln w="6480">
          <a:solidFill>
            <a:srgbClr val="000000"/>
          </a:solidFill>
          <a:miter/>
        </a:ln>
        <a:effectLst>
          <a:outerShdw dist="50596" dir="7136148" blurRad="0" rotWithShape="0">
            <a:srgbClr val="808080"/>
          </a:outerShdw>
        </a:effectLst>
      </xdr:spPr>
      <xdr:style>
        <a:lnRef idx="0"/>
        <a:fillRef idx="0"/>
        <a:effectRef idx="0"/>
        <a:fontRef idx="minor"/>
      </xdr:style>
      <xdr:txBody>
        <a:bodyPr lIns="36360" rIns="0" tIns="27360" bIns="0" anchor="t">
          <a:noAutofit/>
        </a:bodyPr>
        <a:p>
          <a:r>
            <a:rPr b="1" lang="en-US" sz="1200" spc="-1" strike="noStrike">
              <a:solidFill>
                <a:srgbClr val="ffffff"/>
              </a:solidFill>
              <a:latin typeface="Cambria"/>
            </a:rPr>
            <a:t>                                                                                              </a:t>
          </a:r>
          <a:r>
            <a:rPr b="1" lang="en-US" sz="1200" spc="-1" strike="noStrike">
              <a:solidFill>
                <a:srgbClr val="ffffff"/>
              </a:solidFill>
              <a:latin typeface="Cambria"/>
            </a:rPr>
            <a:t>NOTE 28 : PROVISIONS ET DEPRECIATIONS INSCRITES AU BILAN</a:t>
          </a:r>
          <a:endParaRPr b="0" lang="en-US" sz="1200" spc="-1" strike="noStrike">
            <a:latin typeface="Times New Roman"/>
          </a:endParaRPr>
        </a:p>
      </xdr:txBody>
    </xdr:sp>
    <xdr:clientData/>
  </xdr:twoCellAnchor>
</xdr:wsDr>
</file>

<file path=xl/drawings/drawing4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14040</xdr:colOff>
      <xdr:row>0</xdr:row>
      <xdr:rowOff>63360</xdr:rowOff>
    </xdr:from>
    <xdr:to>
      <xdr:col>3</xdr:col>
      <xdr:colOff>531720</xdr:colOff>
      <xdr:row>2</xdr:row>
      <xdr:rowOff>146160</xdr:rowOff>
    </xdr:to>
    <xdr:grpSp>
      <xdr:nvGrpSpPr>
        <xdr:cNvPr id="338" name="Group 417403"/>
        <xdr:cNvGrpSpPr/>
      </xdr:nvGrpSpPr>
      <xdr:grpSpPr>
        <a:xfrm>
          <a:off x="14040" y="63360"/>
          <a:ext cx="5879160" cy="451080"/>
          <a:chOff x="14040" y="63360"/>
          <a:chExt cx="5879160" cy="451080"/>
        </a:xfrm>
      </xdr:grpSpPr>
      <xdr:sp>
        <xdr:nvSpPr>
          <xdr:cNvPr id="339" name="Shape 508410"/>
          <xdr:cNvSpPr/>
        </xdr:nvSpPr>
        <xdr:spPr>
          <a:xfrm>
            <a:off x="14040" y="152280"/>
            <a:ext cx="5315760" cy="362160"/>
          </a:xfrm>
          <a:custGeom>
            <a:avLst/>
            <a:gdLst>
              <a:gd name="textAreaLeft" fmla="*/ 0 w 5315760"/>
              <a:gd name="textAreaRight" fmla="*/ 5315760 w 5315760"/>
              <a:gd name="textAreaTop" fmla="*/ 0 h 362160"/>
              <a:gd name="textAreaBottom" fmla="*/ 362520 h 3621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340" name="Shape 508411"/>
          <xdr:cNvSpPr/>
        </xdr:nvSpPr>
        <xdr:spPr>
          <a:xfrm>
            <a:off x="84240" y="63360"/>
            <a:ext cx="5591160" cy="362160"/>
          </a:xfrm>
          <a:custGeom>
            <a:avLst/>
            <a:gdLst>
              <a:gd name="textAreaLeft" fmla="*/ 0 w 5591160"/>
              <a:gd name="textAreaRight" fmla="*/ 5591520 w 5591160"/>
              <a:gd name="textAreaTop" fmla="*/ 0 h 362160"/>
              <a:gd name="textAreaBottom" fmla="*/ 362520 h 3621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341" name="Shape 55054"/>
          <xdr:cNvSpPr/>
        </xdr:nvSpPr>
        <xdr:spPr>
          <a:xfrm>
            <a:off x="84240" y="63360"/>
            <a:ext cx="5648760" cy="362160"/>
          </a:xfrm>
          <a:custGeom>
            <a:avLst/>
            <a:gdLst>
              <a:gd name="textAreaLeft" fmla="*/ 0 w 5648760"/>
              <a:gd name="textAreaRight" fmla="*/ 5649120 w 5648760"/>
              <a:gd name="textAreaTop" fmla="*/ 0 h 362160"/>
              <a:gd name="textAreaBottom" fmla="*/ 362520 h 36216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342" name="Rectangle 5"/>
          <xdr:cNvSpPr/>
        </xdr:nvSpPr>
        <xdr:spPr>
          <a:xfrm>
            <a:off x="1589400" y="164880"/>
            <a:ext cx="1018080" cy="273240"/>
          </a:xfrm>
          <a:prstGeom prst="rect">
            <a:avLst/>
          </a:prstGeom>
          <a:noFill/>
          <a:ln w="0">
            <a:noFill/>
          </a:ln>
        </xdr:spPr>
        <xdr:style>
          <a:lnRef idx="0"/>
          <a:fillRef idx="0"/>
          <a:effectRef idx="0"/>
          <a:fontRef idx="minor"/>
        </xdr:style>
        <xdr:txBody>
          <a:bodyPr lIns="0" rIns="0" tIns="0" bIns="0" anchor="t">
            <a:noAutofit/>
          </a:bodyPr>
          <a:p>
            <a:r>
              <a:rPr b="1" lang="en-US" sz="1100" spc="-1" strike="noStrike">
                <a:solidFill>
                  <a:srgbClr val="ffffff"/>
                </a:solidFill>
                <a:latin typeface="Cambria"/>
              </a:rPr>
              <a:t>NOTE 29 : </a:t>
            </a:r>
            <a:endParaRPr b="0" lang="en-US" sz="1100" spc="-1" strike="noStrike">
              <a:latin typeface="Times New Roman"/>
            </a:endParaRPr>
          </a:p>
        </xdr:txBody>
      </xdr:sp>
      <xdr:sp>
        <xdr:nvSpPr>
          <xdr:cNvPr id="343" name="Rectangle 6"/>
          <xdr:cNvSpPr/>
        </xdr:nvSpPr>
        <xdr:spPr>
          <a:xfrm>
            <a:off x="2204280" y="171360"/>
            <a:ext cx="3688920" cy="260640"/>
          </a:xfrm>
          <a:prstGeom prst="rect">
            <a:avLst/>
          </a:prstGeom>
          <a:noFill/>
          <a:ln w="0">
            <a:noFill/>
          </a:ln>
        </xdr:spPr>
        <xdr:style>
          <a:lnRef idx="0"/>
          <a:fillRef idx="0"/>
          <a:effectRef idx="0"/>
          <a:fontRef idx="minor"/>
        </xdr:style>
        <xdr:txBody>
          <a:bodyPr lIns="0" rIns="0" tIns="0" bIns="0" anchor="t">
            <a:noAutofit/>
          </a:bodyPr>
          <a:p>
            <a:r>
              <a:rPr b="1" lang="en-US" sz="1100" spc="-1" strike="noStrike">
                <a:solidFill>
                  <a:srgbClr val="ffffff"/>
                </a:solidFill>
                <a:latin typeface="Cambria"/>
              </a:rPr>
              <a:t>CHARGES ET REVENUS FINANCIERS</a:t>
            </a:r>
            <a:endParaRPr b="0" lang="en-US" sz="1100" spc="-1" strike="noStrike">
              <a:latin typeface="Times New Roman"/>
            </a:endParaRPr>
          </a:p>
        </xdr:txBody>
      </xdr:sp>
      <xdr:sp>
        <xdr:nvSpPr>
          <xdr:cNvPr id="344" name="Rectangle 7"/>
          <xdr:cNvSpPr/>
        </xdr:nvSpPr>
        <xdr:spPr>
          <a:xfrm>
            <a:off x="4452480" y="152280"/>
            <a:ext cx="38160" cy="2797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4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39240</xdr:colOff>
      <xdr:row>0</xdr:row>
      <xdr:rowOff>63360</xdr:rowOff>
    </xdr:from>
    <xdr:to>
      <xdr:col>3</xdr:col>
      <xdr:colOff>551160</xdr:colOff>
      <xdr:row>2</xdr:row>
      <xdr:rowOff>146160</xdr:rowOff>
    </xdr:to>
    <xdr:grpSp>
      <xdr:nvGrpSpPr>
        <xdr:cNvPr id="345" name="Group 417403"/>
        <xdr:cNvGrpSpPr/>
      </xdr:nvGrpSpPr>
      <xdr:grpSpPr>
        <a:xfrm>
          <a:off x="39240" y="63360"/>
          <a:ext cx="5752080" cy="451080"/>
          <a:chOff x="39240" y="63360"/>
          <a:chExt cx="5752080" cy="451080"/>
        </a:xfrm>
      </xdr:grpSpPr>
      <xdr:sp>
        <xdr:nvSpPr>
          <xdr:cNvPr id="346" name="Shape 508410"/>
          <xdr:cNvSpPr/>
        </xdr:nvSpPr>
        <xdr:spPr>
          <a:xfrm>
            <a:off x="39240" y="152280"/>
            <a:ext cx="5451120" cy="362160"/>
          </a:xfrm>
          <a:custGeom>
            <a:avLst/>
            <a:gdLst>
              <a:gd name="textAreaLeft" fmla="*/ 0 w 5451120"/>
              <a:gd name="textAreaRight" fmla="*/ 5451480 w 5451120"/>
              <a:gd name="textAreaTop" fmla="*/ 0 h 362160"/>
              <a:gd name="textAreaBottom" fmla="*/ 362520 h 3621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347" name="Shape 508411"/>
          <xdr:cNvSpPr/>
        </xdr:nvSpPr>
        <xdr:spPr>
          <a:xfrm>
            <a:off x="109440" y="63360"/>
            <a:ext cx="5451120" cy="362160"/>
          </a:xfrm>
          <a:custGeom>
            <a:avLst/>
            <a:gdLst>
              <a:gd name="textAreaLeft" fmla="*/ 0 w 5451120"/>
              <a:gd name="textAreaRight" fmla="*/ 5451480 w 5451120"/>
              <a:gd name="textAreaTop" fmla="*/ 0 h 362160"/>
              <a:gd name="textAreaBottom" fmla="*/ 362520 h 3621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348" name="Shape 55054"/>
          <xdr:cNvSpPr/>
        </xdr:nvSpPr>
        <xdr:spPr>
          <a:xfrm>
            <a:off x="109440" y="63360"/>
            <a:ext cx="5451120" cy="362160"/>
          </a:xfrm>
          <a:custGeom>
            <a:avLst/>
            <a:gdLst>
              <a:gd name="textAreaLeft" fmla="*/ 0 w 5451120"/>
              <a:gd name="textAreaRight" fmla="*/ 5451480 w 5451120"/>
              <a:gd name="textAreaTop" fmla="*/ 0 h 362160"/>
              <a:gd name="textAreaBottom" fmla="*/ 362520 h 36216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349" name="Rectangle 5"/>
          <xdr:cNvSpPr/>
        </xdr:nvSpPr>
        <xdr:spPr>
          <a:xfrm>
            <a:off x="1409760" y="145800"/>
            <a:ext cx="1050480" cy="279720"/>
          </a:xfrm>
          <a:prstGeom prst="rect">
            <a:avLst/>
          </a:prstGeom>
          <a:noFill/>
          <a:ln w="0">
            <a:noFill/>
          </a:ln>
        </xdr:spPr>
        <xdr:style>
          <a:lnRef idx="0"/>
          <a:fillRef idx="0"/>
          <a:effectRef idx="0"/>
          <a:fontRef idx="minor"/>
        </xdr:style>
        <xdr:txBody>
          <a:bodyPr lIns="0" rIns="0" tIns="0" bIns="0" anchor="t">
            <a:noAutofit/>
          </a:bodyPr>
          <a:p>
            <a:r>
              <a:rPr b="1" lang="en-US" sz="1100" spc="-1" strike="noStrike">
                <a:solidFill>
                  <a:srgbClr val="ffffff"/>
                </a:solidFill>
                <a:latin typeface="Cambria"/>
              </a:rPr>
              <a:t>NOTE 30 : </a:t>
            </a:r>
            <a:endParaRPr b="0" lang="en-US" sz="1100" spc="-1" strike="noStrike">
              <a:latin typeface="Times New Roman"/>
            </a:endParaRPr>
          </a:p>
        </xdr:txBody>
      </xdr:sp>
      <xdr:sp>
        <xdr:nvSpPr>
          <xdr:cNvPr id="350" name="Rectangle 6"/>
          <xdr:cNvSpPr/>
        </xdr:nvSpPr>
        <xdr:spPr>
          <a:xfrm>
            <a:off x="2050560" y="164880"/>
            <a:ext cx="3740760" cy="266760"/>
          </a:xfrm>
          <a:prstGeom prst="rect">
            <a:avLst/>
          </a:prstGeom>
          <a:noFill/>
          <a:ln w="0">
            <a:noFill/>
          </a:ln>
        </xdr:spPr>
        <xdr:style>
          <a:lnRef idx="0"/>
          <a:fillRef idx="0"/>
          <a:effectRef idx="0"/>
          <a:fontRef idx="minor"/>
        </xdr:style>
        <xdr:txBody>
          <a:bodyPr lIns="0" rIns="0" tIns="0" bIns="0" anchor="t">
            <a:noAutofit/>
          </a:bodyPr>
          <a:p>
            <a:r>
              <a:rPr b="1" lang="en-US" sz="1100" spc="-1" strike="noStrike">
                <a:solidFill>
                  <a:srgbClr val="ffffff"/>
                </a:solidFill>
                <a:latin typeface="Cambria"/>
              </a:rPr>
              <a:t>AUTRES  CHARGES ET PRODUITS HAO  </a:t>
            </a:r>
            <a:endParaRPr b="0" lang="en-US" sz="1100" spc="-1" strike="noStrike">
              <a:latin typeface="Times New Roman"/>
            </a:endParaRPr>
          </a:p>
        </xdr:txBody>
      </xdr:sp>
      <xdr:sp>
        <xdr:nvSpPr>
          <xdr:cNvPr id="351" name="Rectangle 7"/>
          <xdr:cNvSpPr/>
        </xdr:nvSpPr>
        <xdr:spPr>
          <a:xfrm>
            <a:off x="4587120" y="152280"/>
            <a:ext cx="44640" cy="2797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4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88560</xdr:colOff>
      <xdr:row>1</xdr:row>
      <xdr:rowOff>0</xdr:rowOff>
    </xdr:from>
    <xdr:to>
      <xdr:col>5</xdr:col>
      <xdr:colOff>967680</xdr:colOff>
      <xdr:row>2</xdr:row>
      <xdr:rowOff>127440</xdr:rowOff>
    </xdr:to>
    <xdr:sp>
      <xdr:nvSpPr>
        <xdr:cNvPr id="352" name="Zone de texte 11"/>
        <xdr:cNvSpPr/>
      </xdr:nvSpPr>
      <xdr:spPr>
        <a:xfrm>
          <a:off x="88560" y="184320"/>
          <a:ext cx="12646440" cy="311400"/>
        </a:xfrm>
        <a:prstGeom prst="rect">
          <a:avLst/>
        </a:prstGeom>
        <a:solidFill>
          <a:srgbClr val="0070c0"/>
        </a:solidFill>
        <a:ln w="6480">
          <a:solidFill>
            <a:srgbClr val="000000"/>
          </a:solidFill>
          <a:miter/>
        </a:ln>
        <a:effectLst>
          <a:outerShdw dist="50596" dir="7136148" blurRad="0" rotWithShape="0">
            <a:srgbClr val="808080"/>
          </a:outerShdw>
        </a:effectLst>
      </xdr:spPr>
      <xdr:style>
        <a:lnRef idx="0"/>
        <a:fillRef idx="0"/>
        <a:effectRef idx="0"/>
        <a:fontRef idx="minor"/>
      </xdr:style>
      <xdr:txBody>
        <a:bodyPr lIns="36360" rIns="0" tIns="27360" bIns="0" anchor="t">
          <a:noAutofit/>
        </a:bodyPr>
        <a:p>
          <a:r>
            <a:rPr b="1" lang="en-US" sz="1200" spc="-1" strike="noStrike">
              <a:solidFill>
                <a:srgbClr val="ffffff"/>
              </a:solidFill>
              <a:latin typeface="Cambria"/>
            </a:rPr>
            <a:t>                                                         </a:t>
          </a:r>
          <a:r>
            <a:rPr b="1" lang="en-US" sz="1200" spc="-1" strike="noStrike">
              <a:solidFill>
                <a:srgbClr val="ffffff"/>
              </a:solidFill>
              <a:latin typeface="Cambria"/>
            </a:rPr>
            <a:t>NOTE 31 : REPARTITION DU RESULTAT ET AUTRES ELEMENTS CARACTERISTIQUES DES CINQ DERNIERS EXERCICES</a:t>
          </a:r>
          <a:endParaRPr b="0" lang="en-US" sz="1200" spc="-1" strike="noStrike">
            <a:latin typeface="Times New Roman"/>
          </a:endParaRPr>
        </a:p>
      </xdr:txBody>
    </xdr:sp>
    <xdr:clientData/>
  </xdr:twoCellAnchor>
</xdr:wsDr>
</file>

<file path=xl/drawings/drawing5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82440</xdr:colOff>
      <xdr:row>0</xdr:row>
      <xdr:rowOff>0</xdr:rowOff>
    </xdr:from>
    <xdr:to>
      <xdr:col>13</xdr:col>
      <xdr:colOff>647280</xdr:colOff>
      <xdr:row>1</xdr:row>
      <xdr:rowOff>145800</xdr:rowOff>
    </xdr:to>
    <xdr:sp>
      <xdr:nvSpPr>
        <xdr:cNvPr id="353" name="Zone de texte 12"/>
        <xdr:cNvSpPr/>
      </xdr:nvSpPr>
      <xdr:spPr>
        <a:xfrm>
          <a:off x="82440" y="0"/>
          <a:ext cx="11470320" cy="298080"/>
        </a:xfrm>
        <a:prstGeom prst="rect">
          <a:avLst/>
        </a:prstGeom>
        <a:solidFill>
          <a:srgbClr val="0070c0"/>
        </a:solidFill>
        <a:ln w="6480">
          <a:solidFill>
            <a:srgbClr val="000000"/>
          </a:solidFill>
          <a:miter/>
        </a:ln>
        <a:effectLst>
          <a:outerShdw dist="50596" dir="7136148" blurRad="0" rotWithShape="0">
            <a:srgbClr val="808080"/>
          </a:outerShdw>
        </a:effectLst>
      </xdr:spPr>
      <xdr:style>
        <a:lnRef idx="0"/>
        <a:fillRef idx="0"/>
        <a:effectRef idx="0"/>
        <a:fontRef idx="minor"/>
      </xdr:style>
      <xdr:txBody>
        <a:bodyPr lIns="36360" rIns="0" tIns="27360" bIns="0" anchor="t">
          <a:noAutofit/>
        </a:bodyPr>
        <a:p>
          <a:r>
            <a:rPr b="1" lang="en-US" sz="1200" spc="-1" strike="noStrike">
              <a:solidFill>
                <a:srgbClr val="ffffff"/>
              </a:solidFill>
              <a:latin typeface="Cambria"/>
            </a:rPr>
            <a:t>                                                                                                                                </a:t>
          </a:r>
          <a:r>
            <a:rPr b="1" lang="en-US" sz="1200" spc="-1" strike="noStrike">
              <a:solidFill>
                <a:srgbClr val="ffffff"/>
              </a:solidFill>
              <a:latin typeface="Cambria"/>
            </a:rPr>
            <a:t>NOTE 32 : PRODUCTION DE L’EXERCICE</a:t>
          </a:r>
          <a:endParaRPr b="0" lang="en-US" sz="1200" spc="-1" strike="noStrike">
            <a:latin typeface="Times New Roman"/>
          </a:endParaRPr>
        </a:p>
      </xdr:txBody>
    </xdr:sp>
    <xdr:clientData/>
  </xdr:twoCellAnchor>
</xdr:wsDr>
</file>

<file path=xl/drawings/drawing5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64080</xdr:colOff>
      <xdr:row>0</xdr:row>
      <xdr:rowOff>69480</xdr:rowOff>
    </xdr:from>
    <xdr:to>
      <xdr:col>8</xdr:col>
      <xdr:colOff>564120</xdr:colOff>
      <xdr:row>2</xdr:row>
      <xdr:rowOff>31320</xdr:rowOff>
    </xdr:to>
    <xdr:sp>
      <xdr:nvSpPr>
        <xdr:cNvPr id="354" name="Zone de texte 2"/>
        <xdr:cNvSpPr/>
      </xdr:nvSpPr>
      <xdr:spPr>
        <a:xfrm>
          <a:off x="64080" y="69480"/>
          <a:ext cx="8966520" cy="266760"/>
        </a:xfrm>
        <a:prstGeom prst="rect">
          <a:avLst/>
        </a:prstGeom>
        <a:solidFill>
          <a:srgbClr val="0070c0"/>
        </a:solidFill>
        <a:ln w="6480">
          <a:solidFill>
            <a:srgbClr val="000000"/>
          </a:solidFill>
          <a:miter/>
        </a:ln>
        <a:effectLst>
          <a:outerShdw dist="50596" dir="7136148" blurRad="0" rotWithShape="0">
            <a:srgbClr val="808080"/>
          </a:outerShdw>
        </a:effectLst>
      </xdr:spPr>
      <xdr:style>
        <a:lnRef idx="0"/>
        <a:fillRef idx="0"/>
        <a:effectRef idx="0"/>
        <a:fontRef idx="minor"/>
      </xdr:style>
      <xdr:txBody>
        <a:bodyPr lIns="36360" rIns="0" tIns="27360" bIns="0" anchor="t">
          <a:noAutofit/>
        </a:bodyPr>
        <a:p>
          <a:r>
            <a:rPr b="1" lang="en-US" sz="1200" spc="-1" strike="noStrike">
              <a:solidFill>
                <a:srgbClr val="ffffff"/>
              </a:solidFill>
              <a:latin typeface="Cambria"/>
            </a:rPr>
            <a:t>                                                                                </a:t>
          </a:r>
          <a:r>
            <a:rPr b="1" lang="en-US" sz="1200" spc="-1" strike="noStrike">
              <a:solidFill>
                <a:srgbClr val="ffffff"/>
              </a:solidFill>
              <a:latin typeface="Cambria"/>
            </a:rPr>
            <a:t>NOTE 33 : ACHATS DESTINES A LA PRODUCTION</a:t>
          </a:r>
          <a:endParaRPr b="0" lang="en-US" sz="1200" spc="-1" strike="noStrike">
            <a:latin typeface="Times New Roman"/>
          </a:endParaRPr>
        </a:p>
      </xdr:txBody>
    </xdr:sp>
    <xdr:clientData/>
  </xdr:twoCellAnchor>
</xdr:wsDr>
</file>

<file path=xl/drawings/drawing5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19</xdr:row>
      <xdr:rowOff>0</xdr:rowOff>
    </xdr:from>
    <xdr:to>
      <xdr:col>4</xdr:col>
      <xdr:colOff>577080</xdr:colOff>
      <xdr:row>19</xdr:row>
      <xdr:rowOff>145440</xdr:rowOff>
    </xdr:to>
    <xdr:grpSp>
      <xdr:nvGrpSpPr>
        <xdr:cNvPr id="355" name="Group 486160"/>
        <xdr:cNvGrpSpPr/>
      </xdr:nvGrpSpPr>
      <xdr:grpSpPr>
        <a:xfrm>
          <a:off x="7186320" y="3809880"/>
          <a:ext cx="577080" cy="145440"/>
          <a:chOff x="7186320" y="3809880"/>
          <a:chExt cx="577080" cy="145440"/>
        </a:xfrm>
      </xdr:grpSpPr>
      <xdr:sp>
        <xdr:nvSpPr>
          <xdr:cNvPr id="356" name="Rectangle 6"/>
          <xdr:cNvSpPr/>
        </xdr:nvSpPr>
        <xdr:spPr>
          <a:xfrm>
            <a:off x="7224480" y="3824640"/>
            <a:ext cx="32040" cy="13068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57" name="Rectangle 7"/>
          <xdr:cNvSpPr/>
        </xdr:nvSpPr>
        <xdr:spPr>
          <a:xfrm>
            <a:off x="7243920" y="3824640"/>
            <a:ext cx="32040" cy="13068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58" name="Shape 58021"/>
          <xdr:cNvSpPr/>
        </xdr:nvSpPr>
        <xdr:spPr>
          <a:xfrm>
            <a:off x="7186320" y="3809880"/>
            <a:ext cx="577080" cy="115560"/>
          </a:xfrm>
          <a:custGeom>
            <a:avLst/>
            <a:gdLst>
              <a:gd name="textAreaLeft" fmla="*/ 0 w 577080"/>
              <a:gd name="textAreaRight" fmla="*/ 577440 w 577080"/>
              <a:gd name="textAreaTop" fmla="*/ 0 h 115560"/>
              <a:gd name="textAreaBottom" fmla="*/ 115920 h 115560"/>
            </a:gdLst>
            <a:ahLst/>
            <a:rect l="textAreaLeft" t="textAreaTop" r="textAreaRight" b="textAreaBottom"/>
            <a:pathLst>
              <a:path w="626364" h="140209">
                <a:moveTo>
                  <a:pt x="626364" y="0"/>
                </a:moveTo>
                <a:lnTo>
                  <a:pt x="0" y="140209"/>
                </a:lnTo>
              </a:path>
            </a:pathLst>
          </a:custGeom>
          <a:noFill/>
          <a:ln w="6120">
            <a:solidFill>
              <a:srgbClr val="000000"/>
            </a:solidFill>
            <a:round/>
          </a:ln>
        </xdr:spPr>
        <xdr:style>
          <a:lnRef idx="0"/>
          <a:fillRef idx="0"/>
          <a:effectRef idx="0"/>
          <a:fontRef idx="minor"/>
        </xdr:style>
      </xdr:sp>
    </xdr:grpSp>
    <xdr:clientData/>
  </xdr:twoCellAnchor>
  <xdr:twoCellAnchor editAs="oneCell">
    <xdr:from>
      <xdr:col>4</xdr:col>
      <xdr:colOff>0</xdr:colOff>
      <xdr:row>20</xdr:row>
      <xdr:rowOff>0</xdr:rowOff>
    </xdr:from>
    <xdr:to>
      <xdr:col>4</xdr:col>
      <xdr:colOff>577080</xdr:colOff>
      <xdr:row>20</xdr:row>
      <xdr:rowOff>145800</xdr:rowOff>
    </xdr:to>
    <xdr:grpSp>
      <xdr:nvGrpSpPr>
        <xdr:cNvPr id="359" name="Group 486181"/>
        <xdr:cNvGrpSpPr/>
      </xdr:nvGrpSpPr>
      <xdr:grpSpPr>
        <a:xfrm>
          <a:off x="7186320" y="4000680"/>
          <a:ext cx="577080" cy="145800"/>
          <a:chOff x="7186320" y="4000680"/>
          <a:chExt cx="577080" cy="145800"/>
        </a:xfrm>
      </xdr:grpSpPr>
      <xdr:sp>
        <xdr:nvSpPr>
          <xdr:cNvPr id="360" name="Rectangle 10"/>
          <xdr:cNvSpPr/>
        </xdr:nvSpPr>
        <xdr:spPr>
          <a:xfrm>
            <a:off x="7224480" y="4015800"/>
            <a:ext cx="32040" cy="13068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61" name="Rectangle 11"/>
          <xdr:cNvSpPr/>
        </xdr:nvSpPr>
        <xdr:spPr>
          <a:xfrm>
            <a:off x="7243920" y="4015800"/>
            <a:ext cx="32040" cy="13068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62" name="Shape 58049"/>
          <xdr:cNvSpPr/>
        </xdr:nvSpPr>
        <xdr:spPr>
          <a:xfrm>
            <a:off x="7186320" y="4000680"/>
            <a:ext cx="577080" cy="115560"/>
          </a:xfrm>
          <a:custGeom>
            <a:avLst/>
            <a:gdLst>
              <a:gd name="textAreaLeft" fmla="*/ 0 w 577080"/>
              <a:gd name="textAreaRight" fmla="*/ 577440 w 577080"/>
              <a:gd name="textAreaTop" fmla="*/ 0 h 115560"/>
              <a:gd name="textAreaBottom" fmla="*/ 115920 h 115560"/>
            </a:gdLst>
            <a:ahLst/>
            <a:rect l="textAreaLeft" t="textAreaTop" r="textAreaRight" b="textAreaBottom"/>
            <a:pathLst>
              <a:path w="626364" h="140589">
                <a:moveTo>
                  <a:pt x="626364" y="0"/>
                </a:moveTo>
                <a:lnTo>
                  <a:pt x="0" y="140589"/>
                </a:lnTo>
              </a:path>
            </a:pathLst>
          </a:custGeom>
          <a:noFill/>
          <a:ln w="6120">
            <a:solidFill>
              <a:srgbClr val="000000"/>
            </a:solidFill>
            <a:round/>
          </a:ln>
        </xdr:spPr>
        <xdr:style>
          <a:lnRef idx="0"/>
          <a:fillRef idx="0"/>
          <a:effectRef idx="0"/>
          <a:fontRef idx="minor"/>
        </xdr:style>
      </xdr:sp>
    </xdr:grpSp>
    <xdr:clientData/>
  </xdr:twoCellAnchor>
  <xdr:twoCellAnchor editAs="oneCell">
    <xdr:from>
      <xdr:col>4</xdr:col>
      <xdr:colOff>0</xdr:colOff>
      <xdr:row>21</xdr:row>
      <xdr:rowOff>0</xdr:rowOff>
    </xdr:from>
    <xdr:to>
      <xdr:col>4</xdr:col>
      <xdr:colOff>577080</xdr:colOff>
      <xdr:row>21</xdr:row>
      <xdr:rowOff>145800</xdr:rowOff>
    </xdr:to>
    <xdr:grpSp>
      <xdr:nvGrpSpPr>
        <xdr:cNvPr id="363" name="Group 486202"/>
        <xdr:cNvGrpSpPr/>
      </xdr:nvGrpSpPr>
      <xdr:grpSpPr>
        <a:xfrm>
          <a:off x="7186320" y="4191120"/>
          <a:ext cx="577080" cy="145800"/>
          <a:chOff x="7186320" y="4191120"/>
          <a:chExt cx="577080" cy="145800"/>
        </a:xfrm>
      </xdr:grpSpPr>
      <xdr:sp>
        <xdr:nvSpPr>
          <xdr:cNvPr id="364" name="Rectangle 14"/>
          <xdr:cNvSpPr/>
        </xdr:nvSpPr>
        <xdr:spPr>
          <a:xfrm>
            <a:off x="7224480" y="4205880"/>
            <a:ext cx="32040" cy="13104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65" name="Rectangle 15"/>
          <xdr:cNvSpPr/>
        </xdr:nvSpPr>
        <xdr:spPr>
          <a:xfrm>
            <a:off x="7243920" y="4205880"/>
            <a:ext cx="32040" cy="13104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66" name="Shape 58079"/>
          <xdr:cNvSpPr/>
        </xdr:nvSpPr>
        <xdr:spPr>
          <a:xfrm>
            <a:off x="7186320" y="4191120"/>
            <a:ext cx="577080" cy="115920"/>
          </a:xfrm>
          <a:custGeom>
            <a:avLst/>
            <a:gdLst>
              <a:gd name="textAreaLeft" fmla="*/ 0 w 577080"/>
              <a:gd name="textAreaRight" fmla="*/ 577440 w 577080"/>
              <a:gd name="textAreaTop" fmla="*/ 0 h 115920"/>
              <a:gd name="textAreaBottom" fmla="*/ 116280 h 115920"/>
            </a:gdLst>
            <a:ahLst/>
            <a:rect l="textAreaLeft" t="textAreaTop" r="textAreaRight" b="textAreaBottom"/>
            <a:pathLst>
              <a:path w="626364" h="138684">
                <a:moveTo>
                  <a:pt x="626364" y="0"/>
                </a:moveTo>
                <a:lnTo>
                  <a:pt x="0" y="138684"/>
                </a:lnTo>
              </a:path>
            </a:pathLst>
          </a:custGeom>
          <a:noFill/>
          <a:ln w="6120">
            <a:solidFill>
              <a:srgbClr val="000000"/>
            </a:solidFill>
            <a:round/>
          </a:ln>
        </xdr:spPr>
        <xdr:style>
          <a:lnRef idx="0"/>
          <a:fillRef idx="0"/>
          <a:effectRef idx="0"/>
          <a:fontRef idx="minor"/>
        </xdr:style>
      </xdr:sp>
    </xdr:grpSp>
    <xdr:clientData/>
  </xdr:twoCellAnchor>
  <xdr:twoCellAnchor editAs="oneCell">
    <xdr:from>
      <xdr:col>4</xdr:col>
      <xdr:colOff>0</xdr:colOff>
      <xdr:row>23</xdr:row>
      <xdr:rowOff>0</xdr:rowOff>
    </xdr:from>
    <xdr:to>
      <xdr:col>4</xdr:col>
      <xdr:colOff>577080</xdr:colOff>
      <xdr:row>23</xdr:row>
      <xdr:rowOff>145440</xdr:rowOff>
    </xdr:to>
    <xdr:grpSp>
      <xdr:nvGrpSpPr>
        <xdr:cNvPr id="367" name="Group 486291"/>
        <xdr:cNvGrpSpPr/>
      </xdr:nvGrpSpPr>
      <xdr:grpSpPr>
        <a:xfrm>
          <a:off x="7186320" y="4629240"/>
          <a:ext cx="577080" cy="145440"/>
          <a:chOff x="7186320" y="4629240"/>
          <a:chExt cx="577080" cy="145440"/>
        </a:xfrm>
      </xdr:grpSpPr>
      <xdr:sp>
        <xdr:nvSpPr>
          <xdr:cNvPr id="368" name="Rectangle 18"/>
          <xdr:cNvSpPr/>
        </xdr:nvSpPr>
        <xdr:spPr>
          <a:xfrm>
            <a:off x="7224480" y="4644000"/>
            <a:ext cx="32040" cy="13068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69" name="Rectangle 19"/>
          <xdr:cNvSpPr/>
        </xdr:nvSpPr>
        <xdr:spPr>
          <a:xfrm>
            <a:off x="7243920" y="4644000"/>
            <a:ext cx="32040" cy="13068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70" name="Shape 58154"/>
          <xdr:cNvSpPr/>
        </xdr:nvSpPr>
        <xdr:spPr>
          <a:xfrm>
            <a:off x="7186320" y="4629240"/>
            <a:ext cx="577080" cy="115560"/>
          </a:xfrm>
          <a:custGeom>
            <a:avLst/>
            <a:gdLst>
              <a:gd name="textAreaLeft" fmla="*/ 0 w 577080"/>
              <a:gd name="textAreaRight" fmla="*/ 577440 w 577080"/>
              <a:gd name="textAreaTop" fmla="*/ 0 h 115560"/>
              <a:gd name="textAreaBottom" fmla="*/ 115920 h 115560"/>
            </a:gdLst>
            <a:ahLst/>
            <a:rect l="textAreaLeft" t="textAreaTop" r="textAreaRight" b="textAreaBottom"/>
            <a:pathLst>
              <a:path w="626364" h="140208">
                <a:moveTo>
                  <a:pt x="626364" y="0"/>
                </a:moveTo>
                <a:lnTo>
                  <a:pt x="0" y="140208"/>
                </a:lnTo>
              </a:path>
            </a:pathLst>
          </a:custGeom>
          <a:noFill/>
          <a:ln w="6120">
            <a:solidFill>
              <a:srgbClr val="000000"/>
            </a:solidFill>
            <a:round/>
          </a:ln>
        </xdr:spPr>
        <xdr:style>
          <a:lnRef idx="0"/>
          <a:fillRef idx="0"/>
          <a:effectRef idx="0"/>
          <a:fontRef idx="minor"/>
        </xdr:style>
      </xdr:sp>
    </xdr:grpSp>
    <xdr:clientData/>
  </xdr:twoCellAnchor>
  <xdr:twoCellAnchor editAs="oneCell">
    <xdr:from>
      <xdr:col>4</xdr:col>
      <xdr:colOff>0</xdr:colOff>
      <xdr:row>24</xdr:row>
      <xdr:rowOff>0</xdr:rowOff>
    </xdr:from>
    <xdr:to>
      <xdr:col>4</xdr:col>
      <xdr:colOff>577080</xdr:colOff>
      <xdr:row>24</xdr:row>
      <xdr:rowOff>145800</xdr:rowOff>
    </xdr:to>
    <xdr:grpSp>
      <xdr:nvGrpSpPr>
        <xdr:cNvPr id="371" name="Group 486312"/>
        <xdr:cNvGrpSpPr/>
      </xdr:nvGrpSpPr>
      <xdr:grpSpPr>
        <a:xfrm>
          <a:off x="7186320" y="4819680"/>
          <a:ext cx="577080" cy="145800"/>
          <a:chOff x="7186320" y="4819680"/>
          <a:chExt cx="577080" cy="145800"/>
        </a:xfrm>
      </xdr:grpSpPr>
      <xdr:sp>
        <xdr:nvSpPr>
          <xdr:cNvPr id="372" name="Rectangle 22"/>
          <xdr:cNvSpPr/>
        </xdr:nvSpPr>
        <xdr:spPr>
          <a:xfrm>
            <a:off x="7224480" y="4834440"/>
            <a:ext cx="32040" cy="13104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73" name="Rectangle 23"/>
          <xdr:cNvSpPr/>
        </xdr:nvSpPr>
        <xdr:spPr>
          <a:xfrm>
            <a:off x="7243920" y="4834440"/>
            <a:ext cx="32040" cy="13104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74" name="Shape 58182"/>
          <xdr:cNvSpPr/>
        </xdr:nvSpPr>
        <xdr:spPr>
          <a:xfrm>
            <a:off x="7186320" y="4819680"/>
            <a:ext cx="577080" cy="115920"/>
          </a:xfrm>
          <a:custGeom>
            <a:avLst/>
            <a:gdLst>
              <a:gd name="textAreaLeft" fmla="*/ 0 w 577080"/>
              <a:gd name="textAreaRight" fmla="*/ 577440 w 577080"/>
              <a:gd name="textAreaTop" fmla="*/ 0 h 115920"/>
              <a:gd name="textAreaBottom" fmla="*/ 116280 h 115920"/>
            </a:gdLst>
            <a:ahLst/>
            <a:rect l="textAreaLeft" t="textAreaTop" r="textAreaRight" b="textAreaBottom"/>
            <a:pathLst>
              <a:path w="626364" h="138684">
                <a:moveTo>
                  <a:pt x="626364" y="0"/>
                </a:moveTo>
                <a:lnTo>
                  <a:pt x="0" y="138684"/>
                </a:lnTo>
              </a:path>
            </a:pathLst>
          </a:custGeom>
          <a:noFill/>
          <a:ln w="6120">
            <a:solidFill>
              <a:srgbClr val="000000"/>
            </a:solidFill>
            <a:round/>
          </a:ln>
        </xdr:spPr>
        <xdr:style>
          <a:lnRef idx="0"/>
          <a:fillRef idx="0"/>
          <a:effectRef idx="0"/>
          <a:fontRef idx="minor"/>
        </xdr:style>
      </xdr:sp>
    </xdr:grpSp>
    <xdr:clientData/>
  </xdr:twoCellAnchor>
  <xdr:twoCellAnchor editAs="oneCell">
    <xdr:from>
      <xdr:col>4</xdr:col>
      <xdr:colOff>0</xdr:colOff>
      <xdr:row>25</xdr:row>
      <xdr:rowOff>0</xdr:rowOff>
    </xdr:from>
    <xdr:to>
      <xdr:col>4</xdr:col>
      <xdr:colOff>577080</xdr:colOff>
      <xdr:row>25</xdr:row>
      <xdr:rowOff>145440</xdr:rowOff>
    </xdr:to>
    <xdr:grpSp>
      <xdr:nvGrpSpPr>
        <xdr:cNvPr id="375" name="Group 486333"/>
        <xdr:cNvGrpSpPr/>
      </xdr:nvGrpSpPr>
      <xdr:grpSpPr>
        <a:xfrm>
          <a:off x="7186320" y="5010120"/>
          <a:ext cx="577080" cy="145440"/>
          <a:chOff x="7186320" y="5010120"/>
          <a:chExt cx="577080" cy="145440"/>
        </a:xfrm>
      </xdr:grpSpPr>
      <xdr:sp>
        <xdr:nvSpPr>
          <xdr:cNvPr id="376" name="Rectangle 26"/>
          <xdr:cNvSpPr/>
        </xdr:nvSpPr>
        <xdr:spPr>
          <a:xfrm>
            <a:off x="7224480" y="5034960"/>
            <a:ext cx="32040" cy="12060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77" name="Shape 58206"/>
          <xdr:cNvSpPr/>
        </xdr:nvSpPr>
        <xdr:spPr>
          <a:xfrm>
            <a:off x="7186320" y="5010120"/>
            <a:ext cx="577080" cy="115560"/>
          </a:xfrm>
          <a:custGeom>
            <a:avLst/>
            <a:gdLst>
              <a:gd name="textAreaLeft" fmla="*/ 0 w 577080"/>
              <a:gd name="textAreaRight" fmla="*/ 577440 w 577080"/>
              <a:gd name="textAreaTop" fmla="*/ 0 h 115560"/>
              <a:gd name="textAreaBottom" fmla="*/ 115920 h 115560"/>
            </a:gdLst>
            <a:ahLst/>
            <a:rect l="textAreaLeft" t="textAreaTop" r="textAreaRight" b="textAreaBottom"/>
            <a:pathLst>
              <a:path w="626364" h="140208">
                <a:moveTo>
                  <a:pt x="626364" y="0"/>
                </a:moveTo>
                <a:lnTo>
                  <a:pt x="0" y="140208"/>
                </a:lnTo>
              </a:path>
            </a:pathLst>
          </a:custGeom>
          <a:noFill/>
          <a:ln w="6120">
            <a:solidFill>
              <a:srgbClr val="000000"/>
            </a:solidFill>
            <a:round/>
          </a:ln>
        </xdr:spPr>
        <xdr:style>
          <a:lnRef idx="0"/>
          <a:fillRef idx="0"/>
          <a:effectRef idx="0"/>
          <a:fontRef idx="minor"/>
        </xdr:style>
      </xdr:sp>
    </xdr:grpSp>
    <xdr:clientData/>
  </xdr:twoCellAnchor>
  <xdr:twoCellAnchor editAs="oneCell">
    <xdr:from>
      <xdr:col>4</xdr:col>
      <xdr:colOff>0</xdr:colOff>
      <xdr:row>26</xdr:row>
      <xdr:rowOff>0</xdr:rowOff>
    </xdr:from>
    <xdr:to>
      <xdr:col>4</xdr:col>
      <xdr:colOff>577080</xdr:colOff>
      <xdr:row>26</xdr:row>
      <xdr:rowOff>145440</xdr:rowOff>
    </xdr:to>
    <xdr:grpSp>
      <xdr:nvGrpSpPr>
        <xdr:cNvPr id="378" name="Group 486354"/>
        <xdr:cNvGrpSpPr/>
      </xdr:nvGrpSpPr>
      <xdr:grpSpPr>
        <a:xfrm>
          <a:off x="7186320" y="5200560"/>
          <a:ext cx="577080" cy="145440"/>
          <a:chOff x="7186320" y="5200560"/>
          <a:chExt cx="577080" cy="145440"/>
        </a:xfrm>
      </xdr:grpSpPr>
      <xdr:sp>
        <xdr:nvSpPr>
          <xdr:cNvPr id="379" name="Rectangle 29"/>
          <xdr:cNvSpPr/>
        </xdr:nvSpPr>
        <xdr:spPr>
          <a:xfrm>
            <a:off x="7224480" y="5215320"/>
            <a:ext cx="32040" cy="13068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80" name="Rectangle 30"/>
          <xdr:cNvSpPr/>
        </xdr:nvSpPr>
        <xdr:spPr>
          <a:xfrm>
            <a:off x="7243920" y="5215320"/>
            <a:ext cx="32040" cy="13068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81" name="Shape 58234"/>
          <xdr:cNvSpPr/>
        </xdr:nvSpPr>
        <xdr:spPr>
          <a:xfrm>
            <a:off x="7186320" y="5200560"/>
            <a:ext cx="577080" cy="115560"/>
          </a:xfrm>
          <a:custGeom>
            <a:avLst/>
            <a:gdLst>
              <a:gd name="textAreaLeft" fmla="*/ 0 w 577080"/>
              <a:gd name="textAreaRight" fmla="*/ 577440 w 577080"/>
              <a:gd name="textAreaTop" fmla="*/ 0 h 115560"/>
              <a:gd name="textAreaBottom" fmla="*/ 115920 h 115560"/>
            </a:gdLst>
            <a:ahLst/>
            <a:rect l="textAreaLeft" t="textAreaTop" r="textAreaRight" b="textAreaBottom"/>
            <a:pathLst>
              <a:path w="626364" h="140209">
                <a:moveTo>
                  <a:pt x="626364" y="0"/>
                </a:moveTo>
                <a:lnTo>
                  <a:pt x="0" y="140209"/>
                </a:lnTo>
              </a:path>
            </a:pathLst>
          </a:custGeom>
          <a:noFill/>
          <a:ln w="6120">
            <a:solidFill>
              <a:srgbClr val="000000"/>
            </a:solidFill>
            <a:round/>
          </a:ln>
        </xdr:spPr>
        <xdr:style>
          <a:lnRef idx="0"/>
          <a:fillRef idx="0"/>
          <a:effectRef idx="0"/>
          <a:fontRef idx="minor"/>
        </xdr:style>
      </xdr:sp>
    </xdr:grpSp>
    <xdr:clientData/>
  </xdr:twoCellAnchor>
  <xdr:twoCellAnchor editAs="oneCell">
    <xdr:from>
      <xdr:col>4</xdr:col>
      <xdr:colOff>0</xdr:colOff>
      <xdr:row>27</xdr:row>
      <xdr:rowOff>0</xdr:rowOff>
    </xdr:from>
    <xdr:to>
      <xdr:col>4</xdr:col>
      <xdr:colOff>577080</xdr:colOff>
      <xdr:row>27</xdr:row>
      <xdr:rowOff>146160</xdr:rowOff>
    </xdr:to>
    <xdr:grpSp>
      <xdr:nvGrpSpPr>
        <xdr:cNvPr id="382" name="Group 486375"/>
        <xdr:cNvGrpSpPr/>
      </xdr:nvGrpSpPr>
      <xdr:grpSpPr>
        <a:xfrm>
          <a:off x="7186320" y="5391000"/>
          <a:ext cx="577080" cy="146160"/>
          <a:chOff x="7186320" y="5391000"/>
          <a:chExt cx="577080" cy="146160"/>
        </a:xfrm>
      </xdr:grpSpPr>
      <xdr:sp>
        <xdr:nvSpPr>
          <xdr:cNvPr id="383" name="Rectangle 33"/>
          <xdr:cNvSpPr/>
        </xdr:nvSpPr>
        <xdr:spPr>
          <a:xfrm>
            <a:off x="7224480" y="5406120"/>
            <a:ext cx="32040" cy="13104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84" name="Shape 58258"/>
          <xdr:cNvSpPr/>
        </xdr:nvSpPr>
        <xdr:spPr>
          <a:xfrm>
            <a:off x="7186320" y="5391000"/>
            <a:ext cx="577080" cy="115920"/>
          </a:xfrm>
          <a:custGeom>
            <a:avLst/>
            <a:gdLst>
              <a:gd name="textAreaLeft" fmla="*/ 0 w 577080"/>
              <a:gd name="textAreaRight" fmla="*/ 577440 w 577080"/>
              <a:gd name="textAreaTop" fmla="*/ 0 h 115920"/>
              <a:gd name="textAreaBottom" fmla="*/ 116280 h 115920"/>
            </a:gdLst>
            <a:ahLst/>
            <a:rect l="textAreaLeft" t="textAreaTop" r="textAreaRight" b="textAreaBottom"/>
            <a:pathLst>
              <a:path w="626364" h="140209">
                <a:moveTo>
                  <a:pt x="626364" y="0"/>
                </a:moveTo>
                <a:lnTo>
                  <a:pt x="0" y="140209"/>
                </a:lnTo>
              </a:path>
            </a:pathLst>
          </a:custGeom>
          <a:noFill/>
          <a:ln w="6120">
            <a:solidFill>
              <a:srgbClr val="000000"/>
            </a:solidFill>
            <a:round/>
          </a:ln>
        </xdr:spPr>
        <xdr:style>
          <a:lnRef idx="0"/>
          <a:fillRef idx="0"/>
          <a:effectRef idx="0"/>
          <a:fontRef idx="minor"/>
        </xdr:style>
      </xdr:sp>
    </xdr:grpSp>
    <xdr:clientData/>
  </xdr:twoCellAnchor>
  <xdr:twoCellAnchor editAs="oneCell">
    <xdr:from>
      <xdr:col>4</xdr:col>
      <xdr:colOff>0</xdr:colOff>
      <xdr:row>28</xdr:row>
      <xdr:rowOff>0</xdr:rowOff>
    </xdr:from>
    <xdr:to>
      <xdr:col>4</xdr:col>
      <xdr:colOff>577080</xdr:colOff>
      <xdr:row>28</xdr:row>
      <xdr:rowOff>145800</xdr:rowOff>
    </xdr:to>
    <xdr:grpSp>
      <xdr:nvGrpSpPr>
        <xdr:cNvPr id="385" name="Group 486396"/>
        <xdr:cNvGrpSpPr/>
      </xdr:nvGrpSpPr>
      <xdr:grpSpPr>
        <a:xfrm>
          <a:off x="7186320" y="5581800"/>
          <a:ext cx="577080" cy="145800"/>
          <a:chOff x="7186320" y="5581800"/>
          <a:chExt cx="577080" cy="145800"/>
        </a:xfrm>
      </xdr:grpSpPr>
      <xdr:sp>
        <xdr:nvSpPr>
          <xdr:cNvPr id="386" name="Rectangle 36"/>
          <xdr:cNvSpPr/>
        </xdr:nvSpPr>
        <xdr:spPr>
          <a:xfrm>
            <a:off x="7224480" y="5596560"/>
            <a:ext cx="32040" cy="13104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87" name="Rectangle 37"/>
          <xdr:cNvSpPr/>
        </xdr:nvSpPr>
        <xdr:spPr>
          <a:xfrm>
            <a:off x="7243920" y="5596560"/>
            <a:ext cx="32040" cy="13104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88" name="Shape 58289"/>
          <xdr:cNvSpPr/>
        </xdr:nvSpPr>
        <xdr:spPr>
          <a:xfrm>
            <a:off x="7186320" y="5581800"/>
            <a:ext cx="577080" cy="115920"/>
          </a:xfrm>
          <a:custGeom>
            <a:avLst/>
            <a:gdLst>
              <a:gd name="textAreaLeft" fmla="*/ 0 w 577080"/>
              <a:gd name="textAreaRight" fmla="*/ 577440 w 577080"/>
              <a:gd name="textAreaTop" fmla="*/ 0 h 115920"/>
              <a:gd name="textAreaBottom" fmla="*/ 116280 h 115920"/>
            </a:gdLst>
            <a:ahLst/>
            <a:rect l="textAreaLeft" t="textAreaTop" r="textAreaRight" b="textAreaBottom"/>
            <a:pathLst>
              <a:path w="626364" h="138684">
                <a:moveTo>
                  <a:pt x="626364" y="0"/>
                </a:moveTo>
                <a:lnTo>
                  <a:pt x="0" y="138684"/>
                </a:lnTo>
              </a:path>
            </a:pathLst>
          </a:custGeom>
          <a:noFill/>
          <a:ln w="6120">
            <a:solidFill>
              <a:srgbClr val="000000"/>
            </a:solidFill>
            <a:round/>
          </a:ln>
        </xdr:spPr>
        <xdr:style>
          <a:lnRef idx="0"/>
          <a:fillRef idx="0"/>
          <a:effectRef idx="0"/>
          <a:fontRef idx="minor"/>
        </xdr:style>
      </xdr:sp>
    </xdr:grpSp>
    <xdr:clientData/>
  </xdr:twoCellAnchor>
  <xdr:twoCellAnchor editAs="oneCell">
    <xdr:from>
      <xdr:col>4</xdr:col>
      <xdr:colOff>0</xdr:colOff>
      <xdr:row>29</xdr:row>
      <xdr:rowOff>0</xdr:rowOff>
    </xdr:from>
    <xdr:to>
      <xdr:col>4</xdr:col>
      <xdr:colOff>577080</xdr:colOff>
      <xdr:row>29</xdr:row>
      <xdr:rowOff>145440</xdr:rowOff>
    </xdr:to>
    <xdr:grpSp>
      <xdr:nvGrpSpPr>
        <xdr:cNvPr id="389" name="Group 486417"/>
        <xdr:cNvGrpSpPr/>
      </xdr:nvGrpSpPr>
      <xdr:grpSpPr>
        <a:xfrm>
          <a:off x="7186320" y="5772240"/>
          <a:ext cx="577080" cy="145440"/>
          <a:chOff x="7186320" y="5772240"/>
          <a:chExt cx="577080" cy="145440"/>
        </a:xfrm>
      </xdr:grpSpPr>
      <xdr:sp>
        <xdr:nvSpPr>
          <xdr:cNvPr id="390" name="Rectangle 40"/>
          <xdr:cNvSpPr/>
        </xdr:nvSpPr>
        <xdr:spPr>
          <a:xfrm>
            <a:off x="7224480" y="5787000"/>
            <a:ext cx="32040" cy="13068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91" name="Rectangle 41"/>
          <xdr:cNvSpPr/>
        </xdr:nvSpPr>
        <xdr:spPr>
          <a:xfrm>
            <a:off x="7243920" y="5787000"/>
            <a:ext cx="32040" cy="13068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92" name="Shape 58319"/>
          <xdr:cNvSpPr/>
        </xdr:nvSpPr>
        <xdr:spPr>
          <a:xfrm>
            <a:off x="7186320" y="5772240"/>
            <a:ext cx="577080" cy="115560"/>
          </a:xfrm>
          <a:custGeom>
            <a:avLst/>
            <a:gdLst>
              <a:gd name="textAreaLeft" fmla="*/ 0 w 577080"/>
              <a:gd name="textAreaRight" fmla="*/ 577440 w 577080"/>
              <a:gd name="textAreaTop" fmla="*/ 0 h 115560"/>
              <a:gd name="textAreaBottom" fmla="*/ 115920 h 115560"/>
            </a:gdLst>
            <a:ahLst/>
            <a:rect l="textAreaLeft" t="textAreaTop" r="textAreaRight" b="textAreaBottom"/>
            <a:pathLst>
              <a:path w="626364" h="140208">
                <a:moveTo>
                  <a:pt x="626364" y="0"/>
                </a:moveTo>
                <a:lnTo>
                  <a:pt x="0" y="140208"/>
                </a:lnTo>
              </a:path>
            </a:pathLst>
          </a:custGeom>
          <a:noFill/>
          <a:ln w="6120">
            <a:solidFill>
              <a:srgbClr val="000000"/>
            </a:solidFill>
            <a:round/>
          </a:ln>
        </xdr:spPr>
        <xdr:style>
          <a:lnRef idx="0"/>
          <a:fillRef idx="0"/>
          <a:effectRef idx="0"/>
          <a:fontRef idx="minor"/>
        </xdr:style>
      </xdr:sp>
    </xdr:grpSp>
    <xdr:clientData/>
  </xdr:twoCellAnchor>
  <xdr:twoCellAnchor editAs="oneCell">
    <xdr:from>
      <xdr:col>4</xdr:col>
      <xdr:colOff>0</xdr:colOff>
      <xdr:row>30</xdr:row>
      <xdr:rowOff>0</xdr:rowOff>
    </xdr:from>
    <xdr:to>
      <xdr:col>4</xdr:col>
      <xdr:colOff>577080</xdr:colOff>
      <xdr:row>30</xdr:row>
      <xdr:rowOff>145440</xdr:rowOff>
    </xdr:to>
    <xdr:grpSp>
      <xdr:nvGrpSpPr>
        <xdr:cNvPr id="393" name="Group 486438"/>
        <xdr:cNvGrpSpPr/>
      </xdr:nvGrpSpPr>
      <xdr:grpSpPr>
        <a:xfrm>
          <a:off x="7186320" y="5962680"/>
          <a:ext cx="577080" cy="145440"/>
          <a:chOff x="7186320" y="5962680"/>
          <a:chExt cx="577080" cy="145440"/>
        </a:xfrm>
      </xdr:grpSpPr>
      <xdr:sp>
        <xdr:nvSpPr>
          <xdr:cNvPr id="394" name="Rectangle 44"/>
          <xdr:cNvSpPr/>
        </xdr:nvSpPr>
        <xdr:spPr>
          <a:xfrm>
            <a:off x="7224480" y="5977440"/>
            <a:ext cx="32040" cy="13068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95" name="Rectangle 45"/>
          <xdr:cNvSpPr/>
        </xdr:nvSpPr>
        <xdr:spPr>
          <a:xfrm>
            <a:off x="7243920" y="5977440"/>
            <a:ext cx="32040" cy="13068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96" name="Shape 58349"/>
          <xdr:cNvSpPr/>
        </xdr:nvSpPr>
        <xdr:spPr>
          <a:xfrm>
            <a:off x="7186320" y="5962680"/>
            <a:ext cx="577080" cy="115560"/>
          </a:xfrm>
          <a:custGeom>
            <a:avLst/>
            <a:gdLst>
              <a:gd name="textAreaLeft" fmla="*/ 0 w 577080"/>
              <a:gd name="textAreaRight" fmla="*/ 577440 w 577080"/>
              <a:gd name="textAreaTop" fmla="*/ 0 h 115560"/>
              <a:gd name="textAreaBottom" fmla="*/ 115920 h 115560"/>
            </a:gdLst>
            <a:ahLst/>
            <a:rect l="textAreaLeft" t="textAreaTop" r="textAreaRight" b="textAreaBottom"/>
            <a:pathLst>
              <a:path w="626364" h="140208">
                <a:moveTo>
                  <a:pt x="626364" y="0"/>
                </a:moveTo>
                <a:lnTo>
                  <a:pt x="0" y="140208"/>
                </a:lnTo>
              </a:path>
            </a:pathLst>
          </a:custGeom>
          <a:noFill/>
          <a:ln w="6120">
            <a:solidFill>
              <a:srgbClr val="000000"/>
            </a:solidFill>
            <a:round/>
          </a:ln>
        </xdr:spPr>
        <xdr:style>
          <a:lnRef idx="0"/>
          <a:fillRef idx="0"/>
          <a:effectRef idx="0"/>
          <a:fontRef idx="minor"/>
        </xdr:style>
      </xdr:sp>
    </xdr:grpSp>
    <xdr:clientData/>
  </xdr:twoCellAnchor>
  <xdr:twoCellAnchor editAs="oneCell">
    <xdr:from>
      <xdr:col>4</xdr:col>
      <xdr:colOff>0</xdr:colOff>
      <xdr:row>31</xdr:row>
      <xdr:rowOff>0</xdr:rowOff>
    </xdr:from>
    <xdr:to>
      <xdr:col>4</xdr:col>
      <xdr:colOff>577080</xdr:colOff>
      <xdr:row>31</xdr:row>
      <xdr:rowOff>145800</xdr:rowOff>
    </xdr:to>
    <xdr:grpSp>
      <xdr:nvGrpSpPr>
        <xdr:cNvPr id="397" name="Group 486459"/>
        <xdr:cNvGrpSpPr/>
      </xdr:nvGrpSpPr>
      <xdr:grpSpPr>
        <a:xfrm>
          <a:off x="7186320" y="6153120"/>
          <a:ext cx="577080" cy="145800"/>
          <a:chOff x="7186320" y="6153120"/>
          <a:chExt cx="577080" cy="145800"/>
        </a:xfrm>
      </xdr:grpSpPr>
      <xdr:sp>
        <xdr:nvSpPr>
          <xdr:cNvPr id="398" name="Rectangle 48"/>
          <xdr:cNvSpPr/>
        </xdr:nvSpPr>
        <xdr:spPr>
          <a:xfrm>
            <a:off x="7224480" y="6167880"/>
            <a:ext cx="32040" cy="13104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399" name="Rectangle 49"/>
          <xdr:cNvSpPr/>
        </xdr:nvSpPr>
        <xdr:spPr>
          <a:xfrm>
            <a:off x="7243920" y="6167880"/>
            <a:ext cx="32040" cy="131040"/>
          </a:xfrm>
          <a:prstGeom prst="rect">
            <a:avLst/>
          </a:prstGeom>
          <a:noFill/>
          <a:ln w="0">
            <a:noFill/>
          </a:ln>
        </xdr:spPr>
        <xdr:style>
          <a:lnRef idx="0"/>
          <a:fillRef idx="0"/>
          <a:effectRef idx="0"/>
          <a:fontRef idx="minor"/>
        </xdr:style>
        <xdr:txBody>
          <a:bodyPr lIns="0" rIns="0" tIns="0" bIns="0" anchor="t">
            <a:noAutofit/>
          </a:bodyPr>
          <a:p>
            <a:r>
              <a:rPr b="0" lang="en-US" sz="900" spc="-1" strike="noStrike">
                <a:solidFill>
                  <a:srgbClr val="000000"/>
                </a:solidFill>
                <a:latin typeface="Calibri"/>
              </a:rPr>
              <a:t> </a:t>
            </a:r>
            <a:endParaRPr b="0" lang="en-US" sz="900" spc="-1" strike="noStrike">
              <a:latin typeface="Times New Roman"/>
            </a:endParaRPr>
          </a:p>
        </xdr:txBody>
      </xdr:sp>
      <xdr:sp>
        <xdr:nvSpPr>
          <xdr:cNvPr id="400" name="Shape 58379"/>
          <xdr:cNvSpPr/>
        </xdr:nvSpPr>
        <xdr:spPr>
          <a:xfrm>
            <a:off x="7186320" y="6153120"/>
            <a:ext cx="577080" cy="115920"/>
          </a:xfrm>
          <a:custGeom>
            <a:avLst/>
            <a:gdLst>
              <a:gd name="textAreaLeft" fmla="*/ 0 w 577080"/>
              <a:gd name="textAreaRight" fmla="*/ 577440 w 577080"/>
              <a:gd name="textAreaTop" fmla="*/ 0 h 115920"/>
              <a:gd name="textAreaBottom" fmla="*/ 116280 h 115920"/>
            </a:gdLst>
            <a:ahLst/>
            <a:rect l="textAreaLeft" t="textAreaTop" r="textAreaRight" b="textAreaBottom"/>
            <a:pathLst>
              <a:path w="626364" h="138684">
                <a:moveTo>
                  <a:pt x="626364" y="0"/>
                </a:moveTo>
                <a:lnTo>
                  <a:pt x="0" y="138684"/>
                </a:lnTo>
              </a:path>
            </a:pathLst>
          </a:custGeom>
          <a:noFill/>
          <a:ln w="6120">
            <a:solidFill>
              <a:srgbClr val="000000"/>
            </a:solidFill>
            <a:round/>
          </a:ln>
        </xdr:spPr>
        <xdr:style>
          <a:lnRef idx="0"/>
          <a:fillRef idx="0"/>
          <a:effectRef idx="0"/>
          <a:fontRef idx="minor"/>
        </xdr:style>
      </xdr:sp>
    </xdr:grpSp>
    <xdr:clientData/>
  </xdr:twoCellAnchor>
  <xdr:twoCellAnchor editAs="oneCell">
    <xdr:from>
      <xdr:col>0</xdr:col>
      <xdr:colOff>19080</xdr:colOff>
      <xdr:row>0</xdr:row>
      <xdr:rowOff>0</xdr:rowOff>
    </xdr:from>
    <xdr:to>
      <xdr:col>4</xdr:col>
      <xdr:colOff>788760</xdr:colOff>
      <xdr:row>0</xdr:row>
      <xdr:rowOff>317520</xdr:rowOff>
    </xdr:to>
    <xdr:grpSp>
      <xdr:nvGrpSpPr>
        <xdr:cNvPr id="401" name="Group 417403"/>
        <xdr:cNvGrpSpPr/>
      </xdr:nvGrpSpPr>
      <xdr:grpSpPr>
        <a:xfrm>
          <a:off x="19080" y="0"/>
          <a:ext cx="7956000" cy="317520"/>
          <a:chOff x="19080" y="0"/>
          <a:chExt cx="7956000" cy="317520"/>
        </a:xfrm>
      </xdr:grpSpPr>
      <xdr:sp>
        <xdr:nvSpPr>
          <xdr:cNvPr id="402" name="Shape 508410"/>
          <xdr:cNvSpPr/>
        </xdr:nvSpPr>
        <xdr:spPr>
          <a:xfrm>
            <a:off x="19080" y="63360"/>
            <a:ext cx="7853760" cy="254160"/>
          </a:xfrm>
          <a:custGeom>
            <a:avLst/>
            <a:gdLst>
              <a:gd name="textAreaLeft" fmla="*/ 0 w 7853760"/>
              <a:gd name="textAreaRight" fmla="*/ 7854120 w 7853760"/>
              <a:gd name="textAreaTop" fmla="*/ 0 h 254160"/>
              <a:gd name="textAreaBottom" fmla="*/ 254160 h 2541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808080">
              <a:alpha val="50000"/>
            </a:srgbClr>
          </a:solidFill>
          <a:ln w="0">
            <a:noFill/>
          </a:ln>
        </xdr:spPr>
        <xdr:style>
          <a:lnRef idx="0"/>
          <a:fillRef idx="0"/>
          <a:effectRef idx="0"/>
          <a:fontRef idx="minor"/>
        </xdr:style>
      </xdr:sp>
      <xdr:sp>
        <xdr:nvSpPr>
          <xdr:cNvPr id="403" name="Shape 508411"/>
          <xdr:cNvSpPr/>
        </xdr:nvSpPr>
        <xdr:spPr>
          <a:xfrm>
            <a:off x="19080" y="18720"/>
            <a:ext cx="7853760" cy="254160"/>
          </a:xfrm>
          <a:custGeom>
            <a:avLst/>
            <a:gdLst>
              <a:gd name="textAreaLeft" fmla="*/ 0 w 7853760"/>
              <a:gd name="textAreaRight" fmla="*/ 7854120 w 7853760"/>
              <a:gd name="textAreaTop" fmla="*/ 0 h 254160"/>
              <a:gd name="textAreaBottom" fmla="*/ 254160 h 254160"/>
            </a:gdLst>
            <a:ahLst/>
            <a:rect l="textAreaLeft" t="textAreaTop" r="textAreaRight" b="textAreaBottom"/>
            <a:pathLst>
              <a:path w="5772150" h="307975">
                <a:moveTo>
                  <a:pt x="0" y="0"/>
                </a:moveTo>
                <a:lnTo>
                  <a:pt x="5772150" y="0"/>
                </a:lnTo>
                <a:lnTo>
                  <a:pt x="5772150" y="307975"/>
                </a:lnTo>
                <a:lnTo>
                  <a:pt x="0" y="307975"/>
                </a:lnTo>
                <a:lnTo>
                  <a:pt x="0" y="0"/>
                </a:lnTo>
              </a:path>
            </a:pathLst>
          </a:custGeom>
          <a:solidFill>
            <a:srgbClr val="4f81bd"/>
          </a:solidFill>
          <a:ln w="0">
            <a:noFill/>
          </a:ln>
        </xdr:spPr>
        <xdr:style>
          <a:lnRef idx="0"/>
          <a:fillRef idx="0"/>
          <a:effectRef idx="0"/>
          <a:fontRef idx="minor"/>
        </xdr:style>
      </xdr:sp>
      <xdr:sp>
        <xdr:nvSpPr>
          <xdr:cNvPr id="404" name="Shape 55054"/>
          <xdr:cNvSpPr/>
        </xdr:nvSpPr>
        <xdr:spPr>
          <a:xfrm>
            <a:off x="121320" y="0"/>
            <a:ext cx="7853760" cy="254160"/>
          </a:xfrm>
          <a:custGeom>
            <a:avLst/>
            <a:gdLst>
              <a:gd name="textAreaLeft" fmla="*/ 0 w 7853760"/>
              <a:gd name="textAreaRight" fmla="*/ 7854120 w 7853760"/>
              <a:gd name="textAreaTop" fmla="*/ 0 h 254160"/>
              <a:gd name="textAreaBottom" fmla="*/ 254160 h 254160"/>
            </a:gdLst>
            <a:ahLst/>
            <a:rect l="textAreaLeft" t="textAreaTop" r="textAreaRight" b="textAreaBottom"/>
            <a:pathLst>
              <a:path w="5772150" h="307975">
                <a:moveTo>
                  <a:pt x="0" y="307975"/>
                </a:moveTo>
                <a:lnTo>
                  <a:pt x="5772150" y="307975"/>
                </a:lnTo>
                <a:lnTo>
                  <a:pt x="5772150" y="0"/>
                </a:lnTo>
                <a:lnTo>
                  <a:pt x="0" y="0"/>
                </a:lnTo>
                <a:lnTo>
                  <a:pt x="0" y="307975"/>
                </a:lnTo>
                <a:close/>
              </a:path>
            </a:pathLst>
          </a:custGeom>
          <a:noFill/>
          <a:ln cap="rnd" w="9360">
            <a:solidFill>
              <a:srgbClr val="000000"/>
            </a:solidFill>
            <a:miter/>
          </a:ln>
        </xdr:spPr>
        <xdr:style>
          <a:lnRef idx="0"/>
          <a:fillRef idx="0"/>
          <a:effectRef idx="0"/>
          <a:fontRef idx="minor"/>
        </xdr:style>
      </xdr:sp>
      <xdr:sp>
        <xdr:nvSpPr>
          <xdr:cNvPr id="405" name="Rectangle 55"/>
          <xdr:cNvSpPr/>
        </xdr:nvSpPr>
        <xdr:spPr>
          <a:xfrm>
            <a:off x="2312280" y="37800"/>
            <a:ext cx="736560" cy="222480"/>
          </a:xfrm>
          <a:prstGeom prst="rect">
            <a:avLst/>
          </a:prstGeom>
          <a:noFill/>
          <a:ln w="0">
            <a:noFill/>
          </a:ln>
        </xdr:spPr>
        <xdr:style>
          <a:lnRef idx="0"/>
          <a:fillRef idx="0"/>
          <a:effectRef idx="0"/>
          <a:fontRef idx="minor"/>
        </xdr:style>
        <xdr:txBody>
          <a:bodyPr lIns="0" rIns="0" tIns="0" bIns="0" anchor="t">
            <a:noAutofit/>
          </a:bodyPr>
          <a:p>
            <a:r>
              <a:rPr b="1" lang="en-US" sz="1100" spc="-1" strike="noStrike">
                <a:solidFill>
                  <a:srgbClr val="ffffff"/>
                </a:solidFill>
                <a:latin typeface="Cambria"/>
              </a:rPr>
              <a:t>NOTE 34 : </a:t>
            </a:r>
            <a:endParaRPr b="0" lang="en-US" sz="1100" spc="-1" strike="noStrike">
              <a:latin typeface="Times New Roman"/>
            </a:endParaRPr>
          </a:p>
        </xdr:txBody>
      </xdr:sp>
      <xdr:sp>
        <xdr:nvSpPr>
          <xdr:cNvPr id="406" name="Rectangle 56"/>
          <xdr:cNvSpPr/>
        </xdr:nvSpPr>
        <xdr:spPr>
          <a:xfrm>
            <a:off x="3010680" y="44280"/>
            <a:ext cx="4842720" cy="216000"/>
          </a:xfrm>
          <a:prstGeom prst="rect">
            <a:avLst/>
          </a:prstGeom>
          <a:noFill/>
          <a:ln w="0">
            <a:noFill/>
          </a:ln>
        </xdr:spPr>
        <xdr:style>
          <a:lnRef idx="0"/>
          <a:fillRef idx="0"/>
          <a:effectRef idx="0"/>
          <a:fontRef idx="minor"/>
        </xdr:style>
        <xdr:txBody>
          <a:bodyPr lIns="0" rIns="0" tIns="0" bIns="0" anchor="t">
            <a:noAutofit/>
          </a:bodyPr>
          <a:p>
            <a:r>
              <a:rPr b="1" lang="en-US" sz="1100" spc="-1" strike="noStrike">
                <a:solidFill>
                  <a:srgbClr val="ffffff"/>
                </a:solidFill>
                <a:latin typeface="Cambria"/>
              </a:rPr>
              <a:t>SYNTHESE DES PRINCIPAUX INDICATEURS FINANCIERS</a:t>
            </a:r>
            <a:endParaRPr b="0" lang="en-US" sz="1100" spc="-1" strike="noStrike">
              <a:latin typeface="Times New Roman"/>
            </a:endParaRPr>
          </a:p>
        </xdr:txBody>
      </xdr:sp>
      <xdr:sp>
        <xdr:nvSpPr>
          <xdr:cNvPr id="407" name="Rectangle 57"/>
          <xdr:cNvSpPr/>
        </xdr:nvSpPr>
        <xdr:spPr>
          <a:xfrm>
            <a:off x="6572160" y="63360"/>
            <a:ext cx="70200" cy="196920"/>
          </a:xfrm>
          <a:prstGeom prst="rect">
            <a:avLst/>
          </a:prstGeom>
          <a:noFill/>
          <a:ln w="0">
            <a:noFill/>
          </a:ln>
        </xdr:spPr>
        <xdr:style>
          <a:lnRef idx="0"/>
          <a:fillRef idx="0"/>
          <a:effectRef idx="0"/>
          <a:fontRef idx="minor"/>
        </xdr:style>
        <xdr:txBody>
          <a:bodyPr lIns="0" rIns="0" tIns="0" bIns="0" anchor="t">
            <a:noAutofit/>
          </a:bodyPr>
          <a:p>
            <a:r>
              <a:rPr b="1" lang="en-US" sz="1400" spc="-1" strike="noStrike">
                <a:solidFill>
                  <a:srgbClr val="ffffff"/>
                </a:solidFill>
                <a:latin typeface="Cambria"/>
              </a:rPr>
              <a:t> </a:t>
            </a:r>
            <a:endParaRPr b="0" lang="en-US" sz="1400" spc="-1" strike="noStrike">
              <a:latin typeface="Times New Roman"/>
            </a:endParaRPr>
          </a:p>
        </xdr:txBody>
      </xdr:sp>
    </xdr:grpSp>
    <xdr:clientData/>
  </xdr:twoCellAnchor>
</xdr:wsDr>
</file>

<file path=xl/drawings/drawing5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7040160</xdr:colOff>
      <xdr:row>1</xdr:row>
      <xdr:rowOff>120240</xdr:rowOff>
    </xdr:to>
    <xdr:sp>
      <xdr:nvSpPr>
        <xdr:cNvPr id="408" name="Zone de texte 14"/>
        <xdr:cNvSpPr/>
      </xdr:nvSpPr>
      <xdr:spPr>
        <a:xfrm>
          <a:off x="0" y="0"/>
          <a:ext cx="7040160" cy="304560"/>
        </a:xfrm>
        <a:prstGeom prst="rect">
          <a:avLst/>
        </a:prstGeom>
        <a:solidFill>
          <a:srgbClr val="0070c0"/>
        </a:solidFill>
        <a:ln w="6480">
          <a:solidFill>
            <a:srgbClr val="000000"/>
          </a:solidFill>
          <a:miter/>
        </a:ln>
        <a:effectLst>
          <a:outerShdw dist="50596" dir="7136148" blurRad="0" rotWithShape="0">
            <a:srgbClr val="808080"/>
          </a:outerShdw>
        </a:effectLst>
      </xdr:spPr>
      <xdr:style>
        <a:lnRef idx="0"/>
        <a:fillRef idx="0"/>
        <a:effectRef idx="0"/>
        <a:fontRef idx="minor"/>
      </xdr:style>
      <xdr:txBody>
        <a:bodyPr lIns="36360" rIns="36360" tIns="27360" bIns="0" anchor="t">
          <a:noAutofit/>
        </a:bodyPr>
        <a:p>
          <a:pPr algn="ctr"/>
          <a:r>
            <a:rPr b="1" lang="en-US" sz="1200" spc="-1" strike="noStrike">
              <a:solidFill>
                <a:srgbClr val="ffffff"/>
              </a:solidFill>
              <a:latin typeface="Cambria"/>
            </a:rPr>
            <a:t>NOTE 35 : LISTE DES INFORMATIONS SOCIALES, ENVIRONNEMENTALES ET SOCIETALES A FOURNIR</a:t>
          </a:r>
          <a:endParaRPr b="0" lang="en-US" sz="1200" spc="-1" strike="noStrike">
            <a:latin typeface="Times New Roman"/>
          </a:endParaRPr>
        </a:p>
      </xdr:txBody>
    </xdr:sp>
    <xdr:clientData/>
  </xdr:twoCellAnchor>
</xdr:wsDr>
</file>

<file path=xl/drawings/drawing5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141480</xdr:colOff>
      <xdr:row>0</xdr:row>
      <xdr:rowOff>38160</xdr:rowOff>
    </xdr:from>
    <xdr:to>
      <xdr:col>5</xdr:col>
      <xdr:colOff>172440</xdr:colOff>
      <xdr:row>1</xdr:row>
      <xdr:rowOff>127080</xdr:rowOff>
    </xdr:to>
    <xdr:sp>
      <xdr:nvSpPr>
        <xdr:cNvPr id="409" name="Zone de texte 14"/>
        <xdr:cNvSpPr/>
      </xdr:nvSpPr>
      <xdr:spPr>
        <a:xfrm>
          <a:off x="141480" y="38160"/>
          <a:ext cx="5769000" cy="273240"/>
        </a:xfrm>
        <a:prstGeom prst="rect">
          <a:avLst/>
        </a:prstGeom>
        <a:solidFill>
          <a:srgbClr val="0070c0"/>
        </a:solidFill>
        <a:ln w="6480">
          <a:solidFill>
            <a:srgbClr val="000000"/>
          </a:solidFill>
          <a:miter/>
        </a:ln>
        <a:effectLst>
          <a:outerShdw dist="50596" dir="7136148" blurRad="0" rotWithShape="0">
            <a:srgbClr val="808080"/>
          </a:outerShdw>
        </a:effectLst>
      </xdr:spPr>
      <xdr:style>
        <a:lnRef idx="0"/>
        <a:fillRef idx="0"/>
        <a:effectRef idx="0"/>
        <a:fontRef idx="minor"/>
      </xdr:style>
      <xdr:txBody>
        <a:bodyPr lIns="36360" rIns="0" tIns="27360" bIns="0" anchor="t">
          <a:noAutofit/>
        </a:bodyPr>
        <a:p>
          <a:r>
            <a:rPr b="1" lang="en-US" sz="1200" spc="-1" strike="noStrike">
              <a:solidFill>
                <a:srgbClr val="ffffff"/>
              </a:solidFill>
              <a:latin typeface="Cambria"/>
            </a:rPr>
            <a:t>                                                  </a:t>
          </a:r>
          <a:r>
            <a:rPr b="1" lang="en-US" sz="1200" spc="-1" strike="noStrike">
              <a:solidFill>
                <a:srgbClr val="ffffff"/>
              </a:solidFill>
              <a:latin typeface="Cambria"/>
            </a:rPr>
            <a:t>NOTE 36 : TABLE DES CODES</a:t>
          </a:r>
          <a:endParaRPr b="0" lang="en-US" sz="1200" spc="-1" strike="noStrike">
            <a:latin typeface="Times New Roman"/>
          </a:endParaRPr>
        </a:p>
      </xdr:txBody>
    </xdr: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ANCIEN%2520PRODICOM%25202018.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PAGE DE GARDE"/>
      <sheetName val="FICHE R1 "/>
      <sheetName val="FICHE R2 "/>
      <sheetName val="FICHE R3 "/>
      <sheetName val="FICHE R4"/>
      <sheetName val="ACTIF"/>
      <sheetName val="PASSIF"/>
      <sheetName val="Compte de Résultat"/>
      <sheetName val="TFT"/>
      <sheetName val="NOTE 1"/>
      <sheetName val="NOTE 2"/>
      <sheetName val="NOTE 3A"/>
      <sheetName val="NOTE 3B"/>
      <sheetName val="NOTE 3C"/>
      <sheetName val="NOTE 3D"/>
      <sheetName val="NOTE 3E"/>
      <sheetName val="NOTE 4"/>
      <sheetName val="NOTE 5"/>
      <sheetName val="NOTE 6"/>
      <sheetName val="NOTE 7"/>
      <sheetName val="NOTE 8"/>
      <sheetName val="NOTE 8A"/>
      <sheetName val="NOTE 9"/>
      <sheetName val="NOTE 10"/>
      <sheetName val="NOTE 11"/>
      <sheetName val="NOTE 12"/>
      <sheetName val="NOTE 13"/>
      <sheetName val="NOTE 14"/>
      <sheetName val="NOTE 15A"/>
      <sheetName val="NOTES 15B"/>
      <sheetName val="NOTE 16A"/>
      <sheetName val="NOTE 16B"/>
      <sheetName val="NOTE 16B bis"/>
      <sheetName val="NOTE 16C"/>
      <sheetName val="NOTE 17"/>
      <sheetName val="NOTE 18"/>
      <sheetName val="NOTE 19"/>
      <sheetName val="NOTE 20"/>
      <sheetName val="NOTE 21"/>
      <sheetName val="NOTE 22"/>
      <sheetName val="NOTE 23"/>
      <sheetName val="NOTE 24"/>
      <sheetName val="NOTE 25"/>
      <sheetName val="NOTE 26"/>
      <sheetName val="NOTE 27A"/>
      <sheetName val="NOTE 27B"/>
      <sheetName val="NOTE 28"/>
      <sheetName val="NOTE 29"/>
      <sheetName val="NOTE 30"/>
      <sheetName val="NOTE 31"/>
      <sheetName val="NOTE 32"/>
      <sheetName val="NOTE 33"/>
      <sheetName val="NOTE 34"/>
      <sheetName val="NOTE 35"/>
      <sheetName val="NOTE 36"/>
      <sheetName val="CODES"/>
      <sheetName val="PAGE DE GARDE_LIASSE FISCALE"/>
      <sheetName val="FICHE RECAP"/>
      <sheetName val="LF_IS_P1_IDENTIFICATION"/>
      <sheetName val="LF_IS_P2_RESULTAT TAXABLE "/>
      <sheetName val="LF_IS_P3_ACTIF"/>
      <sheetName val="LF_IS_P4_PASSIF"/>
      <sheetName val="LF_IS_P5_FICHE DE LIQUIDATION"/>
      <sheetName val="LF_IS_P6_PAGE DECLARANT"/>
      <sheetName val="A1_DETAILS DES REINTEGRATIONS"/>
      <sheetName val="A2_DETAILS DES DEDUCTIONS"/>
      <sheetName val="A3_PRODUITS ENCAISSABLES"/>
      <sheetName val="A4_CREANCES SUR L'ETAT"/>
      <sheetName val="A5_CHARGES FISCALES "/>
      <sheetName val="A6_PLUS VALUES A REINVESTIR"/>
      <sheetName val="A7_REPORT DU DEFICIT "/>
      <sheetName val="A8_AMORT REPUTES DIFFERES"/>
      <sheetName val="A9_DECLARATION_HONORAIRES"/>
      <sheetName val="A10_TABLEAU DES IMMOBILIS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er@tgur.ji"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_rels/sheet28.xml.rels><?xml version="1.0" encoding="UTF-8"?>
<Relationships xmlns="http://schemas.openxmlformats.org/package/2006/relationships"><Relationship Id="rId1" Type="http://schemas.openxmlformats.org/officeDocument/2006/relationships/drawing" Target="../drawings/drawing28.xml"/>
</Relationships>
</file>

<file path=xl/worksheets/_rels/sheet29.xml.rels><?xml version="1.0" encoding="UTF-8"?>
<Relationships xmlns="http://schemas.openxmlformats.org/package/2006/relationships"><Relationship Id="rId1" Type="http://schemas.openxmlformats.org/officeDocument/2006/relationships/drawing" Target="../drawings/drawing29.xml"/>
</Relationships>
</file>

<file path=xl/worksheets/_rels/sheet30.xml.rels><?xml version="1.0" encoding="UTF-8"?>
<Relationships xmlns="http://schemas.openxmlformats.org/package/2006/relationships"><Relationship Id="rId1" Type="http://schemas.openxmlformats.org/officeDocument/2006/relationships/drawing" Target="../drawings/drawing30.xml"/>
</Relationships>
</file>

<file path=xl/worksheets/_rels/sheet31.xml.rels><?xml version="1.0" encoding="UTF-8"?>
<Relationships xmlns="http://schemas.openxmlformats.org/package/2006/relationships"><Relationship Id="rId1" Type="http://schemas.openxmlformats.org/officeDocument/2006/relationships/drawing" Target="../drawings/drawing31.xml"/>
</Relationships>
</file>

<file path=xl/worksheets/_rels/sheet32.xml.rels><?xml version="1.0" encoding="UTF-8"?>
<Relationships xmlns="http://schemas.openxmlformats.org/package/2006/relationships"><Relationship Id="rId1" Type="http://schemas.openxmlformats.org/officeDocument/2006/relationships/drawing" Target="../drawings/drawing32.xml"/>
</Relationships>
</file>

<file path=xl/worksheets/_rels/sheet33.xml.rels><?xml version="1.0" encoding="UTF-8"?>
<Relationships xmlns="http://schemas.openxmlformats.org/package/2006/relationships"><Relationship Id="rId1" Type="http://schemas.openxmlformats.org/officeDocument/2006/relationships/drawing" Target="../drawings/drawing33.xml"/>
</Relationships>
</file>

<file path=xl/worksheets/_rels/sheet34.xml.rels><?xml version="1.0" encoding="UTF-8"?>
<Relationships xmlns="http://schemas.openxmlformats.org/package/2006/relationships"><Relationship Id="rId1" Type="http://schemas.openxmlformats.org/officeDocument/2006/relationships/drawing" Target="../drawings/drawing34.xml"/>
</Relationships>
</file>

<file path=xl/worksheets/_rels/sheet35.xml.rels><?xml version="1.0" encoding="UTF-8"?>
<Relationships xmlns="http://schemas.openxmlformats.org/package/2006/relationships"><Relationship Id="rId1" Type="http://schemas.openxmlformats.org/officeDocument/2006/relationships/drawing" Target="../drawings/drawing35.xml"/>
</Relationships>
</file>

<file path=xl/worksheets/_rels/sheet36.xml.rels><?xml version="1.0" encoding="UTF-8"?>
<Relationships xmlns="http://schemas.openxmlformats.org/package/2006/relationships"><Relationship Id="rId1" Type="http://schemas.openxmlformats.org/officeDocument/2006/relationships/drawing" Target="../drawings/drawing36.xml"/>
</Relationships>
</file>

<file path=xl/worksheets/_rels/sheet37.xml.rels><?xml version="1.0" encoding="UTF-8"?>
<Relationships xmlns="http://schemas.openxmlformats.org/package/2006/relationships"><Relationship Id="rId1" Type="http://schemas.openxmlformats.org/officeDocument/2006/relationships/drawing" Target="../drawings/drawing37.xml"/>
</Relationships>
</file>

<file path=xl/worksheets/_rels/sheet38.xml.rels><?xml version="1.0" encoding="UTF-8"?>
<Relationships xmlns="http://schemas.openxmlformats.org/package/2006/relationships"><Relationship Id="rId1" Type="http://schemas.openxmlformats.org/officeDocument/2006/relationships/drawing" Target="../drawings/drawing38.xml"/>
</Relationships>
</file>

<file path=xl/worksheets/_rels/sheet39.xml.rels><?xml version="1.0" encoding="UTF-8"?>
<Relationships xmlns="http://schemas.openxmlformats.org/package/2006/relationships"><Relationship Id="rId1" Type="http://schemas.openxmlformats.org/officeDocument/2006/relationships/drawing" Target="../drawings/drawing39.xml"/>
</Relationships>
</file>

<file path=xl/worksheets/_rels/sheet40.xml.rels><?xml version="1.0" encoding="UTF-8"?>
<Relationships xmlns="http://schemas.openxmlformats.org/package/2006/relationships"><Relationship Id="rId1" Type="http://schemas.openxmlformats.org/officeDocument/2006/relationships/drawing" Target="../drawings/drawing40.xml"/>
</Relationships>
</file>

<file path=xl/worksheets/_rels/sheet41.xml.rels><?xml version="1.0" encoding="UTF-8"?>
<Relationships xmlns="http://schemas.openxmlformats.org/package/2006/relationships"><Relationship Id="rId1" Type="http://schemas.openxmlformats.org/officeDocument/2006/relationships/drawing" Target="../drawings/drawing41.xml"/>
</Relationships>
</file>

<file path=xl/worksheets/_rels/sheet42.xml.rels><?xml version="1.0" encoding="UTF-8"?>
<Relationships xmlns="http://schemas.openxmlformats.org/package/2006/relationships"><Relationship Id="rId1" Type="http://schemas.openxmlformats.org/officeDocument/2006/relationships/drawing" Target="../drawings/drawing42.xml"/>
</Relationships>
</file>

<file path=xl/worksheets/_rels/sheet43.xml.rels><?xml version="1.0" encoding="UTF-8"?>
<Relationships xmlns="http://schemas.openxmlformats.org/package/2006/relationships"><Relationship Id="rId1" Type="http://schemas.openxmlformats.org/officeDocument/2006/relationships/drawing" Target="../drawings/drawing43.xml"/>
</Relationships>
</file>

<file path=xl/worksheets/_rels/sheet44.xml.rels><?xml version="1.0" encoding="UTF-8"?>
<Relationships xmlns="http://schemas.openxmlformats.org/package/2006/relationships"><Relationship Id="rId1" Type="http://schemas.openxmlformats.org/officeDocument/2006/relationships/drawing" Target="../drawings/drawing44.xml"/>
</Relationships>
</file>

<file path=xl/worksheets/_rels/sheet45.xml.rels><?xml version="1.0" encoding="UTF-8"?>
<Relationships xmlns="http://schemas.openxmlformats.org/package/2006/relationships"><Relationship Id="rId1" Type="http://schemas.openxmlformats.org/officeDocument/2006/relationships/drawing" Target="../drawings/drawing45.xml"/>
</Relationships>
</file>

<file path=xl/worksheets/_rels/sheet46.xml.rels><?xml version="1.0" encoding="UTF-8"?>
<Relationships xmlns="http://schemas.openxmlformats.org/package/2006/relationships"><Relationship Id="rId1" Type="http://schemas.openxmlformats.org/officeDocument/2006/relationships/drawing" Target="../drawings/drawing46.xml"/>
</Relationships>
</file>

<file path=xl/worksheets/_rels/sheet47.xml.rels><?xml version="1.0" encoding="UTF-8"?>
<Relationships xmlns="http://schemas.openxmlformats.org/package/2006/relationships"><Relationship Id="rId1" Type="http://schemas.openxmlformats.org/officeDocument/2006/relationships/drawing" Target="../drawings/drawing47.xml"/>
</Relationships>
</file>

<file path=xl/worksheets/_rels/sheet48.xml.rels><?xml version="1.0" encoding="UTF-8"?>
<Relationships xmlns="http://schemas.openxmlformats.org/package/2006/relationships"><Relationship Id="rId1" Type="http://schemas.openxmlformats.org/officeDocument/2006/relationships/drawing" Target="../drawings/drawing48.xml"/>
</Relationships>
</file>

<file path=xl/worksheets/_rels/sheet49.xml.rels><?xml version="1.0" encoding="UTF-8"?>
<Relationships xmlns="http://schemas.openxmlformats.org/package/2006/relationships"><Relationship Id="rId1" Type="http://schemas.openxmlformats.org/officeDocument/2006/relationships/drawing" Target="../drawings/drawing49.xml"/>
</Relationships>
</file>

<file path=xl/worksheets/_rels/sheet50.xml.rels><?xml version="1.0" encoding="UTF-8"?>
<Relationships xmlns="http://schemas.openxmlformats.org/package/2006/relationships"><Relationship Id="rId1" Type="http://schemas.openxmlformats.org/officeDocument/2006/relationships/drawing" Target="../drawings/drawing50.xml"/>
</Relationships>
</file>

<file path=xl/worksheets/_rels/sheet51.xml.rels><?xml version="1.0" encoding="UTF-8"?>
<Relationships xmlns="http://schemas.openxmlformats.org/package/2006/relationships"><Relationship Id="rId1" Type="http://schemas.openxmlformats.org/officeDocument/2006/relationships/drawing" Target="../drawings/drawing51.xml"/>
</Relationships>
</file>

<file path=xl/worksheets/_rels/sheet52.xml.rels><?xml version="1.0" encoding="UTF-8"?>
<Relationships xmlns="http://schemas.openxmlformats.org/package/2006/relationships"><Relationship Id="rId1" Type="http://schemas.openxmlformats.org/officeDocument/2006/relationships/drawing" Target="../drawings/drawing52.xml"/>
</Relationships>
</file>

<file path=xl/worksheets/_rels/sheet53.xml.rels><?xml version="1.0" encoding="UTF-8"?>
<Relationships xmlns="http://schemas.openxmlformats.org/package/2006/relationships"><Relationship Id="rId1" Type="http://schemas.openxmlformats.org/officeDocument/2006/relationships/drawing" Target="../drawings/drawing53.xml"/>
</Relationships>
</file>

<file path=xl/worksheets/_rels/sheet54.xml.rels><?xml version="1.0" encoding="UTF-8"?>
<Relationships xmlns="http://schemas.openxmlformats.org/package/2006/relationships"><Relationship Id="rId1" Type="http://schemas.openxmlformats.org/officeDocument/2006/relationships/drawing" Target="../drawings/drawing5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AR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8125" defaultRowHeight="14" zeroHeight="false" outlineLevelRow="0" outlineLevelCol="0"/>
  <cols>
    <col collapsed="false" customWidth="true" hidden="false" outlineLevel="0" max="1" min="1" style="1" width="1.99"/>
    <col collapsed="false" customWidth="true" hidden="false" outlineLevel="0" max="2" min="2" style="1" width="5.72"/>
    <col collapsed="false" customWidth="true" hidden="false" outlineLevel="0" max="6" min="3" style="1" width="0.99"/>
    <col collapsed="false" customWidth="true" hidden="false" outlineLevel="0" max="8" min="7" style="1" width="4.26"/>
    <col collapsed="false" customWidth="true" hidden="false" outlineLevel="0" max="16" min="9" style="1" width="2.72"/>
    <col collapsed="false" customWidth="true" hidden="false" outlineLevel="0" max="17" min="17" style="1" width="1.44"/>
    <col collapsed="false" customWidth="true" hidden="false" outlineLevel="0" max="20" min="18" style="1" width="2.72"/>
    <col collapsed="false" customWidth="true" hidden="false" outlineLevel="0" max="21" min="21" style="1" width="1.44"/>
    <col collapsed="false" customWidth="true" hidden="false" outlineLevel="0" max="22" min="22" style="1" width="1.81"/>
    <col collapsed="false" customWidth="true" hidden="false" outlineLevel="0" max="23" min="23" style="1" width="2.81"/>
    <col collapsed="false" customWidth="true" hidden="false" outlineLevel="0" max="25" min="24" style="1" width="2.72"/>
    <col collapsed="false" customWidth="true" hidden="false" outlineLevel="0" max="26" min="26" style="1" width="2.81"/>
    <col collapsed="false" customWidth="true" hidden="false" outlineLevel="0" max="28" min="27" style="1" width="3.17"/>
    <col collapsed="false" customWidth="true" hidden="false" outlineLevel="0" max="29" min="29" style="1" width="2.26"/>
    <col collapsed="false" customWidth="true" hidden="false" outlineLevel="0" max="30" min="30" style="1" width="2.72"/>
    <col collapsed="false" customWidth="true" hidden="false" outlineLevel="0" max="31" min="31" style="1" width="1.26"/>
    <col collapsed="false" customWidth="true" hidden="false" outlineLevel="0" max="32" min="32" style="1" width="1.17"/>
    <col collapsed="false" customWidth="true" hidden="false" outlineLevel="0" max="33" min="33" style="1" width="2.72"/>
    <col collapsed="false" customWidth="true" hidden="false" outlineLevel="0" max="35" min="34" style="1" width="1.26"/>
    <col collapsed="false" customWidth="true" hidden="false" outlineLevel="0" max="38" min="36" style="1" width="3.44"/>
    <col collapsed="false" customWidth="true" hidden="false" outlineLevel="0" max="39" min="39" style="1" width="2.72"/>
    <col collapsed="false" customWidth="true" hidden="false" outlineLevel="0" max="40" min="40" style="1" width="6.72"/>
    <col collapsed="false" customWidth="true" hidden="false" outlineLevel="0" max="41" min="41" style="1" width="4.26"/>
    <col collapsed="false" customWidth="true" hidden="false" outlineLevel="0" max="42" min="42" style="1" width="3.72"/>
    <col collapsed="false" customWidth="true" hidden="false" outlineLevel="0" max="43" min="43" style="1" width="5.44"/>
    <col collapsed="false" customWidth="true" hidden="false" outlineLevel="0" max="44" min="44" style="1" width="2.72"/>
    <col collapsed="false" customWidth="true" hidden="false" outlineLevel="0" max="45" min="45" style="1" width="4.44"/>
    <col collapsed="false" customWidth="true" hidden="false" outlineLevel="0" max="61" min="46" style="1" width="2.72"/>
    <col collapsed="false" customWidth="false" hidden="false" outlineLevel="0" max="257" min="62" style="1" width="10.81"/>
  </cols>
  <sheetData>
    <row r="4" customFormat="false" ht="14.5" hidden="false" customHeight="false" outlineLevel="0" collapsed="false"/>
    <row r="5" s="2" customFormat="true" ht="14.25" hidden="false" customHeight="true" outlineLevel="0" collapsed="false">
      <c r="B5" s="3" t="s">
        <v>0</v>
      </c>
      <c r="C5" s="4"/>
      <c r="D5" s="4"/>
      <c r="E5" s="4"/>
      <c r="F5" s="4"/>
      <c r="G5" s="4"/>
      <c r="H5" s="4"/>
      <c r="I5" s="5"/>
      <c r="J5" s="5"/>
      <c r="K5" s="5"/>
      <c r="L5" s="5"/>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row>
    <row r="6" s="2" customFormat="true" ht="14" hidden="false" customHeight="false" outlineLevel="0" collapsed="false">
      <c r="B6" s="7"/>
      <c r="C6" s="7"/>
      <c r="D6" s="7"/>
      <c r="E6" s="7"/>
      <c r="F6" s="7"/>
      <c r="G6" s="7"/>
      <c r="H6" s="7"/>
      <c r="I6" s="7"/>
      <c r="J6" s="7"/>
      <c r="K6" s="7"/>
      <c r="L6" s="7"/>
      <c r="M6" s="7"/>
      <c r="N6" s="7"/>
      <c r="O6" s="7"/>
      <c r="P6" s="7"/>
      <c r="Q6" s="7"/>
      <c r="R6" s="7"/>
      <c r="S6" s="7"/>
      <c r="T6" s="7"/>
      <c r="U6" s="7"/>
      <c r="V6" s="7"/>
      <c r="W6" s="7"/>
      <c r="X6" s="7"/>
      <c r="Y6" s="7"/>
      <c r="Z6" s="7"/>
      <c r="AA6" s="7"/>
      <c r="AB6" s="7"/>
      <c r="AC6" s="8" t="s">
        <v>1</v>
      </c>
      <c r="AD6" s="8"/>
      <c r="AE6" s="8"/>
      <c r="AF6" s="8"/>
      <c r="AG6" s="8"/>
      <c r="AH6" s="9"/>
      <c r="AI6" s="10"/>
      <c r="AJ6" s="10"/>
      <c r="AK6" s="10"/>
      <c r="AL6" s="10"/>
      <c r="AM6" s="10"/>
      <c r="AN6" s="10"/>
      <c r="AO6" s="10"/>
      <c r="AP6" s="10"/>
      <c r="AQ6" s="10"/>
      <c r="AR6" s="10"/>
    </row>
    <row r="7" s="2" customFormat="true" ht="14.25" hidden="false" customHeight="true" outlineLevel="0" collapsed="false">
      <c r="B7" s="11" t="s">
        <v>2</v>
      </c>
      <c r="C7" s="11"/>
      <c r="D7" s="11"/>
      <c r="E7" s="11"/>
      <c r="F7" s="11"/>
      <c r="G7" s="11"/>
      <c r="H7" s="12"/>
      <c r="I7" s="12"/>
      <c r="J7" s="12"/>
      <c r="K7" s="12"/>
      <c r="L7" s="12"/>
      <c r="M7" s="12"/>
      <c r="N7" s="12"/>
      <c r="O7" s="12"/>
      <c r="P7" s="12"/>
      <c r="Q7" s="12"/>
      <c r="R7" s="12"/>
      <c r="S7" s="12"/>
      <c r="T7" s="12"/>
      <c r="U7" s="13"/>
      <c r="V7" s="13"/>
      <c r="W7" s="13"/>
      <c r="X7" s="13"/>
      <c r="Y7" s="13"/>
      <c r="Z7" s="13"/>
      <c r="AA7" s="13"/>
      <c r="AB7" s="13"/>
      <c r="AC7" s="13"/>
      <c r="AD7" s="13"/>
      <c r="AE7" s="13"/>
      <c r="AF7" s="13"/>
      <c r="AG7" s="13"/>
      <c r="AH7" s="13"/>
      <c r="AI7" s="13"/>
      <c r="AJ7" s="13"/>
      <c r="AK7" s="13"/>
      <c r="AL7" s="13"/>
      <c r="AM7" s="13"/>
      <c r="AN7" s="13"/>
      <c r="AO7" s="13"/>
      <c r="AP7" s="13"/>
      <c r="AQ7" s="13"/>
      <c r="AR7" s="14"/>
    </row>
    <row r="8" s="2" customFormat="true" ht="14.25" hidden="false" customHeight="true" outlineLevel="0" collapsed="false">
      <c r="B8" s="11" t="s">
        <v>3</v>
      </c>
      <c r="C8" s="15"/>
      <c r="D8" s="15"/>
      <c r="E8" s="15"/>
      <c r="F8" s="15"/>
      <c r="K8" s="16"/>
      <c r="L8" s="16"/>
      <c r="M8" s="16"/>
      <c r="N8" s="16"/>
      <c r="O8" s="16"/>
      <c r="P8" s="16"/>
      <c r="Q8" s="16"/>
      <c r="R8" s="16"/>
      <c r="S8" s="16"/>
      <c r="T8" s="16"/>
      <c r="U8" s="17"/>
      <c r="V8" s="17"/>
      <c r="W8" s="8" t="s">
        <v>4</v>
      </c>
      <c r="X8" s="8"/>
      <c r="Y8" s="8"/>
      <c r="Z8" s="8"/>
      <c r="AA8" s="8"/>
      <c r="AB8" s="8"/>
      <c r="AC8" s="18"/>
      <c r="AD8" s="18"/>
      <c r="AE8" s="18"/>
      <c r="AF8" s="18"/>
      <c r="AG8" s="18"/>
      <c r="AH8" s="18"/>
      <c r="AI8" s="18"/>
      <c r="AJ8" s="18"/>
      <c r="AK8" s="18"/>
      <c r="AN8" s="15" t="s">
        <v>5</v>
      </c>
      <c r="AO8" s="15"/>
      <c r="AP8" s="19"/>
      <c r="AQ8" s="20"/>
      <c r="AR8" s="21"/>
    </row>
    <row r="9" s="2" customFormat="true" ht="14.25" hidden="false" customHeight="true" outlineLevel="0" collapsed="false">
      <c r="B9" s="11"/>
      <c r="C9" s="15"/>
      <c r="D9" s="15"/>
      <c r="E9" s="15"/>
      <c r="F9" s="15"/>
      <c r="M9" s="22"/>
      <c r="N9" s="23"/>
      <c r="O9" s="23"/>
      <c r="P9" s="23"/>
      <c r="Q9" s="23"/>
      <c r="R9" s="23"/>
      <c r="S9" s="23"/>
      <c r="T9" s="23"/>
      <c r="U9" s="23"/>
      <c r="V9" s="23"/>
      <c r="W9" s="24"/>
      <c r="X9" s="24"/>
      <c r="Y9" s="24"/>
      <c r="Z9" s="24"/>
      <c r="AA9" s="24"/>
      <c r="AB9" s="24"/>
      <c r="AC9" s="25"/>
      <c r="AD9" s="25"/>
      <c r="AE9" s="25"/>
      <c r="AF9" s="25"/>
      <c r="AG9" s="25"/>
      <c r="AH9" s="24"/>
      <c r="AI9" s="24"/>
      <c r="AJ9" s="24"/>
      <c r="AK9" s="24"/>
      <c r="AL9" s="24"/>
      <c r="AM9" s="24"/>
      <c r="AN9" s="24"/>
      <c r="AO9" s="24"/>
      <c r="AP9" s="19"/>
      <c r="AQ9" s="19"/>
      <c r="AR9" s="21"/>
    </row>
    <row r="10" s="2" customFormat="true" ht="14.25" hidden="false" customHeight="true" outlineLevel="0" collapsed="false">
      <c r="B10" s="26" t="s">
        <v>6</v>
      </c>
      <c r="C10" s="1"/>
      <c r="D10" s="1"/>
      <c r="E10" s="1"/>
      <c r="F10" s="1"/>
      <c r="G10" s="27" t="s">
        <v>7</v>
      </c>
      <c r="H10" s="27"/>
      <c r="I10" s="1"/>
      <c r="J10" s="1"/>
      <c r="K10" s="1"/>
      <c r="L10" s="1"/>
      <c r="M10" s="1"/>
      <c r="N10" s="1"/>
      <c r="O10" s="1"/>
      <c r="P10" s="1"/>
      <c r="Q10" s="1"/>
      <c r="R10" s="1"/>
      <c r="S10" s="1"/>
      <c r="T10" s="28"/>
      <c r="U10" s="28"/>
      <c r="V10" s="28"/>
      <c r="W10" s="24"/>
      <c r="X10" s="24"/>
      <c r="Y10" s="24"/>
      <c r="Z10" s="24" t="s">
        <v>8</v>
      </c>
      <c r="AA10" s="24"/>
      <c r="AB10" s="29"/>
      <c r="AC10" s="29"/>
      <c r="AD10" s="29"/>
      <c r="AE10" s="29"/>
      <c r="AF10" s="29"/>
      <c r="AG10" s="29"/>
      <c r="AH10" s="24"/>
      <c r="AJ10" s="24" t="s">
        <v>9</v>
      </c>
      <c r="AK10" s="24"/>
      <c r="AL10" s="24"/>
      <c r="AN10" s="30"/>
      <c r="AO10" s="30"/>
      <c r="AP10" s="30"/>
      <c r="AQ10" s="30"/>
      <c r="AR10" s="21"/>
    </row>
    <row r="11" s="2" customFormat="true" ht="14.25" hidden="false" customHeight="true" outlineLevel="0" collapsed="false">
      <c r="B11" s="31"/>
      <c r="C11" s="1"/>
      <c r="D11" s="1"/>
      <c r="E11" s="1"/>
      <c r="F11" s="1"/>
      <c r="G11" s="27"/>
      <c r="H11" s="27"/>
      <c r="I11" s="1"/>
      <c r="J11" s="1"/>
      <c r="K11" s="1"/>
      <c r="L11" s="1"/>
      <c r="M11" s="1"/>
      <c r="N11" s="1"/>
      <c r="O11" s="1"/>
      <c r="P11" s="1"/>
      <c r="Q11" s="1"/>
      <c r="R11" s="1"/>
      <c r="S11" s="1"/>
      <c r="T11" s="28"/>
      <c r="U11" s="28"/>
      <c r="V11" s="28"/>
      <c r="W11" s="24"/>
      <c r="X11" s="24"/>
      <c r="Y11" s="24"/>
      <c r="Z11" s="24"/>
      <c r="AA11" s="24"/>
      <c r="AB11" s="24"/>
      <c r="AC11" s="24"/>
      <c r="AD11" s="24"/>
      <c r="AE11" s="24"/>
      <c r="AF11" s="24"/>
      <c r="AG11" s="24"/>
      <c r="AH11" s="24"/>
      <c r="AI11" s="24"/>
      <c r="AJ11" s="24"/>
      <c r="AK11" s="24"/>
      <c r="AL11" s="24"/>
      <c r="AM11" s="24"/>
      <c r="AN11" s="24"/>
      <c r="AO11" s="24"/>
      <c r="AP11" s="19"/>
      <c r="AQ11" s="19"/>
      <c r="AR11" s="21"/>
    </row>
    <row r="12" s="2" customFormat="true" ht="14.25" hidden="false" customHeight="true" outlineLevel="0" collapsed="false">
      <c r="B12" s="26" t="s">
        <v>10</v>
      </c>
      <c r="C12" s="1"/>
      <c r="D12" s="1"/>
      <c r="E12" s="1"/>
      <c r="F12" s="1"/>
      <c r="G12" s="32" t="s">
        <v>11</v>
      </c>
      <c r="H12" s="27"/>
      <c r="I12" s="1"/>
      <c r="J12" s="1"/>
      <c r="K12" s="1"/>
      <c r="L12" s="1"/>
      <c r="M12" s="1"/>
      <c r="N12" s="1"/>
      <c r="O12" s="1"/>
      <c r="P12" s="1"/>
      <c r="Q12" s="1"/>
      <c r="R12" s="1"/>
      <c r="S12" s="1"/>
      <c r="T12" s="28"/>
      <c r="U12" s="28"/>
      <c r="V12" s="28"/>
      <c r="W12" s="33"/>
      <c r="X12" s="33"/>
      <c r="Y12" s="33"/>
      <c r="Z12" s="33"/>
      <c r="AA12" s="28"/>
      <c r="AB12" s="34"/>
      <c r="AC12" s="27"/>
      <c r="AD12" s="28"/>
      <c r="AE12" s="28"/>
      <c r="AF12" s="28"/>
      <c r="AG12" s="28"/>
      <c r="AH12" s="28"/>
      <c r="AI12" s="28"/>
      <c r="AJ12" s="28"/>
      <c r="AK12" s="28"/>
      <c r="AL12" s="28"/>
      <c r="AM12" s="28"/>
      <c r="AN12" s="28"/>
      <c r="AO12" s="28"/>
      <c r="AP12" s="28"/>
      <c r="AQ12" s="35"/>
      <c r="AR12" s="36"/>
    </row>
    <row r="13" s="2" customFormat="true" ht="14.25" hidden="false" customHeight="true" outlineLevel="0" collapsed="false">
      <c r="B13" s="37"/>
      <c r="C13" s="1"/>
      <c r="D13" s="1"/>
      <c r="E13" s="1"/>
      <c r="F13" s="1"/>
      <c r="G13" s="1"/>
      <c r="H13" s="1"/>
      <c r="I13" s="1"/>
      <c r="J13" s="1"/>
      <c r="K13" s="1"/>
      <c r="L13" s="1"/>
      <c r="M13" s="1"/>
      <c r="N13" s="1"/>
      <c r="O13" s="1"/>
      <c r="P13" s="1"/>
      <c r="Q13" s="1"/>
      <c r="R13" s="1"/>
      <c r="S13" s="1"/>
      <c r="T13" s="28"/>
      <c r="U13" s="28"/>
      <c r="V13" s="28"/>
      <c r="W13" s="38"/>
      <c r="X13" s="38"/>
      <c r="Y13" s="39"/>
      <c r="Z13" s="28"/>
      <c r="AA13" s="28"/>
      <c r="AB13" s="28"/>
      <c r="AC13" s="28"/>
      <c r="AD13" s="28"/>
      <c r="AE13" s="28"/>
      <c r="AF13" s="28"/>
      <c r="AG13" s="28"/>
      <c r="AH13" s="28"/>
      <c r="AI13" s="28"/>
      <c r="AJ13" s="28"/>
      <c r="AK13" s="28"/>
      <c r="AL13" s="28"/>
      <c r="AM13" s="28"/>
      <c r="AN13" s="28"/>
      <c r="AO13" s="28"/>
      <c r="AP13" s="28"/>
      <c r="AQ13" s="28"/>
      <c r="AR13" s="36"/>
    </row>
    <row r="14" s="2" customFormat="true" ht="14.25" hidden="false" customHeight="true" outlineLevel="0" collapsed="false">
      <c r="B14" s="26" t="s">
        <v>12</v>
      </c>
      <c r="C14" s="1"/>
      <c r="D14" s="1"/>
      <c r="E14" s="1"/>
      <c r="F14" s="1"/>
      <c r="G14" s="32" t="s">
        <v>13</v>
      </c>
      <c r="H14" s="27"/>
      <c r="I14" s="1"/>
      <c r="J14" s="1"/>
      <c r="K14" s="1"/>
      <c r="L14" s="1"/>
      <c r="M14" s="1"/>
      <c r="N14" s="1"/>
      <c r="O14" s="1"/>
      <c r="P14" s="1"/>
      <c r="Q14" s="1"/>
      <c r="R14" s="1"/>
      <c r="S14" s="1"/>
      <c r="T14" s="28"/>
      <c r="U14" s="28"/>
      <c r="V14" s="28"/>
      <c r="W14" s="33"/>
      <c r="X14" s="33"/>
      <c r="Y14" s="33"/>
      <c r="Z14" s="33"/>
      <c r="AA14" s="28"/>
      <c r="AB14" s="32" t="s">
        <v>14</v>
      </c>
      <c r="AC14" s="27"/>
      <c r="AD14" s="27"/>
      <c r="AE14" s="28"/>
      <c r="AF14" s="28"/>
      <c r="AG14" s="28"/>
      <c r="AH14" s="28"/>
      <c r="AI14" s="28"/>
      <c r="AJ14" s="28"/>
      <c r="AK14" s="28"/>
      <c r="AL14" s="28"/>
      <c r="AM14" s="28"/>
      <c r="AN14" s="28"/>
      <c r="AO14" s="28"/>
      <c r="AP14" s="28"/>
      <c r="AQ14" s="40"/>
      <c r="AR14" s="41"/>
    </row>
    <row r="15" s="2" customFormat="true" ht="14.25" hidden="false" customHeight="true" outlineLevel="0" collapsed="false">
      <c r="B15" s="37"/>
      <c r="C15" s="1"/>
      <c r="D15" s="1"/>
      <c r="E15" s="1"/>
      <c r="F15" s="1"/>
      <c r="G15" s="1"/>
      <c r="H15" s="1"/>
      <c r="I15" s="1"/>
      <c r="J15" s="1"/>
      <c r="K15" s="1"/>
      <c r="L15" s="1"/>
      <c r="M15" s="1"/>
      <c r="N15" s="1"/>
      <c r="O15" s="1"/>
      <c r="P15" s="1"/>
      <c r="Q15" s="1"/>
      <c r="R15" s="1"/>
      <c r="S15" s="1"/>
      <c r="T15" s="28"/>
      <c r="U15" s="28"/>
      <c r="V15" s="28"/>
      <c r="W15" s="38"/>
      <c r="X15" s="38"/>
      <c r="Y15" s="39"/>
      <c r="Z15" s="28"/>
      <c r="AA15" s="28"/>
      <c r="AB15" s="28"/>
      <c r="AC15" s="28"/>
      <c r="AD15" s="28"/>
      <c r="AE15" s="28"/>
      <c r="AF15" s="28"/>
      <c r="AG15" s="28"/>
      <c r="AH15" s="28"/>
      <c r="AI15" s="28"/>
      <c r="AJ15" s="28"/>
      <c r="AK15" s="28"/>
      <c r="AL15" s="28"/>
      <c r="AM15" s="28"/>
      <c r="AN15" s="28"/>
      <c r="AO15" s="28"/>
      <c r="AP15" s="28"/>
      <c r="AQ15" s="42"/>
      <c r="AR15" s="36"/>
    </row>
    <row r="16" s="2" customFormat="true" ht="14.25" hidden="false" customHeight="true" outlineLevel="0" collapsed="false">
      <c r="B16" s="26" t="s">
        <v>15</v>
      </c>
      <c r="C16" s="1"/>
      <c r="D16" s="1"/>
      <c r="E16" s="43"/>
      <c r="F16" s="43"/>
      <c r="G16" s="43"/>
      <c r="H16" s="43"/>
      <c r="I16" s="43"/>
      <c r="J16" s="44"/>
      <c r="K16" s="44"/>
      <c r="L16" s="44"/>
      <c r="M16" s="44"/>
      <c r="N16" s="44"/>
      <c r="O16" s="44"/>
      <c r="P16" s="44"/>
      <c r="Q16" s="1"/>
      <c r="R16" s="1"/>
      <c r="S16" s="1"/>
      <c r="T16" s="28"/>
      <c r="U16" s="28"/>
      <c r="V16" s="28"/>
      <c r="W16" s="45"/>
      <c r="X16" s="45"/>
      <c r="Y16" s="46"/>
      <c r="Z16" s="28"/>
      <c r="AA16" s="28"/>
      <c r="AB16" s="47"/>
      <c r="AC16" s="47"/>
      <c r="AD16" s="47"/>
      <c r="AE16" s="47"/>
      <c r="AF16" s="47"/>
      <c r="AG16" s="47"/>
      <c r="AH16" s="47"/>
      <c r="AI16" s="47"/>
      <c r="AJ16" s="47"/>
      <c r="AK16" s="47"/>
      <c r="AL16" s="47"/>
      <c r="AM16" s="47"/>
      <c r="AN16" s="47"/>
      <c r="AO16" s="28"/>
      <c r="AP16" s="28"/>
      <c r="AQ16" s="35"/>
      <c r="AR16" s="36"/>
    </row>
    <row r="17" s="2" customFormat="true" ht="14.25" hidden="false" customHeight="true" outlineLevel="0" collapsed="false">
      <c r="B17" s="37"/>
      <c r="C17" s="1"/>
      <c r="D17" s="1"/>
      <c r="E17" s="1"/>
      <c r="F17" s="1"/>
      <c r="G17" s="32" t="s">
        <v>16</v>
      </c>
      <c r="H17" s="27"/>
      <c r="I17" s="1"/>
      <c r="J17" s="32" t="s">
        <v>17</v>
      </c>
      <c r="K17" s="1"/>
      <c r="L17" s="1"/>
      <c r="M17" s="1"/>
      <c r="N17" s="1"/>
      <c r="O17" s="1"/>
      <c r="P17" s="1"/>
      <c r="Q17" s="1"/>
      <c r="R17" s="1"/>
      <c r="S17" s="1"/>
      <c r="T17" s="28"/>
      <c r="U17" s="28"/>
      <c r="V17" s="28"/>
      <c r="W17" s="38"/>
      <c r="X17" s="38"/>
      <c r="Y17" s="39"/>
      <c r="Z17" s="28"/>
      <c r="AA17" s="28"/>
      <c r="AB17" s="28"/>
      <c r="AC17" s="28" t="s">
        <v>18</v>
      </c>
      <c r="AD17" s="28"/>
      <c r="AE17" s="28"/>
      <c r="AF17" s="28"/>
      <c r="AG17" s="28"/>
      <c r="AH17" s="28"/>
      <c r="AI17" s="28"/>
      <c r="AJ17" s="28"/>
      <c r="AK17" s="28"/>
      <c r="AL17" s="28"/>
      <c r="AM17" s="28"/>
      <c r="AN17" s="28"/>
      <c r="AO17" s="28"/>
      <c r="AP17" s="28"/>
      <c r="AQ17" s="42"/>
      <c r="AR17" s="36"/>
    </row>
    <row r="18" s="2" customFormat="true" ht="14.25" hidden="false" customHeight="true" outlineLevel="0" collapsed="false">
      <c r="B18" s="37"/>
      <c r="C18" s="1"/>
      <c r="D18" s="1"/>
      <c r="E18" s="1"/>
      <c r="F18" s="1"/>
      <c r="G18" s="1"/>
      <c r="H18" s="1"/>
      <c r="I18" s="1"/>
      <c r="J18" s="1"/>
      <c r="K18" s="1"/>
      <c r="L18" s="1"/>
      <c r="M18" s="1"/>
      <c r="N18" s="1"/>
      <c r="O18" s="1"/>
      <c r="P18" s="1"/>
      <c r="Q18" s="1"/>
      <c r="R18" s="1"/>
      <c r="S18" s="1"/>
      <c r="T18" s="28"/>
      <c r="U18" s="28"/>
      <c r="V18" s="28"/>
      <c r="W18" s="38"/>
      <c r="X18" s="38"/>
      <c r="Y18" s="39"/>
      <c r="Z18" s="28"/>
      <c r="AA18" s="28"/>
      <c r="AB18" s="28"/>
      <c r="AC18" s="28"/>
      <c r="AD18" s="28"/>
      <c r="AE18" s="28"/>
      <c r="AF18" s="28"/>
      <c r="AG18" s="28"/>
      <c r="AH18" s="28"/>
      <c r="AI18" s="28"/>
      <c r="AJ18" s="28"/>
      <c r="AK18" s="28"/>
      <c r="AL18" s="28"/>
      <c r="AM18" s="28"/>
      <c r="AN18" s="28"/>
      <c r="AO18" s="28"/>
      <c r="AP18" s="28"/>
      <c r="AQ18" s="42"/>
      <c r="AR18" s="36"/>
    </row>
    <row r="19" s="2" customFormat="true" ht="14.25" hidden="false" customHeight="true" outlineLevel="0" collapsed="false">
      <c r="B19" s="26" t="s">
        <v>19</v>
      </c>
      <c r="C19" s="1"/>
      <c r="D19" s="1"/>
      <c r="E19" s="1"/>
      <c r="F19" s="1"/>
      <c r="G19" s="48"/>
      <c r="H19" s="48"/>
      <c r="I19" s="48"/>
      <c r="J19" s="48"/>
      <c r="K19" s="48"/>
      <c r="L19" s="24"/>
      <c r="M19" s="24"/>
      <c r="N19" s="24"/>
      <c r="O19" s="24"/>
      <c r="P19" s="43"/>
      <c r="Q19" s="43"/>
      <c r="R19" s="43"/>
      <c r="S19" s="43"/>
      <c r="T19" s="43"/>
      <c r="U19" s="43"/>
      <c r="V19" s="43"/>
      <c r="W19" s="45"/>
      <c r="X19" s="45"/>
      <c r="Y19" s="46"/>
      <c r="Z19" s="28"/>
      <c r="AA19" s="28"/>
      <c r="AB19" s="49"/>
      <c r="AC19" s="49"/>
      <c r="AD19" s="49"/>
      <c r="AE19" s="49"/>
      <c r="AF19" s="49"/>
      <c r="AG19" s="49"/>
      <c r="AH19" s="49"/>
      <c r="AI19" s="49"/>
      <c r="AJ19" s="44"/>
      <c r="AK19" s="44"/>
      <c r="AL19" s="44"/>
      <c r="AM19" s="44"/>
      <c r="AN19" s="44"/>
      <c r="AO19" s="44"/>
      <c r="AP19" s="44"/>
      <c r="AQ19" s="35"/>
      <c r="AR19" s="36"/>
    </row>
    <row r="20" s="2" customFormat="true" ht="14.25" hidden="false" customHeight="true" outlineLevel="0" collapsed="false">
      <c r="B20" s="50"/>
      <c r="C20" s="1"/>
      <c r="D20" s="1"/>
      <c r="E20" s="1"/>
      <c r="F20" s="1"/>
      <c r="G20" s="15" t="s">
        <v>20</v>
      </c>
      <c r="H20" s="15"/>
      <c r="I20" s="15"/>
      <c r="J20" s="15"/>
      <c r="K20" s="15"/>
      <c r="L20" s="15"/>
      <c r="M20" s="24"/>
      <c r="N20" s="24"/>
      <c r="O20" s="24"/>
      <c r="P20" s="15" t="s">
        <v>21</v>
      </c>
      <c r="Q20" s="15"/>
      <c r="R20" s="15"/>
      <c r="S20" s="15"/>
      <c r="T20" s="15"/>
      <c r="U20" s="15"/>
      <c r="V20" s="15"/>
      <c r="W20" s="45"/>
      <c r="X20" s="45"/>
      <c r="Y20" s="39"/>
      <c r="Z20" s="28"/>
      <c r="AA20" s="28"/>
      <c r="AB20" s="49"/>
      <c r="AC20" s="49"/>
      <c r="AE20" s="49"/>
      <c r="AF20" s="49"/>
      <c r="AG20" s="49"/>
      <c r="AH20" s="49"/>
      <c r="AI20" s="49"/>
      <c r="AJ20" s="51" t="s">
        <v>22</v>
      </c>
      <c r="AK20" s="51"/>
      <c r="AL20" s="51"/>
      <c r="AM20" s="49"/>
      <c r="AN20" s="49"/>
      <c r="AO20" s="28"/>
      <c r="AP20" s="28"/>
      <c r="AQ20" s="35"/>
      <c r="AR20" s="36"/>
    </row>
    <row r="21" s="2" customFormat="true" ht="14.25" hidden="false" customHeight="true" outlineLevel="0" collapsed="false">
      <c r="B21" s="31"/>
      <c r="C21" s="1"/>
      <c r="D21" s="1"/>
      <c r="E21" s="1"/>
      <c r="F21" s="1"/>
      <c r="G21" s="27"/>
      <c r="H21" s="27"/>
      <c r="I21" s="49"/>
      <c r="J21" s="49"/>
      <c r="K21" s="49"/>
      <c r="L21" s="49"/>
      <c r="M21" s="49"/>
      <c r="N21" s="49"/>
      <c r="O21" s="49"/>
      <c r="P21" s="1"/>
      <c r="Q21" s="1"/>
      <c r="R21" s="1"/>
      <c r="S21" s="1"/>
      <c r="T21" s="28"/>
      <c r="U21" s="28"/>
      <c r="V21" s="28"/>
      <c r="W21" s="45"/>
      <c r="X21" s="45"/>
      <c r="Y21" s="39"/>
      <c r="Z21" s="28"/>
      <c r="AA21" s="28"/>
      <c r="AB21" s="49"/>
      <c r="AC21" s="49"/>
      <c r="AD21" s="49"/>
      <c r="AE21" s="49"/>
      <c r="AF21" s="49"/>
      <c r="AG21" s="49"/>
      <c r="AH21" s="49"/>
      <c r="AI21" s="49"/>
      <c r="AJ21" s="49"/>
      <c r="AK21" s="49"/>
      <c r="AL21" s="49"/>
      <c r="AM21" s="49"/>
      <c r="AN21" s="49"/>
      <c r="AO21" s="28"/>
      <c r="AP21" s="28"/>
      <c r="AQ21" s="35"/>
      <c r="AR21" s="36"/>
    </row>
    <row r="22" s="2" customFormat="true" ht="14.25" hidden="false" customHeight="true" outlineLevel="0" collapsed="false">
      <c r="B22" s="52" t="s">
        <v>23</v>
      </c>
      <c r="C22" s="1"/>
      <c r="D22" s="1"/>
      <c r="E22" s="1"/>
      <c r="F22" s="1"/>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4"/>
      <c r="AL22" s="55"/>
      <c r="AM22" s="55"/>
      <c r="AN22" s="55"/>
      <c r="AO22" s="55"/>
      <c r="AP22" s="55"/>
      <c r="AQ22" s="55"/>
      <c r="AR22" s="55"/>
    </row>
    <row r="23" s="2" customFormat="true" ht="14.25" hidden="false" customHeight="true" outlineLevel="0" collapsed="false">
      <c r="B23" s="37"/>
      <c r="C23" s="1"/>
      <c r="D23" s="1"/>
      <c r="E23" s="1"/>
      <c r="F23" s="1"/>
      <c r="G23" s="1"/>
      <c r="H23" s="1"/>
      <c r="I23" s="1"/>
      <c r="J23" s="1"/>
      <c r="K23" s="1"/>
      <c r="L23" s="1"/>
      <c r="M23" s="1"/>
      <c r="N23" s="1"/>
      <c r="O23" s="1"/>
      <c r="P23" s="1"/>
      <c r="Q23" s="1"/>
      <c r="R23" s="56" t="s">
        <v>24</v>
      </c>
      <c r="S23" s="56"/>
      <c r="T23" s="56"/>
      <c r="U23" s="56"/>
      <c r="V23" s="56"/>
      <c r="W23" s="56"/>
      <c r="X23" s="56"/>
      <c r="Y23" s="56"/>
      <c r="Z23" s="56"/>
      <c r="AA23" s="28"/>
      <c r="AB23" s="28"/>
      <c r="AC23" s="28"/>
      <c r="AD23" s="28"/>
      <c r="AE23" s="28"/>
      <c r="AF23" s="28"/>
      <c r="AG23" s="28"/>
      <c r="AH23" s="28"/>
      <c r="AI23" s="28"/>
      <c r="AJ23" s="28"/>
      <c r="AK23" s="28"/>
      <c r="AL23" s="28"/>
      <c r="AM23" s="28"/>
      <c r="AN23" s="57" t="s">
        <v>25</v>
      </c>
      <c r="AO23" s="57"/>
      <c r="AP23" s="57"/>
      <c r="AQ23" s="57"/>
      <c r="AR23" s="36"/>
    </row>
    <row r="24" s="2" customFormat="true" ht="14.25" hidden="false" customHeight="true" outlineLevel="0" collapsed="false">
      <c r="B24" s="37"/>
      <c r="C24" s="1"/>
      <c r="D24" s="1"/>
      <c r="E24" s="1"/>
      <c r="F24" s="1"/>
      <c r="G24" s="1"/>
      <c r="H24" s="1"/>
      <c r="I24" s="1"/>
      <c r="J24" s="1"/>
      <c r="K24" s="1"/>
      <c r="L24" s="1"/>
      <c r="M24" s="1"/>
      <c r="N24" s="1"/>
      <c r="O24" s="1"/>
      <c r="P24" s="1"/>
      <c r="Q24" s="1"/>
      <c r="R24" s="1"/>
      <c r="S24" s="1"/>
      <c r="T24" s="28"/>
      <c r="U24" s="28"/>
      <c r="V24" s="28"/>
      <c r="W24" s="38"/>
      <c r="X24" s="38"/>
      <c r="Y24" s="39"/>
      <c r="Z24" s="28"/>
      <c r="AA24" s="28"/>
      <c r="AB24" s="28"/>
      <c r="AC24" s="28"/>
      <c r="AD24" s="28"/>
      <c r="AE24" s="28"/>
      <c r="AF24" s="28"/>
      <c r="AG24" s="28"/>
      <c r="AH24" s="28"/>
      <c r="AI24" s="28"/>
      <c r="AJ24" s="28"/>
      <c r="AK24" s="28"/>
      <c r="AL24" s="28"/>
      <c r="AM24" s="28"/>
      <c r="AN24" s="28"/>
      <c r="AO24" s="28"/>
      <c r="AP24" s="28"/>
      <c r="AQ24" s="28"/>
      <c r="AR24" s="36"/>
    </row>
    <row r="25" s="2" customFormat="true" ht="14.25" hidden="false" customHeight="true" outlineLevel="0" collapsed="false">
      <c r="B25" s="52" t="s">
        <v>26</v>
      </c>
      <c r="C25" s="1"/>
      <c r="D25" s="1"/>
      <c r="E25" s="1"/>
      <c r="F25" s="1"/>
      <c r="G25" s="48"/>
      <c r="H25" s="48"/>
      <c r="I25" s="48"/>
      <c r="J25" s="48"/>
      <c r="K25" s="48"/>
      <c r="L25" s="48"/>
      <c r="M25" s="24"/>
      <c r="N25" s="24"/>
      <c r="O25" s="24"/>
      <c r="P25" s="24"/>
      <c r="Q25" s="43"/>
      <c r="R25" s="43"/>
      <c r="S25" s="43"/>
      <c r="T25" s="43"/>
      <c r="U25" s="24"/>
      <c r="V25" s="24"/>
      <c r="W25" s="43"/>
      <c r="X25" s="43"/>
      <c r="Y25" s="43"/>
      <c r="Z25" s="43"/>
      <c r="AA25" s="58" t="s">
        <v>27</v>
      </c>
      <c r="AB25" s="58"/>
      <c r="AC25" s="58"/>
      <c r="AD25" s="58"/>
      <c r="AE25" s="58"/>
      <c r="AF25" s="58"/>
      <c r="AG25" s="48"/>
      <c r="AH25" s="48"/>
      <c r="AI25" s="48"/>
      <c r="AJ25" s="48"/>
      <c r="AK25" s="48"/>
      <c r="AL25" s="48"/>
      <c r="AM25" s="48"/>
      <c r="AN25" s="59"/>
      <c r="AO25" s="59"/>
      <c r="AP25" s="59"/>
      <c r="AQ25" s="59"/>
      <c r="AR25" s="59"/>
    </row>
    <row r="26" s="2" customFormat="true" ht="14.25" hidden="false" customHeight="true" outlineLevel="0" collapsed="false">
      <c r="B26" s="31"/>
      <c r="C26" s="1"/>
      <c r="D26" s="1"/>
      <c r="E26" s="1"/>
      <c r="F26" s="1"/>
      <c r="G26" s="56" t="s">
        <v>28</v>
      </c>
      <c r="H26" s="56"/>
      <c r="I26" s="56"/>
      <c r="J26" s="56"/>
      <c r="K26" s="56"/>
      <c r="L26" s="56"/>
      <c r="M26" s="24"/>
      <c r="N26" s="24"/>
      <c r="O26" s="24"/>
      <c r="P26" s="24"/>
      <c r="Q26" s="60" t="s">
        <v>29</v>
      </c>
      <c r="R26" s="60"/>
      <c r="S26" s="60"/>
      <c r="T26" s="60"/>
      <c r="U26" s="28"/>
      <c r="V26" s="24"/>
      <c r="W26" s="24"/>
      <c r="X26" s="24"/>
      <c r="Y26" s="24"/>
      <c r="Z26" s="24"/>
      <c r="AA26" s="24"/>
      <c r="AB26" s="56" t="s">
        <v>30</v>
      </c>
      <c r="AC26" s="56"/>
      <c r="AD26" s="56"/>
      <c r="AE26" s="56" t="s">
        <v>31</v>
      </c>
      <c r="AF26" s="56"/>
      <c r="AG26" s="56"/>
      <c r="AH26" s="56"/>
      <c r="AI26" s="56"/>
      <c r="AJ26" s="56"/>
      <c r="AK26" s="56"/>
      <c r="AL26" s="24"/>
      <c r="AM26" s="51"/>
      <c r="AN26" s="61" t="s">
        <v>32</v>
      </c>
      <c r="AO26" s="61"/>
      <c r="AP26" s="61"/>
      <c r="AQ26" s="61"/>
      <c r="AR26" s="61"/>
    </row>
    <row r="27" s="2" customFormat="true" ht="14.25" hidden="false" customHeight="true" outlineLevel="0" collapsed="false">
      <c r="B27" s="31"/>
      <c r="C27" s="1"/>
      <c r="D27" s="1"/>
      <c r="E27" s="1"/>
      <c r="F27" s="1"/>
      <c r="G27" s="24"/>
      <c r="H27" s="24"/>
      <c r="I27" s="24"/>
      <c r="J27" s="24"/>
      <c r="K27" s="24"/>
      <c r="L27" s="24"/>
      <c r="M27" s="24"/>
      <c r="N27" s="24"/>
      <c r="O27" s="24"/>
      <c r="P27" s="24"/>
      <c r="Q27" s="49"/>
      <c r="R27" s="49"/>
      <c r="S27" s="49"/>
      <c r="T27" s="49"/>
      <c r="U27" s="28"/>
      <c r="V27" s="24"/>
      <c r="W27" s="24"/>
      <c r="X27" s="24"/>
      <c r="Y27" s="24"/>
      <c r="Z27" s="24"/>
      <c r="AA27" s="24"/>
      <c r="AB27" s="24"/>
      <c r="AC27" s="24"/>
      <c r="AD27" s="24"/>
      <c r="AE27" s="24"/>
      <c r="AF27" s="24"/>
      <c r="AG27" s="24"/>
      <c r="AH27" s="24"/>
      <c r="AI27" s="24"/>
      <c r="AJ27" s="24"/>
      <c r="AK27" s="24"/>
      <c r="AL27" s="24"/>
      <c r="AM27" s="51"/>
      <c r="AN27" s="51"/>
      <c r="AO27" s="28"/>
      <c r="AP27" s="28"/>
      <c r="AQ27" s="35"/>
      <c r="AR27" s="36"/>
    </row>
    <row r="28" s="2" customFormat="true" ht="14.25" hidden="false" customHeight="true" outlineLevel="0" collapsed="false">
      <c r="B28" s="26" t="s">
        <v>33</v>
      </c>
      <c r="C28" s="1"/>
      <c r="D28" s="1"/>
      <c r="E28" s="1"/>
      <c r="F28" s="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row>
    <row r="29" s="2" customFormat="true" ht="14.25" hidden="false" customHeight="true" outlineLevel="0" collapsed="false">
      <c r="B29" s="50"/>
      <c r="C29" s="1"/>
      <c r="D29" s="1"/>
      <c r="E29" s="1"/>
      <c r="F29" s="1"/>
      <c r="G29" s="56" t="s">
        <v>34</v>
      </c>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28"/>
      <c r="AQ29" s="35"/>
      <c r="AR29" s="36"/>
    </row>
    <row r="30" s="2" customFormat="true" ht="14.25" hidden="false" customHeight="true" outlineLevel="0" collapsed="false">
      <c r="B30" s="31"/>
      <c r="C30" s="1"/>
      <c r="D30" s="1"/>
      <c r="E30" s="1"/>
      <c r="F30" s="1"/>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49"/>
      <c r="AM30" s="49"/>
      <c r="AN30" s="49"/>
      <c r="AO30" s="28"/>
      <c r="AP30" s="28"/>
      <c r="AQ30" s="35"/>
      <c r="AR30" s="36"/>
    </row>
    <row r="31" s="2" customFormat="true" ht="14.25" hidden="false" customHeight="true" outlineLevel="0" collapsed="false">
      <c r="B31" s="52" t="s">
        <v>35</v>
      </c>
      <c r="C31" s="1"/>
      <c r="D31" s="1"/>
      <c r="E31" s="1"/>
      <c r="F31" s="1"/>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4"/>
      <c r="AM31" s="65"/>
      <c r="AN31" s="65"/>
      <c r="AO31" s="65"/>
      <c r="AP31" s="65"/>
      <c r="AQ31" s="65"/>
      <c r="AR31" s="66"/>
    </row>
    <row r="32" s="2" customFormat="true" ht="14.25" hidden="false" customHeight="true" outlineLevel="0" collapsed="false">
      <c r="B32" s="37"/>
      <c r="C32" s="1"/>
      <c r="D32" s="1"/>
      <c r="E32" s="1"/>
      <c r="F32" s="1"/>
      <c r="G32" s="1"/>
      <c r="H32" s="1"/>
      <c r="I32" s="56" t="s">
        <v>36</v>
      </c>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28"/>
      <c r="AL32" s="28"/>
      <c r="AM32" s="28"/>
      <c r="AN32" s="57"/>
      <c r="AO32" s="57"/>
      <c r="AP32" s="57"/>
      <c r="AQ32" s="57"/>
      <c r="AR32" s="36"/>
    </row>
    <row r="33" s="2" customFormat="true" ht="14.25" hidden="false" customHeight="true" outlineLevel="0" collapsed="false">
      <c r="B33" s="37"/>
      <c r="C33" s="1"/>
      <c r="D33" s="1"/>
      <c r="E33" s="1"/>
      <c r="F33" s="1"/>
      <c r="G33" s="1"/>
      <c r="H33" s="1"/>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8"/>
      <c r="AL33" s="28"/>
      <c r="AM33" s="28"/>
      <c r="AN33" s="49"/>
      <c r="AO33" s="49"/>
      <c r="AP33" s="49"/>
      <c r="AQ33" s="49"/>
      <c r="AR33" s="36"/>
    </row>
    <row r="34" s="2" customFormat="true" ht="14.25" hidden="false" customHeight="true" outlineLevel="0" collapsed="false">
      <c r="B34" s="37"/>
      <c r="C34" s="1"/>
      <c r="D34" s="1"/>
      <c r="E34" s="1"/>
      <c r="F34" s="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row>
    <row r="35" s="2" customFormat="true" ht="14.25" hidden="false" customHeight="true" outlineLevel="0" collapsed="false">
      <c r="B35" s="37"/>
      <c r="C35" s="1"/>
      <c r="D35" s="1"/>
      <c r="E35" s="1"/>
      <c r="F35" s="1"/>
      <c r="G35" s="56" t="s">
        <v>37</v>
      </c>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49"/>
      <c r="AQ35" s="49"/>
      <c r="AR35" s="36"/>
    </row>
    <row r="36" s="2" customFormat="true" ht="14.25" hidden="false" customHeight="true" outlineLevel="0" collapsed="false">
      <c r="B36" s="37"/>
      <c r="C36" s="1"/>
      <c r="D36" s="1"/>
      <c r="E36" s="1"/>
      <c r="F36" s="1"/>
      <c r="G36" s="1"/>
      <c r="H36" s="1"/>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8"/>
      <c r="AL36" s="28"/>
      <c r="AM36" s="28"/>
      <c r="AN36" s="49"/>
      <c r="AO36" s="49"/>
      <c r="AP36" s="49"/>
      <c r="AQ36" s="49"/>
      <c r="AR36" s="36"/>
    </row>
    <row r="37" s="2" customFormat="true" ht="14.25" hidden="false" customHeight="true" outlineLevel="0" collapsed="false">
      <c r="B37" s="37"/>
      <c r="C37" s="1"/>
      <c r="D37" s="1"/>
      <c r="E37" s="1"/>
      <c r="F37" s="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row>
    <row r="38" s="2" customFormat="true" ht="14.25" hidden="false" customHeight="true" outlineLevel="0" collapsed="false">
      <c r="B38" s="37"/>
      <c r="C38" s="1"/>
      <c r="D38" s="1"/>
      <c r="E38" s="1"/>
      <c r="F38" s="1"/>
      <c r="G38" s="56" t="s">
        <v>38</v>
      </c>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49"/>
      <c r="AQ38" s="49"/>
      <c r="AR38" s="36"/>
    </row>
    <row r="39" s="2" customFormat="true" ht="14.25" hidden="false" customHeight="true" outlineLevel="0" collapsed="false">
      <c r="B39" s="37"/>
      <c r="C39" s="1"/>
      <c r="D39" s="1"/>
      <c r="E39" s="1"/>
      <c r="F39" s="1"/>
      <c r="G39" s="56" t="s">
        <v>39</v>
      </c>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49"/>
      <c r="AQ39" s="49"/>
      <c r="AR39" s="36"/>
    </row>
    <row r="40" s="2" customFormat="true" ht="14.25" hidden="false" customHeight="true" outlineLevel="0" collapsed="false">
      <c r="B40" s="37"/>
      <c r="C40" s="1"/>
      <c r="D40" s="1"/>
      <c r="E40" s="1"/>
      <c r="F40" s="1"/>
      <c r="G40" s="8" t="s">
        <v>40</v>
      </c>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49"/>
      <c r="AQ40" s="49"/>
      <c r="AR40" s="36"/>
    </row>
    <row r="41" s="2" customFormat="true" ht="14.25" hidden="false" customHeight="true" outlineLevel="0" collapsed="false">
      <c r="B41" s="37"/>
      <c r="C41" s="1"/>
      <c r="D41" s="1"/>
      <c r="E41" s="1"/>
      <c r="F41" s="1"/>
      <c r="G41" s="1"/>
      <c r="H41" s="1"/>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8"/>
      <c r="AL41" s="28"/>
      <c r="AM41" s="28"/>
      <c r="AN41" s="49"/>
      <c r="AO41" s="49"/>
      <c r="AP41" s="49"/>
      <c r="AQ41" s="49"/>
      <c r="AR41" s="36"/>
    </row>
    <row r="42" s="2" customFormat="true" ht="14.25" hidden="false" customHeight="true" outlineLevel="0" collapsed="false">
      <c r="B42" s="37"/>
      <c r="C42" s="1"/>
      <c r="D42" s="1"/>
      <c r="E42" s="1"/>
      <c r="F42" s="1"/>
      <c r="G42" s="67"/>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row>
    <row r="43" s="2" customFormat="true" ht="14.25" hidden="false" customHeight="true" outlineLevel="0" collapsed="false">
      <c r="B43" s="31"/>
      <c r="C43" s="1"/>
      <c r="D43" s="1"/>
      <c r="E43" s="1"/>
      <c r="F43" s="1"/>
      <c r="G43" s="24"/>
      <c r="H43" s="24"/>
      <c r="I43" s="24"/>
      <c r="J43" s="24"/>
      <c r="K43" s="24"/>
      <c r="L43" s="24"/>
      <c r="M43" s="24"/>
      <c r="N43" s="24"/>
      <c r="O43" s="24"/>
      <c r="P43" s="24"/>
      <c r="Q43" s="68"/>
      <c r="R43" s="24"/>
      <c r="S43" s="24"/>
      <c r="T43" s="24"/>
      <c r="U43" s="24"/>
      <c r="V43" s="24"/>
      <c r="W43" s="24"/>
      <c r="X43" s="24"/>
      <c r="Y43" s="24"/>
      <c r="Z43" s="24"/>
      <c r="AA43" s="24"/>
      <c r="AB43" s="24"/>
      <c r="AC43" s="24"/>
      <c r="AD43" s="24"/>
      <c r="AE43" s="24"/>
      <c r="AF43" s="24"/>
      <c r="AG43" s="24"/>
      <c r="AH43" s="24"/>
      <c r="AI43" s="24"/>
      <c r="AJ43" s="24"/>
      <c r="AK43" s="24"/>
      <c r="AL43" s="24"/>
      <c r="AM43" s="51"/>
      <c r="AN43" s="51"/>
      <c r="AO43" s="28"/>
      <c r="AP43" s="28"/>
      <c r="AQ43" s="35"/>
      <c r="AR43" s="36"/>
    </row>
    <row r="44" s="2" customFormat="true" ht="14.25" hidden="false" customHeight="true" outlineLevel="0" collapsed="false">
      <c r="B44" s="37"/>
      <c r="C44" s="1"/>
      <c r="D44" s="1"/>
      <c r="E44" s="1"/>
      <c r="F44" s="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row>
    <row r="45" s="2" customFormat="true" ht="14.25" hidden="false" customHeight="true" outlineLevel="0" collapsed="false">
      <c r="B45" s="37"/>
      <c r="C45" s="1"/>
      <c r="D45" s="1"/>
      <c r="E45" s="1"/>
      <c r="F45" s="1"/>
      <c r="G45" s="1"/>
      <c r="H45" s="57" t="s">
        <v>41</v>
      </c>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49"/>
      <c r="AM45" s="28"/>
      <c r="AN45" s="28"/>
      <c r="AO45" s="28"/>
      <c r="AP45" s="28"/>
      <c r="AQ45" s="28"/>
      <c r="AR45" s="36"/>
    </row>
    <row r="46" customFormat="false" ht="14" hidden="false" customHeight="false" outlineLevel="0" collapsed="false">
      <c r="B46" s="69"/>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1"/>
    </row>
    <row r="47" customFormat="false" ht="14" hidden="false" customHeight="false" outlineLevel="0" collapsed="false">
      <c r="B47" s="37"/>
      <c r="AR47" s="72"/>
    </row>
    <row r="48" customFormat="false" ht="14" hidden="false" customHeight="false" outlineLevel="0" collapsed="false">
      <c r="B48" s="37"/>
      <c r="G48" s="73"/>
      <c r="AE48" s="74"/>
      <c r="AF48" s="73"/>
      <c r="AM48" s="75"/>
      <c r="AP48" s="76"/>
      <c r="AR48" s="72"/>
    </row>
    <row r="49" customFormat="false" ht="14" hidden="false" customHeight="false" outlineLevel="0" collapsed="false">
      <c r="B49" s="37"/>
      <c r="G49" s="73"/>
      <c r="AE49" s="74"/>
      <c r="AF49" s="73"/>
      <c r="AJ49" s="2"/>
      <c r="AK49" s="2"/>
      <c r="AL49" s="2"/>
      <c r="AM49" s="2" t="s">
        <v>42</v>
      </c>
      <c r="AN49" s="2"/>
      <c r="AO49" s="2"/>
      <c r="AP49" s="2" t="s">
        <v>43</v>
      </c>
      <c r="AR49" s="72"/>
    </row>
    <row r="50" customFormat="false" ht="14" hidden="false" customHeight="false" outlineLevel="0" collapsed="false">
      <c r="B50" s="37"/>
      <c r="G50" s="77"/>
      <c r="H50" s="78"/>
      <c r="I50" s="78"/>
      <c r="J50" s="78"/>
      <c r="K50" s="78"/>
      <c r="L50" s="78"/>
      <c r="M50" s="78"/>
      <c r="N50" s="78"/>
      <c r="O50" s="78"/>
      <c r="P50" s="78"/>
      <c r="Q50" s="78"/>
      <c r="R50" s="78"/>
      <c r="S50" s="78"/>
      <c r="T50" s="78"/>
      <c r="U50" s="78"/>
      <c r="V50" s="78"/>
      <c r="W50" s="78"/>
      <c r="X50" s="78"/>
      <c r="Y50" s="78"/>
      <c r="Z50" s="78"/>
      <c r="AA50" s="78"/>
      <c r="AB50" s="78"/>
      <c r="AC50" s="78"/>
      <c r="AD50" s="78"/>
      <c r="AE50" s="79"/>
      <c r="AF50" s="77"/>
      <c r="AG50" s="78"/>
      <c r="AH50" s="78"/>
      <c r="AI50" s="78"/>
      <c r="AJ50" s="78"/>
      <c r="AK50" s="78"/>
      <c r="AL50" s="78"/>
      <c r="AM50" s="78"/>
      <c r="AN50" s="78"/>
      <c r="AO50" s="78"/>
      <c r="AP50" s="78"/>
      <c r="AQ50" s="78"/>
      <c r="AR50" s="80"/>
    </row>
    <row r="51" customFormat="false" ht="31.5" hidden="false" customHeight="true" outlineLevel="0" collapsed="false">
      <c r="B51" s="37"/>
      <c r="AG51" s="81" t="s">
        <v>44</v>
      </c>
      <c r="AH51" s="81"/>
      <c r="AI51" s="81"/>
      <c r="AJ51" s="81"/>
      <c r="AK51" s="81"/>
      <c r="AL51" s="81"/>
      <c r="AM51" s="81"/>
      <c r="AN51" s="81"/>
      <c r="AO51" s="81"/>
      <c r="AP51" s="81"/>
      <c r="AQ51" s="81"/>
      <c r="AR51" s="81"/>
    </row>
    <row r="52" customFormat="false" ht="14" hidden="false" customHeight="false" outlineLevel="0" collapsed="false">
      <c r="B52" s="37"/>
      <c r="AR52" s="72"/>
    </row>
    <row r="53" customFormat="false" ht="14" hidden="false" customHeight="false" outlineLevel="0" collapsed="false">
      <c r="B53" s="37"/>
      <c r="G53" s="48"/>
      <c r="H53" s="48"/>
      <c r="I53" s="48"/>
      <c r="J53" s="48"/>
      <c r="K53" s="48"/>
      <c r="L53" s="48"/>
      <c r="M53" s="48"/>
      <c r="N53" s="48"/>
      <c r="O53" s="48"/>
      <c r="P53" s="48"/>
      <c r="Q53" s="48"/>
      <c r="R53" s="48"/>
      <c r="S53" s="48"/>
      <c r="T53" s="48"/>
      <c r="U53" s="48"/>
      <c r="V53" s="48"/>
      <c r="W53" s="48"/>
      <c r="AB53" s="82"/>
      <c r="AC53" s="83" t="s">
        <v>45</v>
      </c>
      <c r="AD53" s="83"/>
      <c r="AE53" s="83"/>
      <c r="AF53" s="83"/>
      <c r="AG53" s="83"/>
      <c r="AH53" s="83"/>
      <c r="AI53" s="83"/>
      <c r="AJ53" s="83"/>
      <c r="AK53" s="83"/>
      <c r="AL53" s="83"/>
      <c r="AM53" s="83"/>
      <c r="AN53" s="83"/>
      <c r="AO53" s="83"/>
      <c r="AP53" s="83"/>
      <c r="AQ53" s="83"/>
      <c r="AR53" s="72"/>
    </row>
    <row r="54" customFormat="false" ht="14" hidden="false" customHeight="false" outlineLevel="0" collapsed="false">
      <c r="B54" s="37"/>
      <c r="G54" s="84"/>
      <c r="H54" s="56" t="s">
        <v>46</v>
      </c>
      <c r="I54" s="56"/>
      <c r="J54" s="56"/>
      <c r="K54" s="56"/>
      <c r="L54" s="56"/>
      <c r="M54" s="56"/>
      <c r="N54" s="56"/>
      <c r="O54" s="56"/>
      <c r="P54" s="56"/>
      <c r="Q54" s="56"/>
      <c r="R54" s="56"/>
      <c r="S54" s="56"/>
      <c r="T54" s="56"/>
      <c r="U54" s="56"/>
      <c r="V54" s="56"/>
      <c r="W54" s="56"/>
      <c r="AB54" s="85" t="s">
        <v>47</v>
      </c>
      <c r="AC54" s="85"/>
      <c r="AD54" s="85"/>
      <c r="AE54" s="85"/>
      <c r="AF54" s="85"/>
      <c r="AG54" s="85"/>
      <c r="AH54" s="85"/>
      <c r="AI54" s="85"/>
      <c r="AJ54" s="85"/>
      <c r="AK54" s="83" t="s">
        <v>48</v>
      </c>
      <c r="AL54" s="83"/>
      <c r="AM54" s="83"/>
      <c r="AN54" s="83"/>
      <c r="AO54" s="83"/>
      <c r="AP54" s="83"/>
      <c r="AQ54" s="83"/>
      <c r="AR54" s="72"/>
    </row>
    <row r="55" customFormat="false" ht="14" hidden="false" customHeight="false" outlineLevel="0" collapsed="false">
      <c r="B55" s="37"/>
      <c r="G55" s="84"/>
      <c r="H55" s="84"/>
      <c r="I55" s="84"/>
      <c r="J55" s="84"/>
      <c r="K55" s="84"/>
      <c r="L55" s="84"/>
      <c r="M55" s="84"/>
      <c r="N55" s="84"/>
      <c r="O55" s="84"/>
      <c r="P55" s="84"/>
      <c r="Q55" s="84"/>
      <c r="R55" s="84"/>
      <c r="S55" s="84"/>
      <c r="T55" s="84"/>
      <c r="U55" s="84"/>
      <c r="V55" s="84"/>
      <c r="W55" s="84"/>
      <c r="AB55" s="86"/>
      <c r="AC55" s="86"/>
      <c r="AD55" s="86"/>
      <c r="AE55" s="86"/>
      <c r="AF55" s="86"/>
      <c r="AG55" s="86"/>
      <c r="AH55" s="86"/>
      <c r="AI55" s="86"/>
      <c r="AJ55" s="86"/>
      <c r="AK55" s="87"/>
      <c r="AL55" s="87"/>
      <c r="AM55" s="87"/>
      <c r="AN55" s="87"/>
      <c r="AO55" s="87"/>
      <c r="AP55" s="87"/>
      <c r="AQ55" s="87"/>
      <c r="AR55" s="72"/>
    </row>
    <row r="56" customFormat="false" ht="14" hidden="false" customHeight="false" outlineLevel="0" collapsed="false">
      <c r="B56" s="37"/>
      <c r="G56" s="48"/>
      <c r="H56" s="48"/>
      <c r="I56" s="48"/>
      <c r="J56" s="48"/>
      <c r="K56" s="48"/>
      <c r="L56" s="48"/>
      <c r="M56" s="48"/>
      <c r="N56" s="48"/>
      <c r="O56" s="48"/>
      <c r="P56" s="48"/>
      <c r="Q56" s="48"/>
      <c r="R56" s="48"/>
      <c r="S56" s="48"/>
      <c r="T56" s="48"/>
      <c r="U56" s="48"/>
      <c r="V56" s="48"/>
      <c r="W56" s="48"/>
      <c r="AB56" s="88"/>
      <c r="AC56" s="88"/>
      <c r="AD56" s="88"/>
      <c r="AE56" s="88"/>
      <c r="AF56" s="88"/>
      <c r="AG56" s="88"/>
      <c r="AH56" s="88"/>
      <c r="AI56" s="88"/>
      <c r="AJ56" s="88"/>
      <c r="AK56" s="89"/>
      <c r="AL56" s="89"/>
      <c r="AM56" s="89"/>
      <c r="AN56" s="89"/>
      <c r="AO56" s="89"/>
      <c r="AP56" s="89"/>
      <c r="AQ56" s="89"/>
      <c r="AR56" s="72"/>
    </row>
    <row r="57" customFormat="false" ht="14" hidden="false" customHeight="false" outlineLevel="0" collapsed="false">
      <c r="B57" s="37"/>
      <c r="G57" s="84"/>
      <c r="H57" s="56" t="s">
        <v>46</v>
      </c>
      <c r="I57" s="56"/>
      <c r="J57" s="56"/>
      <c r="K57" s="56"/>
      <c r="L57" s="56"/>
      <c r="M57" s="56"/>
      <c r="N57" s="56"/>
      <c r="O57" s="56"/>
      <c r="P57" s="56"/>
      <c r="Q57" s="56"/>
      <c r="R57" s="56"/>
      <c r="S57" s="56"/>
      <c r="T57" s="56"/>
      <c r="U57" s="56"/>
      <c r="V57" s="56"/>
      <c r="W57" s="56"/>
      <c r="AB57" s="90"/>
      <c r="AC57" s="90"/>
      <c r="AD57" s="90"/>
      <c r="AE57" s="90"/>
      <c r="AF57" s="90"/>
      <c r="AG57" s="90"/>
      <c r="AH57" s="90"/>
      <c r="AI57" s="90"/>
      <c r="AJ57" s="90"/>
      <c r="AK57" s="91"/>
      <c r="AL57" s="91"/>
      <c r="AM57" s="91"/>
      <c r="AN57" s="91"/>
      <c r="AO57" s="91"/>
      <c r="AP57" s="91"/>
      <c r="AQ57" s="91"/>
      <c r="AR57" s="72"/>
    </row>
    <row r="58" customFormat="false" ht="14" hidden="false" customHeight="false" outlineLevel="0" collapsed="false">
      <c r="B58" s="37"/>
      <c r="G58" s="84"/>
      <c r="H58" s="84"/>
      <c r="I58" s="84"/>
      <c r="J58" s="84"/>
      <c r="K58" s="84"/>
      <c r="L58" s="84"/>
      <c r="M58" s="84"/>
      <c r="N58" s="84"/>
      <c r="O58" s="84"/>
      <c r="P58" s="84"/>
      <c r="Q58" s="84"/>
      <c r="R58" s="84"/>
      <c r="S58" s="84"/>
      <c r="T58" s="84"/>
      <c r="U58" s="84"/>
      <c r="V58" s="84"/>
      <c r="W58" s="84"/>
      <c r="AB58" s="92"/>
      <c r="AC58" s="92"/>
      <c r="AD58" s="92"/>
      <c r="AE58" s="92"/>
      <c r="AF58" s="92"/>
      <c r="AG58" s="92"/>
      <c r="AH58" s="92"/>
      <c r="AI58" s="92"/>
      <c r="AJ58" s="92"/>
      <c r="AK58" s="93"/>
      <c r="AL58" s="93"/>
      <c r="AM58" s="93"/>
      <c r="AN58" s="93"/>
      <c r="AO58" s="93"/>
      <c r="AP58" s="93"/>
      <c r="AQ58" s="93"/>
      <c r="AR58" s="72"/>
    </row>
    <row r="59" customFormat="false" ht="14" hidden="false" customHeight="false" outlineLevel="0" collapsed="false">
      <c r="B59" s="37"/>
      <c r="G59" s="48"/>
      <c r="H59" s="48"/>
      <c r="I59" s="48"/>
      <c r="J59" s="48"/>
      <c r="K59" s="48"/>
      <c r="L59" s="48"/>
      <c r="M59" s="48"/>
      <c r="N59" s="48"/>
      <c r="O59" s="48"/>
      <c r="P59" s="48"/>
      <c r="Q59" s="48"/>
      <c r="R59" s="48"/>
      <c r="S59" s="48"/>
      <c r="T59" s="48"/>
      <c r="U59" s="48"/>
      <c r="V59" s="48"/>
      <c r="W59" s="48"/>
      <c r="AB59" s="92"/>
      <c r="AC59" s="92"/>
      <c r="AD59" s="92"/>
      <c r="AE59" s="92"/>
      <c r="AF59" s="92"/>
      <c r="AG59" s="92"/>
      <c r="AH59" s="92"/>
      <c r="AI59" s="92"/>
      <c r="AJ59" s="92"/>
      <c r="AK59" s="93"/>
      <c r="AL59" s="93"/>
      <c r="AM59" s="93"/>
      <c r="AN59" s="93"/>
      <c r="AO59" s="93"/>
      <c r="AP59" s="93"/>
      <c r="AQ59" s="93"/>
      <c r="AR59" s="72"/>
    </row>
    <row r="60" customFormat="false" ht="14" hidden="false" customHeight="false" outlineLevel="0" collapsed="false">
      <c r="B60" s="37"/>
      <c r="G60" s="84"/>
      <c r="H60" s="56" t="s">
        <v>49</v>
      </c>
      <c r="I60" s="56"/>
      <c r="J60" s="56"/>
      <c r="K60" s="56"/>
      <c r="L60" s="56"/>
      <c r="M60" s="56"/>
      <c r="N60" s="56"/>
      <c r="O60" s="56"/>
      <c r="P60" s="56"/>
      <c r="Q60" s="56"/>
      <c r="R60" s="56"/>
      <c r="S60" s="56"/>
      <c r="T60" s="56"/>
      <c r="U60" s="56"/>
      <c r="V60" s="56"/>
      <c r="W60" s="56"/>
      <c r="AB60" s="94"/>
      <c r="AC60" s="94"/>
      <c r="AD60" s="94"/>
      <c r="AE60" s="94"/>
      <c r="AF60" s="94"/>
      <c r="AG60" s="94"/>
      <c r="AH60" s="94"/>
      <c r="AI60" s="94"/>
      <c r="AJ60" s="94"/>
      <c r="AK60" s="93"/>
      <c r="AL60" s="93"/>
      <c r="AM60" s="93"/>
      <c r="AN60" s="93"/>
      <c r="AO60" s="93"/>
      <c r="AP60" s="93"/>
      <c r="AQ60" s="93"/>
      <c r="AR60" s="72"/>
    </row>
    <row r="61" customFormat="false" ht="14" hidden="false" customHeight="false" outlineLevel="0" collapsed="false">
      <c r="B61" s="37"/>
      <c r="AB61" s="94"/>
      <c r="AC61" s="94"/>
      <c r="AD61" s="94"/>
      <c r="AE61" s="94"/>
      <c r="AF61" s="94"/>
      <c r="AG61" s="94"/>
      <c r="AH61" s="94"/>
      <c r="AI61" s="94"/>
      <c r="AJ61" s="94"/>
      <c r="AK61" s="93"/>
      <c r="AL61" s="93"/>
      <c r="AM61" s="93"/>
      <c r="AN61" s="93"/>
      <c r="AO61" s="93"/>
      <c r="AP61" s="93"/>
      <c r="AQ61" s="93"/>
      <c r="AR61" s="72"/>
    </row>
    <row r="62" customFormat="false" ht="14" hidden="false" customHeight="false" outlineLevel="0" collapsed="false">
      <c r="B62" s="37"/>
      <c r="G62" s="75"/>
      <c r="H62" s="75"/>
      <c r="I62" s="75"/>
      <c r="J62" s="75"/>
      <c r="K62" s="75"/>
      <c r="L62" s="75"/>
      <c r="M62" s="75"/>
      <c r="N62" s="75"/>
      <c r="O62" s="75"/>
      <c r="P62" s="75"/>
      <c r="Q62" s="75"/>
      <c r="R62" s="75"/>
      <c r="S62" s="75"/>
      <c r="T62" s="75"/>
      <c r="U62" s="75"/>
      <c r="V62" s="75"/>
      <c r="W62" s="75"/>
      <c r="AB62" s="94"/>
      <c r="AC62" s="94"/>
      <c r="AD62" s="94"/>
      <c r="AE62" s="94"/>
      <c r="AF62" s="94"/>
      <c r="AG62" s="94"/>
      <c r="AH62" s="94"/>
      <c r="AI62" s="94"/>
      <c r="AJ62" s="94"/>
      <c r="AK62" s="93"/>
      <c r="AL62" s="93"/>
      <c r="AM62" s="93"/>
      <c r="AN62" s="93"/>
      <c r="AO62" s="93"/>
      <c r="AP62" s="93"/>
      <c r="AQ62" s="93"/>
      <c r="AR62" s="72"/>
    </row>
    <row r="63" customFormat="false" ht="14" hidden="false" customHeight="false" outlineLevel="0" collapsed="false">
      <c r="B63" s="37"/>
      <c r="G63" s="75"/>
      <c r="H63" s="75"/>
      <c r="I63" s="75"/>
      <c r="J63" s="75"/>
      <c r="K63" s="75"/>
      <c r="L63" s="75"/>
      <c r="M63" s="75"/>
      <c r="N63" s="75"/>
      <c r="O63" s="75"/>
      <c r="P63" s="75"/>
      <c r="Q63" s="75"/>
      <c r="R63" s="75"/>
      <c r="S63" s="75"/>
      <c r="T63" s="75"/>
      <c r="U63" s="75"/>
      <c r="V63" s="75"/>
      <c r="W63" s="75"/>
      <c r="AB63" s="94"/>
      <c r="AC63" s="94"/>
      <c r="AD63" s="94"/>
      <c r="AE63" s="94"/>
      <c r="AF63" s="94"/>
      <c r="AG63" s="94"/>
      <c r="AH63" s="94"/>
      <c r="AI63" s="94"/>
      <c r="AJ63" s="94"/>
      <c r="AK63" s="93"/>
      <c r="AL63" s="93"/>
      <c r="AM63" s="93"/>
      <c r="AN63" s="93"/>
      <c r="AO63" s="93"/>
      <c r="AP63" s="93"/>
      <c r="AQ63" s="93"/>
      <c r="AR63" s="72"/>
    </row>
    <row r="64" customFormat="false" ht="14" hidden="false" customHeight="false" outlineLevel="0" collapsed="false">
      <c r="B64" s="37"/>
      <c r="G64" s="75"/>
      <c r="H64" s="75"/>
      <c r="I64" s="75"/>
      <c r="J64" s="75"/>
      <c r="K64" s="75"/>
      <c r="L64" s="75"/>
      <c r="M64" s="75"/>
      <c r="N64" s="75"/>
      <c r="O64" s="75"/>
      <c r="P64" s="75"/>
      <c r="Q64" s="75"/>
      <c r="R64" s="75"/>
      <c r="S64" s="75"/>
      <c r="T64" s="75"/>
      <c r="U64" s="75"/>
      <c r="V64" s="75"/>
      <c r="W64" s="75"/>
      <c r="AB64" s="94"/>
      <c r="AC64" s="94"/>
      <c r="AD64" s="94"/>
      <c r="AE64" s="94"/>
      <c r="AF64" s="94"/>
      <c r="AG64" s="94"/>
      <c r="AH64" s="94"/>
      <c r="AI64" s="94"/>
      <c r="AJ64" s="94"/>
      <c r="AK64" s="93"/>
      <c r="AL64" s="93"/>
      <c r="AM64" s="93"/>
      <c r="AN64" s="93"/>
      <c r="AO64" s="93"/>
      <c r="AP64" s="93"/>
      <c r="AQ64" s="93"/>
      <c r="AR64" s="72"/>
    </row>
    <row r="65" customFormat="false" ht="14" hidden="false" customHeight="false" outlineLevel="0" collapsed="false">
      <c r="B65" s="37"/>
      <c r="G65" s="75"/>
      <c r="H65" s="75"/>
      <c r="I65" s="75"/>
      <c r="J65" s="75"/>
      <c r="K65" s="75"/>
      <c r="L65" s="75"/>
      <c r="M65" s="75"/>
      <c r="N65" s="75"/>
      <c r="O65" s="75"/>
      <c r="P65" s="75"/>
      <c r="Q65" s="75"/>
      <c r="R65" s="75"/>
      <c r="S65" s="75"/>
      <c r="T65" s="75"/>
      <c r="U65" s="75"/>
      <c r="V65" s="75"/>
      <c r="W65" s="75"/>
      <c r="AB65" s="95"/>
      <c r="AC65" s="95"/>
      <c r="AD65" s="95"/>
      <c r="AE65" s="95"/>
      <c r="AF65" s="95"/>
      <c r="AG65" s="95"/>
      <c r="AH65" s="95"/>
      <c r="AI65" s="95"/>
      <c r="AJ65" s="95"/>
      <c r="AK65" s="96"/>
      <c r="AL65" s="96"/>
      <c r="AM65" s="96"/>
      <c r="AN65" s="96"/>
      <c r="AO65" s="96"/>
      <c r="AP65" s="96"/>
      <c r="AQ65" s="96"/>
      <c r="AR65" s="72"/>
    </row>
    <row r="66" customFormat="false" ht="14" hidden="false" customHeight="false" outlineLevel="0" collapsed="false">
      <c r="B66" s="37"/>
      <c r="H66" s="56" t="s">
        <v>50</v>
      </c>
      <c r="I66" s="56"/>
      <c r="J66" s="56"/>
      <c r="K66" s="56"/>
      <c r="L66" s="56"/>
      <c r="M66" s="56"/>
      <c r="N66" s="56"/>
      <c r="O66" s="56"/>
      <c r="P66" s="56"/>
      <c r="Q66" s="56"/>
      <c r="R66" s="56"/>
      <c r="S66" s="56"/>
      <c r="T66" s="56"/>
      <c r="AK66" s="97"/>
      <c r="AL66" s="97"/>
      <c r="AM66" s="97"/>
      <c r="AN66" s="97"/>
      <c r="AO66" s="97"/>
      <c r="AP66" s="97"/>
      <c r="AQ66" s="97"/>
      <c r="AR66" s="72"/>
    </row>
    <row r="67" customFormat="false" ht="14.5" hidden="false" customHeight="false" outlineLevel="0" collapsed="false">
      <c r="B67" s="98"/>
      <c r="C67" s="99"/>
      <c r="D67" s="99"/>
      <c r="E67" s="99"/>
      <c r="F67" s="99"/>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100"/>
    </row>
  </sheetData>
  <mergeCells count="82">
    <mergeCell ref="M5:AR5"/>
    <mergeCell ref="B6:AB6"/>
    <mergeCell ref="AC6:AG6"/>
    <mergeCell ref="AI6:AR6"/>
    <mergeCell ref="B7:G7"/>
    <mergeCell ref="H7:T7"/>
    <mergeCell ref="K8:T8"/>
    <mergeCell ref="W8:AB8"/>
    <mergeCell ref="AC8:AK8"/>
    <mergeCell ref="AB10:AG10"/>
    <mergeCell ref="AN10:AQ10"/>
    <mergeCell ref="W12:Z12"/>
    <mergeCell ref="W14:Z14"/>
    <mergeCell ref="E16:I16"/>
    <mergeCell ref="J16:P16"/>
    <mergeCell ref="AB16:AN16"/>
    <mergeCell ref="G19:K19"/>
    <mergeCell ref="P19:V19"/>
    <mergeCell ref="AJ19:AP19"/>
    <mergeCell ref="G22:AJ22"/>
    <mergeCell ref="AL22:AR22"/>
    <mergeCell ref="R23:Z23"/>
    <mergeCell ref="AN23:AQ23"/>
    <mergeCell ref="G25:L25"/>
    <mergeCell ref="Q25:T25"/>
    <mergeCell ref="W25:Z25"/>
    <mergeCell ref="AA25:AF25"/>
    <mergeCell ref="AG25:AM25"/>
    <mergeCell ref="AN25:AR25"/>
    <mergeCell ref="G26:L26"/>
    <mergeCell ref="Q26:T26"/>
    <mergeCell ref="AB26:AD26"/>
    <mergeCell ref="AE26:AK26"/>
    <mergeCell ref="AN26:AR26"/>
    <mergeCell ref="G28:AR28"/>
    <mergeCell ref="G29:AO29"/>
    <mergeCell ref="G30:AK31"/>
    <mergeCell ref="I32:AJ32"/>
    <mergeCell ref="AN32:AQ32"/>
    <mergeCell ref="G34:AR34"/>
    <mergeCell ref="G35:AO35"/>
    <mergeCell ref="G37:AR37"/>
    <mergeCell ref="G38:AO38"/>
    <mergeCell ref="G39:AO39"/>
    <mergeCell ref="G40:AO40"/>
    <mergeCell ref="G42:AR42"/>
    <mergeCell ref="G44:AR44"/>
    <mergeCell ref="H45:AK45"/>
    <mergeCell ref="AG51:AR51"/>
    <mergeCell ref="G53:W53"/>
    <mergeCell ref="AC53:AQ53"/>
    <mergeCell ref="H54:W54"/>
    <mergeCell ref="AB54:AJ54"/>
    <mergeCell ref="AK54:AQ54"/>
    <mergeCell ref="AB55:AJ55"/>
    <mergeCell ref="AK55:AQ55"/>
    <mergeCell ref="G56:W56"/>
    <mergeCell ref="AB56:AJ56"/>
    <mergeCell ref="AK56:AQ56"/>
    <mergeCell ref="H57:W57"/>
    <mergeCell ref="AB57:AJ57"/>
    <mergeCell ref="AK57:AQ57"/>
    <mergeCell ref="AB58:AJ58"/>
    <mergeCell ref="AK58:AQ58"/>
    <mergeCell ref="G59:W59"/>
    <mergeCell ref="AB59:AJ59"/>
    <mergeCell ref="AK59:AQ59"/>
    <mergeCell ref="H60:W60"/>
    <mergeCell ref="AB60:AJ60"/>
    <mergeCell ref="AK60:AQ60"/>
    <mergeCell ref="AB61:AJ61"/>
    <mergeCell ref="AK61:AQ61"/>
    <mergeCell ref="G62:W65"/>
    <mergeCell ref="AB62:AJ62"/>
    <mergeCell ref="AK62:AQ62"/>
    <mergeCell ref="AB63:AJ63"/>
    <mergeCell ref="AK63:AQ63"/>
    <mergeCell ref="AB64:AJ64"/>
    <mergeCell ref="AK64:AQ64"/>
    <mergeCell ref="AB65:AJ65"/>
    <mergeCell ref="AK65:AQ65"/>
    <mergeCell ref="H66:T66"/>
  </mergeCells>
  <hyperlinks>
    <hyperlink ref="Q26" r:id="rId1" display="email"/>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7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BE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7" activeCellId="2" sqref="B30:P30 B34:P34 B37:P37"/>
    </sheetView>
  </sheetViews>
  <sheetFormatPr defaultColWidth="10.8125" defaultRowHeight="14" zeroHeight="false" outlineLevelRow="0" outlineLevelCol="0"/>
  <cols>
    <col collapsed="false" customWidth="true" hidden="false" outlineLevel="0" max="1" min="1" style="1" width="5.99"/>
    <col collapsed="false" customWidth="true" hidden="false" outlineLevel="0" max="2" min="2" style="1" width="2.72"/>
    <col collapsed="false" customWidth="true" hidden="false" outlineLevel="0" max="3" min="3" style="1" width="0.99"/>
    <col collapsed="false" customWidth="true" hidden="false" outlineLevel="0" max="4" min="4" style="1" width="4.26"/>
    <col collapsed="false" customWidth="true" hidden="false" outlineLevel="0" max="11" min="5" style="1" width="2.72"/>
    <col collapsed="false" customWidth="true" hidden="false" outlineLevel="0" max="12" min="12" style="1" width="1.44"/>
    <col collapsed="false" customWidth="true" hidden="false" outlineLevel="0" max="15" min="13" style="1" width="2.72"/>
    <col collapsed="false" customWidth="true" hidden="false" outlineLevel="0" max="16" min="16" style="1" width="1.44"/>
    <col collapsed="false" customWidth="true" hidden="false" outlineLevel="0" max="17" min="17" style="1" width="1.81"/>
    <col collapsed="false" customWidth="true" hidden="false" outlineLevel="0" max="18" min="18" style="1" width="2.81"/>
    <col collapsed="false" customWidth="true" hidden="false" outlineLevel="0" max="20" min="19" style="1" width="2.72"/>
    <col collapsed="false" customWidth="true" hidden="false" outlineLevel="0" max="21" min="21" style="1" width="2.81"/>
    <col collapsed="false" customWidth="true" hidden="false" outlineLevel="0" max="23" min="22" style="1" width="3.17"/>
    <col collapsed="false" customWidth="true" hidden="false" outlineLevel="0" max="24" min="24" style="1" width="2.26"/>
    <col collapsed="false" customWidth="true" hidden="false" outlineLevel="0" max="25" min="25" style="1" width="2.72"/>
    <col collapsed="false" customWidth="true" hidden="false" outlineLevel="0" max="26" min="26" style="1" width="1.26"/>
    <col collapsed="false" customWidth="true" hidden="false" outlineLevel="0" max="27" min="27" style="1" width="1.17"/>
    <col collapsed="false" customWidth="true" hidden="false" outlineLevel="0" max="28" min="28" style="1" width="2.72"/>
    <col collapsed="false" customWidth="true" hidden="false" outlineLevel="0" max="30" min="29" style="1" width="1.26"/>
    <col collapsed="false" customWidth="true" hidden="false" outlineLevel="0" max="31" min="31" style="1" width="3.44"/>
    <col collapsed="false" customWidth="true" hidden="false" outlineLevel="0" max="32" min="32" style="1" width="2.72"/>
    <col collapsed="false" customWidth="true" hidden="false" outlineLevel="0" max="33" min="33" style="1" width="6.72"/>
    <col collapsed="false" customWidth="true" hidden="false" outlineLevel="0" max="34" min="34" style="1" width="4.26"/>
    <col collapsed="false" customWidth="true" hidden="false" outlineLevel="0" max="35" min="35" style="1" width="3.72"/>
    <col collapsed="false" customWidth="true" hidden="false" outlineLevel="0" max="36" min="36" style="1" width="5.44"/>
    <col collapsed="false" customWidth="true" hidden="false" outlineLevel="0" max="37" min="37" style="1" width="2.72"/>
    <col collapsed="false" customWidth="true" hidden="false" outlineLevel="0" max="38" min="38" style="1" width="4.44"/>
    <col collapsed="false" customWidth="true" hidden="false" outlineLevel="0" max="54" min="39" style="1" width="2.72"/>
    <col collapsed="false" customWidth="false" hidden="false" outlineLevel="0" max="257" min="55" style="1" width="10.81"/>
  </cols>
  <sheetData>
    <row r="4" s="2" customFormat="true" ht="14" hidden="false" customHeight="false" outlineLevel="0" collapsed="false">
      <c r="B4" s="101"/>
      <c r="C4" s="101"/>
      <c r="D4" s="101"/>
      <c r="E4" s="101"/>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c r="AF4" s="101"/>
      <c r="AG4" s="101"/>
      <c r="AH4" s="101"/>
      <c r="AI4" s="101"/>
      <c r="AJ4" s="101"/>
      <c r="AK4" s="101"/>
    </row>
    <row r="5" s="2" customFormat="true" ht="14" hidden="false" customHeight="false" outlineLevel="0" collapsed="false">
      <c r="A5" s="102"/>
      <c r="B5" s="103" t="s">
        <v>51</v>
      </c>
      <c r="C5" s="102"/>
      <c r="D5" s="102"/>
      <c r="E5" s="102"/>
      <c r="F5" s="102"/>
      <c r="G5" s="102"/>
      <c r="H5" s="102"/>
      <c r="I5" s="102"/>
      <c r="J5" s="104"/>
      <c r="K5" s="104"/>
      <c r="L5" s="104"/>
      <c r="M5" s="104"/>
      <c r="N5" s="104"/>
      <c r="O5" s="104"/>
      <c r="P5" s="104"/>
      <c r="Q5" s="104"/>
      <c r="R5" s="104"/>
      <c r="S5" s="104"/>
      <c r="T5" s="104"/>
      <c r="U5" s="104"/>
      <c r="V5" s="104"/>
      <c r="W5" s="104"/>
      <c r="X5" s="104"/>
      <c r="Y5" s="104"/>
      <c r="Z5" s="104"/>
      <c r="AB5" s="105" t="s">
        <v>52</v>
      </c>
      <c r="AC5" s="105"/>
      <c r="AD5" s="105"/>
      <c r="AE5" s="105"/>
      <c r="AF5" s="105"/>
      <c r="AG5" s="105"/>
      <c r="AH5" s="106"/>
      <c r="AI5" s="106"/>
      <c r="AJ5" s="106"/>
      <c r="AK5" s="106"/>
    </row>
    <row r="6" s="2" customFormat="true" ht="14.25" hidden="false" customHeight="true" outlineLevel="0" collapsed="false">
      <c r="A6" s="102"/>
      <c r="B6" s="103" t="s">
        <v>53</v>
      </c>
      <c r="C6" s="102"/>
      <c r="D6" s="102"/>
      <c r="E6" s="102"/>
      <c r="F6" s="102"/>
      <c r="G6" s="102"/>
      <c r="H6" s="102"/>
      <c r="I6" s="102"/>
      <c r="K6" s="107" t="n">
        <f aca="false">'FICHE R1 '!K8:T8</f>
        <v>0</v>
      </c>
      <c r="L6" s="107"/>
      <c r="M6" s="107"/>
      <c r="N6" s="107"/>
      <c r="O6" s="107"/>
      <c r="P6" s="107"/>
      <c r="Q6" s="107"/>
      <c r="R6" s="107"/>
      <c r="S6" s="107"/>
      <c r="AB6" s="28" t="s">
        <v>54</v>
      </c>
      <c r="AC6" s="108"/>
      <c r="AD6" s="108"/>
      <c r="AE6" s="109"/>
      <c r="AF6" s="109"/>
      <c r="AG6" s="109"/>
      <c r="AH6" s="109"/>
      <c r="AI6" s="109"/>
      <c r="AJ6" s="109"/>
      <c r="AK6" s="109"/>
    </row>
    <row r="7" s="2" customFormat="true" ht="14" hidden="false" customHeight="false" outlineLevel="0" collapsed="false">
      <c r="B7" s="110"/>
      <c r="AC7" s="108"/>
      <c r="AD7" s="108"/>
      <c r="AE7" s="111"/>
      <c r="AF7" s="111"/>
      <c r="AG7" s="111"/>
      <c r="AH7" s="111"/>
      <c r="AI7" s="111"/>
      <c r="AJ7" s="111"/>
      <c r="AK7" s="111"/>
    </row>
    <row r="8" s="2" customFormat="true" ht="14.25" hidden="false" customHeight="true" outlineLevel="0" collapsed="false">
      <c r="B8" s="112"/>
      <c r="C8" s="15"/>
      <c r="I8" s="22"/>
      <c r="J8" s="23"/>
      <c r="K8" s="23"/>
      <c r="L8" s="23"/>
      <c r="M8" s="23"/>
      <c r="N8" s="23"/>
      <c r="O8" s="23"/>
      <c r="P8" s="23"/>
      <c r="Q8" s="23"/>
      <c r="R8" s="24"/>
      <c r="S8" s="24"/>
      <c r="T8" s="24"/>
      <c r="U8" s="24"/>
      <c r="V8" s="24"/>
      <c r="W8" s="24"/>
      <c r="X8" s="25"/>
      <c r="Y8" s="25"/>
      <c r="Z8" s="25"/>
      <c r="AA8" s="25"/>
      <c r="AB8" s="25"/>
      <c r="AC8" s="24"/>
      <c r="AD8" s="24"/>
      <c r="AE8" s="24"/>
      <c r="AF8" s="24"/>
      <c r="AG8" s="24"/>
      <c r="AH8" s="24"/>
      <c r="AI8" s="19"/>
      <c r="AJ8" s="19"/>
      <c r="AK8" s="113"/>
    </row>
    <row r="9" s="2" customFormat="true" ht="14.25" hidden="false" customHeight="true" outlineLevel="0" collapsed="false">
      <c r="B9" s="114"/>
      <c r="C9" s="115"/>
      <c r="D9" s="115"/>
      <c r="E9" s="115"/>
      <c r="F9" s="115"/>
      <c r="G9" s="115"/>
      <c r="H9" s="115"/>
      <c r="I9" s="115"/>
      <c r="J9" s="115"/>
      <c r="K9" s="115"/>
      <c r="L9" s="115"/>
      <c r="M9" s="115"/>
      <c r="N9" s="115"/>
      <c r="O9" s="115"/>
      <c r="P9" s="115"/>
      <c r="Q9" s="115"/>
      <c r="R9" s="115"/>
      <c r="S9" s="115"/>
      <c r="T9" s="116"/>
      <c r="U9" s="117"/>
      <c r="V9" s="118"/>
      <c r="W9" s="119" t="s">
        <v>55</v>
      </c>
      <c r="X9" s="119"/>
      <c r="Y9" s="119"/>
      <c r="Z9" s="119"/>
      <c r="AA9" s="119"/>
      <c r="AB9" s="119"/>
      <c r="AC9" s="119"/>
      <c r="AD9" s="119"/>
      <c r="AE9" s="119"/>
      <c r="AF9" s="119"/>
      <c r="AG9" s="119"/>
      <c r="AH9" s="119"/>
      <c r="AI9" s="119"/>
      <c r="AJ9" s="119"/>
      <c r="AK9" s="119"/>
    </row>
    <row r="10" s="2" customFormat="true" ht="14.25" hidden="false" customHeight="true" outlineLevel="0" collapsed="false">
      <c r="B10" s="120" t="s">
        <v>56</v>
      </c>
      <c r="C10" s="1"/>
      <c r="D10" s="32" t="s">
        <v>57</v>
      </c>
      <c r="E10" s="1"/>
      <c r="F10" s="1"/>
      <c r="G10" s="1"/>
      <c r="H10" s="1"/>
      <c r="I10" s="1"/>
      <c r="J10" s="1"/>
      <c r="K10" s="1"/>
      <c r="L10" s="1"/>
      <c r="M10" s="1"/>
      <c r="N10" s="1"/>
      <c r="O10" s="28"/>
      <c r="P10" s="28"/>
      <c r="Q10" s="28"/>
      <c r="R10" s="121"/>
      <c r="S10" s="121"/>
      <c r="T10" s="122"/>
      <c r="U10" s="28"/>
      <c r="V10" s="28"/>
      <c r="W10" s="120" t="s">
        <v>58</v>
      </c>
      <c r="X10" s="27" t="s">
        <v>59</v>
      </c>
      <c r="Y10" s="28"/>
      <c r="Z10" s="28"/>
      <c r="AA10" s="28"/>
      <c r="AB10" s="28"/>
      <c r="AC10" s="28"/>
      <c r="AD10" s="28"/>
      <c r="AE10" s="28"/>
      <c r="AF10" s="28"/>
      <c r="AG10" s="28"/>
      <c r="AH10" s="28"/>
      <c r="AI10" s="123"/>
      <c r="AJ10" s="124"/>
      <c r="AK10" s="118"/>
    </row>
    <row r="11" s="2" customFormat="true" ht="14.25" hidden="false" customHeight="true" outlineLevel="0" collapsed="false">
      <c r="B11" s="73"/>
      <c r="C11" s="1"/>
      <c r="D11" s="1"/>
      <c r="E11" s="1"/>
      <c r="F11" s="1"/>
      <c r="G11" s="1"/>
      <c r="H11" s="1"/>
      <c r="I11" s="1"/>
      <c r="J11" s="1"/>
      <c r="K11" s="1"/>
      <c r="L11" s="1"/>
      <c r="M11" s="1"/>
      <c r="N11" s="1"/>
      <c r="O11" s="28"/>
      <c r="P11" s="28"/>
      <c r="Q11" s="28"/>
      <c r="R11" s="38"/>
      <c r="S11" s="38"/>
      <c r="T11" s="39"/>
      <c r="U11" s="28"/>
      <c r="V11" s="28"/>
      <c r="W11" s="103"/>
      <c r="X11" s="28"/>
      <c r="Y11" s="28"/>
      <c r="Z11" s="28"/>
      <c r="AA11" s="28"/>
      <c r="AB11" s="28"/>
      <c r="AC11" s="28"/>
      <c r="AD11" s="28"/>
      <c r="AE11" s="28"/>
      <c r="AF11" s="28"/>
      <c r="AG11" s="28"/>
      <c r="AH11" s="28"/>
      <c r="AI11" s="103"/>
      <c r="AJ11" s="28"/>
      <c r="AK11" s="125"/>
    </row>
    <row r="12" s="2" customFormat="true" ht="14.25" hidden="false" customHeight="true" outlineLevel="0" collapsed="false">
      <c r="B12" s="120" t="s">
        <v>60</v>
      </c>
      <c r="C12" s="1"/>
      <c r="D12" s="32" t="s">
        <v>61</v>
      </c>
      <c r="E12" s="1"/>
      <c r="F12" s="1"/>
      <c r="G12" s="1"/>
      <c r="H12" s="1"/>
      <c r="I12" s="1"/>
      <c r="J12" s="1"/>
      <c r="K12" s="1"/>
      <c r="L12" s="1"/>
      <c r="M12" s="1"/>
      <c r="N12" s="1"/>
      <c r="O12" s="28"/>
      <c r="P12" s="28"/>
      <c r="Q12" s="28"/>
      <c r="R12" s="121"/>
      <c r="S12" s="126"/>
      <c r="T12" s="39"/>
      <c r="U12" s="28"/>
      <c r="V12" s="28"/>
      <c r="W12" s="120" t="s">
        <v>62</v>
      </c>
      <c r="X12" s="27" t="s">
        <v>63</v>
      </c>
      <c r="Y12" s="28"/>
      <c r="Z12" s="28"/>
      <c r="AA12" s="28"/>
      <c r="AB12" s="28"/>
      <c r="AC12" s="28"/>
      <c r="AD12" s="28"/>
      <c r="AE12" s="28"/>
      <c r="AF12" s="28"/>
      <c r="AG12" s="28"/>
      <c r="AH12" s="28"/>
      <c r="AI12" s="103"/>
      <c r="AJ12" s="127"/>
      <c r="AK12" s="125"/>
    </row>
    <row r="13" s="2" customFormat="true" ht="14.25" hidden="false" customHeight="true" outlineLevel="0" collapsed="false">
      <c r="B13" s="73"/>
      <c r="C13" s="1"/>
      <c r="D13" s="1"/>
      <c r="E13" s="1"/>
      <c r="F13" s="1"/>
      <c r="G13" s="1"/>
      <c r="H13" s="1"/>
      <c r="I13" s="1"/>
      <c r="J13" s="1"/>
      <c r="K13" s="1"/>
      <c r="L13" s="1"/>
      <c r="M13" s="1"/>
      <c r="N13" s="1"/>
      <c r="O13" s="28"/>
      <c r="P13" s="28"/>
      <c r="Q13" s="28"/>
      <c r="R13" s="38"/>
      <c r="S13" s="38"/>
      <c r="T13" s="39"/>
      <c r="U13" s="28"/>
      <c r="V13" s="28"/>
      <c r="W13" s="103"/>
      <c r="X13" s="28"/>
      <c r="Y13" s="28"/>
      <c r="Z13" s="28"/>
      <c r="AA13" s="28"/>
      <c r="AB13" s="28"/>
      <c r="AC13" s="28"/>
      <c r="AD13" s="28"/>
      <c r="AE13" s="28"/>
      <c r="AF13" s="28"/>
      <c r="AG13" s="28"/>
      <c r="AH13" s="28"/>
      <c r="AI13" s="103"/>
      <c r="AJ13" s="42"/>
      <c r="AK13" s="125"/>
    </row>
    <row r="14" s="2" customFormat="true" ht="14.25" hidden="false" customHeight="true" outlineLevel="0" collapsed="false">
      <c r="B14" s="120" t="s">
        <v>64</v>
      </c>
      <c r="C14" s="1"/>
      <c r="D14" s="32" t="s">
        <v>65</v>
      </c>
      <c r="E14" s="1"/>
      <c r="F14" s="1"/>
      <c r="G14" s="1"/>
      <c r="H14" s="1"/>
      <c r="I14" s="1"/>
      <c r="J14" s="1"/>
      <c r="K14" s="1"/>
      <c r="L14" s="1"/>
      <c r="M14" s="1"/>
      <c r="N14" s="1"/>
      <c r="O14" s="28"/>
      <c r="P14" s="28"/>
      <c r="Q14" s="28"/>
      <c r="R14" s="121"/>
      <c r="S14" s="121"/>
      <c r="T14" s="46"/>
      <c r="U14" s="28"/>
      <c r="V14" s="28"/>
      <c r="W14" s="120" t="s">
        <v>66</v>
      </c>
      <c r="X14" s="27" t="s">
        <v>67</v>
      </c>
      <c r="Y14" s="28"/>
      <c r="Z14" s="28"/>
      <c r="AA14" s="28"/>
      <c r="AB14" s="28"/>
      <c r="AC14" s="28"/>
      <c r="AD14" s="28"/>
      <c r="AE14" s="28"/>
      <c r="AF14" s="28"/>
      <c r="AG14" s="28"/>
      <c r="AH14" s="28"/>
      <c r="AI14" s="103"/>
      <c r="AJ14" s="127"/>
      <c r="AK14" s="125"/>
    </row>
    <row r="15" s="2" customFormat="true" ht="14.25" hidden="false" customHeight="true" outlineLevel="0" collapsed="false">
      <c r="B15" s="73"/>
      <c r="C15" s="1"/>
      <c r="D15" s="1"/>
      <c r="E15" s="1"/>
      <c r="F15" s="1"/>
      <c r="G15" s="1"/>
      <c r="H15" s="1"/>
      <c r="I15" s="1"/>
      <c r="J15" s="1"/>
      <c r="K15" s="1"/>
      <c r="L15" s="1"/>
      <c r="M15" s="1"/>
      <c r="N15" s="1"/>
      <c r="O15" s="28"/>
      <c r="P15" s="28"/>
      <c r="Q15" s="28"/>
      <c r="R15" s="38"/>
      <c r="S15" s="38"/>
      <c r="T15" s="39"/>
      <c r="U15" s="28"/>
      <c r="V15" s="28"/>
      <c r="W15" s="103"/>
      <c r="X15" s="28"/>
      <c r="Y15" s="28"/>
      <c r="Z15" s="28"/>
      <c r="AA15" s="28"/>
      <c r="AB15" s="28"/>
      <c r="AC15" s="28"/>
      <c r="AD15" s="28"/>
      <c r="AE15" s="28"/>
      <c r="AF15" s="28"/>
      <c r="AG15" s="28"/>
      <c r="AH15" s="28"/>
      <c r="AI15" s="103"/>
      <c r="AJ15" s="28"/>
      <c r="AK15" s="125"/>
    </row>
    <row r="16" s="2" customFormat="true" ht="14.25" hidden="false" customHeight="true" outlineLevel="0" collapsed="false">
      <c r="B16" s="120" t="s">
        <v>68</v>
      </c>
      <c r="D16" s="128" t="s">
        <v>69</v>
      </c>
      <c r="E16" s="1"/>
      <c r="F16" s="1"/>
      <c r="G16" s="1"/>
      <c r="H16" s="1"/>
      <c r="I16" s="1"/>
      <c r="J16" s="1"/>
      <c r="K16" s="1"/>
      <c r="L16" s="1"/>
      <c r="M16" s="1"/>
      <c r="N16" s="1"/>
      <c r="O16" s="28"/>
      <c r="P16" s="28"/>
      <c r="Q16" s="28"/>
      <c r="R16" s="121"/>
      <c r="S16" s="121"/>
      <c r="T16" s="39"/>
      <c r="U16" s="28"/>
      <c r="V16" s="28"/>
      <c r="W16" s="103"/>
      <c r="X16" s="28"/>
      <c r="Y16" s="28"/>
      <c r="Z16" s="28"/>
      <c r="AA16" s="28"/>
      <c r="AB16" s="28"/>
      <c r="AC16" s="28"/>
      <c r="AD16" s="28"/>
      <c r="AE16" s="28"/>
      <c r="AF16" s="28"/>
      <c r="AG16" s="28"/>
      <c r="AH16" s="28"/>
      <c r="AI16" s="103"/>
      <c r="AJ16" s="28"/>
      <c r="AK16" s="125"/>
    </row>
    <row r="17" s="2" customFormat="true" ht="14.25" hidden="false" customHeight="true" outlineLevel="0" collapsed="false">
      <c r="B17" s="73"/>
      <c r="C17" s="1"/>
      <c r="D17" s="1"/>
      <c r="E17" s="1"/>
      <c r="F17" s="1"/>
      <c r="G17" s="1"/>
      <c r="H17" s="1"/>
      <c r="I17" s="1"/>
      <c r="J17" s="1"/>
      <c r="K17" s="1"/>
      <c r="L17" s="1"/>
      <c r="M17" s="1"/>
      <c r="N17" s="1"/>
      <c r="O17" s="28"/>
      <c r="P17" s="28"/>
      <c r="Q17" s="28"/>
      <c r="R17" s="1"/>
      <c r="S17" s="1"/>
      <c r="T17" s="39"/>
      <c r="U17" s="28"/>
      <c r="V17" s="28"/>
      <c r="W17" s="103"/>
      <c r="X17" s="28"/>
      <c r="Y17" s="28"/>
      <c r="Z17" s="28"/>
      <c r="AA17" s="28"/>
      <c r="AB17" s="28"/>
      <c r="AC17" s="28"/>
      <c r="AD17" s="28"/>
      <c r="AE17" s="28"/>
      <c r="AF17" s="28"/>
      <c r="AG17" s="28"/>
      <c r="AH17" s="28"/>
      <c r="AI17" s="103"/>
      <c r="AJ17" s="28"/>
      <c r="AK17" s="125"/>
    </row>
    <row r="18" s="2" customFormat="true" ht="14.25" hidden="false" customHeight="true" outlineLevel="0" collapsed="false">
      <c r="B18" s="120" t="s">
        <v>70</v>
      </c>
      <c r="C18" s="1"/>
      <c r="D18" s="32" t="s">
        <v>71</v>
      </c>
      <c r="E18" s="1"/>
      <c r="F18" s="1"/>
      <c r="G18" s="1"/>
      <c r="H18" s="1"/>
      <c r="I18" s="1"/>
      <c r="J18" s="1"/>
      <c r="K18" s="1"/>
      <c r="L18" s="1"/>
      <c r="M18" s="1"/>
      <c r="N18" s="1"/>
      <c r="O18" s="28"/>
      <c r="P18" s="28"/>
      <c r="Q18" s="28"/>
      <c r="R18" s="121"/>
      <c r="S18" s="121"/>
      <c r="T18" s="39"/>
      <c r="U18" s="28"/>
      <c r="V18" s="28"/>
      <c r="W18" s="103"/>
      <c r="X18" s="28"/>
      <c r="Y18" s="28"/>
      <c r="Z18" s="28"/>
      <c r="AA18" s="28"/>
      <c r="AB18" s="28"/>
      <c r="AC18" s="28"/>
      <c r="AD18" s="28"/>
      <c r="AE18" s="28"/>
      <c r="AF18" s="28"/>
      <c r="AG18" s="28"/>
      <c r="AH18" s="28"/>
      <c r="AI18" s="103"/>
      <c r="AJ18" s="28"/>
      <c r="AK18" s="125"/>
    </row>
    <row r="19" s="2" customFormat="true" ht="14.25" hidden="false" customHeight="true" outlineLevel="0" collapsed="false">
      <c r="B19" s="103"/>
      <c r="C19" s="1"/>
      <c r="D19" s="32" t="s">
        <v>72</v>
      </c>
      <c r="E19" s="1"/>
      <c r="F19" s="1"/>
      <c r="G19" s="1"/>
      <c r="H19" s="1"/>
      <c r="I19" s="1"/>
      <c r="J19" s="1"/>
      <c r="K19" s="1"/>
      <c r="L19" s="1"/>
      <c r="M19" s="1"/>
      <c r="N19" s="1"/>
      <c r="O19" s="28"/>
      <c r="P19" s="28"/>
      <c r="Q19" s="28"/>
      <c r="R19" s="1"/>
      <c r="S19" s="1"/>
      <c r="T19" s="39"/>
      <c r="U19" s="28"/>
      <c r="V19" s="28"/>
      <c r="W19" s="103"/>
      <c r="X19" s="28"/>
      <c r="Y19" s="28"/>
      <c r="Z19" s="28"/>
      <c r="AA19" s="28"/>
      <c r="AB19" s="28"/>
      <c r="AC19" s="28"/>
      <c r="AD19" s="28"/>
      <c r="AE19" s="28"/>
      <c r="AF19" s="28"/>
      <c r="AG19" s="28"/>
      <c r="AH19" s="28"/>
      <c r="AI19" s="103"/>
      <c r="AJ19" s="28"/>
      <c r="AK19" s="125"/>
    </row>
    <row r="20" s="2" customFormat="true" ht="14.25" hidden="false" customHeight="true" outlineLevel="0" collapsed="false">
      <c r="B20" s="73"/>
      <c r="C20" s="1"/>
      <c r="D20" s="1"/>
      <c r="E20" s="1"/>
      <c r="F20" s="1"/>
      <c r="G20" s="1"/>
      <c r="H20" s="1"/>
      <c r="I20" s="1"/>
      <c r="J20" s="1"/>
      <c r="K20" s="1"/>
      <c r="L20" s="1"/>
      <c r="M20" s="1"/>
      <c r="N20" s="1"/>
      <c r="O20" s="28"/>
      <c r="P20" s="28"/>
      <c r="Q20" s="28"/>
      <c r="R20" s="1"/>
      <c r="S20" s="1"/>
      <c r="T20" s="39"/>
      <c r="U20" s="28"/>
      <c r="V20" s="28"/>
      <c r="W20" s="103"/>
      <c r="X20" s="28"/>
      <c r="Y20" s="28"/>
      <c r="Z20" s="28"/>
      <c r="AA20" s="28"/>
      <c r="AB20" s="28"/>
      <c r="AC20" s="28"/>
      <c r="AD20" s="28"/>
      <c r="AE20" s="28"/>
      <c r="AF20" s="28"/>
      <c r="AG20" s="28"/>
      <c r="AH20" s="28"/>
      <c r="AI20" s="103"/>
      <c r="AJ20" s="28"/>
      <c r="AK20" s="125"/>
    </row>
    <row r="21" s="2" customFormat="true" ht="14.25" hidden="false" customHeight="true" outlineLevel="0" collapsed="false">
      <c r="B21" s="120" t="s">
        <v>73</v>
      </c>
      <c r="C21" s="1"/>
      <c r="D21" s="32" t="s">
        <v>74</v>
      </c>
      <c r="E21" s="1"/>
      <c r="F21" s="1"/>
      <c r="G21" s="1"/>
      <c r="H21" s="1"/>
      <c r="I21" s="1"/>
      <c r="J21" s="1"/>
      <c r="K21" s="1"/>
      <c r="L21" s="1"/>
      <c r="M21" s="1"/>
      <c r="N21" s="1"/>
      <c r="O21" s="28"/>
      <c r="P21" s="28"/>
      <c r="Q21" s="28"/>
      <c r="R21" s="121"/>
      <c r="S21" s="121"/>
      <c r="T21" s="121"/>
      <c r="U21" s="121"/>
      <c r="V21" s="129"/>
      <c r="W21" s="103"/>
      <c r="X21" s="28"/>
      <c r="Y21" s="28"/>
      <c r="Z21" s="28"/>
      <c r="AA21" s="28"/>
      <c r="AB21" s="28"/>
      <c r="AC21" s="28"/>
      <c r="AD21" s="28"/>
      <c r="AE21" s="28"/>
      <c r="AF21" s="28"/>
      <c r="AG21" s="28"/>
      <c r="AH21" s="28"/>
      <c r="AI21" s="103"/>
      <c r="AJ21" s="28"/>
      <c r="AK21" s="125"/>
    </row>
    <row r="22" s="2" customFormat="true" ht="14.25" hidden="false" customHeight="true" outlineLevel="0" collapsed="false">
      <c r="B22" s="130"/>
      <c r="C22" s="78"/>
      <c r="D22" s="78"/>
      <c r="E22" s="78"/>
      <c r="F22" s="78"/>
      <c r="G22" s="78"/>
      <c r="H22" s="78"/>
      <c r="I22" s="78"/>
      <c r="J22" s="78"/>
      <c r="K22" s="78"/>
      <c r="L22" s="78"/>
      <c r="M22" s="78"/>
      <c r="N22" s="78"/>
      <c r="O22" s="131"/>
      <c r="P22" s="131"/>
      <c r="Q22" s="131"/>
      <c r="R22" s="131"/>
      <c r="S22" s="131"/>
      <c r="T22" s="131"/>
      <c r="U22" s="131"/>
      <c r="V22" s="132"/>
      <c r="W22" s="130"/>
      <c r="X22" s="131"/>
      <c r="Y22" s="131"/>
      <c r="Z22" s="131"/>
      <c r="AA22" s="131"/>
      <c r="AB22" s="131"/>
      <c r="AC22" s="131"/>
      <c r="AD22" s="131"/>
      <c r="AE22" s="131"/>
      <c r="AF22" s="131"/>
      <c r="AG22" s="131"/>
      <c r="AH22" s="131"/>
      <c r="AI22" s="130"/>
      <c r="AJ22" s="131"/>
      <c r="AK22" s="132"/>
    </row>
    <row r="23" s="2" customFormat="true" ht="14.25" hidden="false" customHeight="true" outlineLevel="0" collapsed="false">
      <c r="B23" s="133"/>
      <c r="C23" s="134"/>
      <c r="D23" s="134"/>
      <c r="E23" s="134"/>
      <c r="F23" s="134"/>
      <c r="G23" s="134"/>
      <c r="H23" s="134"/>
      <c r="I23" s="134"/>
      <c r="J23" s="134"/>
      <c r="AK23" s="135"/>
    </row>
    <row r="24" customFormat="false" ht="14" hidden="false" customHeight="false" outlineLevel="0" collapsed="false">
      <c r="B24" s="136" t="s">
        <v>75</v>
      </c>
      <c r="C24" s="136"/>
      <c r="D24" s="136"/>
      <c r="E24" s="136"/>
      <c r="F24" s="136"/>
      <c r="G24" s="136"/>
      <c r="H24" s="136"/>
      <c r="I24" s="136"/>
      <c r="J24" s="136"/>
      <c r="K24" s="136"/>
      <c r="L24" s="136"/>
      <c r="M24" s="136"/>
      <c r="N24" s="136"/>
      <c r="O24" s="136"/>
      <c r="P24" s="136"/>
      <c r="Q24" s="136"/>
      <c r="R24" s="136"/>
      <c r="S24" s="136"/>
      <c r="T24" s="136"/>
      <c r="U24" s="136"/>
      <c r="V24" s="136"/>
      <c r="W24" s="136"/>
      <c r="X24" s="136"/>
      <c r="Y24" s="136"/>
      <c r="Z24" s="136"/>
      <c r="AA24" s="136"/>
      <c r="AB24" s="136"/>
      <c r="AC24" s="136"/>
      <c r="AD24" s="136"/>
      <c r="AE24" s="136"/>
      <c r="AF24" s="136"/>
      <c r="AG24" s="136"/>
      <c r="AH24" s="136"/>
      <c r="AI24" s="136"/>
      <c r="AJ24" s="136"/>
      <c r="AK24" s="136"/>
      <c r="AL24" s="137"/>
      <c r="AM24" s="137"/>
      <c r="AN24" s="137"/>
      <c r="AO24" s="137"/>
      <c r="AP24" s="137"/>
      <c r="AQ24" s="137"/>
      <c r="AR24" s="137"/>
      <c r="AS24" s="137"/>
      <c r="AT24" s="137"/>
      <c r="AU24" s="137"/>
      <c r="AV24" s="137"/>
      <c r="AW24" s="137"/>
      <c r="AX24" s="137"/>
    </row>
    <row r="25" customFormat="false" ht="15" hidden="false" customHeight="true" outlineLevel="0" collapsed="false">
      <c r="B25" s="73"/>
      <c r="AK25" s="74"/>
    </row>
    <row r="26" customFormat="false" ht="14.25" hidden="false" customHeight="true" outlineLevel="0" collapsed="false">
      <c r="B26" s="138" t="s">
        <v>76</v>
      </c>
      <c r="C26" s="138"/>
      <c r="D26" s="138"/>
      <c r="E26" s="138"/>
      <c r="F26" s="138"/>
      <c r="G26" s="138"/>
      <c r="H26" s="138"/>
      <c r="I26" s="138"/>
      <c r="J26" s="138"/>
      <c r="K26" s="138"/>
      <c r="L26" s="138"/>
      <c r="M26" s="138"/>
      <c r="N26" s="138"/>
      <c r="O26" s="138"/>
      <c r="P26" s="138"/>
      <c r="Q26" s="138" t="s">
        <v>77</v>
      </c>
      <c r="R26" s="138"/>
      <c r="S26" s="138"/>
      <c r="T26" s="138"/>
      <c r="U26" s="138"/>
      <c r="V26" s="138"/>
      <c r="W26" s="138"/>
      <c r="X26" s="138"/>
      <c r="Y26" s="139" t="s">
        <v>78</v>
      </c>
      <c r="Z26" s="139"/>
      <c r="AA26" s="139"/>
      <c r="AB26" s="139"/>
      <c r="AC26" s="139"/>
      <c r="AD26" s="139"/>
      <c r="AE26" s="139"/>
      <c r="AF26" s="139"/>
      <c r="AG26" s="139"/>
      <c r="AH26" s="139" t="s">
        <v>79</v>
      </c>
      <c r="AI26" s="139"/>
      <c r="AJ26" s="139"/>
      <c r="AK26" s="139"/>
      <c r="AM26" s="28"/>
      <c r="AN26" s="28"/>
      <c r="AO26" s="28"/>
      <c r="AP26" s="28"/>
      <c r="AQ26" s="28"/>
      <c r="AR26" s="28"/>
      <c r="AS26" s="28"/>
      <c r="AT26" s="28"/>
      <c r="AU26" s="28"/>
      <c r="AV26" s="28"/>
      <c r="AW26" s="28"/>
      <c r="AX26" s="28"/>
      <c r="AY26" s="28"/>
      <c r="AZ26" s="28"/>
      <c r="BA26" s="28"/>
      <c r="BB26" s="28"/>
      <c r="BD26" s="28"/>
      <c r="BE26" s="28"/>
    </row>
    <row r="27" customFormat="false" ht="14.25" hidden="false" customHeight="true" outlineLevel="0" collapsed="false">
      <c r="B27" s="140"/>
      <c r="C27" s="141"/>
      <c r="D27" s="141"/>
      <c r="E27" s="141"/>
      <c r="F27" s="141"/>
      <c r="G27" s="141"/>
      <c r="H27" s="141"/>
      <c r="I27" s="141"/>
      <c r="J27" s="141"/>
      <c r="K27" s="141"/>
      <c r="L27" s="141"/>
      <c r="M27" s="141"/>
      <c r="N27" s="141"/>
      <c r="O27" s="141"/>
      <c r="P27" s="142"/>
      <c r="Q27" s="143" t="s">
        <v>80</v>
      </c>
      <c r="R27" s="143"/>
      <c r="S27" s="143"/>
      <c r="T27" s="143"/>
      <c r="U27" s="143"/>
      <c r="V27" s="143"/>
      <c r="W27" s="143"/>
      <c r="X27" s="143"/>
      <c r="Y27" s="144" t="s">
        <v>81</v>
      </c>
      <c r="Z27" s="144"/>
      <c r="AA27" s="144"/>
      <c r="AB27" s="144"/>
      <c r="AC27" s="144"/>
      <c r="AD27" s="144"/>
      <c r="AE27" s="144"/>
      <c r="AF27" s="144"/>
      <c r="AG27" s="144"/>
      <c r="AH27" s="144" t="s">
        <v>82</v>
      </c>
      <c r="AI27" s="144"/>
      <c r="AJ27" s="144"/>
      <c r="AK27" s="144"/>
      <c r="AM27" s="28"/>
      <c r="AN27" s="28"/>
      <c r="AO27" s="28"/>
      <c r="AP27" s="28"/>
      <c r="AQ27" s="28"/>
      <c r="AR27" s="28"/>
      <c r="AS27" s="28"/>
      <c r="AT27" s="28"/>
      <c r="AU27" s="28"/>
      <c r="AV27" s="28"/>
      <c r="AW27" s="28"/>
      <c r="AX27" s="28"/>
      <c r="AY27" s="28"/>
      <c r="AZ27" s="28"/>
      <c r="BA27" s="28"/>
      <c r="BB27" s="28"/>
      <c r="BD27" s="28"/>
      <c r="BE27" s="28"/>
    </row>
    <row r="28" customFormat="false" ht="14.25" hidden="false" customHeight="true" outlineLevel="0" collapsed="false">
      <c r="B28" s="145"/>
      <c r="C28" s="146"/>
      <c r="D28" s="146"/>
      <c r="E28" s="146"/>
      <c r="F28" s="146"/>
      <c r="G28" s="146"/>
      <c r="H28" s="146"/>
      <c r="I28" s="147"/>
      <c r="J28" s="146"/>
      <c r="K28" s="146"/>
      <c r="L28" s="146"/>
      <c r="M28" s="146"/>
      <c r="N28" s="146"/>
      <c r="O28" s="146"/>
      <c r="P28" s="148"/>
      <c r="Q28" s="145"/>
      <c r="R28" s="146"/>
      <c r="S28" s="146"/>
      <c r="T28" s="147"/>
      <c r="U28" s="146"/>
      <c r="V28" s="146"/>
      <c r="W28" s="146"/>
      <c r="X28" s="148"/>
      <c r="Y28" s="77"/>
      <c r="Z28" s="78"/>
      <c r="AA28" s="78"/>
      <c r="AB28" s="78"/>
      <c r="AC28" s="149"/>
      <c r="AD28" s="78"/>
      <c r="AE28" s="150"/>
      <c r="AF28" s="78"/>
      <c r="AG28" s="79"/>
      <c r="AH28" s="151" t="s">
        <v>83</v>
      </c>
      <c r="AI28" s="151"/>
      <c r="AJ28" s="151"/>
      <c r="AK28" s="151"/>
      <c r="AM28" s="28"/>
      <c r="AN28" s="28"/>
      <c r="AO28" s="28"/>
      <c r="AP28" s="28"/>
      <c r="AQ28" s="28"/>
      <c r="AR28" s="28"/>
      <c r="AS28" s="28"/>
      <c r="AT28" s="28"/>
      <c r="AU28" s="28"/>
      <c r="AV28" s="28"/>
      <c r="AW28" s="28"/>
      <c r="AX28" s="28"/>
      <c r="AY28" s="28"/>
      <c r="AZ28" s="28"/>
      <c r="BA28" s="28"/>
      <c r="BB28" s="28"/>
      <c r="BD28" s="28"/>
      <c r="BE28" s="28"/>
    </row>
    <row r="29" customFormat="false" ht="8.15" hidden="false" customHeight="true" outlineLevel="0" collapsed="false">
      <c r="A29" s="39"/>
      <c r="B29" s="152"/>
      <c r="C29" s="153"/>
      <c r="D29" s="153"/>
      <c r="E29" s="153"/>
      <c r="F29" s="153"/>
      <c r="G29" s="153"/>
      <c r="H29" s="153"/>
      <c r="I29" s="153"/>
      <c r="J29" s="153"/>
      <c r="K29" s="153"/>
      <c r="L29" s="153"/>
      <c r="M29" s="153"/>
      <c r="N29" s="153"/>
      <c r="O29" s="153"/>
      <c r="P29" s="153"/>
      <c r="Q29" s="152"/>
      <c r="R29" s="153"/>
      <c r="S29" s="153"/>
      <c r="T29" s="153"/>
      <c r="U29" s="153"/>
      <c r="V29" s="153"/>
      <c r="W29" s="153"/>
      <c r="X29" s="154"/>
      <c r="AG29" s="74"/>
      <c r="AH29" s="73"/>
      <c r="AK29" s="74"/>
      <c r="AM29" s="28"/>
      <c r="AN29" s="28"/>
      <c r="AO29" s="28"/>
      <c r="AP29" s="28"/>
      <c r="AQ29" s="28"/>
      <c r="AR29" s="28"/>
      <c r="AS29" s="28"/>
      <c r="AT29" s="28"/>
      <c r="AU29" s="28"/>
      <c r="AV29" s="28"/>
      <c r="AW29" s="28"/>
      <c r="AX29" s="28"/>
      <c r="AY29" s="28"/>
      <c r="AZ29" s="28"/>
      <c r="BA29" s="28"/>
      <c r="BB29" s="28"/>
      <c r="BD29" s="28"/>
      <c r="BE29" s="28"/>
    </row>
    <row r="30" customFormat="false" ht="14.5" hidden="false" customHeight="false" outlineLevel="0" collapsed="false">
      <c r="A30" s="49"/>
      <c r="B30" s="155"/>
      <c r="C30" s="155"/>
      <c r="D30" s="155"/>
      <c r="E30" s="155"/>
      <c r="F30" s="155"/>
      <c r="G30" s="155"/>
      <c r="H30" s="155"/>
      <c r="I30" s="155"/>
      <c r="J30" s="155"/>
      <c r="K30" s="155"/>
      <c r="L30" s="155"/>
      <c r="M30" s="155"/>
      <c r="N30" s="155"/>
      <c r="O30" s="155"/>
      <c r="P30" s="155"/>
      <c r="Q30" s="73"/>
      <c r="R30" s="121"/>
      <c r="S30" s="121"/>
      <c r="T30" s="121"/>
      <c r="U30" s="121"/>
      <c r="V30" s="121"/>
      <c r="W30" s="121"/>
      <c r="X30" s="156"/>
      <c r="Y30" s="157" t="n">
        <v>0</v>
      </c>
      <c r="Z30" s="157"/>
      <c r="AA30" s="157"/>
      <c r="AB30" s="157"/>
      <c r="AC30" s="157"/>
      <c r="AD30" s="157"/>
      <c r="AE30" s="157"/>
      <c r="AF30" s="157"/>
      <c r="AG30" s="157"/>
      <c r="AH30" s="158" t="e">
        <f aca="false">Y30/Y42</f>
        <v>#DIV/0!</v>
      </c>
      <c r="AI30" s="158"/>
      <c r="AJ30" s="158"/>
      <c r="AK30" s="158"/>
      <c r="AM30" s="28"/>
      <c r="AN30" s="28"/>
      <c r="AO30" s="28"/>
      <c r="AP30" s="28"/>
      <c r="AQ30" s="28"/>
      <c r="AR30" s="28"/>
      <c r="AS30" s="28"/>
      <c r="AT30" s="28"/>
      <c r="AU30" s="28"/>
      <c r="AV30" s="28"/>
      <c r="AW30" s="28"/>
      <c r="AX30" s="28"/>
      <c r="AY30" s="28"/>
      <c r="AZ30" s="28"/>
      <c r="BA30" s="28"/>
      <c r="BB30" s="28"/>
      <c r="BD30" s="28"/>
      <c r="BE30" s="28"/>
    </row>
    <row r="31" customFormat="false" ht="8.15" hidden="false" customHeight="true" outlineLevel="0" collapsed="false">
      <c r="A31" s="49"/>
      <c r="B31" s="77"/>
      <c r="C31" s="78"/>
      <c r="D31" s="78"/>
      <c r="E31" s="78"/>
      <c r="F31" s="78"/>
      <c r="G31" s="78"/>
      <c r="H31" s="78"/>
      <c r="I31" s="78"/>
      <c r="J31" s="78"/>
      <c r="K31" s="78"/>
      <c r="L31" s="78"/>
      <c r="M31" s="78"/>
      <c r="N31" s="78"/>
      <c r="O31" s="78"/>
      <c r="P31" s="78"/>
      <c r="Q31" s="77"/>
      <c r="R31" s="78"/>
      <c r="S31" s="78"/>
      <c r="T31" s="78"/>
      <c r="U31" s="78"/>
      <c r="V31" s="78"/>
      <c r="W31" s="78"/>
      <c r="X31" s="79"/>
      <c r="Y31" s="78"/>
      <c r="Z31" s="78"/>
      <c r="AA31" s="78"/>
      <c r="AB31" s="78"/>
      <c r="AC31" s="78"/>
      <c r="AD31" s="78"/>
      <c r="AE31" s="78"/>
      <c r="AF31" s="78"/>
      <c r="AG31" s="79"/>
      <c r="AH31" s="77"/>
      <c r="AI31" s="78"/>
      <c r="AJ31" s="78"/>
      <c r="AK31" s="79"/>
      <c r="AM31" s="28"/>
      <c r="AN31" s="28"/>
      <c r="AO31" s="28"/>
      <c r="AP31" s="28"/>
      <c r="AQ31" s="28"/>
      <c r="AR31" s="28"/>
      <c r="AS31" s="28"/>
      <c r="AT31" s="28"/>
      <c r="AU31" s="28"/>
      <c r="AV31" s="28"/>
      <c r="AW31" s="28"/>
      <c r="AX31" s="28"/>
      <c r="AY31" s="28"/>
      <c r="AZ31" s="28"/>
      <c r="BA31" s="28"/>
      <c r="BB31" s="28"/>
      <c r="BD31" s="28"/>
      <c r="BE31" s="28"/>
    </row>
    <row r="32" customFormat="false" ht="8.15" hidden="false" customHeight="true" outlineLevel="0" collapsed="false">
      <c r="A32" s="49"/>
      <c r="B32" s="73"/>
      <c r="Q32" s="73"/>
      <c r="X32" s="74"/>
      <c r="AG32" s="74"/>
      <c r="AH32" s="73"/>
      <c r="AK32" s="74"/>
      <c r="AM32" s="28"/>
      <c r="AN32" s="28"/>
      <c r="AO32" s="28"/>
      <c r="AP32" s="28"/>
      <c r="AQ32" s="28"/>
      <c r="AR32" s="28"/>
      <c r="AS32" s="28"/>
      <c r="AT32" s="28"/>
      <c r="AU32" s="28"/>
      <c r="AV32" s="28"/>
      <c r="AW32" s="28"/>
      <c r="AX32" s="28"/>
      <c r="AY32" s="28"/>
      <c r="AZ32" s="28"/>
      <c r="BA32" s="28"/>
      <c r="BB32" s="28"/>
      <c r="BD32" s="28"/>
      <c r="BE32" s="28"/>
    </row>
    <row r="33" customFormat="false" ht="8.15" hidden="false" customHeight="true" outlineLevel="0" collapsed="false">
      <c r="A33" s="49"/>
      <c r="B33" s="73"/>
      <c r="Q33" s="73"/>
      <c r="X33" s="74"/>
      <c r="AG33" s="74"/>
      <c r="AH33" s="73"/>
      <c r="AK33" s="74"/>
      <c r="AM33" s="28"/>
      <c r="AN33" s="28"/>
      <c r="AO33" s="28"/>
      <c r="AP33" s="28"/>
      <c r="AQ33" s="28"/>
      <c r="AR33" s="28"/>
      <c r="AS33" s="28"/>
      <c r="AT33" s="28"/>
      <c r="AU33" s="28"/>
      <c r="AV33" s="28"/>
      <c r="AW33" s="28"/>
      <c r="AX33" s="28"/>
      <c r="AY33" s="28"/>
      <c r="AZ33" s="28"/>
      <c r="BA33" s="28"/>
      <c r="BB33" s="28"/>
      <c r="BD33" s="28"/>
      <c r="BE33" s="28"/>
    </row>
    <row r="34" customFormat="false" ht="15" hidden="false" customHeight="true" outlineLevel="0" collapsed="false">
      <c r="A34" s="49"/>
      <c r="B34" s="159"/>
      <c r="C34" s="159"/>
      <c r="D34" s="159"/>
      <c r="E34" s="159"/>
      <c r="F34" s="159"/>
      <c r="G34" s="159"/>
      <c r="H34" s="159"/>
      <c r="I34" s="159"/>
      <c r="J34" s="159"/>
      <c r="K34" s="159"/>
      <c r="L34" s="159"/>
      <c r="M34" s="159"/>
      <c r="N34" s="159"/>
      <c r="O34" s="159"/>
      <c r="P34" s="159"/>
      <c r="Q34" s="73"/>
      <c r="R34" s="45"/>
      <c r="S34" s="45"/>
      <c r="T34" s="45"/>
      <c r="U34" s="45"/>
      <c r="V34" s="45"/>
      <c r="W34" s="45"/>
      <c r="X34" s="74"/>
      <c r="Y34" s="160"/>
      <c r="Z34" s="160"/>
      <c r="AA34" s="160"/>
      <c r="AB34" s="160"/>
      <c r="AC34" s="160"/>
      <c r="AD34" s="160"/>
      <c r="AE34" s="160"/>
      <c r="AF34" s="160"/>
      <c r="AG34" s="160"/>
      <c r="AH34" s="158" t="e">
        <f aca="false">Y34/Y42</f>
        <v>#DIV/0!</v>
      </c>
      <c r="AI34" s="158"/>
      <c r="AJ34" s="158"/>
      <c r="AK34" s="158"/>
      <c r="AM34" s="28"/>
      <c r="AN34" s="28"/>
      <c r="AO34" s="28"/>
      <c r="AP34" s="28"/>
      <c r="AQ34" s="28"/>
      <c r="AR34" s="28"/>
      <c r="AS34" s="28"/>
      <c r="AT34" s="28"/>
      <c r="AU34" s="28"/>
      <c r="AV34" s="28"/>
      <c r="AW34" s="28"/>
      <c r="AX34" s="28"/>
      <c r="AY34" s="28"/>
      <c r="AZ34" s="28"/>
      <c r="BA34" s="28"/>
      <c r="BB34" s="28"/>
      <c r="BD34" s="28"/>
      <c r="BE34" s="28"/>
    </row>
    <row r="35" customFormat="false" ht="8.15" hidden="false" customHeight="true" outlineLevel="0" collapsed="false">
      <c r="A35" s="49"/>
      <c r="B35" s="77"/>
      <c r="C35" s="78"/>
      <c r="D35" s="78"/>
      <c r="E35" s="78"/>
      <c r="F35" s="78"/>
      <c r="G35" s="78"/>
      <c r="H35" s="78"/>
      <c r="I35" s="78"/>
      <c r="J35" s="78"/>
      <c r="K35" s="78"/>
      <c r="L35" s="78"/>
      <c r="M35" s="78"/>
      <c r="N35" s="78"/>
      <c r="O35" s="78"/>
      <c r="P35" s="78"/>
      <c r="Q35" s="77"/>
      <c r="R35" s="78"/>
      <c r="S35" s="78"/>
      <c r="T35" s="78"/>
      <c r="U35" s="78"/>
      <c r="V35" s="78"/>
      <c r="W35" s="78"/>
      <c r="X35" s="79"/>
      <c r="Y35" s="78"/>
      <c r="Z35" s="78"/>
      <c r="AA35" s="78"/>
      <c r="AB35" s="78"/>
      <c r="AC35" s="78"/>
      <c r="AD35" s="78"/>
      <c r="AE35" s="78"/>
      <c r="AF35" s="78"/>
      <c r="AG35" s="79"/>
      <c r="AH35" s="77"/>
      <c r="AI35" s="78"/>
      <c r="AJ35" s="78"/>
      <c r="AK35" s="79"/>
      <c r="AM35" s="28"/>
      <c r="AN35" s="28"/>
      <c r="AO35" s="28"/>
      <c r="AP35" s="28"/>
      <c r="AQ35" s="28"/>
      <c r="AR35" s="28"/>
      <c r="AS35" s="28"/>
      <c r="AT35" s="28"/>
      <c r="AU35" s="28"/>
      <c r="AV35" s="28"/>
      <c r="AW35" s="28"/>
      <c r="AX35" s="28"/>
      <c r="AY35" s="28"/>
      <c r="AZ35" s="28"/>
      <c r="BA35" s="28"/>
      <c r="BB35" s="28"/>
      <c r="BD35" s="28"/>
      <c r="BE35" s="28"/>
    </row>
    <row r="36" customFormat="false" ht="8.15" hidden="false" customHeight="true" outlineLevel="0" collapsed="false">
      <c r="A36" s="49"/>
      <c r="B36" s="73"/>
      <c r="Q36" s="73"/>
      <c r="X36" s="74"/>
      <c r="AG36" s="74"/>
      <c r="AH36" s="73"/>
      <c r="AK36" s="74"/>
      <c r="AM36" s="28"/>
      <c r="AN36" s="28"/>
      <c r="AO36" s="28"/>
      <c r="AP36" s="28"/>
      <c r="AQ36" s="28"/>
      <c r="AR36" s="28"/>
      <c r="AS36" s="28"/>
      <c r="AT36" s="28"/>
      <c r="AU36" s="28"/>
      <c r="AV36" s="28"/>
      <c r="AW36" s="28"/>
      <c r="AX36" s="28"/>
      <c r="AY36" s="28"/>
      <c r="AZ36" s="28"/>
      <c r="BA36" s="28"/>
      <c r="BB36" s="28"/>
      <c r="BD36" s="28"/>
      <c r="BE36" s="28"/>
    </row>
    <row r="37" customFormat="false" ht="15" hidden="false" customHeight="true" outlineLevel="0" collapsed="false">
      <c r="A37" s="49"/>
      <c r="B37" s="159"/>
      <c r="C37" s="159"/>
      <c r="D37" s="159"/>
      <c r="E37" s="159"/>
      <c r="F37" s="159"/>
      <c r="G37" s="159"/>
      <c r="H37" s="159"/>
      <c r="I37" s="159"/>
      <c r="J37" s="159"/>
      <c r="K37" s="159"/>
      <c r="L37" s="159"/>
      <c r="M37" s="159"/>
      <c r="N37" s="159"/>
      <c r="O37" s="159"/>
      <c r="P37" s="159"/>
      <c r="Q37" s="73"/>
      <c r="R37" s="45"/>
      <c r="S37" s="45"/>
      <c r="T37" s="45"/>
      <c r="U37" s="45"/>
      <c r="V37" s="45"/>
      <c r="W37" s="45"/>
      <c r="X37" s="74"/>
      <c r="Y37" s="160"/>
      <c r="Z37" s="160"/>
      <c r="AA37" s="160"/>
      <c r="AB37" s="160"/>
      <c r="AC37" s="160"/>
      <c r="AD37" s="160"/>
      <c r="AE37" s="160"/>
      <c r="AF37" s="160"/>
      <c r="AG37" s="160"/>
      <c r="AH37" s="158" t="e">
        <f aca="false">Y37/Y42</f>
        <v>#DIV/0!</v>
      </c>
      <c r="AI37" s="158"/>
      <c r="AJ37" s="158"/>
      <c r="AK37" s="158"/>
      <c r="AM37" s="28"/>
      <c r="AN37" s="28"/>
      <c r="AO37" s="28"/>
      <c r="AP37" s="28"/>
      <c r="AQ37" s="28"/>
      <c r="AR37" s="28"/>
      <c r="AS37" s="28"/>
      <c r="AT37" s="28"/>
      <c r="AU37" s="28"/>
      <c r="AV37" s="28"/>
      <c r="AW37" s="28"/>
      <c r="AX37" s="28"/>
      <c r="AY37" s="28"/>
      <c r="AZ37" s="28"/>
      <c r="BA37" s="28"/>
      <c r="BB37" s="28"/>
      <c r="BD37" s="28"/>
      <c r="BE37" s="28"/>
    </row>
    <row r="38" customFormat="false" ht="10" hidden="false" customHeight="true" outlineLevel="0" collapsed="false">
      <c r="A38" s="49"/>
      <c r="B38" s="77"/>
      <c r="C38" s="78"/>
      <c r="D38" s="78"/>
      <c r="E38" s="78"/>
      <c r="F38" s="78"/>
      <c r="G38" s="78"/>
      <c r="H38" s="78"/>
      <c r="I38" s="78"/>
      <c r="J38" s="78"/>
      <c r="K38" s="78"/>
      <c r="L38" s="78"/>
      <c r="M38" s="78"/>
      <c r="N38" s="78"/>
      <c r="O38" s="78"/>
      <c r="P38" s="78"/>
      <c r="Q38" s="77"/>
      <c r="R38" s="78"/>
      <c r="S38" s="78"/>
      <c r="T38" s="78"/>
      <c r="U38" s="78"/>
      <c r="V38" s="78"/>
      <c r="W38" s="78"/>
      <c r="X38" s="79"/>
      <c r="Y38" s="78"/>
      <c r="Z38" s="78"/>
      <c r="AA38" s="78"/>
      <c r="AB38" s="78"/>
      <c r="AC38" s="78"/>
      <c r="AD38" s="78"/>
      <c r="AE38" s="78"/>
      <c r="AF38" s="78"/>
      <c r="AG38" s="79"/>
      <c r="AH38" s="77"/>
      <c r="AI38" s="78"/>
      <c r="AJ38" s="78"/>
      <c r="AK38" s="79"/>
      <c r="AM38" s="28"/>
      <c r="AN38" s="28"/>
      <c r="AO38" s="28"/>
      <c r="AP38" s="28"/>
      <c r="AQ38" s="28"/>
      <c r="AR38" s="28"/>
      <c r="AS38" s="28"/>
      <c r="AT38" s="28"/>
      <c r="AU38" s="28"/>
      <c r="AV38" s="28"/>
      <c r="AW38" s="28"/>
      <c r="AX38" s="28"/>
      <c r="AY38" s="28"/>
      <c r="AZ38" s="28"/>
      <c r="BA38" s="28"/>
      <c r="BB38" s="28"/>
      <c r="BD38" s="28"/>
      <c r="BE38" s="28"/>
    </row>
    <row r="39" customFormat="false" ht="8.15" hidden="false" customHeight="true" outlineLevel="0" collapsed="false">
      <c r="A39" s="49"/>
      <c r="B39" s="73"/>
      <c r="Q39" s="73"/>
      <c r="X39" s="74"/>
      <c r="AG39" s="74"/>
      <c r="AH39" s="73"/>
      <c r="AK39" s="74"/>
      <c r="AM39" s="28"/>
      <c r="AN39" s="28"/>
      <c r="AO39" s="28"/>
      <c r="AP39" s="28"/>
      <c r="AQ39" s="28"/>
      <c r="AR39" s="28"/>
      <c r="AS39" s="28"/>
      <c r="AT39" s="28"/>
      <c r="AU39" s="28"/>
      <c r="AV39" s="28"/>
      <c r="AW39" s="28"/>
      <c r="AX39" s="28"/>
      <c r="AY39" s="28"/>
      <c r="AZ39" s="28"/>
      <c r="BA39" s="28"/>
      <c r="BB39" s="28"/>
      <c r="BD39" s="28"/>
      <c r="BE39" s="28"/>
    </row>
    <row r="40" customFormat="false" ht="15" hidden="false" customHeight="true" outlineLevel="0" collapsed="false">
      <c r="A40" s="49"/>
      <c r="B40" s="110" t="s">
        <v>84</v>
      </c>
      <c r="Q40" s="161"/>
      <c r="R40" s="161"/>
      <c r="S40" s="161"/>
      <c r="T40" s="161"/>
      <c r="U40" s="161"/>
      <c r="V40" s="161"/>
      <c r="W40" s="161"/>
      <c r="X40" s="161"/>
      <c r="Y40" s="162"/>
      <c r="Z40" s="162"/>
      <c r="AA40" s="162"/>
      <c r="AB40" s="162"/>
      <c r="AC40" s="162"/>
      <c r="AD40" s="162"/>
      <c r="AE40" s="162"/>
      <c r="AF40" s="162"/>
      <c r="AG40" s="162"/>
      <c r="AH40" s="158" t="e">
        <f aca="false">Y40/Y42</f>
        <v>#DIV/0!</v>
      </c>
      <c r="AI40" s="158"/>
      <c r="AJ40" s="158"/>
      <c r="AK40" s="158"/>
      <c r="AL40" s="28"/>
      <c r="AM40" s="28"/>
      <c r="AN40" s="28"/>
      <c r="AO40" s="28"/>
      <c r="AP40" s="28"/>
      <c r="AQ40" s="28"/>
      <c r="AR40" s="28"/>
      <c r="AS40" s="28"/>
      <c r="AT40" s="28"/>
      <c r="AU40" s="28"/>
      <c r="AV40" s="28"/>
      <c r="AW40" s="28"/>
      <c r="BB40" s="28"/>
    </row>
    <row r="41" customFormat="false" ht="6" hidden="false" customHeight="true" outlineLevel="0" collapsed="false">
      <c r="A41" s="49"/>
      <c r="B41" s="77"/>
      <c r="C41" s="78"/>
      <c r="D41" s="78"/>
      <c r="E41" s="78"/>
      <c r="F41" s="78"/>
      <c r="G41" s="78"/>
      <c r="H41" s="78"/>
      <c r="I41" s="78"/>
      <c r="J41" s="78"/>
      <c r="K41" s="78"/>
      <c r="L41" s="78"/>
      <c r="M41" s="78"/>
      <c r="N41" s="78"/>
      <c r="O41" s="78"/>
      <c r="P41" s="78"/>
      <c r="Q41" s="161"/>
      <c r="R41" s="161"/>
      <c r="S41" s="161"/>
      <c r="T41" s="161"/>
      <c r="U41" s="161"/>
      <c r="V41" s="161"/>
      <c r="W41" s="161"/>
      <c r="X41" s="161"/>
      <c r="Y41" s="78"/>
      <c r="Z41" s="78"/>
      <c r="AA41" s="78"/>
      <c r="AB41" s="78"/>
      <c r="AC41" s="78"/>
      <c r="AD41" s="78"/>
      <c r="AE41" s="78"/>
      <c r="AF41" s="78"/>
      <c r="AG41" s="79"/>
      <c r="AH41" s="163"/>
      <c r="AI41" s="78"/>
      <c r="AJ41" s="78"/>
      <c r="AK41" s="79"/>
      <c r="AL41" s="28"/>
      <c r="AM41" s="28"/>
      <c r="AN41" s="28"/>
      <c r="AO41" s="28"/>
      <c r="AP41" s="28"/>
      <c r="AQ41" s="28"/>
      <c r="AR41" s="28"/>
      <c r="AS41" s="28"/>
      <c r="AT41" s="28"/>
      <c r="AU41" s="28"/>
      <c r="AV41" s="28"/>
      <c r="AW41" s="28"/>
      <c r="BB41" s="28"/>
    </row>
    <row r="42" customFormat="false" ht="15" hidden="false" customHeight="true" outlineLevel="0" collapsed="false">
      <c r="A42" s="49"/>
      <c r="B42" s="73"/>
      <c r="Q42" s="164" t="s">
        <v>85</v>
      </c>
      <c r="R42" s="164"/>
      <c r="S42" s="164"/>
      <c r="T42" s="164"/>
      <c r="U42" s="164"/>
      <c r="V42" s="164"/>
      <c r="W42" s="164"/>
      <c r="X42" s="164"/>
      <c r="Y42" s="165" t="n">
        <f aca="false">Y30+Y34+Y37+Y40</f>
        <v>0</v>
      </c>
      <c r="Z42" s="165"/>
      <c r="AA42" s="165"/>
      <c r="AB42" s="165"/>
      <c r="AC42" s="165"/>
      <c r="AD42" s="165"/>
      <c r="AE42" s="165"/>
      <c r="AF42" s="165"/>
      <c r="AG42" s="165"/>
      <c r="AH42" s="158" t="e">
        <f aca="false">AH30+AH34+AH37+AH40</f>
        <v>#DIV/0!</v>
      </c>
      <c r="AI42" s="158"/>
      <c r="AJ42" s="158"/>
      <c r="AK42" s="158"/>
      <c r="AL42" s="28"/>
      <c r="AM42" s="28"/>
      <c r="AN42" s="28"/>
      <c r="AO42" s="28"/>
      <c r="AP42" s="28"/>
      <c r="AQ42" s="28"/>
      <c r="AR42" s="28"/>
      <c r="AS42" s="28"/>
      <c r="AT42" s="28"/>
      <c r="AU42" s="28"/>
      <c r="AV42" s="28"/>
      <c r="AW42" s="28"/>
      <c r="BB42" s="28"/>
    </row>
    <row r="43" customFormat="false" ht="6" hidden="false" customHeight="true" outlineLevel="0" collapsed="false">
      <c r="A43" s="102"/>
      <c r="B43" s="77"/>
      <c r="C43" s="78"/>
      <c r="D43" s="78"/>
      <c r="E43" s="78"/>
      <c r="F43" s="78"/>
      <c r="G43" s="78"/>
      <c r="H43" s="78"/>
      <c r="I43" s="78"/>
      <c r="J43" s="78"/>
      <c r="K43" s="78"/>
      <c r="L43" s="78"/>
      <c r="M43" s="78"/>
      <c r="N43" s="78"/>
      <c r="O43" s="78"/>
      <c r="P43" s="78"/>
      <c r="Q43" s="164"/>
      <c r="R43" s="164"/>
      <c r="S43" s="164"/>
      <c r="T43" s="164"/>
      <c r="U43" s="164"/>
      <c r="V43" s="164"/>
      <c r="W43" s="164"/>
      <c r="X43" s="164"/>
      <c r="Y43" s="165"/>
      <c r="Z43" s="165"/>
      <c r="AA43" s="165"/>
      <c r="AB43" s="165"/>
      <c r="AC43" s="165"/>
      <c r="AD43" s="165"/>
      <c r="AE43" s="165"/>
      <c r="AF43" s="165"/>
      <c r="AG43" s="165"/>
      <c r="AH43" s="158"/>
      <c r="AI43" s="158"/>
      <c r="AJ43" s="158"/>
      <c r="AK43" s="158"/>
      <c r="AL43" s="28"/>
      <c r="AM43" s="28"/>
      <c r="AN43" s="28"/>
      <c r="AO43" s="28"/>
      <c r="AP43" s="28"/>
      <c r="AQ43" s="28"/>
      <c r="AR43" s="28"/>
      <c r="AS43" s="28"/>
      <c r="AT43" s="28"/>
      <c r="AU43" s="28"/>
      <c r="AV43" s="28"/>
      <c r="AW43" s="28"/>
      <c r="BB43" s="28"/>
    </row>
    <row r="44" customFormat="false" ht="10" hidden="false" customHeight="true" outlineLevel="0" collapsed="false">
      <c r="B44" s="77"/>
      <c r="C44" s="78"/>
      <c r="D44" s="78"/>
      <c r="E44" s="78"/>
      <c r="F44" s="78"/>
      <c r="G44" s="78"/>
      <c r="H44" s="78"/>
      <c r="AG44" s="166"/>
      <c r="AH44" s="166"/>
      <c r="AI44" s="166"/>
      <c r="AJ44" s="166"/>
      <c r="AK44" s="167"/>
      <c r="AL44" s="166"/>
      <c r="AM44" s="166"/>
      <c r="AN44" s="166"/>
      <c r="AO44" s="166"/>
      <c r="AP44" s="166"/>
      <c r="AQ44" s="166"/>
      <c r="AR44" s="166"/>
      <c r="AS44" s="166"/>
      <c r="AT44" s="166"/>
      <c r="AU44" s="166"/>
      <c r="AV44" s="166"/>
      <c r="AW44" s="166"/>
      <c r="AX44" s="166"/>
      <c r="AY44" s="166"/>
      <c r="AZ44" s="166"/>
      <c r="BA44" s="166"/>
      <c r="BB44" s="166"/>
    </row>
    <row r="45" customFormat="false" ht="14" hidden="false" customHeight="false" outlineLevel="0" collapsed="false">
      <c r="B45" s="122" t="s">
        <v>86</v>
      </c>
      <c r="T45" s="39"/>
      <c r="U45" s="168"/>
      <c r="V45" s="168"/>
      <c r="W45" s="168"/>
      <c r="X45" s="168"/>
      <c r="Y45" s="168"/>
      <c r="Z45" s="168"/>
      <c r="AA45" s="168"/>
      <c r="AB45" s="168"/>
      <c r="AC45" s="168"/>
      <c r="AD45" s="168"/>
      <c r="AE45" s="168"/>
      <c r="AF45" s="168"/>
      <c r="AG45" s="169"/>
      <c r="AH45" s="169"/>
      <c r="AI45" s="169"/>
      <c r="AJ45" s="169"/>
      <c r="AK45" s="170"/>
      <c r="AL45" s="166"/>
      <c r="AM45" s="166"/>
      <c r="AN45" s="166"/>
      <c r="AO45" s="166"/>
      <c r="AP45" s="166"/>
      <c r="AQ45" s="166"/>
      <c r="AR45" s="166"/>
      <c r="AS45" s="166"/>
      <c r="AT45" s="166"/>
      <c r="AU45" s="166"/>
      <c r="AV45" s="166"/>
      <c r="AW45" s="166"/>
      <c r="AX45" s="166"/>
      <c r="AY45" s="166"/>
      <c r="AZ45" s="166"/>
      <c r="BA45" s="166"/>
      <c r="BB45" s="166"/>
    </row>
    <row r="46" customFormat="false" ht="14" hidden="false" customHeight="false" outlineLevel="0" collapsed="false">
      <c r="B46" s="171" t="s">
        <v>87</v>
      </c>
      <c r="C46" s="78"/>
      <c r="D46" s="78"/>
      <c r="E46" s="78"/>
      <c r="F46" s="78"/>
      <c r="G46" s="78"/>
      <c r="H46" s="78"/>
      <c r="I46" s="78"/>
      <c r="J46" s="78"/>
      <c r="K46" s="78"/>
      <c r="L46" s="78"/>
      <c r="M46" s="78"/>
      <c r="N46" s="78"/>
      <c r="O46" s="78"/>
      <c r="P46" s="78"/>
      <c r="Q46" s="78"/>
      <c r="R46" s="78"/>
      <c r="S46" s="172"/>
      <c r="T46" s="78"/>
      <c r="U46" s="78"/>
      <c r="V46" s="78"/>
      <c r="W46" s="78"/>
      <c r="X46" s="78"/>
      <c r="Y46" s="78"/>
      <c r="Z46" s="78"/>
      <c r="AA46" s="78"/>
      <c r="AB46" s="78"/>
      <c r="AC46" s="78"/>
      <c r="AD46" s="78"/>
      <c r="AE46" s="78"/>
      <c r="AF46" s="78"/>
      <c r="AG46" s="173"/>
      <c r="AH46" s="173"/>
      <c r="AI46" s="173"/>
      <c r="AJ46" s="173"/>
      <c r="AK46" s="174"/>
      <c r="AL46" s="166"/>
      <c r="AM46" s="166"/>
      <c r="AN46" s="166"/>
      <c r="AO46" s="166"/>
      <c r="AP46" s="166"/>
      <c r="AQ46" s="166"/>
      <c r="AR46" s="166"/>
      <c r="AS46" s="166"/>
      <c r="AT46" s="166"/>
      <c r="AU46" s="166"/>
      <c r="AV46" s="166"/>
      <c r="AW46" s="166"/>
      <c r="AX46" s="166"/>
      <c r="AY46" s="166"/>
      <c r="AZ46" s="166"/>
      <c r="BA46" s="166"/>
      <c r="BB46" s="166"/>
    </row>
    <row r="47" customFormat="false" ht="14" hidden="false" customHeight="false" outlineLevel="0" collapsed="false">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row>
  </sheetData>
  <mergeCells count="33">
    <mergeCell ref="B4:AK4"/>
    <mergeCell ref="J5:Z5"/>
    <mergeCell ref="AB5:AG5"/>
    <mergeCell ref="AH5:AK5"/>
    <mergeCell ref="K6:S6"/>
    <mergeCell ref="AE6:AK6"/>
    <mergeCell ref="AE7:AK7"/>
    <mergeCell ref="W9:AK9"/>
    <mergeCell ref="B24:AK24"/>
    <mergeCell ref="B26:P26"/>
    <mergeCell ref="Q26:X26"/>
    <mergeCell ref="Y26:AG26"/>
    <mergeCell ref="AH26:AK26"/>
    <mergeCell ref="Q27:X27"/>
    <mergeCell ref="Y27:AG27"/>
    <mergeCell ref="AH27:AK27"/>
    <mergeCell ref="AH28:AK28"/>
    <mergeCell ref="B30:P30"/>
    <mergeCell ref="Y30:AG30"/>
    <mergeCell ref="AH30:AK30"/>
    <mergeCell ref="B34:P34"/>
    <mergeCell ref="Y34:AG34"/>
    <mergeCell ref="AH34:AK34"/>
    <mergeCell ref="B37:P37"/>
    <mergeCell ref="Y37:AG37"/>
    <mergeCell ref="AH37:AK37"/>
    <mergeCell ref="Q40:X41"/>
    <mergeCell ref="Y40:AG40"/>
    <mergeCell ref="AH40:AK40"/>
    <mergeCell ref="Q42:X43"/>
    <mergeCell ref="Y42:AG43"/>
    <mergeCell ref="AH42:AK42"/>
    <mergeCell ref="AH43:AK43"/>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G31"/>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E27" activeCellId="27" sqref="B25 C25 D25 E25:F25 E26:F26 D26 C26 B26 B27 B28 B29 B30 B31 C31 C30 C29 C28 C27 D27 D28 D29 D30 D31 E31:F31 E30:F30 E29:F29 E28:F28 E27:F27"/>
    </sheetView>
  </sheetViews>
  <sheetFormatPr defaultColWidth="10.8125" defaultRowHeight="14" zeroHeight="false" outlineLevelRow="0" outlineLevelCol="0"/>
  <cols>
    <col collapsed="false" customWidth="true" hidden="false" outlineLevel="0" max="1" min="1" style="176" width="5.44"/>
    <col collapsed="false" customWidth="true" hidden="false" outlineLevel="0" max="2" min="2" style="176" width="20.26"/>
    <col collapsed="false" customWidth="true" hidden="false" outlineLevel="0" max="3" min="3" style="176" width="17.72"/>
    <col collapsed="false" customWidth="true" hidden="false" outlineLevel="0" max="4" min="4" style="176" width="14.72"/>
    <col collapsed="false" customWidth="true" hidden="false" outlineLevel="0" max="5" min="5" style="176" width="19.99"/>
    <col collapsed="false" customWidth="true" hidden="false" outlineLevel="0" max="6" min="6" style="176" width="25.44"/>
    <col collapsed="false" customWidth="false" hidden="false" outlineLevel="0" max="257" min="7" style="176" width="10.81"/>
  </cols>
  <sheetData>
    <row r="6" s="2" customFormat="true" ht="14" hidden="false" customHeight="false" outlineLevel="0" collapsed="false">
      <c r="A6" s="176"/>
      <c r="B6" s="28" t="s">
        <v>51</v>
      </c>
      <c r="C6" s="177"/>
      <c r="D6" s="102"/>
      <c r="E6" s="102"/>
      <c r="F6" s="28" t="str">
        <f aca="false">+'FICHE R2 '!AB5</f>
        <v>Exercice clos le </v>
      </c>
    </row>
    <row r="7" s="2" customFormat="true" ht="14.25" hidden="false" customHeight="true" outlineLevel="0" collapsed="false">
      <c r="A7" s="176"/>
      <c r="B7" s="28" t="s">
        <v>53</v>
      </c>
      <c r="C7" s="178"/>
      <c r="D7" s="179"/>
      <c r="E7" s="102"/>
      <c r="F7" s="180" t="s">
        <v>88</v>
      </c>
      <c r="G7" s="108"/>
    </row>
    <row r="9" customFormat="false" ht="16" hidden="false" customHeight="false" outlineLevel="0" collapsed="false">
      <c r="B9" s="181" t="s">
        <v>89</v>
      </c>
      <c r="C9" s="181"/>
      <c r="D9" s="181"/>
      <c r="E9" s="181"/>
      <c r="F9" s="181"/>
    </row>
    <row r="10" customFormat="false" ht="14" hidden="false" customHeight="false" outlineLevel="0" collapsed="false">
      <c r="B10" s="182"/>
      <c r="C10" s="182"/>
      <c r="D10" s="182"/>
      <c r="E10" s="182"/>
      <c r="F10" s="182"/>
    </row>
    <row r="11" customFormat="false" ht="30" hidden="false" customHeight="true" outlineLevel="0" collapsed="false">
      <c r="B11" s="183" t="s">
        <v>90</v>
      </c>
      <c r="C11" s="183" t="s">
        <v>91</v>
      </c>
      <c r="D11" s="183" t="s">
        <v>92</v>
      </c>
      <c r="E11" s="184" t="s">
        <v>93</v>
      </c>
      <c r="F11" s="184" t="s">
        <v>94</v>
      </c>
    </row>
    <row r="12" customFormat="false" ht="20.15" hidden="false" customHeight="true" outlineLevel="0" collapsed="false">
      <c r="B12" s="185"/>
      <c r="C12" s="185"/>
      <c r="D12" s="186"/>
      <c r="E12" s="187"/>
      <c r="F12" s="185"/>
    </row>
    <row r="13" customFormat="false" ht="20.15" hidden="false" customHeight="true" outlineLevel="0" collapsed="false">
      <c r="B13" s="188"/>
      <c r="C13" s="188"/>
      <c r="D13" s="189"/>
      <c r="E13" s="188"/>
      <c r="F13" s="188"/>
    </row>
    <row r="14" customFormat="false" ht="20.15" hidden="false" customHeight="true" outlineLevel="0" collapsed="false">
      <c r="B14" s="188"/>
      <c r="C14" s="188"/>
      <c r="D14" s="189"/>
      <c r="E14" s="188"/>
      <c r="F14" s="188"/>
    </row>
    <row r="15" customFormat="false" ht="20.15" hidden="false" customHeight="true" outlineLevel="0" collapsed="false">
      <c r="B15" s="188"/>
      <c r="C15" s="188"/>
      <c r="D15" s="189"/>
      <c r="E15" s="188"/>
      <c r="F15" s="188"/>
    </row>
    <row r="16" customFormat="false" ht="20.15" hidden="false" customHeight="true" outlineLevel="0" collapsed="false">
      <c r="B16" s="188"/>
      <c r="C16" s="188"/>
      <c r="D16" s="189"/>
      <c r="E16" s="188"/>
      <c r="F16" s="188"/>
    </row>
    <row r="17" customFormat="false" ht="19.5" hidden="false" customHeight="true" outlineLevel="0" collapsed="false">
      <c r="B17" s="190"/>
      <c r="C17" s="190"/>
      <c r="D17" s="191"/>
      <c r="E17" s="192"/>
      <c r="F17" s="192"/>
    </row>
    <row r="18" customFormat="false" ht="14" hidden="false" customHeight="false" outlineLevel="0" collapsed="false">
      <c r="B18" s="193"/>
      <c r="E18" s="176" t="s">
        <v>95</v>
      </c>
    </row>
    <row r="19" customFormat="false" ht="14.5" hidden="false" customHeight="false" outlineLevel="0" collapsed="false">
      <c r="B19" s="194" t="s">
        <v>96</v>
      </c>
      <c r="C19" s="195"/>
      <c r="D19" s="195"/>
      <c r="E19" s="195"/>
      <c r="F19" s="195"/>
    </row>
    <row r="21" customFormat="false" ht="14.5" hidden="false" customHeight="false" outlineLevel="0" collapsed="false">
      <c r="B21" s="195"/>
      <c r="C21" s="195"/>
      <c r="D21" s="195"/>
      <c r="E21" s="195"/>
      <c r="F21" s="195"/>
    </row>
    <row r="22" customFormat="false" ht="14" hidden="false" customHeight="false" outlineLevel="0" collapsed="false">
      <c r="B22" s="181" t="s">
        <v>97</v>
      </c>
      <c r="C22" s="181"/>
      <c r="D22" s="181"/>
      <c r="E22" s="181"/>
      <c r="F22" s="181"/>
    </row>
    <row r="23" customFormat="false" ht="14.5" hidden="false" customHeight="false" outlineLevel="0" collapsed="false">
      <c r="B23" s="195"/>
      <c r="C23" s="195"/>
      <c r="D23" s="195"/>
      <c r="E23" s="195"/>
      <c r="F23" s="195"/>
    </row>
    <row r="24" customFormat="false" ht="30" hidden="false" customHeight="true" outlineLevel="0" collapsed="false">
      <c r="B24" s="183" t="s">
        <v>90</v>
      </c>
      <c r="C24" s="183" t="s">
        <v>91</v>
      </c>
      <c r="D24" s="183" t="s">
        <v>92</v>
      </c>
      <c r="E24" s="196" t="s">
        <v>94</v>
      </c>
      <c r="F24" s="196"/>
    </row>
    <row r="25" customFormat="false" ht="20.15" hidden="false" customHeight="true" outlineLevel="0" collapsed="false">
      <c r="B25" s="197"/>
      <c r="C25" s="197"/>
      <c r="D25" s="197"/>
      <c r="E25" s="197"/>
      <c r="F25" s="197"/>
    </row>
    <row r="26" customFormat="false" ht="20.15" hidden="false" customHeight="true" outlineLevel="0" collapsed="false">
      <c r="B26" s="188"/>
      <c r="C26" s="188"/>
      <c r="D26" s="188"/>
      <c r="E26" s="188"/>
      <c r="F26" s="188"/>
    </row>
    <row r="27" customFormat="false" ht="20.15" hidden="false" customHeight="true" outlineLevel="0" collapsed="false">
      <c r="B27" s="188"/>
      <c r="C27" s="188"/>
      <c r="D27" s="188"/>
      <c r="E27" s="188"/>
      <c r="F27" s="188"/>
    </row>
    <row r="28" customFormat="false" ht="20.15" hidden="false" customHeight="true" outlineLevel="0" collapsed="false">
      <c r="B28" s="188"/>
      <c r="C28" s="188"/>
      <c r="D28" s="188"/>
      <c r="E28" s="188"/>
      <c r="F28" s="188"/>
    </row>
    <row r="29" customFormat="false" ht="20.15" hidden="false" customHeight="true" outlineLevel="0" collapsed="false">
      <c r="B29" s="188"/>
      <c r="C29" s="188"/>
      <c r="D29" s="188"/>
      <c r="E29" s="188"/>
      <c r="F29" s="188"/>
    </row>
    <row r="30" customFormat="false" ht="20.15" hidden="false" customHeight="true" outlineLevel="0" collapsed="false">
      <c r="B30" s="188"/>
      <c r="C30" s="190"/>
      <c r="D30" s="188"/>
      <c r="E30" s="188"/>
      <c r="F30" s="188"/>
    </row>
    <row r="31" customFormat="false" ht="17.25" hidden="false" customHeight="true" outlineLevel="0" collapsed="false">
      <c r="B31" s="190"/>
      <c r="C31" s="192"/>
      <c r="D31" s="188"/>
      <c r="E31" s="190"/>
      <c r="F31" s="190"/>
    </row>
  </sheetData>
  <mergeCells count="10">
    <mergeCell ref="B9:F9"/>
    <mergeCell ref="B22:F22"/>
    <mergeCell ref="E24:F24"/>
    <mergeCell ref="E25:F25"/>
    <mergeCell ref="E26:F26"/>
    <mergeCell ref="E27:F27"/>
    <mergeCell ref="E28:F28"/>
    <mergeCell ref="E29:F29"/>
    <mergeCell ref="E30:F30"/>
    <mergeCell ref="E31:F31"/>
  </mergeCells>
  <printOptions headings="false" gridLines="false" gridLinesSet="true" horizontalCentered="false" verticalCentered="false"/>
  <pageMargins left="0" right="0" top="0.747916666666667" bottom="0.747916666666667"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C7" activeCellId="0" sqref="C7:D52"/>
    </sheetView>
  </sheetViews>
  <sheetFormatPr defaultColWidth="10.90234375" defaultRowHeight="14.5" zeroHeight="false" outlineLevelRow="0" outlineLevelCol="0"/>
  <cols>
    <col collapsed="false" customWidth="true" hidden="false" outlineLevel="0" max="1" min="1" style="0" width="12.26"/>
    <col collapsed="false" customWidth="true" hidden="false" outlineLevel="0" max="2" min="2" style="0" width="75.44"/>
    <col collapsed="false" customWidth="true" hidden="false" outlineLevel="0" max="3" min="3" style="0" width="14.44"/>
    <col collapsed="false" customWidth="true" hidden="false" outlineLevel="0" max="4" min="4" style="0" width="13.44"/>
  </cols>
  <sheetData>
    <row r="1" customFormat="false" ht="18" hidden="false" customHeight="false" outlineLevel="0" collapsed="false">
      <c r="A1" s="198"/>
      <c r="B1" s="176"/>
      <c r="C1" s="199"/>
      <c r="D1" s="176"/>
    </row>
    <row r="2" customFormat="false" ht="18" hidden="false" customHeight="false" outlineLevel="0" collapsed="false">
      <c r="A2" s="198"/>
      <c r="B2" s="176"/>
      <c r="C2" s="199"/>
      <c r="D2" s="176"/>
    </row>
    <row r="3" customFormat="false" ht="14.5" hidden="false" customHeight="false" outlineLevel="0" collapsed="false">
      <c r="A3" s="200" t="s">
        <v>98</v>
      </c>
      <c r="B3" s="201"/>
      <c r="C3" s="202" t="s">
        <v>99</v>
      </c>
      <c r="D3" s="203"/>
    </row>
    <row r="4" customFormat="false" ht="14.5" hidden="false" customHeight="false" outlineLevel="0" collapsed="false">
      <c r="A4" s="204" t="s">
        <v>100</v>
      </c>
      <c r="B4" s="205"/>
      <c r="C4" s="206" t="s">
        <v>101</v>
      </c>
      <c r="D4" s="207"/>
    </row>
    <row r="5" customFormat="false" ht="6.75" hidden="false" customHeight="true" outlineLevel="0" collapsed="false"/>
    <row r="6" s="209" customFormat="true" ht="16.5" hidden="false" customHeight="true" outlineLevel="0" collapsed="false">
      <c r="A6" s="208" t="s">
        <v>102</v>
      </c>
      <c r="B6" s="208" t="s">
        <v>103</v>
      </c>
      <c r="C6" s="208" t="s">
        <v>104</v>
      </c>
      <c r="D6" s="208" t="s">
        <v>105</v>
      </c>
    </row>
    <row r="7" s="213" customFormat="true" ht="15" hidden="false" customHeight="true" outlineLevel="0" collapsed="false">
      <c r="A7" s="210" t="s">
        <v>106</v>
      </c>
      <c r="B7" s="211" t="s">
        <v>107</v>
      </c>
      <c r="C7" s="212"/>
      <c r="D7" s="212"/>
    </row>
    <row r="8" s="213" customFormat="true" ht="15" hidden="false" customHeight="true" outlineLevel="0" collapsed="false">
      <c r="A8" s="210" t="s">
        <v>108</v>
      </c>
      <c r="B8" s="211" t="s">
        <v>109</v>
      </c>
      <c r="C8" s="212"/>
      <c r="D8" s="212"/>
    </row>
    <row r="9" s="213" customFormat="true" ht="15" hidden="false" customHeight="true" outlineLevel="0" collapsed="false">
      <c r="A9" s="210" t="s">
        <v>110</v>
      </c>
      <c r="B9" s="211" t="s">
        <v>111</v>
      </c>
      <c r="C9" s="212"/>
      <c r="D9" s="212"/>
    </row>
    <row r="10" s="213" customFormat="true" ht="15" hidden="false" customHeight="true" outlineLevel="0" collapsed="false">
      <c r="A10" s="210" t="s">
        <v>112</v>
      </c>
      <c r="B10" s="211" t="s">
        <v>113</v>
      </c>
      <c r="C10" s="212"/>
      <c r="D10" s="212"/>
    </row>
    <row r="11" s="213" customFormat="true" ht="15" hidden="false" customHeight="true" outlineLevel="0" collapsed="false">
      <c r="A11" s="210" t="s">
        <v>114</v>
      </c>
      <c r="B11" s="211" t="s">
        <v>115</v>
      </c>
      <c r="C11" s="212"/>
      <c r="D11" s="212"/>
    </row>
    <row r="12" s="213" customFormat="true" ht="15" hidden="false" customHeight="true" outlineLevel="0" collapsed="false">
      <c r="A12" s="210" t="s">
        <v>116</v>
      </c>
      <c r="B12" s="211" t="s">
        <v>117</v>
      </c>
      <c r="C12" s="212"/>
      <c r="D12" s="212"/>
    </row>
    <row r="13" s="213" customFormat="true" ht="15" hidden="false" customHeight="true" outlineLevel="0" collapsed="false">
      <c r="A13" s="210" t="s">
        <v>118</v>
      </c>
      <c r="B13" s="211" t="s">
        <v>119</v>
      </c>
      <c r="C13" s="212"/>
      <c r="D13" s="212"/>
    </row>
    <row r="14" s="213" customFormat="true" ht="15" hidden="false" customHeight="true" outlineLevel="0" collapsed="false">
      <c r="A14" s="210" t="s">
        <v>120</v>
      </c>
      <c r="B14" s="211" t="s">
        <v>121</v>
      </c>
      <c r="C14" s="212"/>
      <c r="D14" s="212"/>
    </row>
    <row r="15" s="213" customFormat="true" ht="15" hidden="false" customHeight="true" outlineLevel="0" collapsed="false">
      <c r="A15" s="210" t="s">
        <v>122</v>
      </c>
      <c r="B15" s="211" t="s">
        <v>123</v>
      </c>
      <c r="C15" s="212"/>
      <c r="D15" s="212"/>
    </row>
    <row r="16" s="213" customFormat="true" ht="15" hidden="false" customHeight="true" outlineLevel="0" collapsed="false">
      <c r="A16" s="210" t="s">
        <v>124</v>
      </c>
      <c r="B16" s="211" t="s">
        <v>125</v>
      </c>
      <c r="C16" s="212"/>
      <c r="D16" s="212"/>
    </row>
    <row r="17" s="213" customFormat="true" ht="15" hidden="false" customHeight="true" outlineLevel="0" collapsed="false">
      <c r="A17" s="210" t="s">
        <v>126</v>
      </c>
      <c r="B17" s="211" t="s">
        <v>127</v>
      </c>
      <c r="C17" s="212"/>
      <c r="D17" s="212"/>
    </row>
    <row r="18" s="213" customFormat="true" ht="15" hidden="false" customHeight="true" outlineLevel="0" collapsed="false">
      <c r="A18" s="210" t="s">
        <v>128</v>
      </c>
      <c r="B18" s="211" t="s">
        <v>129</v>
      </c>
      <c r="C18" s="212"/>
      <c r="D18" s="212"/>
    </row>
    <row r="19" s="213" customFormat="true" ht="15" hidden="false" customHeight="true" outlineLevel="0" collapsed="false">
      <c r="A19" s="210" t="s">
        <v>130</v>
      </c>
      <c r="B19" s="211" t="s">
        <v>131</v>
      </c>
      <c r="C19" s="212"/>
      <c r="D19" s="212"/>
    </row>
    <row r="20" s="213" customFormat="true" ht="15" hidden="false" customHeight="true" outlineLevel="0" collapsed="false">
      <c r="A20" s="210" t="s">
        <v>132</v>
      </c>
      <c r="B20" s="211" t="s">
        <v>133</v>
      </c>
      <c r="C20" s="212"/>
      <c r="D20" s="212"/>
    </row>
    <row r="21" s="213" customFormat="true" ht="15" hidden="false" customHeight="true" outlineLevel="0" collapsed="false">
      <c r="A21" s="210" t="s">
        <v>134</v>
      </c>
      <c r="B21" s="211" t="s">
        <v>135</v>
      </c>
      <c r="C21" s="212"/>
      <c r="D21" s="212"/>
    </row>
    <row r="22" s="213" customFormat="true" ht="15" hidden="false" customHeight="true" outlineLevel="0" collapsed="false">
      <c r="A22" s="210" t="s">
        <v>136</v>
      </c>
      <c r="B22" s="211" t="s">
        <v>137</v>
      </c>
      <c r="C22" s="212"/>
      <c r="D22" s="212"/>
    </row>
    <row r="23" s="213" customFormat="true" ht="15" hidden="false" customHeight="true" outlineLevel="0" collapsed="false">
      <c r="A23" s="210" t="s">
        <v>138</v>
      </c>
      <c r="B23" s="211" t="s">
        <v>139</v>
      </c>
      <c r="C23" s="212"/>
      <c r="D23" s="212"/>
    </row>
    <row r="24" s="213" customFormat="true" ht="15" hidden="false" customHeight="true" outlineLevel="0" collapsed="false">
      <c r="A24" s="210" t="s">
        <v>140</v>
      </c>
      <c r="B24" s="211" t="s">
        <v>141</v>
      </c>
      <c r="C24" s="212"/>
      <c r="D24" s="212"/>
    </row>
    <row r="25" s="213" customFormat="true" ht="15" hidden="false" customHeight="true" outlineLevel="0" collapsed="false">
      <c r="A25" s="210" t="s">
        <v>142</v>
      </c>
      <c r="B25" s="211" t="s">
        <v>143</v>
      </c>
      <c r="C25" s="212"/>
      <c r="D25" s="212"/>
    </row>
    <row r="26" s="213" customFormat="true" ht="15" hidden="false" customHeight="true" outlineLevel="0" collapsed="false">
      <c r="A26" s="210" t="s">
        <v>144</v>
      </c>
      <c r="B26" s="211" t="s">
        <v>145</v>
      </c>
      <c r="C26" s="212"/>
      <c r="D26" s="212"/>
    </row>
    <row r="27" s="213" customFormat="true" ht="15" hidden="false" customHeight="true" outlineLevel="0" collapsed="false">
      <c r="A27" s="210" t="s">
        <v>146</v>
      </c>
      <c r="B27" s="211" t="s">
        <v>147</v>
      </c>
      <c r="C27" s="212"/>
      <c r="D27" s="212"/>
    </row>
    <row r="28" s="213" customFormat="true" ht="15" hidden="false" customHeight="true" outlineLevel="0" collapsed="false">
      <c r="A28" s="210" t="s">
        <v>148</v>
      </c>
      <c r="B28" s="211" t="s">
        <v>149</v>
      </c>
      <c r="C28" s="212"/>
      <c r="D28" s="212"/>
    </row>
    <row r="29" s="213" customFormat="true" ht="15" hidden="false" customHeight="true" outlineLevel="0" collapsed="false">
      <c r="A29" s="210" t="s">
        <v>150</v>
      </c>
      <c r="B29" s="211" t="s">
        <v>151</v>
      </c>
      <c r="C29" s="212"/>
      <c r="D29" s="212"/>
    </row>
    <row r="30" s="213" customFormat="true" ht="15" hidden="false" customHeight="true" outlineLevel="0" collapsed="false">
      <c r="A30" s="210" t="s">
        <v>152</v>
      </c>
      <c r="B30" s="211" t="s">
        <v>151</v>
      </c>
      <c r="C30" s="212"/>
      <c r="D30" s="212"/>
    </row>
    <row r="31" s="213" customFormat="true" ht="15" hidden="false" customHeight="true" outlineLevel="0" collapsed="false">
      <c r="A31" s="210" t="s">
        <v>153</v>
      </c>
      <c r="B31" s="211" t="s">
        <v>154</v>
      </c>
      <c r="C31" s="212"/>
      <c r="D31" s="212"/>
    </row>
    <row r="32" s="213" customFormat="true" ht="15" hidden="false" customHeight="true" outlineLevel="0" collapsed="false">
      <c r="A32" s="210" t="s">
        <v>155</v>
      </c>
      <c r="B32" s="211" t="s">
        <v>156</v>
      </c>
      <c r="C32" s="212"/>
      <c r="D32" s="212"/>
    </row>
    <row r="33" s="213" customFormat="true" ht="15" hidden="false" customHeight="true" outlineLevel="0" collapsed="false">
      <c r="A33" s="210" t="s">
        <v>157</v>
      </c>
      <c r="B33" s="211" t="s">
        <v>158</v>
      </c>
      <c r="C33" s="212"/>
      <c r="D33" s="212"/>
    </row>
    <row r="34" s="213" customFormat="true" ht="15" hidden="false" customHeight="true" outlineLevel="0" collapsed="false">
      <c r="A34" s="210" t="s">
        <v>159</v>
      </c>
      <c r="B34" s="211" t="s">
        <v>160</v>
      </c>
      <c r="C34" s="212"/>
      <c r="D34" s="212"/>
    </row>
    <row r="35" s="213" customFormat="true" ht="15" hidden="false" customHeight="true" outlineLevel="0" collapsed="false">
      <c r="A35" s="210" t="s">
        <v>161</v>
      </c>
      <c r="B35" s="211" t="s">
        <v>162</v>
      </c>
      <c r="C35" s="212"/>
      <c r="D35" s="212"/>
    </row>
    <row r="36" s="213" customFormat="true" ht="15" hidden="false" customHeight="true" outlineLevel="0" collapsed="false">
      <c r="A36" s="210" t="s">
        <v>163</v>
      </c>
      <c r="B36" s="211" t="s">
        <v>164</v>
      </c>
      <c r="C36" s="212"/>
      <c r="D36" s="212"/>
    </row>
    <row r="37" s="213" customFormat="true" ht="15" hidden="false" customHeight="true" outlineLevel="0" collapsed="false">
      <c r="A37" s="210" t="s">
        <v>165</v>
      </c>
      <c r="B37" s="211" t="s">
        <v>166</v>
      </c>
      <c r="C37" s="212"/>
      <c r="D37" s="212"/>
    </row>
    <row r="38" s="213" customFormat="true" ht="15" hidden="false" customHeight="true" outlineLevel="0" collapsed="false">
      <c r="A38" s="210" t="s">
        <v>167</v>
      </c>
      <c r="B38" s="211" t="s">
        <v>168</v>
      </c>
      <c r="C38" s="212"/>
      <c r="D38" s="212"/>
    </row>
    <row r="39" s="213" customFormat="true" ht="15" hidden="false" customHeight="true" outlineLevel="0" collapsed="false">
      <c r="A39" s="210" t="s">
        <v>169</v>
      </c>
      <c r="B39" s="211" t="s">
        <v>170</v>
      </c>
      <c r="C39" s="212"/>
      <c r="D39" s="212"/>
    </row>
    <row r="40" s="213" customFormat="true" ht="15" hidden="false" customHeight="true" outlineLevel="0" collapsed="false">
      <c r="A40" s="210" t="s">
        <v>171</v>
      </c>
      <c r="B40" s="211" t="s">
        <v>172</v>
      </c>
      <c r="C40" s="212"/>
      <c r="D40" s="212"/>
    </row>
    <row r="41" s="213" customFormat="true" ht="15" hidden="false" customHeight="true" outlineLevel="0" collapsed="false">
      <c r="A41" s="210" t="s">
        <v>173</v>
      </c>
      <c r="B41" s="211" t="s">
        <v>174</v>
      </c>
      <c r="C41" s="212"/>
      <c r="D41" s="212"/>
    </row>
    <row r="42" s="213" customFormat="true" ht="15" hidden="false" customHeight="true" outlineLevel="0" collapsed="false">
      <c r="A42" s="210" t="s">
        <v>175</v>
      </c>
      <c r="B42" s="211" t="s">
        <v>176</v>
      </c>
      <c r="C42" s="212"/>
      <c r="D42" s="212"/>
    </row>
    <row r="43" s="213" customFormat="true" ht="15" hidden="false" customHeight="true" outlineLevel="0" collapsed="false">
      <c r="A43" s="210" t="s">
        <v>177</v>
      </c>
      <c r="B43" s="211" t="s">
        <v>178</v>
      </c>
      <c r="C43" s="212"/>
      <c r="D43" s="212"/>
    </row>
    <row r="44" s="213" customFormat="true" ht="15" hidden="false" customHeight="true" outlineLevel="0" collapsed="false">
      <c r="A44" s="210" t="s">
        <v>179</v>
      </c>
      <c r="B44" s="211" t="s">
        <v>180</v>
      </c>
      <c r="C44" s="212"/>
      <c r="D44" s="212"/>
    </row>
    <row r="45" s="213" customFormat="true" ht="15" hidden="false" customHeight="true" outlineLevel="0" collapsed="false">
      <c r="A45" s="210" t="s">
        <v>181</v>
      </c>
      <c r="B45" s="211" t="s">
        <v>182</v>
      </c>
      <c r="C45" s="212"/>
      <c r="D45" s="212"/>
    </row>
    <row r="46" s="213" customFormat="true" ht="15" hidden="false" customHeight="true" outlineLevel="0" collapsed="false">
      <c r="A46" s="210" t="s">
        <v>183</v>
      </c>
      <c r="B46" s="211" t="s">
        <v>184</v>
      </c>
      <c r="C46" s="212"/>
      <c r="D46" s="212"/>
    </row>
    <row r="47" s="213" customFormat="true" ht="16.5" hidden="false" customHeight="true" outlineLevel="0" collapsed="false">
      <c r="A47" s="210" t="s">
        <v>185</v>
      </c>
      <c r="B47" s="211" t="s">
        <v>186</v>
      </c>
      <c r="C47" s="212"/>
      <c r="D47" s="212"/>
    </row>
    <row r="48" s="213" customFormat="true" ht="15" hidden="false" customHeight="true" outlineLevel="0" collapsed="false">
      <c r="A48" s="210" t="s">
        <v>187</v>
      </c>
      <c r="B48" s="211" t="s">
        <v>188</v>
      </c>
      <c r="C48" s="212"/>
      <c r="D48" s="212"/>
    </row>
    <row r="49" s="213" customFormat="true" ht="15" hidden="false" customHeight="true" outlineLevel="0" collapsed="false">
      <c r="A49" s="210" t="s">
        <v>189</v>
      </c>
      <c r="B49" s="211" t="s">
        <v>190</v>
      </c>
      <c r="C49" s="212"/>
      <c r="D49" s="212"/>
    </row>
    <row r="50" s="213" customFormat="true" ht="15" hidden="false" customHeight="true" outlineLevel="0" collapsed="false">
      <c r="A50" s="210" t="s">
        <v>191</v>
      </c>
      <c r="B50" s="211" t="s">
        <v>192</v>
      </c>
      <c r="C50" s="212"/>
      <c r="D50" s="212"/>
    </row>
    <row r="51" s="213" customFormat="true" ht="17.25" hidden="false" customHeight="true" outlineLevel="0" collapsed="false">
      <c r="A51" s="210" t="s">
        <v>193</v>
      </c>
      <c r="B51" s="211" t="s">
        <v>194</v>
      </c>
      <c r="C51" s="212"/>
      <c r="D51" s="212"/>
    </row>
    <row r="52" s="213" customFormat="true" ht="15" hidden="false" customHeight="true" outlineLevel="0" collapsed="false">
      <c r="A52" s="210" t="s">
        <v>195</v>
      </c>
      <c r="B52" s="211" t="s">
        <v>196</v>
      </c>
      <c r="C52" s="212"/>
      <c r="D52" s="212"/>
    </row>
    <row r="53" s="214" customFormat="true" ht="20.15" hidden="false" customHeight="true" outlineLevel="0" collapsed="false">
      <c r="A53" s="214" t="s">
        <v>197</v>
      </c>
    </row>
    <row r="54" customFormat="false" ht="20.15" hidden="false" customHeight="true" outlineLevel="0" collapsed="false">
      <c r="A54" s="215"/>
      <c r="B54" s="215"/>
      <c r="C54" s="215"/>
      <c r="D54" s="215"/>
    </row>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sheetData>
  <printOptions headings="false" gridLines="false" gridLinesSet="true" horizontalCentered="false" verticalCentered="false"/>
  <pageMargins left="0.708333333333333" right="0.708333333333333" top="0.747916666666667" bottom="0.747916666666667" header="0.511811023622047" footer="0.511811023622047"/>
  <pageSetup paperSize="9" scale="7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I46"/>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D11" activeCellId="0" sqref="D11"/>
    </sheetView>
  </sheetViews>
  <sheetFormatPr defaultColWidth="10.8125" defaultRowHeight="14" zeroHeight="false" outlineLevelRow="0" outlineLevelCol="0"/>
  <cols>
    <col collapsed="false" customWidth="true" hidden="false" outlineLevel="0" max="1" min="1" style="176" width="5.81"/>
    <col collapsed="false" customWidth="true" hidden="false" outlineLevel="0" max="2" min="2" style="176" width="41.17"/>
    <col collapsed="false" customWidth="true" hidden="false" outlineLevel="0" max="3" min="3" style="176" width="5.26"/>
    <col collapsed="false" customWidth="true" hidden="false" outlineLevel="0" max="4" min="4" style="176" width="14.81"/>
    <col collapsed="false" customWidth="true" hidden="false" outlineLevel="0" max="6" min="5" style="176" width="15.44"/>
    <col collapsed="false" customWidth="true" hidden="false" outlineLevel="0" max="7" min="7" style="176" width="15.99"/>
    <col collapsed="false" customWidth="false" hidden="false" outlineLevel="0" max="8" min="8" style="176" width="10.81"/>
    <col collapsed="false" customWidth="true" hidden="false" outlineLevel="0" max="9" min="9" style="176" width="21.44"/>
    <col collapsed="false" customWidth="false" hidden="false" outlineLevel="0" max="257" min="10" style="176" width="10.81"/>
  </cols>
  <sheetData>
    <row r="3" customFormat="false" ht="14" hidden="false" customHeight="false" outlineLevel="0" collapsed="false">
      <c r="A3" s="216" t="s">
        <v>95</v>
      </c>
    </row>
    <row r="4" customFormat="false" ht="20.25" hidden="false" customHeight="true" outlineLevel="0" collapsed="false">
      <c r="A4" s="200" t="s">
        <v>198</v>
      </c>
      <c r="B4" s="205"/>
      <c r="E4" s="217" t="s">
        <v>199</v>
      </c>
      <c r="F4" s="218"/>
      <c r="G4" s="203"/>
    </row>
    <row r="5" customFormat="false" ht="15" hidden="false" customHeight="true" outlineLevel="0" collapsed="false">
      <c r="A5" s="200" t="s">
        <v>200</v>
      </c>
      <c r="B5" s="205"/>
      <c r="D5" s="217"/>
      <c r="E5" s="217" t="s">
        <v>101</v>
      </c>
      <c r="F5" s="217"/>
      <c r="G5" s="207"/>
    </row>
    <row r="6" customFormat="false" ht="14.5" hidden="false" customHeight="false" outlineLevel="0" collapsed="false">
      <c r="A6" s="219" t="s">
        <v>201</v>
      </c>
      <c r="B6" s="219"/>
      <c r="C6" s="219"/>
      <c r="D6" s="219"/>
      <c r="E6" s="219"/>
      <c r="F6" s="219"/>
      <c r="G6" s="219"/>
    </row>
    <row r="7" customFormat="false" ht="18" hidden="false" customHeight="true" outlineLevel="0" collapsed="false">
      <c r="A7" s="220" t="s">
        <v>202</v>
      </c>
      <c r="B7" s="221" t="s">
        <v>203</v>
      </c>
      <c r="C7" s="221" t="s">
        <v>204</v>
      </c>
      <c r="D7" s="221" t="s">
        <v>205</v>
      </c>
      <c r="E7" s="221"/>
      <c r="F7" s="221"/>
      <c r="G7" s="222" t="s">
        <v>206</v>
      </c>
    </row>
    <row r="8" customFormat="false" ht="15" hidden="false" customHeight="true" outlineLevel="0" collapsed="false">
      <c r="A8" s="220"/>
      <c r="B8" s="221"/>
      <c r="C8" s="221"/>
      <c r="D8" s="221"/>
      <c r="E8" s="221"/>
      <c r="F8" s="221"/>
      <c r="G8" s="223" t="s">
        <v>207</v>
      </c>
    </row>
    <row r="9" customFormat="false" ht="29.25" hidden="false" customHeight="true" outlineLevel="0" collapsed="false">
      <c r="A9" s="220"/>
      <c r="B9" s="221"/>
      <c r="C9" s="221"/>
      <c r="D9" s="224" t="s">
        <v>208</v>
      </c>
      <c r="E9" s="225" t="s">
        <v>209</v>
      </c>
      <c r="F9" s="224" t="s">
        <v>210</v>
      </c>
      <c r="G9" s="224" t="s">
        <v>210</v>
      </c>
    </row>
    <row r="10" customFormat="false" ht="25" hidden="false" customHeight="true" outlineLevel="0" collapsed="false">
      <c r="A10" s="226" t="s">
        <v>211</v>
      </c>
      <c r="B10" s="227" t="s">
        <v>212</v>
      </c>
      <c r="C10" s="228" t="n">
        <v>3</v>
      </c>
      <c r="D10" s="229" t="n">
        <f aca="false">SUM(D11:D14)</f>
        <v>0</v>
      </c>
      <c r="E10" s="229" t="n">
        <f aca="false">SUM(E11:E14)</f>
        <v>0</v>
      </c>
      <c r="F10" s="229" t="n">
        <f aca="false">SUM(F11:F14)</f>
        <v>0</v>
      </c>
      <c r="G10" s="229" t="n">
        <f aca="false">SUM(G11:G14)</f>
        <v>0</v>
      </c>
    </row>
    <row r="11" customFormat="false" ht="25" hidden="false" customHeight="true" outlineLevel="0" collapsed="false">
      <c r="A11" s="230" t="s">
        <v>213</v>
      </c>
      <c r="B11" s="231" t="s">
        <v>214</v>
      </c>
      <c r="C11" s="232" t="s">
        <v>215</v>
      </c>
      <c r="D11" s="233"/>
      <c r="E11" s="233"/>
      <c r="F11" s="234"/>
      <c r="G11" s="235" t="n">
        <v>0</v>
      </c>
    </row>
    <row r="12" customFormat="false" ht="25" hidden="false" customHeight="true" outlineLevel="0" collapsed="false">
      <c r="A12" s="230" t="s">
        <v>216</v>
      </c>
      <c r="B12" s="231" t="s">
        <v>217</v>
      </c>
      <c r="C12" s="232" t="s">
        <v>215</v>
      </c>
      <c r="D12" s="235"/>
      <c r="E12" s="235"/>
      <c r="F12" s="236" t="n">
        <f aca="false">D12-E12</f>
        <v>0</v>
      </c>
      <c r="G12" s="235"/>
    </row>
    <row r="13" customFormat="false" ht="25" hidden="false" customHeight="true" outlineLevel="0" collapsed="false">
      <c r="A13" s="230" t="s">
        <v>218</v>
      </c>
      <c r="B13" s="231" t="s">
        <v>219</v>
      </c>
      <c r="C13" s="232" t="s">
        <v>215</v>
      </c>
      <c r="D13" s="235"/>
      <c r="E13" s="235"/>
      <c r="F13" s="236" t="n">
        <f aca="false">D13-E13</f>
        <v>0</v>
      </c>
      <c r="G13" s="235"/>
    </row>
    <row r="14" customFormat="false" ht="25" hidden="false" customHeight="true" outlineLevel="0" collapsed="false">
      <c r="A14" s="230" t="s">
        <v>220</v>
      </c>
      <c r="B14" s="231" t="s">
        <v>221</v>
      </c>
      <c r="C14" s="232" t="s">
        <v>215</v>
      </c>
      <c r="D14" s="235"/>
      <c r="E14" s="235"/>
      <c r="F14" s="236" t="n">
        <f aca="false">D14-E14</f>
        <v>0</v>
      </c>
      <c r="G14" s="235"/>
      <c r="I14" s="237"/>
    </row>
    <row r="15" customFormat="false" ht="25" hidden="false" customHeight="true" outlineLevel="0" collapsed="false">
      <c r="A15" s="238" t="s">
        <v>222</v>
      </c>
      <c r="B15" s="239" t="s">
        <v>223</v>
      </c>
      <c r="C15" s="240" t="n">
        <v>3</v>
      </c>
      <c r="D15" s="229" t="n">
        <f aca="false">SUM(D16:D23)</f>
        <v>0</v>
      </c>
      <c r="E15" s="229" t="n">
        <f aca="false">SUM(E16:E23)</f>
        <v>0</v>
      </c>
      <c r="F15" s="229" t="n">
        <f aca="false">SUM(F16:F23)</f>
        <v>0</v>
      </c>
      <c r="G15" s="229" t="n">
        <f aca="false">SUM(G16:G23)</f>
        <v>0</v>
      </c>
      <c r="I15" s="237"/>
    </row>
    <row r="16" customFormat="false" ht="25" hidden="false" customHeight="true" outlineLevel="0" collapsed="false">
      <c r="A16" s="230" t="s">
        <v>224</v>
      </c>
      <c r="B16" s="241" t="s">
        <v>225</v>
      </c>
      <c r="C16" s="231" t="s">
        <v>95</v>
      </c>
      <c r="D16" s="242" t="n">
        <v>0</v>
      </c>
      <c r="E16" s="242"/>
      <c r="F16" s="243" t="n">
        <f aca="false">D16-E16</f>
        <v>0</v>
      </c>
      <c r="G16" s="242" t="n">
        <v>0</v>
      </c>
      <c r="I16" s="237"/>
    </row>
    <row r="17" customFormat="false" ht="25" hidden="false" customHeight="true" outlineLevel="0" collapsed="false">
      <c r="A17" s="230"/>
      <c r="B17" s="244" t="s">
        <v>226</v>
      </c>
      <c r="C17" s="232" t="s">
        <v>215</v>
      </c>
      <c r="D17" s="242"/>
      <c r="E17" s="242"/>
      <c r="F17" s="243"/>
      <c r="G17" s="242"/>
      <c r="I17" s="237"/>
    </row>
    <row r="18" customFormat="false" ht="21.75" hidden="false" customHeight="true" outlineLevel="0" collapsed="false">
      <c r="A18" s="245" t="s">
        <v>227</v>
      </c>
      <c r="B18" s="241" t="s">
        <v>228</v>
      </c>
      <c r="C18" s="230" t="s">
        <v>215</v>
      </c>
      <c r="D18" s="242" t="n">
        <v>0</v>
      </c>
      <c r="E18" s="242" t="n">
        <v>0</v>
      </c>
      <c r="F18" s="243" t="n">
        <f aca="false">D18-E18</f>
        <v>0</v>
      </c>
      <c r="G18" s="242" t="n">
        <v>0</v>
      </c>
      <c r="I18" s="237"/>
    </row>
    <row r="19" customFormat="false" ht="25" hidden="false" customHeight="true" outlineLevel="0" collapsed="false">
      <c r="A19" s="245"/>
      <c r="B19" s="244" t="s">
        <v>229</v>
      </c>
      <c r="C19" s="230"/>
      <c r="D19" s="242"/>
      <c r="E19" s="242"/>
      <c r="F19" s="243"/>
      <c r="G19" s="242"/>
      <c r="I19" s="237"/>
    </row>
    <row r="20" customFormat="false" ht="25" hidden="false" customHeight="true" outlineLevel="0" collapsed="false">
      <c r="A20" s="230" t="s">
        <v>230</v>
      </c>
      <c r="B20" s="231" t="s">
        <v>231</v>
      </c>
      <c r="C20" s="232" t="s">
        <v>215</v>
      </c>
      <c r="D20" s="235" t="n">
        <v>0</v>
      </c>
      <c r="E20" s="235" t="n">
        <v>0</v>
      </c>
      <c r="F20" s="236" t="n">
        <f aca="false">D20-E20</f>
        <v>0</v>
      </c>
      <c r="G20" s="235" t="n">
        <v>0</v>
      </c>
      <c r="I20" s="246"/>
    </row>
    <row r="21" customFormat="false" ht="25" hidden="false" customHeight="true" outlineLevel="0" collapsed="false">
      <c r="A21" s="245" t="s">
        <v>232</v>
      </c>
      <c r="B21" s="231" t="s">
        <v>233</v>
      </c>
      <c r="C21" s="232" t="s">
        <v>215</v>
      </c>
      <c r="D21" s="235" t="n">
        <v>0</v>
      </c>
      <c r="E21" s="235" t="n">
        <v>0</v>
      </c>
      <c r="F21" s="236" t="n">
        <f aca="false">D21-E21</f>
        <v>0</v>
      </c>
      <c r="G21" s="235" t="n">
        <v>0</v>
      </c>
    </row>
    <row r="22" customFormat="false" ht="25" hidden="false" customHeight="true" outlineLevel="0" collapsed="false">
      <c r="A22" s="245" t="s">
        <v>234</v>
      </c>
      <c r="B22" s="231" t="s">
        <v>235</v>
      </c>
      <c r="C22" s="232" t="s">
        <v>215</v>
      </c>
      <c r="D22" s="235" t="n">
        <v>0</v>
      </c>
      <c r="E22" s="235" t="n">
        <v>0</v>
      </c>
      <c r="F22" s="236" t="n">
        <v>0</v>
      </c>
      <c r="G22" s="235" t="n">
        <v>0</v>
      </c>
    </row>
    <row r="23" customFormat="false" ht="25" hidden="false" customHeight="true" outlineLevel="0" collapsed="false">
      <c r="A23" s="230" t="s">
        <v>236</v>
      </c>
      <c r="B23" s="231" t="s">
        <v>237</v>
      </c>
      <c r="C23" s="232" t="n">
        <v>3</v>
      </c>
      <c r="D23" s="235"/>
      <c r="E23" s="235"/>
      <c r="F23" s="236" t="n">
        <f aca="false">D23-E23</f>
        <v>0</v>
      </c>
      <c r="G23" s="235"/>
    </row>
    <row r="24" customFormat="false" ht="25" hidden="false" customHeight="true" outlineLevel="0" collapsed="false">
      <c r="A24" s="247" t="s">
        <v>238</v>
      </c>
      <c r="B24" s="227" t="s">
        <v>239</v>
      </c>
      <c r="C24" s="228" t="n">
        <v>4</v>
      </c>
      <c r="D24" s="229" t="n">
        <f aca="false">SUM(D25:D26)</f>
        <v>0</v>
      </c>
      <c r="E24" s="229" t="n">
        <f aca="false">SUM(E25:E26)</f>
        <v>0</v>
      </c>
      <c r="F24" s="229" t="n">
        <f aca="false">SUM(F25:F26)</f>
        <v>0</v>
      </c>
      <c r="G24" s="229" t="n">
        <f aca="false">SUM(G25:G26)</f>
        <v>0</v>
      </c>
      <c r="I24" s="246"/>
    </row>
    <row r="25" customFormat="false" ht="25" hidden="false" customHeight="true" outlineLevel="0" collapsed="false">
      <c r="A25" s="230" t="s">
        <v>240</v>
      </c>
      <c r="B25" s="231" t="s">
        <v>241</v>
      </c>
      <c r="C25" s="232" t="s">
        <v>215</v>
      </c>
      <c r="D25" s="235"/>
      <c r="E25" s="235"/>
      <c r="F25" s="236" t="n">
        <f aca="false">D25-E25</f>
        <v>0</v>
      </c>
      <c r="G25" s="235"/>
    </row>
    <row r="26" customFormat="false" ht="25" hidden="false" customHeight="true" outlineLevel="0" collapsed="false">
      <c r="A26" s="230" t="s">
        <v>242</v>
      </c>
      <c r="B26" s="231" t="s">
        <v>243</v>
      </c>
      <c r="C26" s="232" t="s">
        <v>215</v>
      </c>
      <c r="D26" s="248" t="n">
        <v>0</v>
      </c>
      <c r="E26" s="235"/>
      <c r="F26" s="236" t="n">
        <f aca="false">D26-E26</f>
        <v>0</v>
      </c>
      <c r="G26" s="235" t="n">
        <v>0</v>
      </c>
    </row>
    <row r="27" customFormat="false" ht="25" hidden="false" customHeight="true" outlineLevel="0" collapsed="false">
      <c r="A27" s="226" t="s">
        <v>244</v>
      </c>
      <c r="B27" s="249" t="s">
        <v>245</v>
      </c>
      <c r="C27" s="250" t="s">
        <v>215</v>
      </c>
      <c r="D27" s="251" t="n">
        <f aca="false">SUM(D10+D15+D24)</f>
        <v>0</v>
      </c>
      <c r="E27" s="251" t="n">
        <f aca="false">SUM(E10+E15+E24)</f>
        <v>0</v>
      </c>
      <c r="F27" s="251" t="n">
        <f aca="false">SUM(F10+F15+F24)</f>
        <v>0</v>
      </c>
      <c r="G27" s="251" t="n">
        <f aca="false">SUM(G10+G15+G24)</f>
        <v>0</v>
      </c>
    </row>
    <row r="28" customFormat="false" ht="25" hidden="false" customHeight="true" outlineLevel="0" collapsed="false">
      <c r="A28" s="230" t="s">
        <v>246</v>
      </c>
      <c r="B28" s="252" t="s">
        <v>247</v>
      </c>
      <c r="C28" s="253" t="n">
        <v>5</v>
      </c>
      <c r="D28" s="254" t="n">
        <v>0</v>
      </c>
      <c r="E28" s="254"/>
      <c r="F28" s="255" t="n">
        <f aca="false">D28-E28</f>
        <v>0</v>
      </c>
      <c r="G28" s="254" t="n">
        <v>0</v>
      </c>
    </row>
    <row r="29" customFormat="false" ht="25" hidden="false" customHeight="true" outlineLevel="0" collapsed="false">
      <c r="A29" s="230" t="s">
        <v>248</v>
      </c>
      <c r="B29" s="252" t="s">
        <v>249</v>
      </c>
      <c r="C29" s="253" t="n">
        <v>6</v>
      </c>
      <c r="D29" s="254" t="n">
        <v>0</v>
      </c>
      <c r="E29" s="254"/>
      <c r="F29" s="255" t="n">
        <f aca="false">D29-E29</f>
        <v>0</v>
      </c>
      <c r="G29" s="254" t="n">
        <v>0</v>
      </c>
    </row>
    <row r="30" customFormat="false" ht="25" hidden="false" customHeight="true" outlineLevel="0" collapsed="false">
      <c r="A30" s="230" t="s">
        <v>250</v>
      </c>
      <c r="B30" s="252" t="s">
        <v>251</v>
      </c>
      <c r="C30" s="253" t="s">
        <v>215</v>
      </c>
      <c r="D30" s="255" t="n">
        <f aca="false">SUM(D31:D33)</f>
        <v>0</v>
      </c>
      <c r="E30" s="255" t="n">
        <f aca="false">SUM(E31:E33)</f>
        <v>0</v>
      </c>
      <c r="F30" s="255" t="n">
        <f aca="false">SUM(F31:F33)</f>
        <v>0</v>
      </c>
      <c r="G30" s="255" t="n">
        <f aca="false">SUM(G31:G33)</f>
        <v>0</v>
      </c>
    </row>
    <row r="31" customFormat="false" ht="25" hidden="false" customHeight="true" outlineLevel="0" collapsed="false">
      <c r="A31" s="230" t="s">
        <v>252</v>
      </c>
      <c r="B31" s="231" t="s">
        <v>253</v>
      </c>
      <c r="C31" s="232" t="n">
        <v>17</v>
      </c>
      <c r="D31" s="235" t="n">
        <v>0</v>
      </c>
      <c r="E31" s="235"/>
      <c r="F31" s="236" t="n">
        <f aca="false">D31-E31</f>
        <v>0</v>
      </c>
      <c r="G31" s="235"/>
    </row>
    <row r="32" customFormat="false" ht="25" hidden="false" customHeight="true" outlineLevel="0" collapsed="false">
      <c r="A32" s="230" t="s">
        <v>254</v>
      </c>
      <c r="B32" s="231" t="s">
        <v>255</v>
      </c>
      <c r="C32" s="232" t="n">
        <v>7</v>
      </c>
      <c r="D32" s="235" t="n">
        <v>0</v>
      </c>
      <c r="E32" s="235"/>
      <c r="F32" s="236" t="n">
        <f aca="false">D32-E32</f>
        <v>0</v>
      </c>
      <c r="G32" s="235" t="n">
        <v>0</v>
      </c>
      <c r="I32" s="246"/>
    </row>
    <row r="33" customFormat="false" ht="25" hidden="false" customHeight="true" outlineLevel="0" collapsed="false">
      <c r="A33" s="230" t="s">
        <v>256</v>
      </c>
      <c r="B33" s="231" t="s">
        <v>257</v>
      </c>
      <c r="C33" s="232" t="n">
        <v>8</v>
      </c>
      <c r="D33" s="235" t="n">
        <v>0</v>
      </c>
      <c r="E33" s="235"/>
      <c r="F33" s="236" t="n">
        <f aca="false">D33-E33</f>
        <v>0</v>
      </c>
      <c r="G33" s="235" t="n">
        <v>0</v>
      </c>
    </row>
    <row r="34" customFormat="false" ht="25" hidden="false" customHeight="true" outlineLevel="0" collapsed="false">
      <c r="A34" s="247" t="s">
        <v>258</v>
      </c>
      <c r="B34" s="249" t="s">
        <v>259</v>
      </c>
      <c r="C34" s="250" t="s">
        <v>215</v>
      </c>
      <c r="D34" s="251" t="n">
        <f aca="false">D28+D29+D30</f>
        <v>0</v>
      </c>
      <c r="E34" s="251" t="n">
        <f aca="false">E28+E29+E30</f>
        <v>0</v>
      </c>
      <c r="F34" s="251" t="n">
        <f aca="false">F28+F29+F30</f>
        <v>0</v>
      </c>
      <c r="G34" s="251" t="n">
        <f aca="false">G28+G29+G30</f>
        <v>0</v>
      </c>
    </row>
    <row r="35" customFormat="false" ht="25" hidden="false" customHeight="true" outlineLevel="0" collapsed="false">
      <c r="A35" s="230" t="s">
        <v>260</v>
      </c>
      <c r="B35" s="231" t="s">
        <v>261</v>
      </c>
      <c r="C35" s="232" t="n">
        <v>9</v>
      </c>
      <c r="D35" s="235" t="n">
        <v>0</v>
      </c>
      <c r="E35" s="235" t="n">
        <v>0</v>
      </c>
      <c r="F35" s="236" t="n">
        <f aca="false">D35-E35</f>
        <v>0</v>
      </c>
      <c r="G35" s="235" t="n">
        <v>0</v>
      </c>
    </row>
    <row r="36" customFormat="false" ht="25" hidden="false" customHeight="true" outlineLevel="0" collapsed="false">
      <c r="A36" s="230" t="s">
        <v>262</v>
      </c>
      <c r="B36" s="231" t="s">
        <v>263</v>
      </c>
      <c r="C36" s="232" t="n">
        <v>10</v>
      </c>
      <c r="D36" s="235" t="n">
        <v>0</v>
      </c>
      <c r="E36" s="235" t="n">
        <v>0</v>
      </c>
      <c r="F36" s="236" t="n">
        <f aca="false">D36-E36</f>
        <v>0</v>
      </c>
      <c r="G36" s="235" t="n">
        <v>0</v>
      </c>
    </row>
    <row r="37" customFormat="false" ht="25" hidden="false" customHeight="true" outlineLevel="0" collapsed="false">
      <c r="A37" s="230" t="s">
        <v>264</v>
      </c>
      <c r="B37" s="231" t="s">
        <v>265</v>
      </c>
      <c r="C37" s="232" t="n">
        <v>11</v>
      </c>
      <c r="D37" s="235" t="n">
        <v>0</v>
      </c>
      <c r="E37" s="235"/>
      <c r="F37" s="236" t="n">
        <v>0</v>
      </c>
      <c r="G37" s="235" t="n">
        <v>0</v>
      </c>
    </row>
    <row r="38" customFormat="false" ht="25" hidden="false" customHeight="true" outlineLevel="0" collapsed="false">
      <c r="A38" s="226" t="s">
        <v>266</v>
      </c>
      <c r="B38" s="249" t="s">
        <v>267</v>
      </c>
      <c r="C38" s="250" t="s">
        <v>215</v>
      </c>
      <c r="D38" s="251" t="n">
        <f aca="false">SUM(D35:D37)</f>
        <v>0</v>
      </c>
      <c r="E38" s="251" t="n">
        <f aca="false">SUM(E35:E37)</f>
        <v>0</v>
      </c>
      <c r="F38" s="251" t="n">
        <f aca="false">SUM(F35:F37)</f>
        <v>0</v>
      </c>
      <c r="G38" s="251" t="n">
        <f aca="false">SUM(G35:G37)</f>
        <v>0</v>
      </c>
    </row>
    <row r="39" customFormat="false" ht="25" hidden="false" customHeight="true" outlineLevel="0" collapsed="false">
      <c r="A39" s="230" t="s">
        <v>268</v>
      </c>
      <c r="B39" s="231" t="s">
        <v>269</v>
      </c>
      <c r="C39" s="232" t="n">
        <v>12</v>
      </c>
      <c r="D39" s="235" t="n">
        <v>0</v>
      </c>
      <c r="E39" s="235" t="n">
        <v>0</v>
      </c>
      <c r="F39" s="236" t="n">
        <v>0</v>
      </c>
      <c r="G39" s="235" t="n">
        <v>0</v>
      </c>
    </row>
    <row r="40" customFormat="false" ht="25" hidden="false" customHeight="true" outlineLevel="0" collapsed="false">
      <c r="A40" s="256" t="s">
        <v>270</v>
      </c>
      <c r="B40" s="257" t="s">
        <v>271</v>
      </c>
      <c r="C40" s="258" t="s">
        <v>215</v>
      </c>
      <c r="D40" s="259" t="n">
        <f aca="false">SUM(D27+D34+D38+D39)</f>
        <v>0</v>
      </c>
      <c r="E40" s="259" t="n">
        <f aca="false">SUM(E27+E34+E38+E39)</f>
        <v>0</v>
      </c>
      <c r="F40" s="259" t="n">
        <f aca="false">SUM(F27+F34+F38+F39)</f>
        <v>0</v>
      </c>
      <c r="G40" s="259" t="n">
        <f aca="false">SUM(G27+G34+G38+G39)</f>
        <v>0</v>
      </c>
    </row>
    <row r="41" customFormat="false" ht="25" hidden="false" customHeight="true" outlineLevel="0" collapsed="false">
      <c r="A41" s="260"/>
      <c r="F41" s="261"/>
      <c r="G41" s="262"/>
    </row>
    <row r="42" customFormat="false" ht="14" hidden="false" customHeight="false" outlineLevel="0" collapsed="false">
      <c r="E42" s="263"/>
      <c r="F42" s="246"/>
      <c r="G42" s="246"/>
    </row>
    <row r="43" customFormat="false" ht="14" hidden="false" customHeight="false" outlineLevel="0" collapsed="false">
      <c r="F43" s="246"/>
    </row>
    <row r="44" customFormat="false" ht="14" hidden="false" customHeight="false" outlineLevel="0" collapsed="false">
      <c r="F44" s="246"/>
    </row>
    <row r="45" customFormat="false" ht="14" hidden="false" customHeight="false" outlineLevel="0" collapsed="false">
      <c r="F45" s="246"/>
    </row>
    <row r="46" customFormat="false" ht="14" hidden="false" customHeight="false" outlineLevel="0" collapsed="false">
      <c r="F46" s="246"/>
    </row>
  </sheetData>
  <mergeCells count="16">
    <mergeCell ref="A6:G6"/>
    <mergeCell ref="A7:A9"/>
    <mergeCell ref="B7:B9"/>
    <mergeCell ref="C7:C9"/>
    <mergeCell ref="D7:F8"/>
    <mergeCell ref="A16:A17"/>
    <mergeCell ref="D16:D17"/>
    <mergeCell ref="E16:E17"/>
    <mergeCell ref="F16:F17"/>
    <mergeCell ref="G16:G17"/>
    <mergeCell ref="A18:A19"/>
    <mergeCell ref="C18:C19"/>
    <mergeCell ref="D18:D19"/>
    <mergeCell ref="E18:E19"/>
    <mergeCell ref="F18:F19"/>
    <mergeCell ref="G18:G19"/>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E5" activeCellId="0" sqref="E5"/>
    </sheetView>
  </sheetViews>
  <sheetFormatPr defaultColWidth="10.90234375" defaultRowHeight="14.5" zeroHeight="false" outlineLevelRow="0" outlineLevelCol="0"/>
  <cols>
    <col collapsed="false" customWidth="true" hidden="false" outlineLevel="0" max="1" min="1" style="0" width="4.81"/>
    <col collapsed="false" customWidth="true" hidden="false" outlineLevel="0" max="2" min="2" style="0" width="63.44"/>
    <col collapsed="false" customWidth="true" hidden="false" outlineLevel="0" max="3" min="3" style="0" width="5.81"/>
    <col collapsed="false" customWidth="true" hidden="false" outlineLevel="0" max="4" min="4" style="0" width="15.99"/>
    <col collapsed="false" customWidth="true" hidden="false" outlineLevel="0" max="5" min="5" style="0" width="16.17"/>
    <col collapsed="false" customWidth="true" hidden="false" outlineLevel="0" max="7" min="7" style="0" width="12.72"/>
  </cols>
  <sheetData>
    <row r="1" customFormat="false" ht="18" hidden="false" customHeight="false" outlineLevel="0" collapsed="false">
      <c r="A1" s="198"/>
      <c r="B1" s="176"/>
      <c r="C1" s="176"/>
      <c r="D1" s="176"/>
      <c r="E1" s="176"/>
    </row>
    <row r="2" customFormat="false" ht="18" hidden="false" customHeight="false" outlineLevel="0" collapsed="false">
      <c r="A2" s="198"/>
      <c r="B2" s="176"/>
      <c r="C2" s="176"/>
      <c r="D2" s="176"/>
      <c r="E2" s="176"/>
    </row>
    <row r="3" customFormat="false" ht="6" hidden="false" customHeight="true" outlineLevel="0" collapsed="false">
      <c r="A3" s="216"/>
      <c r="B3" s="176"/>
      <c r="C3" s="176"/>
      <c r="D3" s="176"/>
      <c r="E3" s="176"/>
    </row>
    <row r="4" customFormat="false" ht="14.5" hidden="false" customHeight="false" outlineLevel="0" collapsed="false">
      <c r="A4" s="200" t="s">
        <v>198</v>
      </c>
      <c r="B4" s="264"/>
      <c r="C4" s="176"/>
      <c r="D4" s="217" t="s">
        <v>272</v>
      </c>
      <c r="E4" s="265"/>
      <c r="F4" s="266"/>
    </row>
    <row r="5" customFormat="false" ht="14.5" hidden="false" customHeight="false" outlineLevel="0" collapsed="false">
      <c r="A5" s="204" t="s">
        <v>200</v>
      </c>
      <c r="B5" s="205"/>
      <c r="C5" s="176"/>
      <c r="D5" s="217" t="s">
        <v>101</v>
      </c>
      <c r="E5" s="267"/>
    </row>
    <row r="6" customFormat="false" ht="25" hidden="false" customHeight="true" outlineLevel="0" collapsed="false">
      <c r="A6" s="219" t="s">
        <v>201</v>
      </c>
      <c r="B6" s="219"/>
      <c r="C6" s="219"/>
      <c r="D6" s="219"/>
      <c r="E6" s="219"/>
    </row>
    <row r="7" customFormat="false" ht="18.75" hidden="false" customHeight="true" outlineLevel="0" collapsed="false">
      <c r="A7" s="221" t="s">
        <v>273</v>
      </c>
      <c r="B7" s="221" t="s">
        <v>274</v>
      </c>
      <c r="C7" s="221" t="s">
        <v>204</v>
      </c>
      <c r="D7" s="222" t="s">
        <v>275</v>
      </c>
      <c r="E7" s="222" t="s">
        <v>276</v>
      </c>
    </row>
    <row r="8" customFormat="false" ht="18" hidden="false" customHeight="true" outlineLevel="0" collapsed="false">
      <c r="A8" s="221"/>
      <c r="B8" s="221"/>
      <c r="C8" s="221"/>
      <c r="D8" s="223" t="s">
        <v>277</v>
      </c>
      <c r="E8" s="223" t="s">
        <v>207</v>
      </c>
    </row>
    <row r="9" customFormat="false" ht="19.5" hidden="false" customHeight="true" outlineLevel="0" collapsed="false">
      <c r="A9" s="221"/>
      <c r="B9" s="221"/>
      <c r="C9" s="221"/>
      <c r="D9" s="224" t="s">
        <v>210</v>
      </c>
      <c r="E9" s="224" t="s">
        <v>210</v>
      </c>
    </row>
    <row r="10" customFormat="false" ht="25" hidden="false" customHeight="true" outlineLevel="0" collapsed="false">
      <c r="A10" s="268" t="s">
        <v>278</v>
      </c>
      <c r="B10" s="269" t="s">
        <v>279</v>
      </c>
      <c r="C10" s="268" t="n">
        <v>13</v>
      </c>
      <c r="D10" s="270" t="n">
        <v>0</v>
      </c>
      <c r="E10" s="270" t="n">
        <v>0</v>
      </c>
    </row>
    <row r="11" customFormat="false" ht="25" hidden="false" customHeight="true" outlineLevel="0" collapsed="false">
      <c r="A11" s="268" t="s">
        <v>280</v>
      </c>
      <c r="B11" s="269" t="s">
        <v>281</v>
      </c>
      <c r="C11" s="268" t="n">
        <v>13</v>
      </c>
      <c r="D11" s="270"/>
      <c r="E11" s="270"/>
    </row>
    <row r="12" customFormat="false" ht="25" hidden="false" customHeight="true" outlineLevel="0" collapsed="false">
      <c r="A12" s="271" t="s">
        <v>282</v>
      </c>
      <c r="B12" s="269" t="s">
        <v>283</v>
      </c>
      <c r="C12" s="268" t="n">
        <v>14</v>
      </c>
      <c r="D12" s="270"/>
      <c r="E12" s="270"/>
    </row>
    <row r="13" customFormat="false" ht="25" hidden="false" customHeight="true" outlineLevel="0" collapsed="false">
      <c r="A13" s="268" t="s">
        <v>284</v>
      </c>
      <c r="B13" s="269" t="s">
        <v>285</v>
      </c>
      <c r="C13" s="268" t="s">
        <v>286</v>
      </c>
      <c r="D13" s="270"/>
      <c r="E13" s="270"/>
    </row>
    <row r="14" customFormat="false" ht="25" hidden="false" customHeight="true" outlineLevel="0" collapsed="false">
      <c r="A14" s="268" t="s">
        <v>287</v>
      </c>
      <c r="B14" s="269" t="s">
        <v>288</v>
      </c>
      <c r="C14" s="268" t="n">
        <v>14</v>
      </c>
      <c r="D14" s="270"/>
      <c r="E14" s="270"/>
    </row>
    <row r="15" customFormat="false" ht="25" hidden="false" customHeight="true" outlineLevel="0" collapsed="false">
      <c r="A15" s="271" t="s">
        <v>289</v>
      </c>
      <c r="B15" s="269" t="s">
        <v>290</v>
      </c>
      <c r="C15" s="268" t="n">
        <v>14</v>
      </c>
      <c r="D15" s="270"/>
      <c r="E15" s="270"/>
    </row>
    <row r="16" customFormat="false" ht="25" hidden="false" customHeight="true" outlineLevel="0" collapsed="false">
      <c r="A16" s="271" t="s">
        <v>291</v>
      </c>
      <c r="B16" s="269" t="s">
        <v>292</v>
      </c>
      <c r="C16" s="268" t="n">
        <v>14</v>
      </c>
      <c r="D16" s="270" t="n">
        <v>0</v>
      </c>
      <c r="E16" s="270" t="n">
        <v>0</v>
      </c>
    </row>
    <row r="17" customFormat="false" ht="25" hidden="false" customHeight="true" outlineLevel="0" collapsed="false">
      <c r="A17" s="268" t="s">
        <v>293</v>
      </c>
      <c r="B17" s="269" t="s">
        <v>294</v>
      </c>
      <c r="C17" s="268" t="s">
        <v>95</v>
      </c>
      <c r="D17" s="270" t="n">
        <v>0</v>
      </c>
      <c r="E17" s="270" t="n">
        <v>0</v>
      </c>
    </row>
    <row r="18" customFormat="false" ht="25" hidden="false" customHeight="true" outlineLevel="0" collapsed="false">
      <c r="A18" s="268" t="s">
        <v>295</v>
      </c>
      <c r="B18" s="269" t="s">
        <v>296</v>
      </c>
      <c r="C18" s="268" t="n">
        <v>15</v>
      </c>
      <c r="D18" s="270"/>
      <c r="E18" s="270"/>
    </row>
    <row r="19" customFormat="false" ht="25" hidden="false" customHeight="true" outlineLevel="0" collapsed="false">
      <c r="A19" s="271" t="s">
        <v>297</v>
      </c>
      <c r="B19" s="269" t="s">
        <v>298</v>
      </c>
      <c r="C19" s="268" t="n">
        <v>15</v>
      </c>
      <c r="D19" s="270" t="n">
        <v>0</v>
      </c>
      <c r="E19" s="270"/>
    </row>
    <row r="20" customFormat="false" ht="25" hidden="false" customHeight="true" outlineLevel="0" collapsed="false">
      <c r="A20" s="238" t="s">
        <v>299</v>
      </c>
      <c r="B20" s="272" t="s">
        <v>300</v>
      </c>
      <c r="C20" s="273" t="s">
        <v>215</v>
      </c>
      <c r="D20" s="274" t="n">
        <f aca="false">SUM(D10:D19)</f>
        <v>0</v>
      </c>
      <c r="E20" s="274" t="n">
        <f aca="false">SUM(E10:E19)</f>
        <v>0</v>
      </c>
    </row>
    <row r="21" customFormat="false" ht="25" hidden="false" customHeight="true" outlineLevel="0" collapsed="false">
      <c r="A21" s="271" t="s">
        <v>301</v>
      </c>
      <c r="B21" s="269" t="s">
        <v>302</v>
      </c>
      <c r="C21" s="268" t="n">
        <v>16</v>
      </c>
      <c r="D21" s="270"/>
      <c r="E21" s="270" t="n">
        <v>0</v>
      </c>
    </row>
    <row r="22" customFormat="false" ht="25" hidden="false" customHeight="true" outlineLevel="0" collapsed="false">
      <c r="A22" s="271" t="s">
        <v>303</v>
      </c>
      <c r="B22" s="269" t="s">
        <v>304</v>
      </c>
      <c r="C22" s="268" t="n">
        <v>16</v>
      </c>
      <c r="D22" s="270"/>
      <c r="E22" s="270"/>
    </row>
    <row r="23" customFormat="false" ht="25" hidden="false" customHeight="true" outlineLevel="0" collapsed="false">
      <c r="A23" s="271" t="s">
        <v>305</v>
      </c>
      <c r="B23" s="269" t="s">
        <v>306</v>
      </c>
      <c r="C23" s="268" t="n">
        <v>16</v>
      </c>
      <c r="D23" s="270"/>
      <c r="E23" s="270"/>
    </row>
    <row r="24" customFormat="false" ht="25" hidden="false" customHeight="true" outlineLevel="0" collapsed="false">
      <c r="A24" s="275" t="s">
        <v>307</v>
      </c>
      <c r="B24" s="272" t="s">
        <v>308</v>
      </c>
      <c r="C24" s="273" t="s">
        <v>215</v>
      </c>
      <c r="D24" s="276" t="n">
        <f aca="false">SUM(D21:D23)</f>
        <v>0</v>
      </c>
      <c r="E24" s="274" t="n">
        <f aca="false">SUM(E21:E23)</f>
        <v>0</v>
      </c>
    </row>
    <row r="25" customFormat="false" ht="25" hidden="false" customHeight="true" outlineLevel="0" collapsed="false">
      <c r="A25" s="238" t="s">
        <v>309</v>
      </c>
      <c r="B25" s="277" t="s">
        <v>310</v>
      </c>
      <c r="C25" s="278" t="s">
        <v>215</v>
      </c>
      <c r="D25" s="279" t="n">
        <f aca="false">D20+D24</f>
        <v>0</v>
      </c>
      <c r="E25" s="279" t="n">
        <f aca="false">E20+E24</f>
        <v>0</v>
      </c>
    </row>
    <row r="26" customFormat="false" ht="25" hidden="false" customHeight="true" outlineLevel="0" collapsed="false">
      <c r="A26" s="271" t="s">
        <v>311</v>
      </c>
      <c r="B26" s="269" t="s">
        <v>312</v>
      </c>
      <c r="C26" s="268" t="n">
        <v>5</v>
      </c>
      <c r="D26" s="270"/>
      <c r="E26" s="270"/>
    </row>
    <row r="27" customFormat="false" ht="25" hidden="false" customHeight="true" outlineLevel="0" collapsed="false">
      <c r="A27" s="268" t="s">
        <v>313</v>
      </c>
      <c r="B27" s="269" t="s">
        <v>314</v>
      </c>
      <c r="C27" s="268" t="n">
        <v>7</v>
      </c>
      <c r="D27" s="270"/>
      <c r="E27" s="270"/>
    </row>
    <row r="28" customFormat="false" ht="25" hidden="false" customHeight="true" outlineLevel="0" collapsed="false">
      <c r="A28" s="268" t="s">
        <v>315</v>
      </c>
      <c r="B28" s="269" t="s">
        <v>316</v>
      </c>
      <c r="C28" s="268" t="n">
        <v>17</v>
      </c>
      <c r="D28" s="270" t="n">
        <v>0</v>
      </c>
      <c r="E28" s="270" t="n">
        <v>0</v>
      </c>
    </row>
    <row r="29" customFormat="false" ht="25" hidden="false" customHeight="true" outlineLevel="0" collapsed="false">
      <c r="A29" s="271" t="s">
        <v>317</v>
      </c>
      <c r="B29" s="269" t="s">
        <v>318</v>
      </c>
      <c r="C29" s="268" t="n">
        <v>18</v>
      </c>
      <c r="D29" s="270" t="n">
        <v>0</v>
      </c>
      <c r="E29" s="270" t="n">
        <v>0</v>
      </c>
    </row>
    <row r="30" customFormat="false" ht="25" hidden="false" customHeight="true" outlineLevel="0" collapsed="false">
      <c r="A30" s="269" t="s">
        <v>319</v>
      </c>
      <c r="B30" s="269" t="s">
        <v>320</v>
      </c>
      <c r="C30" s="268" t="n">
        <v>19</v>
      </c>
      <c r="D30" s="270" t="n">
        <v>0</v>
      </c>
      <c r="E30" s="270" t="n">
        <v>0</v>
      </c>
    </row>
    <row r="31" customFormat="false" ht="25" hidden="false" customHeight="true" outlineLevel="0" collapsed="false">
      <c r="A31" s="271" t="s">
        <v>321</v>
      </c>
      <c r="B31" s="269" t="s">
        <v>322</v>
      </c>
      <c r="C31" s="268" t="n">
        <v>19</v>
      </c>
      <c r="D31" s="270"/>
      <c r="E31" s="270"/>
    </row>
    <row r="32" customFormat="false" ht="25" hidden="false" customHeight="true" outlineLevel="0" collapsed="false">
      <c r="A32" s="238" t="s">
        <v>323</v>
      </c>
      <c r="B32" s="277" t="s">
        <v>324</v>
      </c>
      <c r="C32" s="280" t="s">
        <v>215</v>
      </c>
      <c r="D32" s="279" t="n">
        <f aca="false">SUM(D26:D31)</f>
        <v>0</v>
      </c>
      <c r="E32" s="279" t="n">
        <f aca="false">SUM(E26:E31)</f>
        <v>0</v>
      </c>
    </row>
    <row r="33" customFormat="false" ht="25" hidden="false" customHeight="true" outlineLevel="0" collapsed="false">
      <c r="A33" s="271" t="s">
        <v>325</v>
      </c>
      <c r="B33" s="269" t="s">
        <v>326</v>
      </c>
      <c r="C33" s="268" t="n">
        <v>20</v>
      </c>
      <c r="D33" s="270" t="n">
        <v>0</v>
      </c>
      <c r="E33" s="270" t="n">
        <v>0</v>
      </c>
    </row>
    <row r="34" customFormat="false" ht="25" hidden="false" customHeight="true" outlineLevel="0" collapsed="false">
      <c r="A34" s="271" t="s">
        <v>327</v>
      </c>
      <c r="B34" s="269" t="s">
        <v>328</v>
      </c>
      <c r="C34" s="268" t="n">
        <v>20</v>
      </c>
      <c r="D34" s="270" t="n">
        <v>0</v>
      </c>
      <c r="E34" s="270" t="n">
        <v>0</v>
      </c>
    </row>
    <row r="35" customFormat="false" ht="25" hidden="false" customHeight="true" outlineLevel="0" collapsed="false">
      <c r="A35" s="275" t="s">
        <v>329</v>
      </c>
      <c r="B35" s="277" t="s">
        <v>330</v>
      </c>
      <c r="C35" s="278" t="s">
        <v>215</v>
      </c>
      <c r="D35" s="281" t="n">
        <f aca="false">D33+D34</f>
        <v>0</v>
      </c>
      <c r="E35" s="281" t="n">
        <f aca="false">E33+E34</f>
        <v>0</v>
      </c>
      <c r="G35" s="282"/>
    </row>
    <row r="36" customFormat="false" ht="25" hidden="false" customHeight="true" outlineLevel="0" collapsed="false">
      <c r="A36" s="271" t="s">
        <v>331</v>
      </c>
      <c r="B36" s="269" t="s">
        <v>332</v>
      </c>
      <c r="C36" s="268" t="n">
        <v>12</v>
      </c>
      <c r="D36" s="270" t="n">
        <v>0</v>
      </c>
      <c r="E36" s="270" t="n">
        <v>0</v>
      </c>
    </row>
    <row r="37" customFormat="false" ht="25" hidden="false" customHeight="true" outlineLevel="0" collapsed="false">
      <c r="A37" s="283" t="s">
        <v>333</v>
      </c>
      <c r="B37" s="284" t="s">
        <v>271</v>
      </c>
      <c r="C37" s="285" t="s">
        <v>215</v>
      </c>
      <c r="D37" s="286" t="n">
        <f aca="false">SUM(D25+D32+D35+D36)</f>
        <v>0</v>
      </c>
      <c r="E37" s="286" t="n">
        <f aca="false">SUM(E25+E32+E35+E36)</f>
        <v>0</v>
      </c>
    </row>
    <row r="38" customFormat="false" ht="25" hidden="false" customHeight="true" outlineLevel="0" collapsed="false">
      <c r="D38" s="282"/>
      <c r="E38" s="282"/>
    </row>
    <row r="39" customFormat="false" ht="14.5" hidden="false" customHeight="false" outlineLevel="0" collapsed="false">
      <c r="D39" s="282"/>
      <c r="E39" s="282"/>
    </row>
  </sheetData>
  <mergeCells count="4">
    <mergeCell ref="A6:E6"/>
    <mergeCell ref="A7:A9"/>
    <mergeCell ref="B7:B9"/>
    <mergeCell ref="C7:C9"/>
  </mergeCells>
  <printOptions headings="false" gridLines="false" gridLinesSet="true" horizontalCentered="false" verticalCentered="false"/>
  <pageMargins left="0.7" right="0.7" top="0.75" bottom="0.75"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4"/>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E10" activeCellId="0" sqref="E10"/>
    </sheetView>
  </sheetViews>
  <sheetFormatPr defaultColWidth="10.90234375" defaultRowHeight="14.5" zeroHeight="false" outlineLevelRow="0" outlineLevelCol="0"/>
  <cols>
    <col collapsed="false" customWidth="true" hidden="false" outlineLevel="0" max="1" min="1" style="0" width="4.44"/>
    <col collapsed="false" customWidth="true" hidden="false" outlineLevel="0" max="2" min="2" style="0" width="55.44"/>
    <col collapsed="false" customWidth="true" hidden="false" outlineLevel="0" max="3" min="3" style="287" width="4.26"/>
    <col collapsed="false" customWidth="true" hidden="false" outlineLevel="0" max="4" min="4" style="287" width="7.81"/>
    <col collapsed="false" customWidth="true" hidden="false" outlineLevel="0" max="5" min="5" style="0" width="15.81"/>
    <col collapsed="false" customWidth="true" hidden="false" outlineLevel="0" max="6" min="6" style="0" width="17.81"/>
  </cols>
  <sheetData>
    <row r="1" customFormat="false" ht="18" hidden="false" customHeight="false" outlineLevel="0" collapsed="false">
      <c r="A1" s="198"/>
      <c r="B1" s="176"/>
      <c r="C1" s="199"/>
      <c r="D1" s="199"/>
      <c r="E1" s="176"/>
    </row>
    <row r="2" customFormat="false" ht="18" hidden="false" customHeight="false" outlineLevel="0" collapsed="false">
      <c r="A2" s="198"/>
      <c r="B2" s="176"/>
      <c r="C2" s="199"/>
      <c r="D2" s="199"/>
      <c r="E2" s="176"/>
    </row>
    <row r="3" customFormat="false" ht="14.5" hidden="false" customHeight="false" outlineLevel="0" collapsed="false">
      <c r="A3" s="200" t="s">
        <v>334</v>
      </c>
      <c r="B3" s="205"/>
      <c r="C3" s="176"/>
      <c r="D3" s="217" t="s">
        <v>199</v>
      </c>
      <c r="E3" s="217"/>
      <c r="F3" s="203"/>
      <c r="G3" s="176"/>
    </row>
    <row r="4" customFormat="false" ht="14.5" hidden="false" customHeight="false" outlineLevel="0" collapsed="false">
      <c r="A4" s="204" t="s">
        <v>335</v>
      </c>
      <c r="B4" s="205"/>
      <c r="C4" s="176"/>
      <c r="D4" s="288" t="s">
        <v>101</v>
      </c>
      <c r="E4" s="288"/>
      <c r="F4" s="207"/>
      <c r="G4" s="176"/>
    </row>
    <row r="5" customFormat="false" ht="15" hidden="false" customHeight="false" outlineLevel="0" collapsed="false">
      <c r="A5" s="289" t="s">
        <v>336</v>
      </c>
      <c r="B5" s="289"/>
      <c r="C5" s="289"/>
      <c r="D5" s="289"/>
      <c r="E5" s="289"/>
      <c r="F5" s="289"/>
    </row>
    <row r="6" s="176" customFormat="true" ht="10.5" hidden="false" customHeight="true" outlineLevel="0" collapsed="false">
      <c r="A6" s="290" t="s">
        <v>273</v>
      </c>
      <c r="B6" s="290" t="s">
        <v>337</v>
      </c>
      <c r="C6" s="291" t="s">
        <v>215</v>
      </c>
      <c r="D6" s="290" t="s">
        <v>338</v>
      </c>
      <c r="E6" s="290" t="s">
        <v>339</v>
      </c>
      <c r="F6" s="290" t="s">
        <v>340</v>
      </c>
    </row>
    <row r="7" s="176" customFormat="true" ht="16.5" hidden="false" customHeight="true" outlineLevel="0" collapsed="false">
      <c r="A7" s="290"/>
      <c r="B7" s="290"/>
      <c r="C7" s="291"/>
      <c r="D7" s="290"/>
      <c r="E7" s="290"/>
      <c r="F7" s="290"/>
    </row>
    <row r="8" s="176" customFormat="true" ht="15.75" hidden="false" customHeight="true" outlineLevel="0" collapsed="false">
      <c r="A8" s="290"/>
      <c r="B8" s="290"/>
      <c r="C8" s="291"/>
      <c r="D8" s="290"/>
      <c r="E8" s="292" t="s">
        <v>210</v>
      </c>
      <c r="F8" s="292" t="s">
        <v>210</v>
      </c>
    </row>
    <row r="9" s="176" customFormat="true" ht="19" hidden="false" customHeight="true" outlineLevel="0" collapsed="false">
      <c r="A9" s="230" t="s">
        <v>341</v>
      </c>
      <c r="B9" s="293" t="s">
        <v>342</v>
      </c>
      <c r="C9" s="294" t="s">
        <v>343</v>
      </c>
      <c r="D9" s="295" t="n">
        <v>21</v>
      </c>
      <c r="E9" s="296" t="n">
        <v>0</v>
      </c>
      <c r="F9" s="270" t="n">
        <v>0</v>
      </c>
    </row>
    <row r="10" s="176" customFormat="true" ht="19" hidden="false" customHeight="true" outlineLevel="0" collapsed="false">
      <c r="A10" s="230" t="s">
        <v>344</v>
      </c>
      <c r="B10" s="293" t="s">
        <v>345</v>
      </c>
      <c r="C10" s="294" t="s">
        <v>346</v>
      </c>
      <c r="D10" s="295" t="n">
        <v>22</v>
      </c>
      <c r="E10" s="296" t="n">
        <v>0</v>
      </c>
      <c r="F10" s="270" t="n">
        <v>0</v>
      </c>
    </row>
    <row r="11" s="176" customFormat="true" ht="19" hidden="false" customHeight="true" outlineLevel="0" collapsed="false">
      <c r="A11" s="230" t="s">
        <v>347</v>
      </c>
      <c r="B11" s="293" t="s">
        <v>348</v>
      </c>
      <c r="C11" s="294" t="s">
        <v>349</v>
      </c>
      <c r="D11" s="295" t="n">
        <v>6</v>
      </c>
      <c r="E11" s="296" t="n">
        <v>0</v>
      </c>
      <c r="F11" s="270" t="n">
        <v>0</v>
      </c>
    </row>
    <row r="12" s="176" customFormat="true" ht="19.5" hidden="false" customHeight="true" outlineLevel="0" collapsed="false">
      <c r="A12" s="226" t="s">
        <v>350</v>
      </c>
      <c r="B12" s="297" t="s">
        <v>351</v>
      </c>
      <c r="C12" s="298" t="s">
        <v>215</v>
      </c>
      <c r="D12" s="299"/>
      <c r="E12" s="300" t="n">
        <f aca="false">E9-E10-E11</f>
        <v>0</v>
      </c>
      <c r="F12" s="300" t="n">
        <f aca="false">F9-F10-F11</f>
        <v>0</v>
      </c>
    </row>
    <row r="13" s="176" customFormat="true" ht="19" hidden="false" customHeight="true" outlineLevel="0" collapsed="false">
      <c r="A13" s="230" t="s">
        <v>352</v>
      </c>
      <c r="B13" s="293" t="s">
        <v>353</v>
      </c>
      <c r="C13" s="294" t="s">
        <v>343</v>
      </c>
      <c r="D13" s="295" t="n">
        <v>21</v>
      </c>
      <c r="E13" s="296" t="n">
        <v>0</v>
      </c>
      <c r="F13" s="270" t="n">
        <v>0</v>
      </c>
    </row>
    <row r="14" s="176" customFormat="true" ht="19" hidden="false" customHeight="true" outlineLevel="0" collapsed="false">
      <c r="A14" s="230" t="s">
        <v>354</v>
      </c>
      <c r="B14" s="293" t="s">
        <v>355</v>
      </c>
      <c r="C14" s="294" t="s">
        <v>343</v>
      </c>
      <c r="D14" s="295" t="n">
        <v>21</v>
      </c>
      <c r="E14" s="296" t="n">
        <v>0</v>
      </c>
      <c r="F14" s="270" t="n">
        <v>0</v>
      </c>
    </row>
    <row r="15" s="176" customFormat="true" ht="19" hidden="false" customHeight="true" outlineLevel="0" collapsed="false">
      <c r="A15" s="230" t="s">
        <v>356</v>
      </c>
      <c r="B15" s="293" t="s">
        <v>357</v>
      </c>
      <c r="C15" s="294" t="s">
        <v>343</v>
      </c>
      <c r="D15" s="295" t="n">
        <v>21</v>
      </c>
      <c r="E15" s="296" t="n">
        <v>0</v>
      </c>
      <c r="F15" s="270" t="n">
        <v>0</v>
      </c>
    </row>
    <row r="16" s="176" customFormat="true" ht="19.5" hidden="false" customHeight="true" outlineLevel="0" collapsed="false">
      <c r="A16" s="226" t="s">
        <v>358</v>
      </c>
      <c r="B16" s="301" t="s">
        <v>359</v>
      </c>
      <c r="C16" s="298" t="s">
        <v>215</v>
      </c>
      <c r="D16" s="299"/>
      <c r="E16" s="300" t="n">
        <f aca="false">E9+E13+E14+E15</f>
        <v>0</v>
      </c>
      <c r="F16" s="300" t="n">
        <f aca="false">F9+F13+F14+F15</f>
        <v>0</v>
      </c>
    </row>
    <row r="17" s="176" customFormat="true" ht="19" hidden="false" customHeight="true" outlineLevel="0" collapsed="false">
      <c r="A17" s="230" t="s">
        <v>360</v>
      </c>
      <c r="B17" s="293" t="s">
        <v>361</v>
      </c>
      <c r="C17" s="294" t="s">
        <v>349</v>
      </c>
      <c r="D17" s="295" t="n">
        <v>6</v>
      </c>
      <c r="E17" s="296"/>
      <c r="F17" s="270"/>
    </row>
    <row r="18" s="176" customFormat="true" ht="19" hidden="false" customHeight="true" outlineLevel="0" collapsed="false">
      <c r="A18" s="230" t="s">
        <v>362</v>
      </c>
      <c r="B18" s="293" t="s">
        <v>363</v>
      </c>
      <c r="C18" s="294" t="s">
        <v>95</v>
      </c>
      <c r="D18" s="295" t="n">
        <v>21</v>
      </c>
      <c r="E18" s="296"/>
      <c r="F18" s="302"/>
    </row>
    <row r="19" s="176" customFormat="true" ht="19" hidden="false" customHeight="true" outlineLevel="0" collapsed="false">
      <c r="A19" s="230" t="s">
        <v>364</v>
      </c>
      <c r="B19" s="293" t="s">
        <v>365</v>
      </c>
      <c r="C19" s="294" t="s">
        <v>95</v>
      </c>
      <c r="D19" s="295" t="n">
        <v>21</v>
      </c>
      <c r="E19" s="296"/>
      <c r="F19" s="302"/>
    </row>
    <row r="20" s="176" customFormat="true" ht="19" hidden="false" customHeight="true" outlineLevel="0" collapsed="false">
      <c r="A20" s="230" t="s">
        <v>366</v>
      </c>
      <c r="B20" s="293" t="s">
        <v>367</v>
      </c>
      <c r="C20" s="294" t="s">
        <v>343</v>
      </c>
      <c r="D20" s="295" t="n">
        <v>21</v>
      </c>
      <c r="E20" s="296" t="n">
        <v>0</v>
      </c>
      <c r="F20" s="270" t="n">
        <v>0</v>
      </c>
    </row>
    <row r="21" s="176" customFormat="true" ht="19" hidden="false" customHeight="true" outlineLevel="0" collapsed="false">
      <c r="A21" s="230" t="s">
        <v>368</v>
      </c>
      <c r="B21" s="293" t="s">
        <v>369</v>
      </c>
      <c r="C21" s="294" t="s">
        <v>343</v>
      </c>
      <c r="D21" s="295" t="n">
        <v>12</v>
      </c>
      <c r="E21" s="296"/>
      <c r="F21" s="270"/>
    </row>
    <row r="22" s="176" customFormat="true" ht="19" hidden="false" customHeight="true" outlineLevel="0" collapsed="false">
      <c r="A22" s="230" t="s">
        <v>370</v>
      </c>
      <c r="B22" s="293" t="s">
        <v>371</v>
      </c>
      <c r="C22" s="294" t="s">
        <v>372</v>
      </c>
      <c r="D22" s="295" t="n">
        <v>22</v>
      </c>
      <c r="E22" s="296"/>
      <c r="F22" s="270"/>
    </row>
    <row r="23" s="176" customFormat="true" ht="19" hidden="false" customHeight="true" outlineLevel="0" collapsed="false">
      <c r="A23" s="230" t="s">
        <v>373</v>
      </c>
      <c r="B23" s="293" t="s">
        <v>374</v>
      </c>
      <c r="C23" s="294" t="s">
        <v>349</v>
      </c>
      <c r="D23" s="295" t="n">
        <v>6</v>
      </c>
      <c r="E23" s="296"/>
      <c r="F23" s="270"/>
    </row>
    <row r="24" s="176" customFormat="true" ht="19" hidden="false" customHeight="true" outlineLevel="0" collapsed="false">
      <c r="A24" s="230" t="s">
        <v>375</v>
      </c>
      <c r="B24" s="293" t="s">
        <v>376</v>
      </c>
      <c r="C24" s="294" t="s">
        <v>372</v>
      </c>
      <c r="D24" s="295" t="n">
        <v>22</v>
      </c>
      <c r="E24" s="296" t="n">
        <v>0</v>
      </c>
      <c r="F24" s="270" t="n">
        <v>0</v>
      </c>
    </row>
    <row r="25" s="176" customFormat="true" ht="19" hidden="false" customHeight="true" outlineLevel="0" collapsed="false">
      <c r="A25" s="230" t="s">
        <v>377</v>
      </c>
      <c r="B25" s="293" t="s">
        <v>378</v>
      </c>
      <c r="C25" s="294" t="s">
        <v>379</v>
      </c>
      <c r="D25" s="295" t="n">
        <v>6</v>
      </c>
      <c r="E25" s="296"/>
      <c r="F25" s="270"/>
    </row>
    <row r="26" s="176" customFormat="true" ht="19" hidden="false" customHeight="true" outlineLevel="0" collapsed="false">
      <c r="A26" s="230" t="s">
        <v>380</v>
      </c>
      <c r="B26" s="293" t="s">
        <v>381</v>
      </c>
      <c r="C26" s="294" t="s">
        <v>372</v>
      </c>
      <c r="D26" s="295" t="n">
        <v>23</v>
      </c>
      <c r="E26" s="296" t="n">
        <v>0</v>
      </c>
      <c r="F26" s="270" t="n">
        <v>0</v>
      </c>
    </row>
    <row r="27" s="176" customFormat="true" ht="19" hidden="false" customHeight="true" outlineLevel="0" collapsed="false">
      <c r="A27" s="230" t="s">
        <v>382</v>
      </c>
      <c r="B27" s="293" t="s">
        <v>383</v>
      </c>
      <c r="C27" s="294" t="s">
        <v>372</v>
      </c>
      <c r="D27" s="295" t="n">
        <v>24</v>
      </c>
      <c r="E27" s="296" t="n">
        <v>0</v>
      </c>
      <c r="F27" s="270" t="n">
        <v>0</v>
      </c>
    </row>
    <row r="28" s="176" customFormat="true" ht="19" hidden="false" customHeight="true" outlineLevel="0" collapsed="false">
      <c r="A28" s="230" t="s">
        <v>384</v>
      </c>
      <c r="B28" s="293" t="s">
        <v>385</v>
      </c>
      <c r="C28" s="294" t="s">
        <v>372</v>
      </c>
      <c r="D28" s="295" t="n">
        <v>25</v>
      </c>
      <c r="E28" s="296" t="n">
        <v>0</v>
      </c>
      <c r="F28" s="270" t="n">
        <v>0</v>
      </c>
    </row>
    <row r="29" s="176" customFormat="true" ht="19" hidden="false" customHeight="true" outlineLevel="0" collapsed="false">
      <c r="A29" s="230" t="s">
        <v>386</v>
      </c>
      <c r="B29" s="293" t="s">
        <v>387</v>
      </c>
      <c r="C29" s="294" t="s">
        <v>372</v>
      </c>
      <c r="D29" s="295" t="n">
        <v>26</v>
      </c>
      <c r="E29" s="296" t="n">
        <v>0</v>
      </c>
      <c r="F29" s="270" t="n">
        <v>0</v>
      </c>
    </row>
    <row r="30" s="176" customFormat="true" ht="19.5" hidden="false" customHeight="true" outlineLevel="0" collapsed="false">
      <c r="A30" s="226" t="s">
        <v>388</v>
      </c>
      <c r="B30" s="303" t="s">
        <v>389</v>
      </c>
      <c r="C30" s="298" t="s">
        <v>215</v>
      </c>
      <c r="D30" s="299"/>
      <c r="E30" s="300" t="n">
        <f aca="false">E16-E10-E11+E17+E18+E19+E20+E21-E22-E23-E24-E25-E26-E27-E28-E29</f>
        <v>0</v>
      </c>
      <c r="F30" s="300" t="n">
        <f aca="false">F16-F10-F11+F17+F18+F19+F20+F21-F22-F23-F24-F25-F26-F27-F28-F29</f>
        <v>0</v>
      </c>
    </row>
    <row r="31" s="176" customFormat="true" ht="19" hidden="false" customHeight="true" outlineLevel="0" collapsed="false">
      <c r="A31" s="230" t="s">
        <v>390</v>
      </c>
      <c r="B31" s="293" t="s">
        <v>391</v>
      </c>
      <c r="C31" s="294" t="s">
        <v>372</v>
      </c>
      <c r="D31" s="295" t="n">
        <v>27</v>
      </c>
      <c r="E31" s="296" t="n">
        <v>0</v>
      </c>
      <c r="F31" s="270" t="n">
        <v>0</v>
      </c>
    </row>
    <row r="32" s="176" customFormat="true" ht="19.5" hidden="false" customHeight="true" outlineLevel="0" collapsed="false">
      <c r="A32" s="226" t="s">
        <v>392</v>
      </c>
      <c r="B32" s="297" t="s">
        <v>393</v>
      </c>
      <c r="C32" s="298" t="s">
        <v>215</v>
      </c>
      <c r="D32" s="298" t="n">
        <v>28</v>
      </c>
      <c r="E32" s="300" t="n">
        <f aca="false">E30-E31</f>
        <v>0</v>
      </c>
      <c r="F32" s="300" t="n">
        <f aca="false">F30-F31</f>
        <v>0</v>
      </c>
    </row>
    <row r="33" s="176" customFormat="true" ht="19" hidden="false" customHeight="true" outlineLevel="0" collapsed="false">
      <c r="A33" s="230" t="s">
        <v>394</v>
      </c>
      <c r="B33" s="293" t="s">
        <v>395</v>
      </c>
      <c r="C33" s="294" t="s">
        <v>343</v>
      </c>
      <c r="D33" s="295" t="n">
        <v>28</v>
      </c>
      <c r="E33" s="296"/>
      <c r="F33" s="270"/>
    </row>
    <row r="34" s="176" customFormat="true" ht="19" hidden="false" customHeight="true" outlineLevel="0" collapsed="false">
      <c r="A34" s="230" t="s">
        <v>396</v>
      </c>
      <c r="B34" s="293" t="s">
        <v>397</v>
      </c>
      <c r="C34" s="294" t="s">
        <v>372</v>
      </c>
      <c r="D34" s="295" t="s">
        <v>398</v>
      </c>
      <c r="E34" s="296" t="n">
        <v>0</v>
      </c>
      <c r="F34" s="270" t="n">
        <v>0</v>
      </c>
    </row>
    <row r="35" s="176" customFormat="true" ht="19.5" hidden="false" customHeight="true" outlineLevel="0" collapsed="false">
      <c r="A35" s="226" t="s">
        <v>399</v>
      </c>
      <c r="B35" s="297" t="s">
        <v>400</v>
      </c>
      <c r="C35" s="298" t="s">
        <v>215</v>
      </c>
      <c r="D35" s="299"/>
      <c r="E35" s="300" t="n">
        <f aca="false">E32+E33-E34</f>
        <v>0</v>
      </c>
      <c r="F35" s="300" t="n">
        <f aca="false">F32+F33-F34</f>
        <v>0</v>
      </c>
    </row>
    <row r="36" s="176" customFormat="true" ht="19" hidden="false" customHeight="true" outlineLevel="0" collapsed="false">
      <c r="A36" s="230" t="s">
        <v>401</v>
      </c>
      <c r="B36" s="293" t="s">
        <v>402</v>
      </c>
      <c r="C36" s="294" t="s">
        <v>343</v>
      </c>
      <c r="D36" s="295" t="n">
        <v>29</v>
      </c>
      <c r="E36" s="296" t="n">
        <v>0</v>
      </c>
      <c r="F36" s="270" t="n">
        <v>0</v>
      </c>
    </row>
    <row r="37" s="176" customFormat="true" ht="19" hidden="false" customHeight="true" outlineLevel="0" collapsed="false">
      <c r="A37" s="230" t="s">
        <v>403</v>
      </c>
      <c r="B37" s="293" t="s">
        <v>404</v>
      </c>
      <c r="C37" s="294" t="s">
        <v>405</v>
      </c>
      <c r="D37" s="295" t="n">
        <v>28</v>
      </c>
      <c r="E37" s="296"/>
      <c r="F37" s="270"/>
    </row>
    <row r="38" s="176" customFormat="true" ht="19" hidden="false" customHeight="true" outlineLevel="0" collapsed="false">
      <c r="A38" s="230" t="s">
        <v>406</v>
      </c>
      <c r="B38" s="293" t="s">
        <v>407</v>
      </c>
      <c r="C38" s="294" t="s">
        <v>405</v>
      </c>
      <c r="D38" s="295" t="n">
        <v>12</v>
      </c>
      <c r="E38" s="296"/>
      <c r="F38" s="270"/>
    </row>
    <row r="39" s="176" customFormat="true" ht="19" hidden="false" customHeight="true" outlineLevel="0" collapsed="false">
      <c r="A39" s="230" t="s">
        <v>408</v>
      </c>
      <c r="B39" s="293" t="s">
        <v>409</v>
      </c>
      <c r="C39" s="294" t="s">
        <v>372</v>
      </c>
      <c r="D39" s="295" t="n">
        <v>29</v>
      </c>
      <c r="E39" s="296" t="n">
        <v>0</v>
      </c>
      <c r="F39" s="270" t="n">
        <v>0</v>
      </c>
    </row>
    <row r="40" s="176" customFormat="true" ht="19" hidden="false" customHeight="true" outlineLevel="0" collapsed="false">
      <c r="A40" s="226" t="s">
        <v>410</v>
      </c>
      <c r="B40" s="293" t="s">
        <v>411</v>
      </c>
      <c r="C40" s="294" t="s">
        <v>372</v>
      </c>
      <c r="D40" s="294" t="s">
        <v>412</v>
      </c>
      <c r="E40" s="304"/>
      <c r="F40" s="302"/>
    </row>
    <row r="41" s="176" customFormat="true" ht="19.5" hidden="false" customHeight="true" outlineLevel="0" collapsed="false">
      <c r="A41" s="226" t="s">
        <v>413</v>
      </c>
      <c r="B41" s="297" t="s">
        <v>414</v>
      </c>
      <c r="C41" s="298" t="s">
        <v>215</v>
      </c>
      <c r="D41" s="298" t="s">
        <v>215</v>
      </c>
      <c r="E41" s="300" t="n">
        <f aca="false">E36+E37+E38-E39-E40</f>
        <v>0</v>
      </c>
      <c r="F41" s="300" t="n">
        <f aca="false">F36+F37+F38-F39-F40</f>
        <v>0</v>
      </c>
    </row>
    <row r="42" s="176" customFormat="true" ht="19.5" hidden="false" customHeight="true" outlineLevel="0" collapsed="false">
      <c r="A42" s="226" t="s">
        <v>415</v>
      </c>
      <c r="B42" s="305" t="s">
        <v>416</v>
      </c>
      <c r="C42" s="306" t="s">
        <v>215</v>
      </c>
      <c r="D42" s="306" t="s">
        <v>215</v>
      </c>
      <c r="E42" s="307" t="n">
        <f aca="false">E35+E41</f>
        <v>0</v>
      </c>
      <c r="F42" s="307" t="n">
        <f aca="false">F35+F41</f>
        <v>0</v>
      </c>
    </row>
    <row r="43" s="176" customFormat="true" ht="19" hidden="false" customHeight="true" outlineLevel="0" collapsed="false">
      <c r="A43" s="230" t="s">
        <v>417</v>
      </c>
      <c r="B43" s="293" t="s">
        <v>418</v>
      </c>
      <c r="C43" s="294" t="s">
        <v>405</v>
      </c>
      <c r="D43" s="295" t="s">
        <v>419</v>
      </c>
      <c r="E43" s="296"/>
      <c r="F43" s="270"/>
    </row>
    <row r="44" s="176" customFormat="true" ht="19" hidden="false" customHeight="true" outlineLevel="0" collapsed="false">
      <c r="A44" s="230" t="s">
        <v>420</v>
      </c>
      <c r="B44" s="293" t="s">
        <v>421</v>
      </c>
      <c r="C44" s="294" t="s">
        <v>405</v>
      </c>
      <c r="D44" s="295" t="n">
        <v>30</v>
      </c>
      <c r="E44" s="296"/>
      <c r="F44" s="270"/>
    </row>
    <row r="45" s="176" customFormat="true" ht="19" hidden="false" customHeight="true" outlineLevel="0" collapsed="false">
      <c r="A45" s="230" t="s">
        <v>422</v>
      </c>
      <c r="B45" s="293" t="s">
        <v>423</v>
      </c>
      <c r="C45" s="294" t="s">
        <v>372</v>
      </c>
      <c r="D45" s="295" t="s">
        <v>419</v>
      </c>
      <c r="E45" s="296"/>
      <c r="F45" s="270"/>
    </row>
    <row r="46" s="176" customFormat="true" ht="19" hidden="false" customHeight="true" outlineLevel="0" collapsed="false">
      <c r="A46" s="230" t="s">
        <v>424</v>
      </c>
      <c r="B46" s="293" t="s">
        <v>425</v>
      </c>
      <c r="C46" s="294" t="s">
        <v>372</v>
      </c>
      <c r="D46" s="295" t="n">
        <v>30</v>
      </c>
      <c r="E46" s="296"/>
      <c r="F46" s="270"/>
    </row>
    <row r="47" s="176" customFormat="true" ht="19.5" hidden="false" customHeight="true" outlineLevel="0" collapsed="false">
      <c r="A47" s="226" t="s">
        <v>426</v>
      </c>
      <c r="B47" s="308" t="s">
        <v>427</v>
      </c>
      <c r="C47" s="306" t="s">
        <v>215</v>
      </c>
      <c r="D47" s="306" t="s">
        <v>215</v>
      </c>
      <c r="E47" s="307" t="n">
        <f aca="false">E43+E44-E45-E46</f>
        <v>0</v>
      </c>
      <c r="F47" s="307" t="n">
        <f aca="false">F43+F44-F45-F46</f>
        <v>0</v>
      </c>
    </row>
    <row r="48" s="176" customFormat="true" ht="19" hidden="false" customHeight="true" outlineLevel="0" collapsed="false">
      <c r="A48" s="230" t="s">
        <v>428</v>
      </c>
      <c r="B48" s="293" t="s">
        <v>429</v>
      </c>
      <c r="C48" s="294" t="s">
        <v>372</v>
      </c>
      <c r="D48" s="295" t="n">
        <v>30</v>
      </c>
      <c r="E48" s="296"/>
      <c r="F48" s="270"/>
    </row>
    <row r="49" s="176" customFormat="true" ht="19" hidden="false" customHeight="true" outlineLevel="0" collapsed="false">
      <c r="A49" s="230" t="s">
        <v>430</v>
      </c>
      <c r="B49" s="293" t="s">
        <v>431</v>
      </c>
      <c r="C49" s="294" t="s">
        <v>372</v>
      </c>
      <c r="D49" s="295" t="s">
        <v>215</v>
      </c>
      <c r="E49" s="296" t="n">
        <v>0</v>
      </c>
      <c r="F49" s="270" t="n">
        <v>0</v>
      </c>
    </row>
    <row r="50" s="176" customFormat="true" ht="19.5" hidden="false" customHeight="true" outlineLevel="0" collapsed="false">
      <c r="A50" s="256" t="s">
        <v>432</v>
      </c>
      <c r="B50" s="309" t="s">
        <v>433</v>
      </c>
      <c r="C50" s="310" t="s">
        <v>215</v>
      </c>
      <c r="D50" s="310" t="s">
        <v>215</v>
      </c>
      <c r="E50" s="311" t="n">
        <f aca="false">E42+E47-E48-E49</f>
        <v>0</v>
      </c>
      <c r="F50" s="311" t="n">
        <f aca="false">F42+F47-F48-F49</f>
        <v>0</v>
      </c>
    </row>
    <row r="51" s="176" customFormat="true" ht="19.5" hidden="false" customHeight="true" outlineLevel="0" collapsed="false">
      <c r="A51" s="312" t="s">
        <v>95</v>
      </c>
      <c r="C51" s="199"/>
      <c r="D51" s="199"/>
      <c r="E51" s="246"/>
      <c r="F51" s="246"/>
    </row>
    <row r="52" s="176" customFormat="true" ht="19.5" hidden="false" customHeight="true" outlineLevel="0" collapsed="false">
      <c r="C52" s="199"/>
      <c r="D52" s="199"/>
      <c r="E52" s="246"/>
    </row>
    <row r="53" s="176" customFormat="true" ht="25" hidden="false" customHeight="true" outlineLevel="0" collapsed="false">
      <c r="C53" s="199"/>
      <c r="D53" s="199"/>
      <c r="F53" s="246"/>
    </row>
    <row r="54" s="176" customFormat="true" ht="25" hidden="false" customHeight="true" outlineLevel="0" collapsed="false">
      <c r="C54" s="199"/>
      <c r="D54" s="199"/>
    </row>
  </sheetData>
  <mergeCells count="8">
    <mergeCell ref="D4:E4"/>
    <mergeCell ref="A5:F5"/>
    <mergeCell ref="A6:A8"/>
    <mergeCell ref="B6:B8"/>
    <mergeCell ref="C6:C8"/>
    <mergeCell ref="D6:D8"/>
    <mergeCell ref="E6:E7"/>
    <mergeCell ref="F6:F7"/>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10.90234375" defaultRowHeight="14.5" zeroHeight="false" outlineLevelRow="0" outlineLevelCol="0"/>
  <cols>
    <col collapsed="false" customWidth="true" hidden="false" outlineLevel="0" max="1" min="1" style="0" width="3.99"/>
    <col collapsed="false" customWidth="true" hidden="false" outlineLevel="0" max="2" min="2" style="0" width="3.81"/>
    <col collapsed="false" customWidth="true" hidden="false" outlineLevel="0" max="3" min="3" style="0" width="53.44"/>
    <col collapsed="false" customWidth="true" hidden="false" outlineLevel="0" max="4" min="4" style="0" width="12.17"/>
    <col collapsed="false" customWidth="true" hidden="false" outlineLevel="0" max="5" min="5" style="0" width="11.81"/>
    <col collapsed="false" customWidth="true" hidden="false" outlineLevel="0" max="6" min="6" style="0" width="5.44"/>
    <col collapsed="false" customWidth="true" hidden="false" outlineLevel="0" max="7" min="7" style="0" width="5.72"/>
    <col collapsed="false" customWidth="true" hidden="false" outlineLevel="0" max="8" min="8" style="0" width="14.99"/>
    <col collapsed="false" customWidth="true" hidden="false" outlineLevel="0" max="9" min="9" style="0" width="14.81"/>
    <col collapsed="false" customWidth="true" hidden="false" outlineLevel="0" max="10" min="10" style="0" width="12.72"/>
    <col collapsed="false" customWidth="true" hidden="false" outlineLevel="0" max="11" min="11" style="0" width="16.44"/>
    <col collapsed="false" customWidth="true" hidden="false" outlineLevel="0" max="12" min="12" style="0" width="13.72"/>
  </cols>
  <sheetData>
    <row r="2" customFormat="false" ht="14.5" hidden="false" customHeight="false" outlineLevel="0" collapsed="false">
      <c r="B2" s="216"/>
      <c r="C2" s="176"/>
      <c r="D2" s="176"/>
      <c r="E2" s="176"/>
      <c r="F2" s="176"/>
      <c r="G2" s="176"/>
      <c r="H2" s="176"/>
      <c r="I2" s="202"/>
    </row>
    <row r="3" customFormat="false" ht="18" hidden="false" customHeight="false" outlineLevel="0" collapsed="false">
      <c r="B3" s="198"/>
      <c r="C3" s="176"/>
      <c r="D3" s="176"/>
      <c r="E3" s="176"/>
      <c r="F3" s="176"/>
      <c r="G3" s="176"/>
      <c r="H3" s="176"/>
      <c r="I3" s="202"/>
    </row>
    <row r="4" customFormat="false" ht="18" hidden="false" customHeight="false" outlineLevel="0" collapsed="false">
      <c r="B4" s="198"/>
      <c r="C4" s="176"/>
      <c r="D4" s="176"/>
      <c r="E4" s="176"/>
      <c r="F4" s="176"/>
      <c r="G4" s="176"/>
      <c r="H4" s="176"/>
      <c r="I4" s="202"/>
    </row>
    <row r="5" customFormat="false" ht="14.5" hidden="false" customHeight="false" outlineLevel="0" collapsed="false">
      <c r="B5" s="200" t="s">
        <v>434</v>
      </c>
      <c r="C5" s="205"/>
      <c r="D5" s="176"/>
      <c r="E5" s="176"/>
      <c r="F5" s="176"/>
      <c r="G5" s="217" t="s">
        <v>199</v>
      </c>
      <c r="H5" s="217"/>
      <c r="I5" s="203"/>
      <c r="J5" s="176"/>
    </row>
    <row r="6" customFormat="false" ht="14.5" hidden="false" customHeight="false" outlineLevel="0" collapsed="false">
      <c r="B6" s="204" t="s">
        <v>435</v>
      </c>
      <c r="C6" s="205"/>
      <c r="D6" s="176"/>
      <c r="E6" s="176"/>
      <c r="F6" s="176"/>
      <c r="G6" s="288" t="s">
        <v>101</v>
      </c>
      <c r="H6" s="288"/>
      <c r="I6" s="207"/>
      <c r="J6" s="176"/>
    </row>
    <row r="7" customFormat="false" ht="14.5" hidden="false" customHeight="false" outlineLevel="0" collapsed="false">
      <c r="B7" s="313" t="s">
        <v>95</v>
      </c>
      <c r="C7" s="202"/>
      <c r="D7" s="202"/>
      <c r="E7" s="202"/>
      <c r="F7" s="202"/>
      <c r="G7" s="202"/>
      <c r="H7" s="202"/>
      <c r="I7" s="202"/>
    </row>
    <row r="8" customFormat="false" ht="15" hidden="false" customHeight="false" outlineLevel="0" collapsed="false">
      <c r="B8" s="314" t="s">
        <v>436</v>
      </c>
      <c r="C8" s="314"/>
      <c r="D8" s="314"/>
      <c r="E8" s="314"/>
      <c r="F8" s="314"/>
      <c r="G8" s="314"/>
      <c r="H8" s="314"/>
      <c r="I8" s="314"/>
    </row>
    <row r="9" customFormat="false" ht="15.75" hidden="false" customHeight="true" outlineLevel="0" collapsed="false">
      <c r="B9" s="315" t="s">
        <v>437</v>
      </c>
      <c r="C9" s="316" t="s">
        <v>438</v>
      </c>
      <c r="D9" s="316"/>
      <c r="E9" s="316"/>
      <c r="F9" s="316"/>
      <c r="G9" s="316" t="s">
        <v>439</v>
      </c>
      <c r="H9" s="317" t="s">
        <v>440</v>
      </c>
      <c r="I9" s="317" t="s">
        <v>440</v>
      </c>
    </row>
    <row r="10" customFormat="false" ht="16.5" hidden="false" customHeight="true" outlineLevel="0" collapsed="false">
      <c r="B10" s="315"/>
      <c r="C10" s="316"/>
      <c r="D10" s="316"/>
      <c r="E10" s="316"/>
      <c r="F10" s="316"/>
      <c r="G10" s="316"/>
      <c r="H10" s="318" t="s">
        <v>441</v>
      </c>
      <c r="I10" s="318" t="s">
        <v>442</v>
      </c>
    </row>
    <row r="11" customFormat="false" ht="17.25" hidden="false" customHeight="true" outlineLevel="0" collapsed="false">
      <c r="B11" s="226" t="s">
        <v>6</v>
      </c>
      <c r="C11" s="319" t="s">
        <v>443</v>
      </c>
      <c r="D11" s="319"/>
      <c r="E11" s="319"/>
      <c r="F11" s="320" t="s">
        <v>104</v>
      </c>
      <c r="G11" s="321"/>
      <c r="H11" s="322"/>
      <c r="I11" s="322"/>
    </row>
    <row r="12" customFormat="false" ht="17.25" hidden="false" customHeight="true" outlineLevel="0" collapsed="false">
      <c r="B12" s="226"/>
      <c r="C12" s="323" t="s">
        <v>444</v>
      </c>
      <c r="D12" s="323"/>
      <c r="E12" s="323"/>
      <c r="F12" s="320"/>
      <c r="G12" s="321"/>
      <c r="H12" s="322"/>
      <c r="I12" s="322"/>
    </row>
    <row r="13" customFormat="false" ht="22" hidden="false" customHeight="true" outlineLevel="0" collapsed="false">
      <c r="B13" s="230"/>
      <c r="C13" s="324" t="s">
        <v>445</v>
      </c>
      <c r="D13" s="324"/>
      <c r="E13" s="324"/>
      <c r="F13" s="325" t="s">
        <v>215</v>
      </c>
      <c r="G13" s="326" t="s">
        <v>215</v>
      </c>
      <c r="H13" s="327"/>
      <c r="I13" s="328"/>
    </row>
    <row r="14" customFormat="false" ht="22" hidden="false" customHeight="true" outlineLevel="0" collapsed="false">
      <c r="B14" s="230" t="s">
        <v>446</v>
      </c>
      <c r="C14" s="329" t="s">
        <v>447</v>
      </c>
      <c r="D14" s="329"/>
      <c r="E14" s="329"/>
      <c r="F14" s="330" t="s">
        <v>215</v>
      </c>
      <c r="G14" s="330" t="s">
        <v>215</v>
      </c>
      <c r="H14" s="331" t="n">
        <v>0</v>
      </c>
      <c r="I14" s="331"/>
    </row>
    <row r="15" customFormat="false" ht="22" hidden="false" customHeight="true" outlineLevel="0" collapsed="false">
      <c r="B15" s="230" t="s">
        <v>448</v>
      </c>
      <c r="C15" s="332" t="s">
        <v>449</v>
      </c>
      <c r="D15" s="332"/>
      <c r="E15" s="332"/>
      <c r="F15" s="293" t="s">
        <v>95</v>
      </c>
      <c r="G15" s="293" t="s">
        <v>95</v>
      </c>
      <c r="H15" s="333" t="n">
        <v>0</v>
      </c>
      <c r="I15" s="333"/>
      <c r="K15" s="282"/>
    </row>
    <row r="16" customFormat="false" ht="22" hidden="false" customHeight="true" outlineLevel="0" collapsed="false">
      <c r="B16" s="230" t="s">
        <v>450</v>
      </c>
      <c r="C16" s="329" t="s">
        <v>451</v>
      </c>
      <c r="D16" s="329"/>
      <c r="E16" s="329"/>
      <c r="F16" s="293" t="s">
        <v>215</v>
      </c>
      <c r="G16" s="293" t="s">
        <v>215</v>
      </c>
      <c r="H16" s="333" t="n">
        <v>0</v>
      </c>
      <c r="I16" s="333"/>
      <c r="K16" s="282"/>
    </row>
    <row r="17" customFormat="false" ht="22" hidden="false" customHeight="true" outlineLevel="0" collapsed="false">
      <c r="B17" s="230" t="s">
        <v>452</v>
      </c>
      <c r="C17" s="329" t="s">
        <v>453</v>
      </c>
      <c r="D17" s="329"/>
      <c r="E17" s="329"/>
      <c r="F17" s="293" t="s">
        <v>215</v>
      </c>
      <c r="G17" s="293" t="s">
        <v>215</v>
      </c>
      <c r="H17" s="333" t="n">
        <v>0</v>
      </c>
      <c r="I17" s="333"/>
      <c r="K17" s="282"/>
    </row>
    <row r="18" customFormat="false" ht="22" hidden="false" customHeight="true" outlineLevel="0" collapsed="false">
      <c r="B18" s="230" t="s">
        <v>454</v>
      </c>
      <c r="C18" s="329" t="s">
        <v>455</v>
      </c>
      <c r="D18" s="329"/>
      <c r="E18" s="329"/>
      <c r="F18" s="293" t="s">
        <v>215</v>
      </c>
      <c r="G18" s="293" t="s">
        <v>215</v>
      </c>
      <c r="H18" s="333" t="n">
        <v>0</v>
      </c>
      <c r="I18" s="333"/>
      <c r="K18" s="282"/>
    </row>
    <row r="19" customFormat="false" ht="22" hidden="false" customHeight="true" outlineLevel="0" collapsed="false">
      <c r="B19" s="230"/>
      <c r="C19" s="334" t="s">
        <v>456</v>
      </c>
      <c r="D19" s="335" t="n">
        <f aca="false">SUM(H15:H18)</f>
        <v>0</v>
      </c>
      <c r="E19" s="336" t="n">
        <f aca="false">SUM(I15:I18)</f>
        <v>0</v>
      </c>
      <c r="F19" s="230"/>
      <c r="G19" s="293" t="s">
        <v>215</v>
      </c>
      <c r="H19" s="337"/>
      <c r="I19" s="338"/>
      <c r="K19" s="282"/>
    </row>
    <row r="20" customFormat="false" ht="22" hidden="false" customHeight="true" outlineLevel="0" collapsed="false">
      <c r="B20" s="226" t="s">
        <v>10</v>
      </c>
      <c r="C20" s="339" t="s">
        <v>457</v>
      </c>
      <c r="D20" s="339"/>
      <c r="E20" s="339"/>
      <c r="F20" s="340" t="s">
        <v>458</v>
      </c>
      <c r="G20" s="341" t="s">
        <v>215</v>
      </c>
      <c r="H20" s="342" t="n">
        <f aca="false">H14+H15+H16+H17+H18</f>
        <v>0</v>
      </c>
      <c r="I20" s="342"/>
    </row>
    <row r="21" customFormat="false" ht="22" hidden="false" customHeight="true" outlineLevel="0" collapsed="false">
      <c r="B21" s="230"/>
      <c r="C21" s="324" t="s">
        <v>459</v>
      </c>
      <c r="D21" s="324"/>
      <c r="E21" s="324"/>
      <c r="F21" s="325"/>
      <c r="G21" s="326" t="s">
        <v>215</v>
      </c>
      <c r="H21" s="327"/>
      <c r="I21" s="327"/>
      <c r="K21" s="282"/>
    </row>
    <row r="22" customFormat="false" ht="22" hidden="false" customHeight="true" outlineLevel="0" collapsed="false">
      <c r="B22" s="230" t="s">
        <v>460</v>
      </c>
      <c r="C22" s="329" t="s">
        <v>461</v>
      </c>
      <c r="D22" s="329"/>
      <c r="E22" s="329"/>
      <c r="F22" s="230"/>
      <c r="G22" s="293" t="s">
        <v>215</v>
      </c>
      <c r="H22" s="343"/>
      <c r="I22" s="343"/>
    </row>
    <row r="23" customFormat="false" ht="22" hidden="false" customHeight="true" outlineLevel="0" collapsed="false">
      <c r="B23" s="230" t="s">
        <v>462</v>
      </c>
      <c r="C23" s="329" t="s">
        <v>463</v>
      </c>
      <c r="D23" s="329"/>
      <c r="E23" s="329"/>
      <c r="F23" s="230"/>
      <c r="G23" s="293" t="s">
        <v>215</v>
      </c>
      <c r="H23" s="343" t="n">
        <v>0</v>
      </c>
      <c r="I23" s="343"/>
    </row>
    <row r="24" customFormat="false" ht="22" hidden="false" customHeight="true" outlineLevel="0" collapsed="false">
      <c r="B24" s="230" t="s">
        <v>464</v>
      </c>
      <c r="C24" s="329" t="s">
        <v>465</v>
      </c>
      <c r="D24" s="329"/>
      <c r="E24" s="329"/>
      <c r="F24" s="230"/>
      <c r="G24" s="293" t="s">
        <v>215</v>
      </c>
      <c r="H24" s="343"/>
      <c r="I24" s="343"/>
    </row>
    <row r="25" customFormat="false" ht="22" hidden="false" customHeight="true" outlineLevel="0" collapsed="false">
      <c r="B25" s="230" t="s">
        <v>466</v>
      </c>
      <c r="C25" s="332" t="s">
        <v>467</v>
      </c>
      <c r="D25" s="332"/>
      <c r="E25" s="332"/>
      <c r="F25" s="230"/>
      <c r="G25" s="293" t="s">
        <v>215</v>
      </c>
      <c r="H25" s="343"/>
      <c r="I25" s="343"/>
      <c r="K25" s="282"/>
    </row>
    <row r="26" customFormat="false" ht="22" hidden="false" customHeight="true" outlineLevel="0" collapsed="false">
      <c r="B26" s="230" t="s">
        <v>468</v>
      </c>
      <c r="C26" s="329" t="s">
        <v>469</v>
      </c>
      <c r="D26" s="329"/>
      <c r="E26" s="329"/>
      <c r="F26" s="230"/>
      <c r="G26" s="293" t="s">
        <v>215</v>
      </c>
      <c r="H26" s="343"/>
      <c r="I26" s="343"/>
    </row>
    <row r="27" customFormat="false" ht="22" hidden="false" customHeight="true" outlineLevel="0" collapsed="false">
      <c r="B27" s="226" t="s">
        <v>12</v>
      </c>
      <c r="C27" s="339" t="s">
        <v>470</v>
      </c>
      <c r="D27" s="339"/>
      <c r="E27" s="339"/>
      <c r="F27" s="340" t="s">
        <v>471</v>
      </c>
      <c r="G27" s="341" t="s">
        <v>215</v>
      </c>
      <c r="H27" s="344" t="n">
        <f aca="false">-H22-H23-H24+H25+H26</f>
        <v>0</v>
      </c>
      <c r="I27" s="344"/>
    </row>
    <row r="28" customFormat="false" ht="22" hidden="false" customHeight="true" outlineLevel="0" collapsed="false">
      <c r="B28" s="230"/>
      <c r="C28" s="324" t="s">
        <v>472</v>
      </c>
      <c r="D28" s="324"/>
      <c r="E28" s="324"/>
      <c r="F28" s="325"/>
      <c r="G28" s="326" t="s">
        <v>215</v>
      </c>
      <c r="H28" s="327"/>
      <c r="I28" s="327"/>
    </row>
    <row r="29" customFormat="false" ht="22" hidden="false" customHeight="true" outlineLevel="0" collapsed="false">
      <c r="B29" s="230" t="s">
        <v>473</v>
      </c>
      <c r="C29" s="332" t="s">
        <v>474</v>
      </c>
      <c r="D29" s="332"/>
      <c r="E29" s="332"/>
      <c r="F29" s="230"/>
      <c r="G29" s="293" t="s">
        <v>215</v>
      </c>
      <c r="H29" s="343"/>
      <c r="I29" s="343"/>
    </row>
    <row r="30" customFormat="false" ht="22" hidden="false" customHeight="true" outlineLevel="0" collapsed="false">
      <c r="B30" s="230" t="s">
        <v>475</v>
      </c>
      <c r="C30" s="329" t="s">
        <v>476</v>
      </c>
      <c r="D30" s="329"/>
      <c r="E30" s="329"/>
      <c r="F30" s="230"/>
      <c r="G30" s="293" t="s">
        <v>215</v>
      </c>
      <c r="H30" s="343" t="n">
        <v>0</v>
      </c>
      <c r="I30" s="343"/>
    </row>
    <row r="31" customFormat="false" ht="22" hidden="false" customHeight="true" outlineLevel="0" collapsed="false">
      <c r="B31" s="230" t="s">
        <v>477</v>
      </c>
      <c r="C31" s="329" t="s">
        <v>478</v>
      </c>
      <c r="D31" s="329"/>
      <c r="E31" s="329"/>
      <c r="F31" s="230"/>
      <c r="G31" s="293" t="s">
        <v>215</v>
      </c>
      <c r="H31" s="343"/>
      <c r="I31" s="343"/>
    </row>
    <row r="32" customFormat="false" ht="22" hidden="false" customHeight="true" outlineLevel="0" collapsed="false">
      <c r="B32" s="230" t="s">
        <v>479</v>
      </c>
      <c r="C32" s="329" t="s">
        <v>480</v>
      </c>
      <c r="D32" s="329"/>
      <c r="E32" s="329"/>
      <c r="F32" s="230"/>
      <c r="G32" s="293" t="s">
        <v>215</v>
      </c>
      <c r="H32" s="343"/>
      <c r="I32" s="343"/>
    </row>
    <row r="33" customFormat="false" ht="22" hidden="false" customHeight="true" outlineLevel="0" collapsed="false">
      <c r="B33" s="226" t="s">
        <v>15</v>
      </c>
      <c r="C33" s="345" t="s">
        <v>481</v>
      </c>
      <c r="D33" s="345"/>
      <c r="E33" s="345"/>
      <c r="F33" s="346" t="s">
        <v>482</v>
      </c>
      <c r="G33" s="347" t="s">
        <v>215</v>
      </c>
      <c r="H33" s="348" t="n">
        <f aca="false">SUM(H29:H32)</f>
        <v>0</v>
      </c>
      <c r="I33" s="348"/>
    </row>
    <row r="34" customFormat="false" ht="22" hidden="false" customHeight="true" outlineLevel="0" collapsed="false">
      <c r="B34" s="230"/>
      <c r="C34" s="324" t="s">
        <v>483</v>
      </c>
      <c r="D34" s="324"/>
      <c r="E34" s="324"/>
      <c r="F34" s="325"/>
      <c r="G34" s="326" t="s">
        <v>215</v>
      </c>
      <c r="H34" s="327"/>
      <c r="I34" s="327"/>
    </row>
    <row r="35" customFormat="false" ht="22" hidden="false" customHeight="true" outlineLevel="0" collapsed="false">
      <c r="B35" s="230" t="s">
        <v>484</v>
      </c>
      <c r="C35" s="332" t="s">
        <v>485</v>
      </c>
      <c r="D35" s="332"/>
      <c r="E35" s="332"/>
      <c r="F35" s="230"/>
      <c r="G35" s="293" t="s">
        <v>215</v>
      </c>
      <c r="H35" s="343"/>
      <c r="I35" s="343"/>
    </row>
    <row r="36" customFormat="false" ht="22" hidden="false" customHeight="true" outlineLevel="0" collapsed="false">
      <c r="B36" s="230" t="s">
        <v>486</v>
      </c>
      <c r="C36" s="329" t="s">
        <v>487</v>
      </c>
      <c r="D36" s="329"/>
      <c r="E36" s="329"/>
      <c r="F36" s="230"/>
      <c r="G36" s="293" t="s">
        <v>215</v>
      </c>
      <c r="H36" s="343"/>
      <c r="I36" s="343"/>
    </row>
    <row r="37" customFormat="false" ht="22" hidden="false" customHeight="true" outlineLevel="0" collapsed="false">
      <c r="B37" s="230" t="s">
        <v>488</v>
      </c>
      <c r="C37" s="329" t="s">
        <v>489</v>
      </c>
      <c r="D37" s="329"/>
      <c r="E37" s="329"/>
      <c r="F37" s="230"/>
      <c r="G37" s="293" t="s">
        <v>215</v>
      </c>
      <c r="H37" s="343" t="n">
        <v>0</v>
      </c>
      <c r="I37" s="343"/>
    </row>
    <row r="38" customFormat="false" ht="22" hidden="false" customHeight="true" outlineLevel="0" collapsed="false">
      <c r="B38" s="226" t="s">
        <v>19</v>
      </c>
      <c r="C38" s="345" t="s">
        <v>490</v>
      </c>
      <c r="D38" s="345"/>
      <c r="E38" s="345"/>
      <c r="F38" s="346" t="s">
        <v>491</v>
      </c>
      <c r="G38" s="349" t="s">
        <v>215</v>
      </c>
      <c r="H38" s="348" t="n">
        <f aca="false">H35+H36-H37</f>
        <v>0</v>
      </c>
      <c r="I38" s="348"/>
    </row>
    <row r="39" customFormat="false" ht="22" hidden="false" customHeight="true" outlineLevel="0" collapsed="false">
      <c r="B39" s="226" t="s">
        <v>23</v>
      </c>
      <c r="C39" s="339" t="s">
        <v>492</v>
      </c>
      <c r="D39" s="339"/>
      <c r="E39" s="339"/>
      <c r="F39" s="340" t="s">
        <v>493</v>
      </c>
      <c r="G39" s="303" t="s">
        <v>95</v>
      </c>
      <c r="H39" s="342" t="n">
        <f aca="false">H33+H38</f>
        <v>0</v>
      </c>
      <c r="I39" s="342"/>
    </row>
    <row r="40" customFormat="false" ht="22" hidden="false" customHeight="true" outlineLevel="0" collapsed="false">
      <c r="B40" s="226" t="s">
        <v>26</v>
      </c>
      <c r="C40" s="345" t="s">
        <v>494</v>
      </c>
      <c r="D40" s="345"/>
      <c r="E40" s="345"/>
      <c r="F40" s="346" t="s">
        <v>495</v>
      </c>
      <c r="G40" s="308" t="s">
        <v>215</v>
      </c>
      <c r="H40" s="348" t="n">
        <f aca="false">H20+H27+H39</f>
        <v>0</v>
      </c>
      <c r="I40" s="348"/>
      <c r="L40" s="282"/>
    </row>
    <row r="41" customFormat="false" ht="22" hidden="false" customHeight="true" outlineLevel="0" collapsed="false">
      <c r="B41" s="256" t="s">
        <v>33</v>
      </c>
      <c r="C41" s="350" t="s">
        <v>496</v>
      </c>
      <c r="D41" s="350"/>
      <c r="E41" s="350"/>
      <c r="F41" s="351" t="s">
        <v>497</v>
      </c>
      <c r="G41" s="351" t="s">
        <v>215</v>
      </c>
      <c r="H41" s="352" t="n">
        <f aca="false">H11+H40</f>
        <v>0</v>
      </c>
      <c r="I41" s="352"/>
      <c r="K41" s="353"/>
      <c r="L41" s="282"/>
    </row>
    <row r="42" customFormat="false" ht="22" hidden="false" customHeight="true" outlineLevel="0" collapsed="false">
      <c r="B42" s="256"/>
      <c r="C42" s="354" t="s">
        <v>498</v>
      </c>
      <c r="D42" s="354"/>
      <c r="E42" s="354"/>
      <c r="F42" s="351"/>
      <c r="G42" s="351"/>
      <c r="H42" s="352"/>
      <c r="I42" s="352"/>
      <c r="L42" s="282"/>
    </row>
    <row r="43" customFormat="false" ht="20.15" hidden="false" customHeight="true" outlineLevel="0" collapsed="false">
      <c r="B43" s="355" t="s">
        <v>499</v>
      </c>
      <c r="C43" s="355"/>
      <c r="D43" s="355"/>
      <c r="E43" s="355"/>
      <c r="F43" s="355"/>
      <c r="G43" s="355"/>
      <c r="H43" s="355"/>
      <c r="I43" s="355"/>
    </row>
    <row r="44" customFormat="false" ht="20.15" hidden="false" customHeight="true" outlineLevel="0" collapsed="false">
      <c r="B44" s="355"/>
      <c r="C44" s="355"/>
      <c r="D44" s="355"/>
      <c r="E44" s="355"/>
      <c r="F44" s="355"/>
      <c r="G44" s="355"/>
      <c r="H44" s="355"/>
      <c r="I44" s="355"/>
    </row>
    <row r="45" customFormat="false" ht="20.15" hidden="false" customHeight="true" outlineLevel="0" collapsed="false">
      <c r="H45" s="282"/>
      <c r="I45" s="282"/>
    </row>
    <row r="46" customFormat="false" ht="20.15" hidden="false" customHeight="true" outlineLevel="0" collapsed="false">
      <c r="H46" s="282"/>
    </row>
    <row r="47" customFormat="false" ht="20.15" hidden="false" customHeight="true" outlineLevel="0" collapsed="false">
      <c r="H47" s="282"/>
      <c r="I47" s="282"/>
    </row>
    <row r="48" customFormat="false" ht="20.15" hidden="false" customHeight="true" outlineLevel="0" collapsed="false">
      <c r="H48" s="282"/>
    </row>
    <row r="49" customFormat="false" ht="20.15" hidden="false" customHeight="true" outlineLevel="0" collapsed="false">
      <c r="I49" s="356"/>
    </row>
    <row r="50" customFormat="false" ht="20.15" hidden="false" customHeight="true" outlineLevel="0" collapsed="false">
      <c r="I50" s="357"/>
      <c r="J50" s="282"/>
    </row>
    <row r="51" customFormat="false" ht="20.15" hidden="false" customHeight="true" outlineLevel="0" collapsed="false"/>
    <row r="52" customFormat="false" ht="20.15" hidden="false" customHeight="true" outlineLevel="0" collapsed="false"/>
    <row r="53" customFormat="false" ht="20.15" hidden="false" customHeight="true" outlineLevel="0" collapsed="false"/>
    <row r="54" customFormat="false" ht="20.15"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sheetData>
  <mergeCells count="47">
    <mergeCell ref="G6:H6"/>
    <mergeCell ref="B8:I8"/>
    <mergeCell ref="B9:B10"/>
    <mergeCell ref="C9:F10"/>
    <mergeCell ref="G9:G10"/>
    <mergeCell ref="B11:B12"/>
    <mergeCell ref="C11:E11"/>
    <mergeCell ref="F11:F12"/>
    <mergeCell ref="G11:G12"/>
    <mergeCell ref="H11:H12"/>
    <mergeCell ref="I11:I12"/>
    <mergeCell ref="C12:E12"/>
    <mergeCell ref="C13:E13"/>
    <mergeCell ref="C14:E14"/>
    <mergeCell ref="C15:E15"/>
    <mergeCell ref="C16:E16"/>
    <mergeCell ref="C17:E17"/>
    <mergeCell ref="C18:E18"/>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B41:B42"/>
    <mergeCell ref="C41:E41"/>
    <mergeCell ref="F41:F42"/>
    <mergeCell ref="G41:G42"/>
    <mergeCell ref="H41:H42"/>
    <mergeCell ref="I41:I42"/>
    <mergeCell ref="C42:E42"/>
    <mergeCell ref="B43:I44"/>
  </mergeCells>
  <printOptions headings="false" gridLines="false" gridLinesSet="true" horizontalCentered="false" verticalCentered="false"/>
  <pageMargins left="0.196527777777778" right="0.196527777777778" top="0.747916666666667" bottom="0.747916666666667" header="0.511811023622047" footer="0.511811023622047"/>
  <pageSetup paperSize="9" scale="7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4" activeCellId="0" sqref="E14"/>
    </sheetView>
  </sheetViews>
  <sheetFormatPr defaultColWidth="10.8125" defaultRowHeight="22" zeroHeight="false" outlineLevelRow="0" outlineLevelCol="0"/>
  <cols>
    <col collapsed="false" customWidth="true" hidden="false" outlineLevel="0" max="1" min="1" style="209" width="54.44"/>
    <col collapsed="false" customWidth="true" hidden="false" outlineLevel="0" max="2" min="2" style="209" width="5.26"/>
    <col collapsed="false" customWidth="false" hidden="false" outlineLevel="0" max="4" min="3" style="209" width="10.81"/>
    <col collapsed="false" customWidth="true" hidden="false" outlineLevel="0" max="5" min="5" style="209" width="13.81"/>
    <col collapsed="false" customWidth="true" hidden="false" outlineLevel="0" max="6" min="6" style="209" width="13.72"/>
    <col collapsed="false" customWidth="false" hidden="false" outlineLevel="0" max="257" min="7" style="209" width="10.81"/>
  </cols>
  <sheetData>
    <row r="1" customFormat="false" ht="10" hidden="false" customHeight="true" outlineLevel="0" collapsed="false">
      <c r="A1" s="213"/>
    </row>
    <row r="2" customFormat="false" ht="10" hidden="false" customHeight="true" outlineLevel="0" collapsed="false">
      <c r="A2" s="358" t="s">
        <v>215</v>
      </c>
    </row>
    <row r="3" customFormat="false" ht="10" hidden="false" customHeight="true" outlineLevel="0" collapsed="false">
      <c r="A3" s="358"/>
    </row>
    <row r="4" customFormat="false" ht="15" hidden="false" customHeight="true" outlineLevel="0" collapsed="false">
      <c r="A4" s="358"/>
    </row>
    <row r="5" customFormat="false" ht="15" hidden="false" customHeight="true" outlineLevel="0" collapsed="false">
      <c r="A5" s="359" t="s">
        <v>500</v>
      </c>
      <c r="B5" s="176"/>
      <c r="C5" s="176"/>
      <c r="D5" s="217" t="s">
        <v>199</v>
      </c>
      <c r="E5" s="217"/>
      <c r="F5" s="203"/>
      <c r="G5" s="176"/>
    </row>
    <row r="6" customFormat="false" ht="15" hidden="false" customHeight="true" outlineLevel="0" collapsed="false">
      <c r="A6" s="360" t="s">
        <v>200</v>
      </c>
      <c r="B6" s="176"/>
      <c r="C6" s="176"/>
      <c r="D6" s="288" t="s">
        <v>101</v>
      </c>
      <c r="E6" s="288"/>
      <c r="F6" s="207"/>
      <c r="G6" s="176"/>
    </row>
    <row r="7" customFormat="false" ht="15" hidden="false" customHeight="true" outlineLevel="0" collapsed="false">
      <c r="A7" s="213"/>
    </row>
    <row r="8" customFormat="false" ht="22" hidden="false" customHeight="true" outlineLevel="0" collapsed="false">
      <c r="A8" s="314" t="s">
        <v>501</v>
      </c>
      <c r="B8" s="314"/>
      <c r="C8" s="314"/>
      <c r="D8" s="314"/>
      <c r="E8" s="314"/>
      <c r="F8" s="314"/>
    </row>
    <row r="9" customFormat="false" ht="22" hidden="false" customHeight="true" outlineLevel="0" collapsed="false">
      <c r="A9" s="361" t="s">
        <v>438</v>
      </c>
      <c r="B9" s="362" t="s">
        <v>439</v>
      </c>
      <c r="C9" s="317" t="s">
        <v>502</v>
      </c>
      <c r="D9" s="363" t="s">
        <v>503</v>
      </c>
      <c r="E9" s="363"/>
      <c r="F9" s="363"/>
    </row>
    <row r="10" customFormat="false" ht="22" hidden="false" customHeight="true" outlineLevel="0" collapsed="false">
      <c r="A10" s="361"/>
      <c r="B10" s="362"/>
      <c r="C10" s="317"/>
      <c r="D10" s="364" t="s">
        <v>504</v>
      </c>
      <c r="E10" s="365" t="s">
        <v>505</v>
      </c>
      <c r="F10" s="363" t="s">
        <v>506</v>
      </c>
    </row>
    <row r="11" customFormat="false" ht="22" hidden="false" customHeight="true" outlineLevel="0" collapsed="false">
      <c r="A11" s="361"/>
      <c r="B11" s="362"/>
      <c r="C11" s="317"/>
      <c r="D11" s="364"/>
      <c r="E11" s="365"/>
      <c r="F11" s="363"/>
    </row>
    <row r="12" customFormat="false" ht="22" hidden="false" customHeight="true" outlineLevel="0" collapsed="false">
      <c r="A12" s="366" t="s">
        <v>507</v>
      </c>
      <c r="B12" s="367" t="s">
        <v>215</v>
      </c>
      <c r="C12" s="368"/>
      <c r="D12" s="369"/>
      <c r="E12" s="370"/>
      <c r="F12" s="371"/>
    </row>
    <row r="13" customFormat="false" ht="22" hidden="false" customHeight="true" outlineLevel="0" collapsed="false">
      <c r="A13" s="372" t="s">
        <v>508</v>
      </c>
      <c r="B13" s="373" t="s">
        <v>215</v>
      </c>
      <c r="C13" s="374"/>
      <c r="D13" s="375"/>
      <c r="E13" s="376"/>
      <c r="F13" s="377"/>
    </row>
    <row r="14" customFormat="false" ht="22" hidden="false" customHeight="true" outlineLevel="0" collapsed="false">
      <c r="A14" s="378" t="s">
        <v>509</v>
      </c>
      <c r="B14" s="293" t="s">
        <v>215</v>
      </c>
      <c r="C14" s="243"/>
      <c r="D14" s="379"/>
      <c r="E14" s="380"/>
      <c r="F14" s="381"/>
    </row>
    <row r="15" customFormat="false" ht="22" hidden="false" customHeight="true" outlineLevel="0" collapsed="false">
      <c r="A15" s="378" t="s">
        <v>510</v>
      </c>
      <c r="B15" s="293" t="s">
        <v>215</v>
      </c>
      <c r="C15" s="243"/>
      <c r="D15" s="379"/>
      <c r="E15" s="380"/>
      <c r="F15" s="381"/>
    </row>
    <row r="16" customFormat="false" ht="22" hidden="false" customHeight="true" outlineLevel="0" collapsed="false">
      <c r="A16" s="382" t="s">
        <v>511</v>
      </c>
      <c r="B16" s="241" t="s">
        <v>215</v>
      </c>
      <c r="C16" s="383"/>
      <c r="D16" s="384"/>
      <c r="E16" s="385"/>
      <c r="F16" s="386"/>
    </row>
    <row r="17" customFormat="false" ht="22" hidden="false" customHeight="true" outlineLevel="0" collapsed="false">
      <c r="A17" s="387" t="s">
        <v>512</v>
      </c>
      <c r="B17" s="388" t="s">
        <v>215</v>
      </c>
      <c r="C17" s="389"/>
      <c r="D17" s="390"/>
      <c r="E17" s="391"/>
      <c r="F17" s="392"/>
    </row>
    <row r="18" customFormat="false" ht="22" hidden="false" customHeight="true" outlineLevel="0" collapsed="false">
      <c r="A18" s="393" t="s">
        <v>215</v>
      </c>
      <c r="B18" s="373" t="s">
        <v>215</v>
      </c>
      <c r="C18" s="374"/>
      <c r="D18" s="375"/>
      <c r="E18" s="376"/>
      <c r="F18" s="377"/>
    </row>
    <row r="19" customFormat="false" ht="22" hidden="false" customHeight="true" outlineLevel="0" collapsed="false">
      <c r="A19" s="394" t="s">
        <v>513</v>
      </c>
      <c r="B19" s="326" t="s">
        <v>215</v>
      </c>
      <c r="C19" s="395"/>
      <c r="D19" s="396"/>
      <c r="E19" s="397"/>
      <c r="F19" s="398"/>
    </row>
    <row r="20" customFormat="false" ht="22" hidden="false" customHeight="true" outlineLevel="0" collapsed="false">
      <c r="A20" s="378" t="s">
        <v>514</v>
      </c>
      <c r="B20" s="293" t="s">
        <v>215</v>
      </c>
      <c r="C20" s="243"/>
      <c r="D20" s="379"/>
      <c r="E20" s="380"/>
      <c r="F20" s="381"/>
    </row>
    <row r="21" customFormat="false" ht="22" hidden="false" customHeight="true" outlineLevel="0" collapsed="false">
      <c r="A21" s="378" t="s">
        <v>515</v>
      </c>
      <c r="B21" s="293" t="s">
        <v>215</v>
      </c>
      <c r="C21" s="243"/>
      <c r="D21" s="379"/>
      <c r="E21" s="380"/>
      <c r="F21" s="381"/>
    </row>
    <row r="22" customFormat="false" ht="22" hidden="false" customHeight="true" outlineLevel="0" collapsed="false">
      <c r="A22" s="378" t="s">
        <v>516</v>
      </c>
      <c r="B22" s="293" t="s">
        <v>215</v>
      </c>
      <c r="C22" s="243"/>
      <c r="D22" s="379"/>
      <c r="E22" s="380"/>
      <c r="F22" s="381"/>
    </row>
    <row r="23" customFormat="false" ht="22" hidden="false" customHeight="true" outlineLevel="0" collapsed="false">
      <c r="A23" s="382" t="s">
        <v>517</v>
      </c>
      <c r="B23" s="241" t="s">
        <v>95</v>
      </c>
      <c r="C23" s="383"/>
      <c r="D23" s="384"/>
      <c r="E23" s="385"/>
      <c r="F23" s="386"/>
    </row>
    <row r="24" customFormat="false" ht="22" hidden="false" customHeight="true" outlineLevel="0" collapsed="false">
      <c r="A24" s="387" t="s">
        <v>518</v>
      </c>
      <c r="B24" s="388" t="s">
        <v>215</v>
      </c>
      <c r="C24" s="389"/>
      <c r="D24" s="390"/>
      <c r="E24" s="391"/>
      <c r="F24" s="392"/>
    </row>
    <row r="25" customFormat="false" ht="22" hidden="false" customHeight="true" outlineLevel="0" collapsed="false">
      <c r="A25" s="393" t="s">
        <v>215</v>
      </c>
      <c r="B25" s="373" t="s">
        <v>215</v>
      </c>
      <c r="C25" s="374"/>
      <c r="D25" s="375"/>
      <c r="E25" s="376"/>
      <c r="F25" s="377"/>
    </row>
    <row r="26" customFormat="false" ht="22" hidden="false" customHeight="true" outlineLevel="0" collapsed="false">
      <c r="A26" s="394" t="s">
        <v>519</v>
      </c>
      <c r="B26" s="326" t="s">
        <v>215</v>
      </c>
      <c r="C26" s="395"/>
      <c r="D26" s="396"/>
      <c r="E26" s="397"/>
      <c r="F26" s="398"/>
    </row>
    <row r="27" customFormat="false" ht="22" hidden="false" customHeight="true" outlineLevel="0" collapsed="false">
      <c r="A27" s="378" t="s">
        <v>520</v>
      </c>
      <c r="B27" s="293" t="s">
        <v>215</v>
      </c>
      <c r="C27" s="243"/>
      <c r="D27" s="379"/>
      <c r="E27" s="380"/>
      <c r="F27" s="381"/>
    </row>
    <row r="28" customFormat="false" ht="22" hidden="false" customHeight="true" outlineLevel="0" collapsed="false">
      <c r="A28" s="378" t="s">
        <v>255</v>
      </c>
      <c r="B28" s="293" t="s">
        <v>215</v>
      </c>
      <c r="C28" s="243"/>
      <c r="D28" s="379"/>
      <c r="E28" s="380"/>
      <c r="F28" s="381"/>
    </row>
    <row r="29" customFormat="false" ht="22" hidden="false" customHeight="true" outlineLevel="0" collapsed="false">
      <c r="A29" s="378" t="s">
        <v>521</v>
      </c>
      <c r="B29" s="293" t="s">
        <v>215</v>
      </c>
      <c r="C29" s="243"/>
      <c r="D29" s="379"/>
      <c r="E29" s="380"/>
      <c r="F29" s="381"/>
    </row>
    <row r="30" customFormat="false" ht="22" hidden="false" customHeight="true" outlineLevel="0" collapsed="false">
      <c r="A30" s="378" t="s">
        <v>522</v>
      </c>
      <c r="B30" s="293" t="s">
        <v>215</v>
      </c>
      <c r="C30" s="243"/>
      <c r="D30" s="379"/>
      <c r="E30" s="380"/>
      <c r="F30" s="381"/>
    </row>
    <row r="31" customFormat="false" ht="22" hidden="false" customHeight="true" outlineLevel="0" collapsed="false">
      <c r="A31" s="378" t="s">
        <v>523</v>
      </c>
      <c r="B31" s="293" t="s">
        <v>215</v>
      </c>
      <c r="C31" s="243"/>
      <c r="D31" s="379"/>
      <c r="E31" s="380"/>
      <c r="F31" s="381"/>
    </row>
    <row r="32" customFormat="false" ht="22" hidden="false" customHeight="true" outlineLevel="0" collapsed="false">
      <c r="A32" s="378" t="s">
        <v>524</v>
      </c>
      <c r="B32" s="293" t="s">
        <v>215</v>
      </c>
      <c r="C32" s="243"/>
      <c r="D32" s="379"/>
      <c r="E32" s="380"/>
      <c r="F32" s="381"/>
    </row>
    <row r="33" customFormat="false" ht="22" hidden="false" customHeight="true" outlineLevel="0" collapsed="false">
      <c r="A33" s="378" t="s">
        <v>525</v>
      </c>
      <c r="B33" s="293" t="s">
        <v>215</v>
      </c>
      <c r="C33" s="243"/>
      <c r="D33" s="379"/>
      <c r="E33" s="380"/>
      <c r="F33" s="381"/>
    </row>
    <row r="34" customFormat="false" ht="22" hidden="false" customHeight="true" outlineLevel="0" collapsed="false">
      <c r="A34" s="382" t="s">
        <v>526</v>
      </c>
      <c r="B34" s="241" t="s">
        <v>215</v>
      </c>
      <c r="C34" s="383"/>
      <c r="D34" s="384"/>
      <c r="E34" s="385"/>
      <c r="F34" s="386"/>
    </row>
    <row r="35" customFormat="false" ht="22" hidden="false" customHeight="true" outlineLevel="0" collapsed="false">
      <c r="A35" s="387" t="s">
        <v>527</v>
      </c>
      <c r="B35" s="388" t="s">
        <v>215</v>
      </c>
      <c r="C35" s="389"/>
      <c r="D35" s="390"/>
      <c r="E35" s="391"/>
      <c r="F35" s="392"/>
    </row>
    <row r="36" customFormat="false" ht="22" hidden="false" customHeight="true" outlineLevel="0" collapsed="false">
      <c r="A36" s="399" t="s">
        <v>528</v>
      </c>
      <c r="B36" s="400" t="s">
        <v>215</v>
      </c>
      <c r="C36" s="401"/>
      <c r="D36" s="402"/>
      <c r="E36" s="403"/>
      <c r="F36" s="404"/>
    </row>
    <row r="37" customFormat="false" ht="22" hidden="false" customHeight="true" outlineLevel="0" collapsed="false">
      <c r="A37" s="316" t="s">
        <v>529</v>
      </c>
      <c r="B37" s="316"/>
      <c r="C37" s="316"/>
      <c r="D37" s="316" t="s">
        <v>215</v>
      </c>
      <c r="E37" s="405" t="s">
        <v>530</v>
      </c>
      <c r="F37" s="406" t="s">
        <v>531</v>
      </c>
    </row>
    <row r="38" customFormat="false" ht="22" hidden="false" customHeight="true" outlineLevel="0" collapsed="false">
      <c r="A38" s="293" t="s">
        <v>532</v>
      </c>
      <c r="B38" s="293"/>
      <c r="C38" s="293"/>
      <c r="D38" s="337"/>
      <c r="E38" s="407"/>
      <c r="F38" s="243"/>
    </row>
    <row r="39" customFormat="false" ht="22" hidden="false" customHeight="true" outlineLevel="0" collapsed="false">
      <c r="A39" s="293" t="s">
        <v>533</v>
      </c>
      <c r="B39" s="293"/>
      <c r="C39" s="293"/>
      <c r="D39" s="337"/>
      <c r="E39" s="407"/>
      <c r="F39" s="243"/>
    </row>
    <row r="40" customFormat="false" ht="22" hidden="false" customHeight="true" outlineLevel="0" collapsed="false">
      <c r="A40" s="293" t="s">
        <v>534</v>
      </c>
      <c r="B40" s="293"/>
      <c r="C40" s="293"/>
      <c r="D40" s="337"/>
      <c r="E40" s="407"/>
      <c r="F40" s="243"/>
    </row>
    <row r="41" customFormat="false" ht="22" hidden="false" customHeight="true" outlineLevel="0" collapsed="false">
      <c r="A41" s="293" t="s">
        <v>535</v>
      </c>
      <c r="B41" s="293"/>
      <c r="C41" s="293"/>
      <c r="D41" s="337"/>
      <c r="E41" s="407"/>
      <c r="F41" s="243"/>
    </row>
    <row r="42" customFormat="false" ht="22" hidden="false" customHeight="true" outlineLevel="0" collapsed="false">
      <c r="A42" s="293" t="s">
        <v>536</v>
      </c>
      <c r="B42" s="293"/>
      <c r="C42" s="293"/>
      <c r="D42" s="337"/>
      <c r="E42" s="407"/>
      <c r="F42" s="243"/>
    </row>
    <row r="43" customFormat="false" ht="22" hidden="false" customHeight="true" outlineLevel="0" collapsed="false">
      <c r="A43" s="293" t="s">
        <v>537</v>
      </c>
      <c r="B43" s="293"/>
      <c r="C43" s="293"/>
      <c r="D43" s="337"/>
      <c r="E43" s="407"/>
      <c r="F43" s="243"/>
    </row>
    <row r="44" customFormat="false" ht="22" hidden="false" customHeight="true" outlineLevel="0" collapsed="false">
      <c r="A44" s="408" t="s">
        <v>538</v>
      </c>
      <c r="B44" s="408"/>
      <c r="C44" s="408"/>
      <c r="D44" s="409"/>
      <c r="E44" s="410"/>
      <c r="F44" s="383"/>
    </row>
    <row r="45" customFormat="false" ht="22" hidden="false" customHeight="true" outlineLevel="0" collapsed="false">
      <c r="A45" s="411" t="s">
        <v>539</v>
      </c>
      <c r="B45" s="411"/>
      <c r="C45" s="411"/>
      <c r="D45" s="412"/>
      <c r="E45" s="413"/>
      <c r="F45" s="414"/>
    </row>
    <row r="46" customFormat="false" ht="22" hidden="false" customHeight="true" outlineLevel="0" collapsed="false">
      <c r="A46" s="260" t="s">
        <v>540</v>
      </c>
    </row>
    <row r="47" customFormat="false" ht="22" hidden="false" customHeight="true" outlineLevel="0" collapsed="false">
      <c r="A47" s="415" t="s">
        <v>541</v>
      </c>
    </row>
  </sheetData>
  <mergeCells count="18">
    <mergeCell ref="D6:E6"/>
    <mergeCell ref="A8:F8"/>
    <mergeCell ref="A9:A11"/>
    <mergeCell ref="B9:B11"/>
    <mergeCell ref="C9:C11"/>
    <mergeCell ref="D9:F9"/>
    <mergeCell ref="D10:D11"/>
    <mergeCell ref="E10:E11"/>
    <mergeCell ref="F10:F11"/>
    <mergeCell ref="A37:C37"/>
    <mergeCell ref="A38:C38"/>
    <mergeCell ref="A39:C39"/>
    <mergeCell ref="A40:C40"/>
    <mergeCell ref="A41:C41"/>
    <mergeCell ref="A42:C42"/>
    <mergeCell ref="A43:C43"/>
    <mergeCell ref="A44:C44"/>
    <mergeCell ref="A45:C45"/>
  </mergeCells>
  <printOptions headings="false" gridLines="false" gridLinesSet="true" horizontalCentered="false" verticalCentered="false"/>
  <pageMargins left="0.315277777777778" right="0.315277777777778"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1"/>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G17" activeCellId="0" sqref="G17"/>
    </sheetView>
  </sheetViews>
  <sheetFormatPr defaultColWidth="10.90234375" defaultRowHeight="14.5" zeroHeight="false" outlineLevelRow="0" outlineLevelCol="0"/>
  <cols>
    <col collapsed="false" customWidth="true" hidden="false" outlineLevel="0" max="1" min="1" style="0" width="3.44"/>
    <col collapsed="false" customWidth="true" hidden="false" outlineLevel="0" max="2" min="2" style="0" width="43.44"/>
    <col collapsed="false" customWidth="true" hidden="false" outlineLevel="0" max="3" min="3" style="0" width="13.72"/>
    <col collapsed="false" customWidth="true" hidden="false" outlineLevel="0" max="4" min="4" style="0" width="8.72"/>
    <col collapsed="false" customWidth="true" hidden="false" outlineLevel="0" max="5" min="5" style="0" width="16.44"/>
    <col collapsed="false" customWidth="true" hidden="false" outlineLevel="0" max="6" min="6" style="0" width="13.99"/>
  </cols>
  <sheetData>
    <row r="2" customFormat="false" ht="14.5" hidden="false" customHeight="false" outlineLevel="0" collapsed="false">
      <c r="B2" s="214"/>
    </row>
    <row r="3" customFormat="false" ht="17.5" hidden="false" customHeight="false" outlineLevel="0" collapsed="false">
      <c r="B3" s="416"/>
    </row>
    <row r="4" customFormat="false" ht="17.5" hidden="false" customHeight="false" outlineLevel="0" collapsed="false">
      <c r="B4" s="416"/>
    </row>
    <row r="5" customFormat="false" ht="14.5" hidden="false" customHeight="false" outlineLevel="0" collapsed="false">
      <c r="B5" s="359" t="s">
        <v>51</v>
      </c>
      <c r="E5" s="217" t="s">
        <v>199</v>
      </c>
      <c r="F5" s="203"/>
    </row>
    <row r="6" customFormat="false" ht="14.5" hidden="false" customHeight="false" outlineLevel="0" collapsed="false">
      <c r="B6" s="360" t="s">
        <v>200</v>
      </c>
      <c r="E6" s="217" t="s">
        <v>101</v>
      </c>
      <c r="F6" s="207"/>
      <c r="H6" s="176"/>
    </row>
    <row r="7" customFormat="false" ht="14.5" hidden="false" customHeight="false" outlineLevel="0" collapsed="false">
      <c r="H7" s="176"/>
    </row>
    <row r="8" customFormat="false" ht="14.5" hidden="false" customHeight="false" outlineLevel="0" collapsed="false">
      <c r="B8" s="417" t="s">
        <v>542</v>
      </c>
      <c r="C8" s="417"/>
      <c r="D8" s="417"/>
      <c r="E8" s="417"/>
      <c r="F8" s="417"/>
    </row>
    <row r="9" customFormat="false" ht="15" hidden="false" customHeight="false" outlineLevel="0" collapsed="false">
      <c r="B9" s="418" t="s">
        <v>543</v>
      </c>
      <c r="C9" s="418"/>
      <c r="D9" s="418"/>
      <c r="E9" s="418"/>
      <c r="F9" s="418"/>
    </row>
    <row r="10" customFormat="false" ht="18" hidden="false" customHeight="true" outlineLevel="0" collapsed="false">
      <c r="B10" s="419" t="s">
        <v>544</v>
      </c>
      <c r="C10" s="419"/>
      <c r="D10" s="419"/>
      <c r="E10" s="419"/>
      <c r="F10" s="419"/>
    </row>
    <row r="11" customFormat="false" ht="14.5" hidden="false" customHeight="false" outlineLevel="0" collapsed="false">
      <c r="B11" s="420"/>
      <c r="C11" s="420"/>
      <c r="D11" s="420"/>
      <c r="E11" s="420"/>
      <c r="F11" s="420"/>
    </row>
    <row r="12" customFormat="false" ht="28.5" hidden="false" customHeight="true" outlineLevel="0" collapsed="false">
      <c r="B12" s="420"/>
      <c r="C12" s="420"/>
      <c r="D12" s="420"/>
      <c r="E12" s="420"/>
      <c r="F12" s="420"/>
    </row>
    <row r="13" customFormat="false" ht="22.5" hidden="false" customHeight="true" outlineLevel="0" collapsed="false">
      <c r="B13" s="421" t="s">
        <v>545</v>
      </c>
      <c r="C13" s="421"/>
      <c r="D13" s="421"/>
      <c r="E13" s="421"/>
      <c r="F13" s="421"/>
    </row>
    <row r="14" customFormat="false" ht="14.5" hidden="false" customHeight="false" outlineLevel="0" collapsed="false">
      <c r="B14" s="420"/>
      <c r="C14" s="420"/>
      <c r="D14" s="420"/>
      <c r="E14" s="420"/>
      <c r="F14" s="420"/>
    </row>
    <row r="15" customFormat="false" ht="30.75" hidden="false" customHeight="true" outlineLevel="0" collapsed="false">
      <c r="B15" s="420"/>
      <c r="C15" s="420"/>
      <c r="D15" s="420"/>
      <c r="E15" s="420"/>
      <c r="F15" s="420"/>
    </row>
    <row r="16" customFormat="false" ht="25.5" hidden="false" customHeight="true" outlineLevel="0" collapsed="false">
      <c r="B16" s="421" t="s">
        <v>546</v>
      </c>
      <c r="C16" s="421"/>
      <c r="D16" s="421"/>
      <c r="E16" s="421"/>
      <c r="F16" s="421"/>
    </row>
    <row r="17" customFormat="false" ht="31.5" hidden="false" customHeight="true" outlineLevel="0" collapsed="false">
      <c r="B17" s="422"/>
      <c r="C17" s="422"/>
      <c r="D17" s="422"/>
      <c r="E17" s="422"/>
      <c r="F17" s="422"/>
    </row>
    <row r="18" customFormat="false" ht="14.5" hidden="false" customHeight="true" outlineLevel="0" collapsed="false">
      <c r="B18" s="421" t="s">
        <v>547</v>
      </c>
      <c r="C18" s="421"/>
      <c r="D18" s="421"/>
      <c r="E18" s="421"/>
      <c r="F18" s="421"/>
    </row>
    <row r="19" customFormat="false" ht="23.25" hidden="false" customHeight="true" outlineLevel="0" collapsed="false">
      <c r="B19" s="421" t="s">
        <v>548</v>
      </c>
      <c r="C19" s="421"/>
      <c r="D19" s="421"/>
      <c r="E19" s="421"/>
      <c r="F19" s="421"/>
    </row>
    <row r="20" customFormat="false" ht="26.25" hidden="false" customHeight="true" outlineLevel="0" collapsed="false">
      <c r="B20" s="423"/>
      <c r="C20" s="423"/>
      <c r="D20" s="423"/>
      <c r="E20" s="423"/>
      <c r="F20" s="423"/>
    </row>
    <row r="21" customFormat="false" ht="14.5" hidden="false" customHeight="false" outlineLevel="0" collapsed="false">
      <c r="B21" s="214" t="s">
        <v>95</v>
      </c>
    </row>
  </sheetData>
  <mergeCells count="11">
    <mergeCell ref="B8:F8"/>
    <mergeCell ref="B9:F9"/>
    <mergeCell ref="B10:F10"/>
    <mergeCell ref="B11:F12"/>
    <mergeCell ref="B13:F13"/>
    <mergeCell ref="B14:F15"/>
    <mergeCell ref="B16:F16"/>
    <mergeCell ref="B17:F17"/>
    <mergeCell ref="B18:F18"/>
    <mergeCell ref="B19:F19"/>
    <mergeCell ref="B20:F20"/>
  </mergeCells>
  <printOptions headings="false" gridLines="false" gridLinesSet="true" horizontalCentered="false" verticalCentered="false"/>
  <pageMargins left="0.315277777777778" right="0.315277777777778" top="0.354166666666667" bottom="0.354166666666667" header="0.511811023622047" footer="0.511811023622047"/>
  <pageSetup paperSize="9" scale="9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7" activeCellId="0" sqref="A37:H43"/>
    </sheetView>
  </sheetViews>
  <sheetFormatPr defaultColWidth="10.8125" defaultRowHeight="12" zeroHeight="false" outlineLevelRow="0" outlineLevelCol="0"/>
  <cols>
    <col collapsed="false" customWidth="true" hidden="false" outlineLevel="0" max="1" min="1" style="209" width="68.44"/>
    <col collapsed="false" customWidth="true" hidden="false" outlineLevel="0" max="2" min="2" style="209" width="14.99"/>
    <col collapsed="false" customWidth="true" hidden="false" outlineLevel="0" max="3" min="3" style="209" width="15.72"/>
    <col collapsed="false" customWidth="true" hidden="false" outlineLevel="0" max="4" min="4" style="209" width="15.44"/>
    <col collapsed="false" customWidth="true" hidden="false" outlineLevel="0" max="5" min="5" style="209" width="13.99"/>
    <col collapsed="false" customWidth="true" hidden="false" outlineLevel="0" max="6" min="6" style="209" width="13.72"/>
    <col collapsed="false" customWidth="true" hidden="false" outlineLevel="0" max="7" min="7" style="209" width="13.44"/>
    <col collapsed="false" customWidth="true" hidden="false" outlineLevel="0" max="8" min="8" style="209" width="17.26"/>
    <col collapsed="false" customWidth="false" hidden="false" outlineLevel="0" max="257" min="9" style="209" width="10.81"/>
  </cols>
  <sheetData>
    <row r="1" customFormat="false" ht="12" hidden="false" customHeight="false" outlineLevel="0" collapsed="false">
      <c r="A1" s="424"/>
    </row>
    <row r="2" customFormat="false" ht="12" hidden="false" customHeight="false" outlineLevel="0" collapsed="false">
      <c r="A2" s="424"/>
    </row>
    <row r="3" customFormat="false" ht="12" hidden="false" customHeight="false" outlineLevel="0" collapsed="false">
      <c r="A3" s="424"/>
    </row>
    <row r="4" customFormat="false" ht="12" hidden="false" customHeight="false" outlineLevel="0" collapsed="false">
      <c r="A4" s="424"/>
    </row>
    <row r="5" customFormat="false" ht="13" hidden="false" customHeight="false" outlineLevel="0" collapsed="false">
      <c r="A5" s="359" t="s">
        <v>549</v>
      </c>
      <c r="E5" s="217" t="s">
        <v>199</v>
      </c>
      <c r="F5" s="217"/>
      <c r="G5" s="203"/>
    </row>
    <row r="6" customFormat="false" ht="13" hidden="false" customHeight="false" outlineLevel="0" collapsed="false">
      <c r="A6" s="360" t="s">
        <v>200</v>
      </c>
      <c r="E6" s="288" t="s">
        <v>101</v>
      </c>
      <c r="F6" s="288"/>
      <c r="G6" s="207"/>
    </row>
    <row r="7" customFormat="false" ht="13" hidden="false" customHeight="false" outlineLevel="0" collapsed="false">
      <c r="A7" s="425"/>
    </row>
    <row r="8" customFormat="false" ht="14" hidden="false" customHeight="false" outlineLevel="0" collapsed="false">
      <c r="A8" s="426" t="s">
        <v>550</v>
      </c>
      <c r="B8" s="417" t="s">
        <v>551</v>
      </c>
      <c r="C8" s="417"/>
      <c r="D8" s="417"/>
      <c r="E8" s="426"/>
      <c r="F8" s="426"/>
      <c r="G8" s="426"/>
      <c r="H8" s="426"/>
    </row>
    <row r="9" customFormat="false" ht="13" hidden="false" customHeight="false" outlineLevel="0" collapsed="false">
      <c r="A9" s="427" t="s">
        <v>552</v>
      </c>
      <c r="B9" s="427"/>
      <c r="C9" s="427"/>
      <c r="D9" s="427"/>
      <c r="E9" s="427"/>
      <c r="F9" s="427"/>
      <c r="G9" s="427"/>
      <c r="H9" s="427"/>
    </row>
    <row r="10" customFormat="false" ht="7.5" hidden="false" customHeight="true" outlineLevel="0" collapsed="false">
      <c r="A10" s="428"/>
      <c r="B10" s="428"/>
      <c r="C10" s="428"/>
      <c r="D10" s="428"/>
      <c r="E10" s="428"/>
      <c r="F10" s="428"/>
      <c r="G10" s="428"/>
      <c r="H10" s="428"/>
    </row>
    <row r="11" customFormat="false" ht="12" hidden="false" customHeight="false" outlineLevel="0" collapsed="false">
      <c r="A11" s="429" t="s">
        <v>553</v>
      </c>
      <c r="B11" s="317" t="s">
        <v>554</v>
      </c>
      <c r="C11" s="430" t="s">
        <v>555</v>
      </c>
      <c r="D11" s="317" t="s">
        <v>556</v>
      </c>
      <c r="E11" s="430" t="s">
        <v>557</v>
      </c>
      <c r="F11" s="317" t="s">
        <v>558</v>
      </c>
      <c r="G11" s="430" t="s">
        <v>556</v>
      </c>
      <c r="H11" s="317" t="s">
        <v>554</v>
      </c>
      <c r="K11" s="431"/>
    </row>
    <row r="12" customFormat="false" ht="12" hidden="false" customHeight="false" outlineLevel="0" collapsed="false">
      <c r="A12" s="432" t="s">
        <v>215</v>
      </c>
      <c r="B12" s="432" t="s">
        <v>559</v>
      </c>
      <c r="C12" s="433" t="s">
        <v>560</v>
      </c>
      <c r="D12" s="432" t="s">
        <v>561</v>
      </c>
      <c r="E12" s="433" t="s">
        <v>562</v>
      </c>
      <c r="F12" s="432" t="s">
        <v>563</v>
      </c>
      <c r="G12" s="433" t="s">
        <v>561</v>
      </c>
      <c r="H12" s="432" t="s">
        <v>564</v>
      </c>
      <c r="K12" s="434"/>
    </row>
    <row r="13" customFormat="false" ht="23" hidden="false" customHeight="true" outlineLevel="0" collapsed="false">
      <c r="A13" s="435" t="s">
        <v>565</v>
      </c>
      <c r="B13" s="432" t="s">
        <v>566</v>
      </c>
      <c r="C13" s="436" t="s">
        <v>567</v>
      </c>
      <c r="D13" s="437" t="s">
        <v>568</v>
      </c>
      <c r="E13" s="433" t="s">
        <v>569</v>
      </c>
      <c r="F13" s="437" t="s">
        <v>570</v>
      </c>
      <c r="G13" s="433" t="s">
        <v>571</v>
      </c>
      <c r="H13" s="432" t="s">
        <v>572</v>
      </c>
    </row>
    <row r="14" customFormat="false" ht="12.5" hidden="false" customHeight="false" outlineLevel="0" collapsed="false">
      <c r="A14" s="435"/>
      <c r="B14" s="437" t="s">
        <v>573</v>
      </c>
      <c r="C14" s="436"/>
      <c r="D14" s="437"/>
      <c r="E14" s="436" t="s">
        <v>574</v>
      </c>
      <c r="F14" s="437"/>
      <c r="G14" s="436" t="s">
        <v>575</v>
      </c>
      <c r="H14" s="437" t="s">
        <v>573</v>
      </c>
    </row>
    <row r="15" customFormat="false" ht="18" hidden="false" customHeight="true" outlineLevel="0" collapsed="false">
      <c r="A15" s="438" t="s">
        <v>212</v>
      </c>
      <c r="B15" s="439" t="n">
        <f aca="false">SUM(B16:B19)</f>
        <v>0</v>
      </c>
      <c r="C15" s="439" t="n">
        <f aca="false">SUM(C16:C19)</f>
        <v>0</v>
      </c>
      <c r="D15" s="439" t="n">
        <f aca="false">SUM(D16:D19)</f>
        <v>0</v>
      </c>
      <c r="E15" s="439" t="n">
        <f aca="false">SUM(E16:E19)</f>
        <v>0</v>
      </c>
      <c r="F15" s="439" t="n">
        <f aca="false">SUM(F16:F19)</f>
        <v>0</v>
      </c>
      <c r="G15" s="439" t="n">
        <f aca="false">SUM(G16:G19)</f>
        <v>0</v>
      </c>
      <c r="H15" s="439" t="n">
        <f aca="false">SUM(H16:H19)</f>
        <v>0</v>
      </c>
    </row>
    <row r="16" customFormat="false" ht="18" hidden="false" customHeight="true" outlineLevel="0" collapsed="false">
      <c r="A16" s="293" t="s">
        <v>214</v>
      </c>
      <c r="B16" s="242"/>
      <c r="C16" s="440"/>
      <c r="D16" s="242"/>
      <c r="E16" s="440"/>
      <c r="F16" s="242"/>
      <c r="G16" s="440"/>
      <c r="H16" s="242" t="n">
        <f aca="false">B16+C16+D16+E16-F16-G16</f>
        <v>0</v>
      </c>
    </row>
    <row r="17" customFormat="false" ht="18" hidden="false" customHeight="true" outlineLevel="0" collapsed="false">
      <c r="A17" s="293" t="s">
        <v>576</v>
      </c>
      <c r="B17" s="242"/>
      <c r="C17" s="440"/>
      <c r="D17" s="242"/>
      <c r="E17" s="440"/>
      <c r="F17" s="242"/>
      <c r="G17" s="440"/>
      <c r="H17" s="242" t="n">
        <f aca="false">B17+C17+D17+E17-F17-G17</f>
        <v>0</v>
      </c>
    </row>
    <row r="18" customFormat="false" ht="18" hidden="false" customHeight="true" outlineLevel="0" collapsed="false">
      <c r="A18" s="293" t="s">
        <v>219</v>
      </c>
      <c r="B18" s="242"/>
      <c r="C18" s="440"/>
      <c r="D18" s="242"/>
      <c r="E18" s="440"/>
      <c r="F18" s="242"/>
      <c r="G18" s="440"/>
      <c r="H18" s="242" t="n">
        <f aca="false">B18+C18+D18+E18-F18-G18</f>
        <v>0</v>
      </c>
    </row>
    <row r="19" customFormat="false" ht="18" hidden="false" customHeight="true" outlineLevel="0" collapsed="false">
      <c r="A19" s="293" t="s">
        <v>221</v>
      </c>
      <c r="B19" s="242"/>
      <c r="C19" s="440"/>
      <c r="D19" s="242"/>
      <c r="E19" s="440"/>
      <c r="F19" s="242"/>
      <c r="G19" s="440"/>
      <c r="H19" s="242" t="n">
        <f aca="false">B19+C19+D19+E19-F19-G19</f>
        <v>0</v>
      </c>
    </row>
    <row r="20" customFormat="false" ht="18" hidden="false" customHeight="true" outlineLevel="0" collapsed="false">
      <c r="A20" s="441" t="s">
        <v>223</v>
      </c>
      <c r="B20" s="442" t="n">
        <f aca="false">SUM(B22:B27)</f>
        <v>0</v>
      </c>
      <c r="C20" s="442" t="n">
        <f aca="false">SUM(C22:C27)</f>
        <v>0</v>
      </c>
      <c r="D20" s="442" t="n">
        <f aca="false">SUM(D22:D27)</f>
        <v>0</v>
      </c>
      <c r="E20" s="442" t="n">
        <f aca="false">SUM(E22:E27)</f>
        <v>0</v>
      </c>
      <c r="F20" s="442" t="n">
        <f aca="false">SUM(F22:F27)</f>
        <v>0</v>
      </c>
      <c r="G20" s="442" t="n">
        <f aca="false">SUM(G22:G27)</f>
        <v>0</v>
      </c>
      <c r="H20" s="442" t="n">
        <f aca="false">SUM(H22:H27)</f>
        <v>0</v>
      </c>
    </row>
    <row r="21" customFormat="false" ht="18" hidden="false" customHeight="true" outlineLevel="0" collapsed="false">
      <c r="A21" s="293" t="s">
        <v>577</v>
      </c>
      <c r="B21" s="242"/>
      <c r="C21" s="440"/>
      <c r="D21" s="242"/>
      <c r="E21" s="440"/>
      <c r="F21" s="242"/>
      <c r="G21" s="440"/>
      <c r="H21" s="242" t="n">
        <f aca="false">B21+C21+D21+E21-F21-G21</f>
        <v>0</v>
      </c>
    </row>
    <row r="22" customFormat="false" ht="18" hidden="false" customHeight="true" outlineLevel="0" collapsed="false">
      <c r="A22" s="293" t="s">
        <v>578</v>
      </c>
      <c r="B22" s="242"/>
      <c r="C22" s="440"/>
      <c r="D22" s="242"/>
      <c r="E22" s="440"/>
      <c r="F22" s="242"/>
      <c r="G22" s="440"/>
      <c r="H22" s="242" t="n">
        <f aca="false">B22+C22+D22+E22-F22-G22</f>
        <v>0</v>
      </c>
    </row>
    <row r="23" customFormat="false" ht="18" hidden="false" customHeight="true" outlineLevel="0" collapsed="false">
      <c r="A23" s="293" t="s">
        <v>579</v>
      </c>
      <c r="B23" s="242"/>
      <c r="C23" s="440"/>
      <c r="D23" s="242"/>
      <c r="E23" s="440"/>
      <c r="F23" s="242"/>
      <c r="G23" s="440"/>
      <c r="H23" s="242" t="n">
        <f aca="false">B23+C23+D23+E23-F23-G23</f>
        <v>0</v>
      </c>
    </row>
    <row r="24" customFormat="false" ht="18" hidden="false" customHeight="true" outlineLevel="0" collapsed="false">
      <c r="A24" s="293" t="s">
        <v>580</v>
      </c>
      <c r="B24" s="242"/>
      <c r="C24" s="440"/>
      <c r="D24" s="242"/>
      <c r="E24" s="440"/>
      <c r="F24" s="242"/>
      <c r="G24" s="440"/>
      <c r="H24" s="242" t="n">
        <f aca="false">B24+C24+D24+E24-F24-G24</f>
        <v>0</v>
      </c>
    </row>
    <row r="25" customFormat="false" ht="18" hidden="false" customHeight="true" outlineLevel="0" collapsed="false">
      <c r="A25" s="293" t="s">
        <v>231</v>
      </c>
      <c r="B25" s="242"/>
      <c r="C25" s="440"/>
      <c r="D25" s="242"/>
      <c r="E25" s="440"/>
      <c r="F25" s="242"/>
      <c r="G25" s="440"/>
      <c r="H25" s="242" t="n">
        <f aca="false">B25+C25+D25+E25-F25-G25</f>
        <v>0</v>
      </c>
    </row>
    <row r="26" customFormat="false" ht="18" hidden="false" customHeight="true" outlineLevel="0" collapsed="false">
      <c r="A26" s="293" t="s">
        <v>581</v>
      </c>
      <c r="B26" s="242"/>
      <c r="C26" s="440"/>
      <c r="D26" s="242"/>
      <c r="E26" s="440"/>
      <c r="F26" s="242"/>
      <c r="G26" s="440"/>
      <c r="H26" s="242" t="n">
        <f aca="false">B26+C26+D26+E26-F26-G26</f>
        <v>0</v>
      </c>
    </row>
    <row r="27" customFormat="false" ht="18" hidden="false" customHeight="true" outlineLevel="0" collapsed="false">
      <c r="A27" s="293" t="s">
        <v>235</v>
      </c>
      <c r="B27" s="242"/>
      <c r="C27" s="440"/>
      <c r="D27" s="242"/>
      <c r="E27" s="440"/>
      <c r="F27" s="242"/>
      <c r="G27" s="440"/>
      <c r="H27" s="242" t="n">
        <f aca="false">B27+C27+D27+E27-F27-G27</f>
        <v>0</v>
      </c>
    </row>
    <row r="28" customFormat="false" ht="18" hidden="false" customHeight="true" outlineLevel="0" collapsed="false">
      <c r="A28" s="330" t="s">
        <v>582</v>
      </c>
      <c r="B28" s="242"/>
      <c r="C28" s="242"/>
      <c r="D28" s="242" t="n">
        <f aca="false">SUM(D29:D30)</f>
        <v>0</v>
      </c>
      <c r="E28" s="242" t="n">
        <f aca="false">SUM(E29:E30)</f>
        <v>0</v>
      </c>
      <c r="F28" s="242" t="n">
        <f aca="false">SUM(F29:F30)</f>
        <v>0</v>
      </c>
      <c r="G28" s="242" t="n">
        <f aca="false">SUM(G29:G30)</f>
        <v>0</v>
      </c>
      <c r="H28" s="242" t="n">
        <f aca="false">SUM(H29:H30)</f>
        <v>0</v>
      </c>
    </row>
    <row r="29" customFormat="false" ht="18" hidden="false" customHeight="true" outlineLevel="0" collapsed="false">
      <c r="A29" s="293" t="s">
        <v>583</v>
      </c>
      <c r="B29" s="242"/>
      <c r="C29" s="440"/>
      <c r="D29" s="242"/>
      <c r="E29" s="440"/>
      <c r="F29" s="242"/>
      <c r="G29" s="440"/>
      <c r="H29" s="242" t="n">
        <f aca="false">B29+C29+D29+E29-F29-G29</f>
        <v>0</v>
      </c>
    </row>
    <row r="30" customFormat="false" ht="18" hidden="false" customHeight="true" outlineLevel="0" collapsed="false">
      <c r="A30" s="293" t="s">
        <v>584</v>
      </c>
      <c r="B30" s="242"/>
      <c r="C30" s="440"/>
      <c r="D30" s="242"/>
      <c r="E30" s="440"/>
      <c r="F30" s="242"/>
      <c r="G30" s="440"/>
      <c r="H30" s="242" t="n">
        <f aca="false">B30+C30+D30+E30-F30-G30</f>
        <v>0</v>
      </c>
    </row>
    <row r="31" customFormat="false" ht="18" hidden="false" customHeight="true" outlineLevel="0" collapsed="false">
      <c r="A31" s="441" t="s">
        <v>239</v>
      </c>
      <c r="B31" s="442" t="n">
        <f aca="false">SUM(B32:B33)</f>
        <v>0</v>
      </c>
      <c r="C31" s="442" t="n">
        <f aca="false">SUM(C32:C33)</f>
        <v>0</v>
      </c>
      <c r="D31" s="442" t="n">
        <f aca="false">SUM(D32:D33)</f>
        <v>0</v>
      </c>
      <c r="E31" s="442" t="n">
        <f aca="false">SUM(E32:E33)</f>
        <v>0</v>
      </c>
      <c r="F31" s="442" t="n">
        <f aca="false">SUM(F32:F33)</f>
        <v>0</v>
      </c>
      <c r="G31" s="442" t="n">
        <f aca="false">SUM(G32:G33)</f>
        <v>0</v>
      </c>
      <c r="H31" s="442" t="n">
        <f aca="false">SUM(H32:H33)</f>
        <v>0</v>
      </c>
    </row>
    <row r="32" customFormat="false" ht="18" hidden="false" customHeight="true" outlineLevel="0" collapsed="false">
      <c r="A32" s="293" t="s">
        <v>241</v>
      </c>
      <c r="B32" s="242"/>
      <c r="C32" s="440"/>
      <c r="D32" s="242"/>
      <c r="E32" s="440"/>
      <c r="F32" s="242"/>
      <c r="G32" s="440"/>
      <c r="H32" s="242" t="n">
        <f aca="false">B32+C32+D32+E32-F32-G32</f>
        <v>0</v>
      </c>
    </row>
    <row r="33" customFormat="false" ht="18" hidden="false" customHeight="true" outlineLevel="0" collapsed="false">
      <c r="A33" s="293" t="s">
        <v>243</v>
      </c>
      <c r="B33" s="242"/>
      <c r="C33" s="440"/>
      <c r="D33" s="242"/>
      <c r="E33" s="440"/>
      <c r="F33" s="242"/>
      <c r="G33" s="440"/>
      <c r="H33" s="242" t="n">
        <f aca="false">B33+C33+D33+E33-F33-G33</f>
        <v>0</v>
      </c>
    </row>
    <row r="34" customFormat="false" ht="18" hidden="false" customHeight="true" outlineLevel="0" collapsed="false">
      <c r="A34" s="443" t="s">
        <v>271</v>
      </c>
      <c r="B34" s="444" t="n">
        <f aca="false">B15+B20+B28+B31</f>
        <v>0</v>
      </c>
      <c r="C34" s="444" t="n">
        <f aca="false">C15+C20+C28+C31</f>
        <v>0</v>
      </c>
      <c r="D34" s="444" t="n">
        <f aca="false">D15+D20+D28+D31</f>
        <v>0</v>
      </c>
      <c r="E34" s="444" t="n">
        <f aca="false">E15+E20+E28+E31</f>
        <v>0</v>
      </c>
      <c r="F34" s="444" t="n">
        <f aca="false">F15+F20+F28+F31</f>
        <v>0</v>
      </c>
      <c r="G34" s="444" t="n">
        <f aca="false">G15+G20+G28+G31</f>
        <v>0</v>
      </c>
      <c r="H34" s="444" t="n">
        <f aca="false">H15+H20+H28+H31</f>
        <v>0</v>
      </c>
    </row>
    <row r="35" customFormat="false" ht="6" hidden="false" customHeight="true" outlineLevel="0" collapsed="false"/>
    <row r="36" customFormat="false" ht="12" hidden="false" customHeight="false" outlineLevel="0" collapsed="false">
      <c r="A36" s="260" t="s">
        <v>585</v>
      </c>
    </row>
    <row r="37" customFormat="false" ht="13.5" hidden="false" customHeight="true" outlineLevel="0" collapsed="false">
      <c r="A37" s="445" t="s">
        <v>586</v>
      </c>
      <c r="B37" s="445"/>
      <c r="C37" s="445"/>
      <c r="D37" s="445"/>
      <c r="E37" s="445"/>
      <c r="F37" s="445"/>
      <c r="G37" s="445"/>
      <c r="H37" s="445"/>
    </row>
    <row r="38" customFormat="false" ht="15.75" hidden="false" customHeight="true" outlineLevel="0" collapsed="false">
      <c r="A38" s="445"/>
      <c r="B38" s="445"/>
      <c r="C38" s="445"/>
      <c r="D38" s="445"/>
      <c r="E38" s="445"/>
      <c r="F38" s="445"/>
      <c r="G38" s="445"/>
      <c r="H38" s="445"/>
    </row>
    <row r="39" customFormat="false" ht="12" hidden="false" customHeight="false" outlineLevel="0" collapsed="false">
      <c r="A39" s="445"/>
      <c r="B39" s="445"/>
      <c r="C39" s="445"/>
      <c r="D39" s="445"/>
      <c r="E39" s="445"/>
      <c r="F39" s="445"/>
      <c r="G39" s="445"/>
      <c r="H39" s="445"/>
    </row>
    <row r="40" customFormat="false" ht="12" hidden="false" customHeight="false" outlineLevel="0" collapsed="false">
      <c r="A40" s="445"/>
      <c r="B40" s="445"/>
      <c r="C40" s="445"/>
      <c r="D40" s="445"/>
      <c r="E40" s="445"/>
      <c r="F40" s="445"/>
      <c r="G40" s="445"/>
      <c r="H40" s="445"/>
    </row>
    <row r="41" customFormat="false" ht="12" hidden="false" customHeight="false" outlineLevel="0" collapsed="false">
      <c r="A41" s="445"/>
      <c r="B41" s="445"/>
      <c r="C41" s="445"/>
      <c r="D41" s="445"/>
      <c r="E41" s="445"/>
      <c r="F41" s="445"/>
      <c r="G41" s="445"/>
      <c r="H41" s="445"/>
    </row>
    <row r="42" customFormat="false" ht="12" hidden="false" customHeight="false" outlineLevel="0" collapsed="false">
      <c r="A42" s="445"/>
      <c r="B42" s="445"/>
      <c r="C42" s="445"/>
      <c r="D42" s="445"/>
      <c r="E42" s="445"/>
      <c r="F42" s="445"/>
      <c r="G42" s="445"/>
      <c r="H42" s="445"/>
    </row>
    <row r="43" customFormat="false" ht="19.5" hidden="false" customHeight="true" outlineLevel="0" collapsed="false">
      <c r="A43" s="445"/>
      <c r="B43" s="445"/>
      <c r="C43" s="445"/>
      <c r="D43" s="445"/>
      <c r="E43" s="445"/>
      <c r="F43" s="445"/>
      <c r="G43" s="445"/>
      <c r="H43" s="445"/>
    </row>
    <row r="45" customFormat="false" ht="12" hidden="false" customHeight="false" outlineLevel="0" collapsed="false">
      <c r="B45" s="446"/>
    </row>
  </sheetData>
  <mergeCells count="9">
    <mergeCell ref="E6:F6"/>
    <mergeCell ref="B8:D8"/>
    <mergeCell ref="A9:H9"/>
    <mergeCell ref="A10:H10"/>
    <mergeCell ref="A13:A14"/>
    <mergeCell ref="C13:C14"/>
    <mergeCell ref="D13:D14"/>
    <mergeCell ref="F13:F14"/>
    <mergeCell ref="A37:H43"/>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I40"/>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20" activeCellId="0" sqref="B20:I22"/>
    </sheetView>
  </sheetViews>
  <sheetFormatPr defaultColWidth="10.8125" defaultRowHeight="12" zeroHeight="false" outlineLevelRow="0" outlineLevelCol="0"/>
  <cols>
    <col collapsed="false" customWidth="true" hidden="false" outlineLevel="0" max="1" min="1" style="209" width="44.81"/>
    <col collapsed="false" customWidth="false" hidden="false" outlineLevel="0" max="3" min="2" style="209" width="10.81"/>
    <col collapsed="false" customWidth="true" hidden="false" outlineLevel="0" max="4" min="4" style="209" width="11.44"/>
    <col collapsed="false" customWidth="true" hidden="false" outlineLevel="0" max="5" min="5" style="209" width="13.81"/>
    <col collapsed="false" customWidth="false" hidden="false" outlineLevel="0" max="7" min="6" style="209" width="10.81"/>
    <col collapsed="false" customWidth="true" hidden="false" outlineLevel="0" max="8" min="8" style="209" width="9.72"/>
    <col collapsed="false" customWidth="false" hidden="false" outlineLevel="0" max="257" min="9" style="209" width="10.81"/>
  </cols>
  <sheetData>
    <row r="3" customFormat="false" ht="12" hidden="false" customHeight="false" outlineLevel="0" collapsed="false">
      <c r="A3" s="447"/>
    </row>
    <row r="4" customFormat="false" ht="12" hidden="false" customHeight="false" outlineLevel="0" collapsed="false">
      <c r="A4" s="447"/>
    </row>
    <row r="5" customFormat="false" ht="13" hidden="false" customHeight="false" outlineLevel="0" collapsed="false">
      <c r="A5" s="359" t="s">
        <v>500</v>
      </c>
      <c r="E5" s="217" t="s">
        <v>199</v>
      </c>
      <c r="F5" s="217"/>
      <c r="G5" s="203"/>
    </row>
    <row r="6" customFormat="false" ht="13" hidden="false" customHeight="false" outlineLevel="0" collapsed="false">
      <c r="A6" s="360" t="s">
        <v>200</v>
      </c>
      <c r="E6" s="288" t="s">
        <v>101</v>
      </c>
      <c r="F6" s="288"/>
      <c r="G6" s="207"/>
    </row>
    <row r="7" customFormat="false" ht="12" hidden="false" customHeight="false" outlineLevel="0" collapsed="false">
      <c r="A7" s="447"/>
    </row>
    <row r="8" customFormat="false" ht="20.15" hidden="false" customHeight="true" outlineLevel="0" collapsed="false">
      <c r="A8" s="417" t="s">
        <v>587</v>
      </c>
      <c r="B8" s="417"/>
      <c r="C8" s="417"/>
      <c r="D8" s="417"/>
      <c r="E8" s="417"/>
      <c r="F8" s="417"/>
      <c r="G8" s="417"/>
      <c r="H8" s="417"/>
      <c r="I8" s="417"/>
    </row>
    <row r="9" customFormat="false" ht="20.15" hidden="false" customHeight="true" outlineLevel="0" collapsed="false">
      <c r="A9" s="448" t="s">
        <v>113</v>
      </c>
      <c r="B9" s="448"/>
      <c r="C9" s="448"/>
      <c r="D9" s="448"/>
      <c r="E9" s="448"/>
      <c r="F9" s="448"/>
      <c r="G9" s="448"/>
      <c r="H9" s="448"/>
      <c r="I9" s="448"/>
    </row>
    <row r="10" customFormat="false" ht="10" hidden="false" customHeight="true" outlineLevel="0" collapsed="false">
      <c r="A10" s="361" t="s">
        <v>588</v>
      </c>
      <c r="B10" s="361" t="s">
        <v>589</v>
      </c>
      <c r="C10" s="449" t="s">
        <v>590</v>
      </c>
      <c r="D10" s="450" t="s">
        <v>591</v>
      </c>
      <c r="E10" s="450"/>
      <c r="F10" s="450"/>
      <c r="G10" s="450" t="s">
        <v>592</v>
      </c>
      <c r="H10" s="450"/>
      <c r="I10" s="451" t="s">
        <v>593</v>
      </c>
    </row>
    <row r="11" customFormat="false" ht="10" hidden="false" customHeight="true" outlineLevel="0" collapsed="false">
      <c r="A11" s="452"/>
      <c r="B11" s="452" t="s">
        <v>594</v>
      </c>
      <c r="C11" s="449"/>
      <c r="D11" s="450"/>
      <c r="E11" s="450"/>
      <c r="F11" s="450"/>
      <c r="G11" s="450"/>
      <c r="H11" s="450"/>
      <c r="I11" s="451"/>
    </row>
    <row r="12" customFormat="false" ht="10" hidden="false" customHeight="true" outlineLevel="0" collapsed="false">
      <c r="A12" s="452"/>
      <c r="B12" s="452" t="s">
        <v>595</v>
      </c>
      <c r="C12" s="449"/>
      <c r="D12" s="450"/>
      <c r="E12" s="450"/>
      <c r="F12" s="450"/>
      <c r="G12" s="450"/>
      <c r="H12" s="450"/>
      <c r="I12" s="451"/>
    </row>
    <row r="13" customFormat="false" ht="10" hidden="false" customHeight="true" outlineLevel="0" collapsed="false">
      <c r="A13" s="452"/>
      <c r="B13" s="452" t="s">
        <v>596</v>
      </c>
      <c r="C13" s="449"/>
      <c r="D13" s="450"/>
      <c r="E13" s="450"/>
      <c r="F13" s="450"/>
      <c r="G13" s="450"/>
      <c r="H13" s="450"/>
      <c r="I13" s="451"/>
    </row>
    <row r="14" customFormat="false" ht="10" hidden="false" customHeight="true" outlineLevel="0" collapsed="false">
      <c r="A14" s="452"/>
      <c r="B14" s="453"/>
      <c r="C14" s="449"/>
      <c r="D14" s="450"/>
      <c r="E14" s="450"/>
      <c r="F14" s="450"/>
      <c r="G14" s="450"/>
      <c r="H14" s="450"/>
      <c r="I14" s="451"/>
    </row>
    <row r="15" customFormat="false" ht="10" hidden="false" customHeight="true" outlineLevel="0" collapsed="false">
      <c r="A15" s="452"/>
      <c r="B15" s="453"/>
      <c r="C15" s="454" t="s">
        <v>597</v>
      </c>
      <c r="D15" s="455" t="s">
        <v>555</v>
      </c>
      <c r="E15" s="456" t="s">
        <v>598</v>
      </c>
      <c r="F15" s="457" t="s">
        <v>599</v>
      </c>
      <c r="G15" s="455" t="s">
        <v>600</v>
      </c>
      <c r="H15" s="458" t="s">
        <v>598</v>
      </c>
      <c r="I15" s="459" t="s">
        <v>597</v>
      </c>
    </row>
    <row r="16" customFormat="false" ht="10" hidden="false" customHeight="true" outlineLevel="0" collapsed="false">
      <c r="A16" s="452"/>
      <c r="B16" s="453"/>
      <c r="C16" s="454" t="s">
        <v>601</v>
      </c>
      <c r="D16" s="460" t="s">
        <v>560</v>
      </c>
      <c r="E16" s="461" t="s">
        <v>602</v>
      </c>
      <c r="F16" s="462" t="s">
        <v>603</v>
      </c>
      <c r="G16" s="460" t="s">
        <v>563</v>
      </c>
      <c r="H16" s="463" t="s">
        <v>604</v>
      </c>
      <c r="I16" s="464" t="s">
        <v>564</v>
      </c>
    </row>
    <row r="17" customFormat="false" ht="10" hidden="false" customHeight="true" outlineLevel="0" collapsed="false">
      <c r="A17" s="452"/>
      <c r="B17" s="453"/>
      <c r="C17" s="454" t="s">
        <v>605</v>
      </c>
      <c r="D17" s="460" t="s">
        <v>567</v>
      </c>
      <c r="E17" s="461"/>
      <c r="F17" s="462" t="s">
        <v>606</v>
      </c>
      <c r="G17" s="460" t="s">
        <v>570</v>
      </c>
      <c r="H17" s="463" t="s">
        <v>575</v>
      </c>
      <c r="I17" s="464" t="s">
        <v>607</v>
      </c>
    </row>
    <row r="18" customFormat="false" ht="10" hidden="false" customHeight="true" outlineLevel="0" collapsed="false">
      <c r="A18" s="452"/>
      <c r="B18" s="453"/>
      <c r="C18" s="454" t="s">
        <v>608</v>
      </c>
      <c r="D18" s="465"/>
      <c r="E18" s="466"/>
      <c r="F18" s="462" t="s">
        <v>609</v>
      </c>
      <c r="G18" s="465"/>
      <c r="H18" s="463" t="s">
        <v>95</v>
      </c>
      <c r="I18" s="464" t="s">
        <v>610</v>
      </c>
    </row>
    <row r="19" customFormat="false" ht="10" hidden="false" customHeight="true" outlineLevel="0" collapsed="false">
      <c r="A19" s="467" t="s">
        <v>565</v>
      </c>
      <c r="B19" s="468"/>
      <c r="C19" s="469" t="s">
        <v>610</v>
      </c>
      <c r="D19" s="470"/>
      <c r="E19" s="471"/>
      <c r="F19" s="472" t="s">
        <v>611</v>
      </c>
      <c r="G19" s="470"/>
      <c r="H19" s="473"/>
      <c r="I19" s="474"/>
    </row>
    <row r="20" customFormat="false" ht="20.15" hidden="false" customHeight="true" outlineLevel="0" collapsed="false">
      <c r="A20" s="475" t="s">
        <v>612</v>
      </c>
      <c r="B20" s="476" t="s">
        <v>95</v>
      </c>
      <c r="C20" s="477"/>
      <c r="D20" s="478"/>
      <c r="E20" s="479"/>
      <c r="F20" s="480"/>
      <c r="G20" s="478"/>
      <c r="H20" s="480"/>
      <c r="I20" s="481"/>
    </row>
    <row r="21" customFormat="false" ht="20.15" hidden="false" customHeight="true" outlineLevel="0" collapsed="false">
      <c r="A21" s="475" t="s">
        <v>219</v>
      </c>
      <c r="B21" s="482" t="s">
        <v>95</v>
      </c>
      <c r="C21" s="483"/>
      <c r="D21" s="484"/>
      <c r="E21" s="485"/>
      <c r="F21" s="486"/>
      <c r="G21" s="484"/>
      <c r="H21" s="486"/>
      <c r="I21" s="487"/>
    </row>
    <row r="22" customFormat="false" ht="20.15" hidden="false" customHeight="true" outlineLevel="0" collapsed="false">
      <c r="A22" s="475" t="s">
        <v>221</v>
      </c>
      <c r="B22" s="488" t="s">
        <v>95</v>
      </c>
      <c r="C22" s="489"/>
      <c r="D22" s="490"/>
      <c r="E22" s="491"/>
      <c r="F22" s="492"/>
      <c r="G22" s="490"/>
      <c r="H22" s="492"/>
      <c r="I22" s="493"/>
    </row>
    <row r="23" customFormat="false" ht="20.15" hidden="false" customHeight="true" outlineLevel="0" collapsed="false">
      <c r="A23" s="366" t="s">
        <v>613</v>
      </c>
      <c r="B23" s="494" t="s">
        <v>215</v>
      </c>
      <c r="C23" s="495" t="n">
        <f aca="false">SUM(C20:C22)</f>
        <v>0</v>
      </c>
      <c r="D23" s="496"/>
      <c r="E23" s="497"/>
      <c r="F23" s="498"/>
      <c r="G23" s="496"/>
      <c r="H23" s="498"/>
      <c r="I23" s="499"/>
    </row>
    <row r="24" customFormat="false" ht="20.15" hidden="false" customHeight="true" outlineLevel="0" collapsed="false">
      <c r="A24" s="475" t="s">
        <v>614</v>
      </c>
      <c r="B24" s="500" t="s">
        <v>215</v>
      </c>
      <c r="C24" s="501"/>
      <c r="D24" s="502"/>
      <c r="E24" s="376"/>
      <c r="F24" s="503"/>
      <c r="G24" s="502"/>
      <c r="H24" s="503"/>
      <c r="I24" s="504" t="n">
        <f aca="false">SUM(C24:H24)</f>
        <v>0</v>
      </c>
    </row>
    <row r="25" customFormat="false" ht="20.15" hidden="false" customHeight="true" outlineLevel="0" collapsed="false">
      <c r="A25" s="475" t="s">
        <v>615</v>
      </c>
      <c r="B25" s="505" t="s">
        <v>215</v>
      </c>
      <c r="C25" s="506"/>
      <c r="D25" s="507"/>
      <c r="E25" s="380"/>
      <c r="F25" s="508"/>
      <c r="G25" s="507"/>
      <c r="H25" s="508"/>
      <c r="I25" s="504" t="n">
        <f aca="false">SUM(C25:H25)</f>
        <v>0</v>
      </c>
    </row>
    <row r="26" customFormat="false" ht="20.15" hidden="false" customHeight="true" outlineLevel="0" collapsed="false">
      <c r="A26" s="475" t="s">
        <v>231</v>
      </c>
      <c r="B26" s="505" t="s">
        <v>215</v>
      </c>
      <c r="C26" s="506"/>
      <c r="D26" s="507"/>
      <c r="E26" s="380"/>
      <c r="F26" s="508"/>
      <c r="G26" s="507"/>
      <c r="H26" s="508"/>
      <c r="I26" s="504" t="n">
        <f aca="false">SUM(C26:H26)</f>
        <v>0</v>
      </c>
    </row>
    <row r="27" customFormat="false" ht="20.15" hidden="false" customHeight="true" outlineLevel="0" collapsed="false">
      <c r="A27" s="475" t="s">
        <v>233</v>
      </c>
      <c r="B27" s="505" t="s">
        <v>215</v>
      </c>
      <c r="C27" s="506"/>
      <c r="D27" s="507"/>
      <c r="E27" s="380"/>
      <c r="F27" s="508"/>
      <c r="G27" s="507"/>
      <c r="H27" s="508"/>
      <c r="I27" s="504" t="n">
        <f aca="false">SUM(C27:H27)</f>
        <v>0</v>
      </c>
    </row>
    <row r="28" customFormat="false" ht="20.15" hidden="false" customHeight="true" outlineLevel="0" collapsed="false">
      <c r="A28" s="475" t="s">
        <v>235</v>
      </c>
      <c r="B28" s="509" t="s">
        <v>215</v>
      </c>
      <c r="C28" s="510"/>
      <c r="D28" s="511"/>
      <c r="E28" s="385"/>
      <c r="F28" s="512"/>
      <c r="G28" s="511"/>
      <c r="H28" s="512"/>
      <c r="I28" s="504" t="n">
        <f aca="false">SUM(C28:H28)</f>
        <v>0</v>
      </c>
    </row>
    <row r="29" customFormat="false" ht="20.15" hidden="false" customHeight="true" outlineLevel="0" collapsed="false">
      <c r="A29" s="366" t="s">
        <v>616</v>
      </c>
      <c r="B29" s="513" t="s">
        <v>215</v>
      </c>
      <c r="C29" s="514" t="n">
        <f aca="false">SUM(C24:C28)</f>
        <v>0</v>
      </c>
      <c r="D29" s="515"/>
      <c r="E29" s="370"/>
      <c r="F29" s="516"/>
      <c r="G29" s="515"/>
      <c r="H29" s="516"/>
      <c r="I29" s="517"/>
    </row>
    <row r="30" customFormat="false" ht="20.15" hidden="false" customHeight="true" outlineLevel="0" collapsed="false">
      <c r="A30" s="518" t="s">
        <v>95</v>
      </c>
      <c r="B30" s="519" t="s">
        <v>95</v>
      </c>
      <c r="C30" s="520"/>
      <c r="D30" s="521"/>
      <c r="E30" s="522"/>
      <c r="F30" s="523"/>
      <c r="G30" s="521"/>
      <c r="H30" s="523"/>
      <c r="I30" s="524"/>
    </row>
    <row r="31" customFormat="false" ht="20.15" hidden="false" customHeight="true" outlineLevel="0" collapsed="false">
      <c r="A31" s="525" t="s">
        <v>271</v>
      </c>
      <c r="B31" s="526" t="s">
        <v>95</v>
      </c>
      <c r="C31" s="527" t="n">
        <f aca="false">+C29+C23</f>
        <v>0</v>
      </c>
      <c r="D31" s="528"/>
      <c r="E31" s="529"/>
      <c r="F31" s="530"/>
      <c r="G31" s="528"/>
      <c r="H31" s="530"/>
      <c r="I31" s="531"/>
    </row>
    <row r="32" customFormat="false" ht="6" hidden="false" customHeight="true" outlineLevel="0" collapsed="false"/>
    <row r="33" customFormat="false" ht="12" hidden="false" customHeight="false" outlineLevel="0" collapsed="false">
      <c r="A33" s="532" t="s">
        <v>617</v>
      </c>
      <c r="B33" s="532"/>
      <c r="C33" s="532"/>
      <c r="D33" s="532"/>
      <c r="E33" s="532"/>
      <c r="F33" s="532"/>
      <c r="G33" s="532"/>
      <c r="H33" s="532"/>
    </row>
    <row r="34" customFormat="false" ht="12" hidden="false" customHeight="false" outlineLevel="0" collapsed="false">
      <c r="A34" s="533"/>
      <c r="B34" s="534"/>
      <c r="C34" s="534"/>
      <c r="D34" s="534"/>
      <c r="E34" s="534"/>
      <c r="F34" s="534"/>
      <c r="G34" s="534"/>
      <c r="H34" s="534"/>
      <c r="I34" s="534"/>
    </row>
    <row r="35" customFormat="false" ht="12" hidden="false" customHeight="false" outlineLevel="0" collapsed="false">
      <c r="A35" s="533" t="s">
        <v>618</v>
      </c>
      <c r="B35" s="534"/>
      <c r="C35" s="534"/>
      <c r="D35" s="534"/>
      <c r="E35" s="534"/>
      <c r="F35" s="534"/>
      <c r="G35" s="534"/>
      <c r="H35" s="534"/>
      <c r="I35" s="534"/>
    </row>
    <row r="36" customFormat="false" ht="12" hidden="false" customHeight="false" outlineLevel="0" collapsed="false">
      <c r="A36" s="535" t="s">
        <v>619</v>
      </c>
      <c r="B36" s="535"/>
      <c r="C36" s="535"/>
      <c r="D36" s="535"/>
      <c r="E36" s="535"/>
      <c r="F36" s="535"/>
      <c r="G36" s="535"/>
      <c r="H36" s="535"/>
      <c r="I36" s="535"/>
    </row>
    <row r="37" customFormat="false" ht="12" hidden="false" customHeight="false" outlineLevel="0" collapsed="false">
      <c r="A37" s="536"/>
      <c r="B37" s="534"/>
      <c r="C37" s="534"/>
      <c r="D37" s="534"/>
      <c r="E37" s="534"/>
      <c r="F37" s="534"/>
      <c r="G37" s="534"/>
      <c r="H37" s="534"/>
      <c r="I37" s="534"/>
    </row>
    <row r="38" customFormat="false" ht="12" hidden="false" customHeight="false" outlineLevel="0" collapsed="false">
      <c r="A38" s="536"/>
      <c r="B38" s="534"/>
      <c r="C38" s="534"/>
      <c r="D38" s="534"/>
      <c r="E38" s="534"/>
      <c r="F38" s="534"/>
      <c r="G38" s="534"/>
      <c r="H38" s="534"/>
      <c r="I38" s="534"/>
    </row>
    <row r="39" customFormat="false" ht="12" hidden="false" customHeight="false" outlineLevel="0" collapsed="false">
      <c r="A39" s="537"/>
    </row>
    <row r="40" customFormat="false" ht="12" hidden="false" customHeight="false" outlineLevel="0" collapsed="false">
      <c r="A40" s="537"/>
    </row>
  </sheetData>
  <mergeCells count="9">
    <mergeCell ref="E6:F6"/>
    <mergeCell ref="A8:I8"/>
    <mergeCell ref="A9:I9"/>
    <mergeCell ref="C10:C14"/>
    <mergeCell ref="D10:F14"/>
    <mergeCell ref="G10:H14"/>
    <mergeCell ref="I10:I14"/>
    <mergeCell ref="A33:H33"/>
    <mergeCell ref="A36:I36"/>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34"/>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G16" activeCellId="0" sqref="G16"/>
    </sheetView>
  </sheetViews>
  <sheetFormatPr defaultColWidth="10.8125" defaultRowHeight="12" zeroHeight="false" outlineLevelRow="0" outlineLevelCol="0"/>
  <cols>
    <col collapsed="false" customWidth="true" hidden="false" outlineLevel="0" max="1" min="1" style="209" width="49.44"/>
    <col collapsed="false" customWidth="true" hidden="false" outlineLevel="0" max="2" min="2" style="209" width="25.72"/>
    <col collapsed="false" customWidth="true" hidden="false" outlineLevel="0" max="4" min="3" style="209" width="17.44"/>
    <col collapsed="false" customWidth="true" hidden="false" outlineLevel="0" max="5" min="5" style="209" width="22.44"/>
    <col collapsed="false" customWidth="true" hidden="false" outlineLevel="0" max="6" min="6" style="209" width="21.81"/>
    <col collapsed="false" customWidth="false" hidden="false" outlineLevel="0" max="257" min="7" style="209" width="10.81"/>
  </cols>
  <sheetData>
    <row r="2" customFormat="false" ht="12" hidden="false" customHeight="false" outlineLevel="0" collapsed="false">
      <c r="A2" s="538"/>
    </row>
    <row r="3" customFormat="false" ht="12" hidden="false" customHeight="false" outlineLevel="0" collapsed="false">
      <c r="A3" s="539"/>
    </row>
    <row r="4" customFormat="false" ht="12" hidden="false" customHeight="false" outlineLevel="0" collapsed="false">
      <c r="A4" s="539"/>
    </row>
    <row r="5" customFormat="false" ht="14" hidden="false" customHeight="false" outlineLevel="0" collapsed="false">
      <c r="A5" s="359" t="s">
        <v>51</v>
      </c>
      <c r="B5" s="176"/>
      <c r="E5" s="217" t="s">
        <v>199</v>
      </c>
      <c r="F5" s="203"/>
    </row>
    <row r="6" customFormat="false" ht="13" hidden="false" customHeight="false" outlineLevel="0" collapsed="false">
      <c r="A6" s="360" t="s">
        <v>620</v>
      </c>
      <c r="B6" s="217"/>
      <c r="E6" s="217" t="s">
        <v>621</v>
      </c>
      <c r="F6" s="207"/>
    </row>
    <row r="7" customFormat="false" ht="6" hidden="false" customHeight="true" outlineLevel="0" collapsed="false">
      <c r="A7" s="540"/>
    </row>
    <row r="8" customFormat="false" ht="14" hidden="false" customHeight="false" outlineLevel="0" collapsed="false">
      <c r="A8" s="541" t="s">
        <v>622</v>
      </c>
      <c r="B8" s="541"/>
      <c r="C8" s="541"/>
      <c r="D8" s="541"/>
      <c r="E8" s="541"/>
      <c r="F8" s="541"/>
    </row>
    <row r="9" customFormat="false" ht="14" hidden="false" customHeight="false" outlineLevel="0" collapsed="false">
      <c r="A9" s="542" t="s">
        <v>623</v>
      </c>
      <c r="B9" s="542"/>
      <c r="C9" s="542"/>
      <c r="D9" s="542"/>
      <c r="E9" s="542"/>
      <c r="F9" s="542"/>
    </row>
    <row r="10" customFormat="false" ht="6.75" hidden="false" customHeight="true" outlineLevel="0" collapsed="false"/>
    <row r="11" customFormat="false" ht="12" hidden="false" customHeight="true" outlineLevel="0" collapsed="false">
      <c r="A11" s="317" t="s">
        <v>588</v>
      </c>
      <c r="B11" s="543" t="s">
        <v>104</v>
      </c>
      <c r="C11" s="544" t="s">
        <v>458</v>
      </c>
      <c r="D11" s="544"/>
      <c r="E11" s="544" t="s">
        <v>624</v>
      </c>
      <c r="F11" s="544" t="s">
        <v>625</v>
      </c>
    </row>
    <row r="12" customFormat="false" ht="12" hidden="false" customHeight="false" outlineLevel="0" collapsed="false">
      <c r="A12" s="432"/>
      <c r="B12" s="543"/>
      <c r="C12" s="544"/>
      <c r="D12" s="545"/>
      <c r="E12" s="544"/>
      <c r="F12" s="544"/>
    </row>
    <row r="13" customFormat="false" ht="12" hidden="false" customHeight="false" outlineLevel="0" collapsed="false">
      <c r="A13" s="432"/>
      <c r="B13" s="543"/>
      <c r="C13" s="544"/>
      <c r="D13" s="545" t="s">
        <v>471</v>
      </c>
      <c r="E13" s="544"/>
      <c r="F13" s="544"/>
    </row>
    <row r="14" customFormat="false" ht="46.5" hidden="false" customHeight="false" outlineLevel="0" collapsed="false">
      <c r="A14" s="546" t="s">
        <v>565</v>
      </c>
      <c r="B14" s="547" t="s">
        <v>626</v>
      </c>
      <c r="C14" s="547" t="s">
        <v>627</v>
      </c>
      <c r="D14" s="547" t="s">
        <v>628</v>
      </c>
      <c r="E14" s="547" t="s">
        <v>624</v>
      </c>
      <c r="F14" s="547" t="s">
        <v>629</v>
      </c>
    </row>
    <row r="15" customFormat="false" ht="22" hidden="false" customHeight="true" outlineLevel="0" collapsed="false">
      <c r="A15" s="548" t="s">
        <v>630</v>
      </c>
      <c r="B15" s="549"/>
      <c r="C15" s="549"/>
      <c r="D15" s="549"/>
      <c r="E15" s="549"/>
      <c r="F15" s="549" t="n">
        <f aca="false">B15+C15-E15</f>
        <v>0</v>
      </c>
    </row>
    <row r="16" customFormat="false" ht="22" hidden="false" customHeight="true" outlineLevel="0" collapsed="false">
      <c r="A16" s="548" t="s">
        <v>631</v>
      </c>
      <c r="B16" s="549"/>
      <c r="C16" s="549"/>
      <c r="D16" s="549"/>
      <c r="E16" s="549"/>
      <c r="F16" s="549" t="n">
        <f aca="false">B16+C16-E16</f>
        <v>0</v>
      </c>
    </row>
    <row r="17" customFormat="false" ht="22" hidden="false" customHeight="true" outlineLevel="0" collapsed="false">
      <c r="A17" s="548" t="s">
        <v>632</v>
      </c>
      <c r="B17" s="549"/>
      <c r="C17" s="549"/>
      <c r="D17" s="549"/>
      <c r="E17" s="549"/>
      <c r="F17" s="549" t="n">
        <f aca="false">B17+C17-E17</f>
        <v>0</v>
      </c>
    </row>
    <row r="18" customFormat="false" ht="22" hidden="false" customHeight="true" outlineLevel="0" collapsed="false">
      <c r="A18" s="550" t="s">
        <v>633</v>
      </c>
      <c r="B18" s="549"/>
      <c r="C18" s="549"/>
      <c r="D18" s="549"/>
      <c r="E18" s="549"/>
      <c r="F18" s="549" t="n">
        <f aca="false">B18+C18-E18</f>
        <v>0</v>
      </c>
    </row>
    <row r="19" customFormat="false" ht="22" hidden="false" customHeight="true" outlineLevel="0" collapsed="false">
      <c r="A19" s="551" t="s">
        <v>634</v>
      </c>
      <c r="B19" s="552" t="n">
        <f aca="false">SUM(B15:B18)</f>
        <v>0</v>
      </c>
      <c r="C19" s="552" t="n">
        <f aca="false">SUM(C15:C18)</f>
        <v>0</v>
      </c>
      <c r="D19" s="552"/>
      <c r="E19" s="552" t="n">
        <f aca="false">SUM(E15:E18)</f>
        <v>0</v>
      </c>
      <c r="F19" s="552" t="n">
        <f aca="false">SUM(F15:F18)</f>
        <v>0</v>
      </c>
    </row>
    <row r="20" customFormat="false" ht="22" hidden="false" customHeight="true" outlineLevel="0" collapsed="false">
      <c r="A20" s="548" t="s">
        <v>635</v>
      </c>
      <c r="B20" s="549"/>
      <c r="C20" s="549"/>
      <c r="D20" s="549"/>
      <c r="E20" s="549"/>
      <c r="F20" s="549" t="n">
        <f aca="false">B20+C20-E20</f>
        <v>0</v>
      </c>
    </row>
    <row r="21" customFormat="false" ht="22" hidden="false" customHeight="true" outlineLevel="0" collapsed="false">
      <c r="A21" s="548" t="s">
        <v>636</v>
      </c>
      <c r="B21" s="549"/>
      <c r="C21" s="549"/>
      <c r="D21" s="549"/>
      <c r="E21" s="549"/>
      <c r="F21" s="549" t="n">
        <f aca="false">B21+C21-E21</f>
        <v>0</v>
      </c>
    </row>
    <row r="22" customFormat="false" ht="22" hidden="false" customHeight="true" outlineLevel="0" collapsed="false">
      <c r="A22" s="548" t="s">
        <v>637</v>
      </c>
      <c r="B22" s="549"/>
      <c r="C22" s="549"/>
      <c r="D22" s="549"/>
      <c r="E22" s="549"/>
      <c r="F22" s="549" t="n">
        <f aca="false">B22+C22-E22</f>
        <v>0</v>
      </c>
    </row>
    <row r="23" customFormat="false" ht="22" hidden="false" customHeight="true" outlineLevel="0" collapsed="false">
      <c r="A23" s="548" t="s">
        <v>638</v>
      </c>
      <c r="B23" s="553" t="n">
        <v>0</v>
      </c>
      <c r="C23" s="553" t="n">
        <v>0</v>
      </c>
      <c r="D23" s="553"/>
      <c r="E23" s="553"/>
      <c r="F23" s="553" t="n">
        <f aca="false">B23+C23-E23</f>
        <v>0</v>
      </c>
      <c r="H23" s="446"/>
    </row>
    <row r="24" customFormat="false" ht="22" hidden="false" customHeight="true" outlineLevel="0" collapsed="false">
      <c r="A24" s="548" t="s">
        <v>639</v>
      </c>
      <c r="B24" s="553" t="n">
        <v>0</v>
      </c>
      <c r="C24" s="553" t="n">
        <v>0</v>
      </c>
      <c r="D24" s="553"/>
      <c r="E24" s="553"/>
      <c r="F24" s="553" t="n">
        <f aca="false">B24+C24-E24</f>
        <v>0</v>
      </c>
      <c r="H24" s="446"/>
    </row>
    <row r="25" customFormat="false" ht="22" hidden="false" customHeight="true" outlineLevel="0" collapsed="false">
      <c r="A25" s="548" t="s">
        <v>640</v>
      </c>
      <c r="B25" s="553" t="n">
        <v>0</v>
      </c>
      <c r="C25" s="553" t="n">
        <v>0</v>
      </c>
      <c r="D25" s="553"/>
      <c r="E25" s="553"/>
      <c r="F25" s="553" t="n">
        <f aca="false">B25+C25-E25</f>
        <v>0</v>
      </c>
      <c r="H25" s="446"/>
    </row>
    <row r="26" customFormat="false" ht="22" hidden="false" customHeight="true" outlineLevel="0" collapsed="false">
      <c r="A26" s="550" t="s">
        <v>641</v>
      </c>
      <c r="B26" s="553" t="n">
        <v>0</v>
      </c>
      <c r="C26" s="553" t="n">
        <v>0</v>
      </c>
      <c r="D26" s="553"/>
      <c r="E26" s="553"/>
      <c r="F26" s="553" t="n">
        <v>0</v>
      </c>
      <c r="H26" s="446"/>
    </row>
    <row r="27" customFormat="false" ht="22" hidden="false" customHeight="true" outlineLevel="0" collapsed="false">
      <c r="A27" s="551" t="s">
        <v>642</v>
      </c>
      <c r="B27" s="552" t="n">
        <f aca="false">SUM(B20:B26)</f>
        <v>0</v>
      </c>
      <c r="C27" s="552" t="n">
        <f aca="false">SUM(C20:C26)</f>
        <v>0</v>
      </c>
      <c r="D27" s="552"/>
      <c r="E27" s="552" t="n">
        <f aca="false">SUM(E20:E26)</f>
        <v>0</v>
      </c>
      <c r="F27" s="552" t="n">
        <f aca="false">SUM(F20:F26)</f>
        <v>0</v>
      </c>
    </row>
    <row r="28" customFormat="false" ht="11.25" hidden="false" customHeight="true" outlineLevel="0" collapsed="false">
      <c r="A28" s="554"/>
      <c r="B28" s="555"/>
      <c r="C28" s="555"/>
      <c r="D28" s="555"/>
      <c r="E28" s="555"/>
      <c r="F28" s="555"/>
    </row>
    <row r="29" customFormat="false" ht="22" hidden="false" customHeight="true" outlineLevel="0" collapsed="false">
      <c r="A29" s="556" t="s">
        <v>643</v>
      </c>
      <c r="B29" s="557" t="n">
        <f aca="false">B27+B19</f>
        <v>0</v>
      </c>
      <c r="C29" s="557" t="n">
        <f aca="false">C27+C19</f>
        <v>0</v>
      </c>
      <c r="D29" s="557"/>
      <c r="E29" s="557" t="n">
        <f aca="false">E27+E19</f>
        <v>0</v>
      </c>
      <c r="F29" s="557" t="n">
        <f aca="false">F27+F19</f>
        <v>0</v>
      </c>
    </row>
    <row r="30" customFormat="false" ht="6.75" hidden="false" customHeight="true" outlineLevel="0" collapsed="false">
      <c r="A30" s="558"/>
    </row>
    <row r="31" customFormat="false" ht="12" hidden="false" customHeight="false" outlineLevel="0" collapsed="false">
      <c r="A31" s="559" t="s">
        <v>644</v>
      </c>
      <c r="B31" s="560"/>
    </row>
    <row r="32" customFormat="false" ht="8.25" hidden="false" customHeight="true" outlineLevel="0" collapsed="false">
      <c r="A32" s="561" t="s">
        <v>645</v>
      </c>
      <c r="B32" s="561"/>
      <c r="C32" s="202"/>
      <c r="D32" s="202"/>
    </row>
    <row r="33" customFormat="false" ht="18.75" hidden="false" customHeight="true" outlineLevel="0" collapsed="false">
      <c r="A33" s="561"/>
      <c r="B33" s="561"/>
      <c r="C33" s="202"/>
      <c r="D33" s="202"/>
      <c r="E33" s="446"/>
    </row>
    <row r="34" customFormat="false" ht="12" hidden="false" customHeight="false" outlineLevel="0" collapsed="false">
      <c r="A34" s="561"/>
      <c r="B34" s="561"/>
    </row>
  </sheetData>
  <mergeCells count="7">
    <mergeCell ref="A8:F8"/>
    <mergeCell ref="A9:F9"/>
    <mergeCell ref="B11:B13"/>
    <mergeCell ref="C11:C13"/>
    <mergeCell ref="E11:E13"/>
    <mergeCell ref="F11:F13"/>
    <mergeCell ref="A32:B34"/>
  </mergeCells>
  <printOptions headings="false" gridLines="false" gridLinesSet="true" horizontalCentered="false" verticalCentered="false"/>
  <pageMargins left="0.315277777777778" right="0.315277777777778" top="0.157638888888889" bottom="0.157638888888889"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33"/>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C26" activeCellId="0" sqref="C26:G27"/>
    </sheetView>
  </sheetViews>
  <sheetFormatPr defaultColWidth="10.8125" defaultRowHeight="12" zeroHeight="false" outlineLevelRow="0" outlineLevelCol="0"/>
  <cols>
    <col collapsed="false" customWidth="true" hidden="false" outlineLevel="0" max="1" min="1" style="209" width="2.81"/>
    <col collapsed="false" customWidth="true" hidden="false" outlineLevel="0" max="2" min="2" style="209" width="42.26"/>
    <col collapsed="false" customWidth="true" hidden="false" outlineLevel="0" max="3" min="3" style="209" width="10.44"/>
    <col collapsed="false" customWidth="true" hidden="false" outlineLevel="0" max="4" min="4" style="209" width="16.81"/>
    <col collapsed="false" customWidth="false" hidden="false" outlineLevel="0" max="5" min="5" style="209" width="10.81"/>
    <col collapsed="false" customWidth="true" hidden="false" outlineLevel="0" max="6" min="6" style="209" width="9.44"/>
    <col collapsed="false" customWidth="false" hidden="false" outlineLevel="0" max="257" min="7" style="209" width="10.81"/>
  </cols>
  <sheetData>
    <row r="1" customFormat="false" ht="12" hidden="false" customHeight="false" outlineLevel="0" collapsed="false">
      <c r="B1" s="562" t="s">
        <v>646</v>
      </c>
    </row>
    <row r="2" customFormat="false" ht="12" hidden="false" customHeight="false" outlineLevel="0" collapsed="false">
      <c r="B2" s="563"/>
      <c r="D2" s="563"/>
    </row>
    <row r="3" customFormat="false" ht="12" hidden="false" customHeight="false" outlineLevel="0" collapsed="false">
      <c r="B3" s="563"/>
      <c r="D3" s="563"/>
    </row>
    <row r="4" customFormat="false" ht="12" hidden="false" customHeight="false" outlineLevel="0" collapsed="false">
      <c r="B4" s="563"/>
      <c r="D4" s="563"/>
    </row>
    <row r="5" customFormat="false" ht="12" hidden="false" customHeight="false" outlineLevel="0" collapsed="false">
      <c r="B5" s="563"/>
      <c r="D5" s="563"/>
    </row>
    <row r="6" customFormat="false" ht="14" hidden="false" customHeight="false" outlineLevel="0" collapsed="false">
      <c r="B6" s="359" t="s">
        <v>334</v>
      </c>
      <c r="C6" s="176"/>
      <c r="E6" s="217" t="s">
        <v>199</v>
      </c>
      <c r="F6" s="425"/>
      <c r="G6" s="203"/>
    </row>
    <row r="7" customFormat="false" ht="13" hidden="false" customHeight="false" outlineLevel="0" collapsed="false">
      <c r="B7" s="360" t="s">
        <v>200</v>
      </c>
      <c r="C7" s="217"/>
      <c r="E7" s="217" t="s">
        <v>101</v>
      </c>
      <c r="F7" s="425"/>
      <c r="G7" s="207"/>
    </row>
    <row r="8" customFormat="false" ht="12" hidden="false" customHeight="false" outlineLevel="0" collapsed="false">
      <c r="B8" s="564"/>
    </row>
    <row r="9" customFormat="false" ht="15" hidden="false" customHeight="true" outlineLevel="0" collapsed="false">
      <c r="B9" s="565" t="s">
        <v>647</v>
      </c>
      <c r="C9" s="0"/>
    </row>
    <row r="10" customFormat="false" ht="14.5" hidden="false" customHeight="false" outlineLevel="0" collapsed="false">
      <c r="B10" s="566" t="s">
        <v>648</v>
      </c>
      <c r="C10" s="566"/>
      <c r="D10" s="566"/>
      <c r="E10" s="566"/>
      <c r="F10" s="566"/>
      <c r="G10" s="566"/>
      <c r="H10" s="567"/>
      <c r="I10" s="567"/>
    </row>
    <row r="11" customFormat="false" ht="15" hidden="false" customHeight="true" outlineLevel="0" collapsed="false">
      <c r="B11" s="361" t="s">
        <v>215</v>
      </c>
      <c r="C11" s="568" t="s">
        <v>597</v>
      </c>
      <c r="D11" s="429" t="s">
        <v>649</v>
      </c>
      <c r="E11" s="317" t="s">
        <v>650</v>
      </c>
      <c r="F11" s="430" t="s">
        <v>651</v>
      </c>
      <c r="G11" s="317" t="s">
        <v>652</v>
      </c>
    </row>
    <row r="12" customFormat="false" ht="23" hidden="false" customHeight="false" outlineLevel="0" collapsed="false">
      <c r="B12" s="452" t="s">
        <v>215</v>
      </c>
      <c r="C12" s="432" t="s">
        <v>208</v>
      </c>
      <c r="D12" s="432" t="s">
        <v>653</v>
      </c>
      <c r="E12" s="432" t="s">
        <v>654</v>
      </c>
      <c r="F12" s="433" t="s">
        <v>655</v>
      </c>
      <c r="G12" s="432" t="s">
        <v>656</v>
      </c>
    </row>
    <row r="13" customFormat="false" ht="15" hidden="false" customHeight="true" outlineLevel="0" collapsed="false">
      <c r="B13" s="452" t="s">
        <v>215</v>
      </c>
      <c r="C13" s="432" t="s">
        <v>215</v>
      </c>
      <c r="D13" s="432" t="s">
        <v>215</v>
      </c>
      <c r="E13" s="432" t="s">
        <v>657</v>
      </c>
      <c r="F13" s="433" t="s">
        <v>658</v>
      </c>
      <c r="G13" s="432" t="s">
        <v>215</v>
      </c>
    </row>
    <row r="14" customFormat="false" ht="15" hidden="false" customHeight="true" outlineLevel="0" collapsed="false">
      <c r="B14" s="569" t="s">
        <v>215</v>
      </c>
      <c r="C14" s="437" t="s">
        <v>590</v>
      </c>
      <c r="D14" s="437" t="s">
        <v>659</v>
      </c>
      <c r="E14" s="437" t="s">
        <v>660</v>
      </c>
      <c r="F14" s="436" t="s">
        <v>661</v>
      </c>
      <c r="G14" s="437" t="s">
        <v>662</v>
      </c>
    </row>
    <row r="15" customFormat="false" ht="15" hidden="false" customHeight="true" outlineLevel="0" collapsed="false">
      <c r="B15" s="475" t="s">
        <v>214</v>
      </c>
      <c r="C15" s="570"/>
      <c r="D15" s="570"/>
      <c r="E15" s="570"/>
      <c r="F15" s="571"/>
      <c r="G15" s="570"/>
    </row>
    <row r="16" customFormat="false" ht="15" hidden="false" customHeight="true" outlineLevel="0" collapsed="false">
      <c r="B16" s="475" t="s">
        <v>612</v>
      </c>
      <c r="C16" s="242"/>
      <c r="D16" s="242"/>
      <c r="E16" s="242"/>
      <c r="F16" s="440"/>
      <c r="G16" s="242"/>
    </row>
    <row r="17" customFormat="false" ht="15" hidden="false" customHeight="true" outlineLevel="0" collapsed="false">
      <c r="B17" s="475" t="s">
        <v>219</v>
      </c>
      <c r="C17" s="242"/>
      <c r="D17" s="242"/>
      <c r="E17" s="242"/>
      <c r="F17" s="440"/>
      <c r="G17" s="242"/>
    </row>
    <row r="18" customFormat="false" ht="15" hidden="false" customHeight="true" outlineLevel="0" collapsed="false">
      <c r="B18" s="475" t="s">
        <v>221</v>
      </c>
      <c r="C18" s="572"/>
      <c r="D18" s="572"/>
      <c r="E18" s="572"/>
      <c r="F18" s="573"/>
      <c r="G18" s="572"/>
    </row>
    <row r="19" customFormat="false" ht="15" hidden="false" customHeight="true" outlineLevel="0" collapsed="false">
      <c r="B19" s="366" t="s">
        <v>613</v>
      </c>
      <c r="C19" s="574"/>
      <c r="D19" s="574"/>
      <c r="E19" s="574"/>
      <c r="F19" s="575"/>
      <c r="G19" s="574"/>
    </row>
    <row r="20" customFormat="false" ht="15" hidden="false" customHeight="true" outlineLevel="0" collapsed="false">
      <c r="B20" s="475" t="s">
        <v>614</v>
      </c>
      <c r="C20" s="576"/>
      <c r="D20" s="576"/>
      <c r="E20" s="577"/>
      <c r="F20" s="578"/>
      <c r="G20" s="570"/>
    </row>
    <row r="21" customFormat="false" ht="15" hidden="false" customHeight="true" outlineLevel="0" collapsed="false">
      <c r="B21" s="475" t="s">
        <v>615</v>
      </c>
      <c r="C21" s="242"/>
      <c r="D21" s="242"/>
      <c r="E21" s="242"/>
      <c r="F21" s="440"/>
      <c r="G21" s="242"/>
    </row>
    <row r="22" customFormat="false" ht="15" hidden="false" customHeight="true" outlineLevel="0" collapsed="false">
      <c r="B22" s="475" t="s">
        <v>663</v>
      </c>
      <c r="C22" s="242"/>
      <c r="D22" s="242"/>
      <c r="E22" s="242"/>
      <c r="F22" s="440"/>
      <c r="G22" s="242"/>
    </row>
    <row r="23" customFormat="false" ht="15" hidden="false" customHeight="true" outlineLevel="0" collapsed="false">
      <c r="B23" s="475" t="s">
        <v>233</v>
      </c>
      <c r="C23" s="242"/>
      <c r="D23" s="242"/>
      <c r="E23" s="242"/>
      <c r="F23" s="440"/>
      <c r="G23" s="242"/>
    </row>
    <row r="24" customFormat="false" ht="15" hidden="false" customHeight="true" outlineLevel="0" collapsed="false">
      <c r="B24" s="475" t="s">
        <v>235</v>
      </c>
      <c r="C24" s="572"/>
      <c r="D24" s="572"/>
      <c r="E24" s="572"/>
      <c r="F24" s="579"/>
      <c r="G24" s="572"/>
    </row>
    <row r="25" customFormat="false" ht="15" hidden="false" customHeight="true" outlineLevel="0" collapsed="false">
      <c r="B25" s="366" t="s">
        <v>664</v>
      </c>
      <c r="C25" s="580"/>
      <c r="D25" s="580"/>
      <c r="E25" s="580"/>
      <c r="F25" s="581"/>
      <c r="G25" s="580"/>
    </row>
    <row r="26" customFormat="false" ht="15" hidden="false" customHeight="true" outlineLevel="0" collapsed="false">
      <c r="B26" s="475" t="s">
        <v>665</v>
      </c>
      <c r="C26" s="343"/>
      <c r="D26" s="582"/>
      <c r="E26" s="582"/>
      <c r="F26" s="583"/>
      <c r="G26" s="242"/>
    </row>
    <row r="27" customFormat="false" ht="15" hidden="false" customHeight="true" outlineLevel="0" collapsed="false">
      <c r="B27" s="475" t="s">
        <v>243</v>
      </c>
      <c r="C27" s="572"/>
      <c r="D27" s="572"/>
      <c r="E27" s="572"/>
      <c r="F27" s="573"/>
      <c r="G27" s="572"/>
    </row>
    <row r="28" customFormat="false" ht="15" hidden="false" customHeight="true" outlineLevel="0" collapsed="false">
      <c r="B28" s="584" t="s">
        <v>666</v>
      </c>
      <c r="C28" s="368"/>
      <c r="D28" s="368"/>
      <c r="E28" s="368"/>
      <c r="F28" s="585"/>
      <c r="G28" s="368"/>
    </row>
    <row r="29" customFormat="false" ht="15" hidden="false" customHeight="true" outlineLevel="0" collapsed="false">
      <c r="B29" s="475" t="s">
        <v>215</v>
      </c>
      <c r="C29" s="586"/>
      <c r="D29" s="586"/>
      <c r="E29" s="586"/>
      <c r="F29" s="587"/>
      <c r="G29" s="586"/>
    </row>
    <row r="30" customFormat="false" ht="15" hidden="false" customHeight="true" outlineLevel="0" collapsed="false">
      <c r="B30" s="588" t="s">
        <v>271</v>
      </c>
      <c r="C30" s="401"/>
      <c r="D30" s="401"/>
      <c r="E30" s="401"/>
      <c r="F30" s="589"/>
      <c r="G30" s="401"/>
    </row>
    <row r="31" customFormat="false" ht="12" hidden="false" customHeight="false" outlineLevel="0" collapsed="false">
      <c r="B31" s="260"/>
    </row>
    <row r="32" customFormat="false" ht="12" hidden="false" customHeight="false" outlineLevel="0" collapsed="false">
      <c r="B32" s="590" t="s">
        <v>667</v>
      </c>
      <c r="C32" s="534"/>
      <c r="D32" s="534"/>
      <c r="E32" s="534"/>
      <c r="F32" s="534"/>
      <c r="G32" s="534"/>
    </row>
    <row r="33" customFormat="false" ht="15" hidden="false" customHeight="true" outlineLevel="0" collapsed="false">
      <c r="B33" s="535" t="s">
        <v>668</v>
      </c>
      <c r="C33" s="535"/>
      <c r="D33" s="535"/>
      <c r="E33" s="535"/>
      <c r="F33" s="535"/>
      <c r="G33" s="535"/>
    </row>
  </sheetData>
  <mergeCells count="2">
    <mergeCell ref="B10:G10"/>
    <mergeCell ref="B33:G33"/>
  </mergeCells>
  <printOptions headings="false" gridLines="false" gridLinesSet="true" horizontalCentered="false" verticalCentered="false"/>
  <pageMargins left="0" right="0" top="0.354166666666667" bottom="0.354166666666667"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9"/>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D7" activeCellId="0" sqref="D7"/>
    </sheetView>
  </sheetViews>
  <sheetFormatPr defaultColWidth="10.8125" defaultRowHeight="12" zeroHeight="false" outlineLevelRow="0" outlineLevelCol="0"/>
  <cols>
    <col collapsed="false" customWidth="true" hidden="false" outlineLevel="0" max="1" min="1" style="209" width="4.81"/>
    <col collapsed="false" customWidth="true" hidden="false" outlineLevel="0" max="2" min="2" style="209" width="76.72"/>
    <col collapsed="false" customWidth="true" hidden="false" outlineLevel="0" max="3" min="3" style="209" width="38.99"/>
    <col collapsed="false" customWidth="true" hidden="false" outlineLevel="0" max="4" min="4" style="209" width="27.81"/>
    <col collapsed="false" customWidth="false" hidden="false" outlineLevel="0" max="257" min="5" style="209" width="10.81"/>
  </cols>
  <sheetData>
    <row r="1" customFormat="false" ht="12" hidden="false" customHeight="false" outlineLevel="0" collapsed="false">
      <c r="B1" s="591" t="s">
        <v>95</v>
      </c>
    </row>
    <row r="2" customFormat="false" ht="12" hidden="false" customHeight="false" outlineLevel="0" collapsed="false">
      <c r="B2" s="562" t="s">
        <v>646</v>
      </c>
    </row>
    <row r="3" customFormat="false" ht="12" hidden="false" customHeight="false" outlineLevel="0" collapsed="false">
      <c r="B3" s="563"/>
      <c r="D3" s="563"/>
    </row>
    <row r="4" customFormat="false" ht="12" hidden="false" customHeight="false" outlineLevel="0" collapsed="false">
      <c r="B4" s="563"/>
      <c r="D4" s="563"/>
    </row>
    <row r="5" customFormat="false" ht="12" hidden="false" customHeight="false" outlineLevel="0" collapsed="false">
      <c r="B5" s="563"/>
      <c r="D5" s="563"/>
    </row>
    <row r="6" customFormat="false" ht="12" hidden="false" customHeight="false" outlineLevel="0" collapsed="false">
      <c r="B6" s="563"/>
      <c r="D6" s="563"/>
    </row>
    <row r="7" customFormat="false" ht="15.5" hidden="false" customHeight="false" outlineLevel="0" collapsed="false">
      <c r="B7" s="359" t="s">
        <v>669</v>
      </c>
      <c r="C7" s="204" t="s">
        <v>670</v>
      </c>
      <c r="D7" s="203"/>
    </row>
    <row r="8" customFormat="false" ht="13" hidden="false" customHeight="false" outlineLevel="0" collapsed="false">
      <c r="B8" s="360" t="s">
        <v>620</v>
      </c>
      <c r="C8" s="217" t="s">
        <v>671</v>
      </c>
      <c r="D8" s="207"/>
    </row>
    <row r="9" customFormat="false" ht="13.5" hidden="false" customHeight="false" outlineLevel="0" collapsed="false">
      <c r="B9" s="424" t="s">
        <v>672</v>
      </c>
    </row>
    <row r="10" customFormat="false" ht="14" hidden="false" customHeight="false" outlineLevel="0" collapsed="false">
      <c r="B10" s="592" t="s">
        <v>673</v>
      </c>
      <c r="C10" s="592"/>
      <c r="D10" s="592"/>
    </row>
    <row r="11" customFormat="false" ht="14.5" hidden="false" customHeight="false" outlineLevel="0" collapsed="false">
      <c r="B11" s="566" t="s">
        <v>674</v>
      </c>
      <c r="C11" s="566"/>
      <c r="D11" s="566"/>
    </row>
    <row r="12" customFormat="false" ht="30" hidden="false" customHeight="true" outlineLevel="0" collapsed="false">
      <c r="B12" s="593" t="s">
        <v>675</v>
      </c>
      <c r="C12" s="593"/>
      <c r="D12" s="593"/>
    </row>
    <row r="13" customFormat="false" ht="15" hidden="false" customHeight="true" outlineLevel="0" collapsed="false">
      <c r="B13" s="594" t="s">
        <v>676</v>
      </c>
      <c r="C13" s="594"/>
      <c r="D13" s="594"/>
    </row>
    <row r="14" customFormat="false" ht="15" hidden="false" customHeight="true" outlineLevel="0" collapsed="false">
      <c r="B14" s="595" t="s">
        <v>676</v>
      </c>
      <c r="C14" s="595"/>
      <c r="D14" s="595"/>
    </row>
    <row r="15" customFormat="false" ht="12.5" hidden="false" customHeight="true" outlineLevel="0" collapsed="false">
      <c r="B15" s="595" t="s">
        <v>676</v>
      </c>
      <c r="C15" s="595"/>
      <c r="D15" s="595"/>
    </row>
    <row r="16" customFormat="false" ht="12.5" hidden="false" customHeight="false" outlineLevel="0" collapsed="false">
      <c r="B16" s="596" t="s">
        <v>677</v>
      </c>
      <c r="C16" s="596" t="s">
        <v>678</v>
      </c>
      <c r="D16" s="596" t="s">
        <v>679</v>
      </c>
    </row>
    <row r="17" customFormat="false" ht="12" hidden="false" customHeight="false" outlineLevel="0" collapsed="false">
      <c r="B17" s="597" t="s">
        <v>680</v>
      </c>
      <c r="C17" s="570"/>
      <c r="D17" s="570"/>
    </row>
    <row r="18" customFormat="false" ht="12" hidden="false" customHeight="false" outlineLevel="0" collapsed="false">
      <c r="B18" s="293" t="s">
        <v>680</v>
      </c>
      <c r="C18" s="243"/>
      <c r="D18" s="243"/>
    </row>
    <row r="19" customFormat="false" ht="12" hidden="false" customHeight="false" outlineLevel="0" collapsed="false">
      <c r="B19" s="293" t="s">
        <v>680</v>
      </c>
      <c r="C19" s="243"/>
      <c r="D19" s="337"/>
    </row>
    <row r="20" customFormat="false" ht="12" hidden="false" customHeight="false" outlineLevel="0" collapsed="false">
      <c r="B20" s="293" t="s">
        <v>680</v>
      </c>
      <c r="C20" s="243"/>
      <c r="D20" s="243"/>
    </row>
    <row r="21" customFormat="false" ht="12" hidden="false" customHeight="false" outlineLevel="0" collapsed="false">
      <c r="B21" s="293" t="s">
        <v>680</v>
      </c>
      <c r="C21" s="243"/>
      <c r="D21" s="243"/>
    </row>
    <row r="22" customFormat="false" ht="12" hidden="false" customHeight="false" outlineLevel="0" collapsed="false">
      <c r="B22" s="293" t="s">
        <v>680</v>
      </c>
      <c r="C22" s="243"/>
      <c r="D22" s="243"/>
    </row>
    <row r="23" customFormat="false" ht="12" hidden="false" customHeight="false" outlineLevel="0" collapsed="false">
      <c r="B23" s="293" t="s">
        <v>680</v>
      </c>
      <c r="C23" s="243"/>
      <c r="D23" s="243"/>
    </row>
    <row r="24" customFormat="false" ht="12.5" hidden="false" customHeight="false" outlineLevel="0" collapsed="false">
      <c r="B24" s="408" t="s">
        <v>680</v>
      </c>
      <c r="C24" s="598"/>
      <c r="D24" s="598"/>
    </row>
    <row r="25" customFormat="false" ht="30" hidden="false" customHeight="true" outlineLevel="0" collapsed="false">
      <c r="B25" s="595" t="s">
        <v>681</v>
      </c>
      <c r="C25" s="595"/>
      <c r="D25" s="595"/>
    </row>
    <row r="26" customFormat="false" ht="15" hidden="false" customHeight="true" outlineLevel="0" collapsed="false">
      <c r="B26" s="594" t="s">
        <v>676</v>
      </c>
      <c r="C26" s="594"/>
      <c r="D26" s="594"/>
    </row>
    <row r="27" customFormat="false" ht="15" hidden="false" customHeight="true" outlineLevel="0" collapsed="false">
      <c r="B27" s="595" t="s">
        <v>676</v>
      </c>
      <c r="C27" s="595"/>
      <c r="D27" s="595"/>
    </row>
    <row r="28" customFormat="false" ht="15" hidden="false" customHeight="true" outlineLevel="0" collapsed="false">
      <c r="B28" s="595" t="s">
        <v>676</v>
      </c>
      <c r="C28" s="595"/>
      <c r="D28" s="595"/>
    </row>
    <row r="29" customFormat="false" ht="15" hidden="false" customHeight="true" outlineLevel="0" collapsed="false">
      <c r="B29" s="595" t="s">
        <v>676</v>
      </c>
      <c r="C29" s="595"/>
      <c r="D29" s="595"/>
    </row>
    <row r="30" customFormat="false" ht="12.5" hidden="false" customHeight="true" outlineLevel="0" collapsed="false">
      <c r="B30" s="554" t="s">
        <v>682</v>
      </c>
      <c r="C30" s="554"/>
      <c r="D30" s="554"/>
    </row>
    <row r="31" customFormat="false" ht="22.5" hidden="false" customHeight="true" outlineLevel="0" collapsed="false">
      <c r="B31" s="593" t="s">
        <v>683</v>
      </c>
      <c r="C31" s="593"/>
      <c r="D31" s="593"/>
    </row>
    <row r="32" customFormat="false" ht="15" hidden="false" customHeight="true" outlineLevel="0" collapsed="false">
      <c r="B32" s="594" t="s">
        <v>676</v>
      </c>
      <c r="C32" s="594"/>
      <c r="D32" s="594"/>
    </row>
    <row r="33" customFormat="false" ht="15" hidden="false" customHeight="true" outlineLevel="0" collapsed="false">
      <c r="B33" s="595" t="s">
        <v>676</v>
      </c>
      <c r="C33" s="595"/>
      <c r="D33" s="595"/>
    </row>
    <row r="34" customFormat="false" ht="15" hidden="false" customHeight="true" outlineLevel="0" collapsed="false">
      <c r="B34" s="595" t="s">
        <v>676</v>
      </c>
      <c r="C34" s="595"/>
      <c r="D34" s="595"/>
    </row>
    <row r="35" customFormat="false" ht="15" hidden="false" customHeight="true" outlineLevel="0" collapsed="false">
      <c r="B35" s="595" t="s">
        <v>676</v>
      </c>
      <c r="C35" s="595"/>
      <c r="D35" s="595"/>
    </row>
    <row r="36" customFormat="false" ht="12.5" hidden="false" customHeight="true" outlineLevel="0" collapsed="false">
      <c r="B36" s="554" t="s">
        <v>682</v>
      </c>
      <c r="C36" s="554"/>
      <c r="D36" s="554"/>
    </row>
    <row r="37" customFormat="false" ht="30" hidden="false" customHeight="true" outlineLevel="0" collapsed="false">
      <c r="B37" s="411" t="s">
        <v>684</v>
      </c>
      <c r="C37" s="411"/>
      <c r="D37" s="599" t="s">
        <v>215</v>
      </c>
    </row>
    <row r="38" customFormat="false" ht="12" hidden="false" customHeight="false" outlineLevel="0" collapsed="false">
      <c r="B38" s="358" t="s">
        <v>95</v>
      </c>
      <c r="C38" s="358" t="s">
        <v>95</v>
      </c>
    </row>
    <row r="39" customFormat="false" ht="12" hidden="false" customHeight="false" outlineLevel="0" collapsed="false">
      <c r="B39" s="600"/>
    </row>
  </sheetData>
  <mergeCells count="19">
    <mergeCell ref="B10:D10"/>
    <mergeCell ref="B11:D11"/>
    <mergeCell ref="B12:D12"/>
    <mergeCell ref="B13:D13"/>
    <mergeCell ref="B14:D14"/>
    <mergeCell ref="B15:D15"/>
    <mergeCell ref="B25:D25"/>
    <mergeCell ref="B26:D26"/>
    <mergeCell ref="B27:D27"/>
    <mergeCell ref="B28:D28"/>
    <mergeCell ref="B29:D29"/>
    <mergeCell ref="B30:D30"/>
    <mergeCell ref="B31:D31"/>
    <mergeCell ref="B32:D32"/>
    <mergeCell ref="B33:D33"/>
    <mergeCell ref="B34:D34"/>
    <mergeCell ref="B35:D35"/>
    <mergeCell ref="B36:D36"/>
    <mergeCell ref="B37:C37"/>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8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43"/>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D29" activeCellId="0" sqref="D29"/>
    </sheetView>
  </sheetViews>
  <sheetFormatPr defaultColWidth="10.90234375" defaultRowHeight="14.5" zeroHeight="false" outlineLevelRow="0" outlineLevelCol="0"/>
  <cols>
    <col collapsed="false" customWidth="true" hidden="false" outlineLevel="0" max="1" min="1" style="0" width="28.44"/>
    <col collapsed="false" customWidth="true" hidden="false" outlineLevel="0" max="2" min="2" style="0" width="11.26"/>
    <col collapsed="false" customWidth="true" hidden="false" outlineLevel="0" max="3" min="3" style="0" width="15.44"/>
    <col collapsed="false" customWidth="true" hidden="false" outlineLevel="0" max="4" min="4" style="0" width="13.81"/>
    <col collapsed="false" customWidth="true" hidden="false" outlineLevel="0" max="5" min="5" style="0" width="12.72"/>
    <col collapsed="false" customWidth="true" hidden="false" outlineLevel="0" max="6" min="6" style="0" width="14.99"/>
    <col collapsed="false" customWidth="true" hidden="false" outlineLevel="0" max="7" min="7" style="0" width="14.17"/>
  </cols>
  <sheetData>
    <row r="2" customFormat="false" ht="14.5" hidden="false" customHeight="false" outlineLevel="0" collapsed="false">
      <c r="A2" s="601" t="s">
        <v>95</v>
      </c>
      <c r="B2" s="601" t="s">
        <v>95</v>
      </c>
      <c r="C2" s="425"/>
      <c r="D2" s="425"/>
      <c r="E2" s="425"/>
      <c r="F2" s="425"/>
      <c r="G2" s="425"/>
    </row>
    <row r="3" customFormat="false" ht="14.5" hidden="false" customHeight="false" outlineLevel="0" collapsed="false">
      <c r="A3" s="601"/>
      <c r="B3" s="601"/>
      <c r="C3" s="425"/>
      <c r="D3" s="425"/>
      <c r="E3" s="425"/>
      <c r="F3" s="425"/>
      <c r="G3" s="425"/>
    </row>
    <row r="4" customFormat="false" ht="14.5" hidden="false" customHeight="false" outlineLevel="0" collapsed="false">
      <c r="A4" s="601"/>
      <c r="B4" s="601"/>
      <c r="C4" s="425"/>
      <c r="D4" s="425"/>
      <c r="E4" s="425"/>
      <c r="F4" s="425"/>
      <c r="G4" s="425"/>
    </row>
    <row r="5" customFormat="false" ht="14.5" hidden="false" customHeight="false" outlineLevel="0" collapsed="false">
      <c r="A5" s="601"/>
      <c r="B5" s="601"/>
      <c r="C5" s="425"/>
      <c r="D5" s="425"/>
      <c r="E5" s="425"/>
      <c r="F5" s="425"/>
      <c r="G5" s="425"/>
    </row>
    <row r="6" s="209" customFormat="true" ht="14" hidden="false" customHeight="false" outlineLevel="0" collapsed="false">
      <c r="A6" s="359" t="s">
        <v>685</v>
      </c>
      <c r="B6" s="176"/>
      <c r="C6" s="425"/>
      <c r="D6" s="425"/>
      <c r="E6" s="217" t="s">
        <v>199</v>
      </c>
      <c r="F6" s="425"/>
      <c r="G6" s="203"/>
    </row>
    <row r="7" s="209" customFormat="true" ht="13" hidden="false" customHeight="false" outlineLevel="0" collapsed="false">
      <c r="A7" s="360" t="s">
        <v>200</v>
      </c>
      <c r="B7" s="217"/>
      <c r="C7" s="425"/>
      <c r="D7" s="425"/>
      <c r="E7" s="217" t="s">
        <v>101</v>
      </c>
      <c r="F7" s="425"/>
      <c r="G7" s="207"/>
    </row>
    <row r="8" customFormat="false" ht="14.5" hidden="false" customHeight="false" outlineLevel="0" collapsed="false">
      <c r="A8" s="601"/>
      <c r="B8" s="601"/>
    </row>
    <row r="9" customFormat="false" ht="14.5" hidden="false" customHeight="false" outlineLevel="0" collapsed="false">
      <c r="A9" s="602" t="s">
        <v>686</v>
      </c>
      <c r="B9" s="602"/>
      <c r="C9" s="602"/>
      <c r="D9" s="602"/>
      <c r="E9" s="602"/>
      <c r="F9" s="602"/>
      <c r="G9" s="602"/>
    </row>
    <row r="10" customFormat="false" ht="15" hidden="false" customHeight="false" outlineLevel="0" collapsed="false">
      <c r="A10" s="448" t="s">
        <v>123</v>
      </c>
      <c r="B10" s="448"/>
      <c r="C10" s="448"/>
      <c r="D10" s="448"/>
      <c r="E10" s="448"/>
      <c r="F10" s="448"/>
      <c r="G10" s="448"/>
    </row>
    <row r="11" customFormat="false" ht="23" hidden="false" customHeight="true" outlineLevel="0" collapsed="false">
      <c r="A11" s="603" t="s">
        <v>687</v>
      </c>
      <c r="B11" s="604" t="s">
        <v>688</v>
      </c>
      <c r="C11" s="604" t="s">
        <v>689</v>
      </c>
      <c r="D11" s="604" t="s">
        <v>690</v>
      </c>
      <c r="E11" s="604" t="s">
        <v>691</v>
      </c>
      <c r="F11" s="605" t="s">
        <v>692</v>
      </c>
      <c r="G11" s="606" t="s">
        <v>693</v>
      </c>
    </row>
    <row r="12" customFormat="false" ht="15" hidden="false" customHeight="false" outlineLevel="0" collapsed="false">
      <c r="A12" s="603"/>
      <c r="B12" s="604"/>
      <c r="C12" s="604"/>
      <c r="D12" s="604"/>
      <c r="E12" s="604"/>
      <c r="F12" s="607" t="s">
        <v>694</v>
      </c>
      <c r="G12" s="606"/>
    </row>
    <row r="13" customFormat="false" ht="15" hidden="false" customHeight="true" outlineLevel="0" collapsed="false">
      <c r="A13" s="608" t="s">
        <v>241</v>
      </c>
      <c r="B13" s="609" t="s">
        <v>215</v>
      </c>
      <c r="C13" s="609" t="s">
        <v>215</v>
      </c>
      <c r="D13" s="609" t="s">
        <v>215</v>
      </c>
      <c r="E13" s="609" t="s">
        <v>215</v>
      </c>
      <c r="F13" s="609" t="s">
        <v>215</v>
      </c>
      <c r="G13" s="610" t="s">
        <v>215</v>
      </c>
    </row>
    <row r="14" customFormat="false" ht="15" hidden="false" customHeight="true" outlineLevel="0" collapsed="false">
      <c r="A14" s="611" t="s">
        <v>695</v>
      </c>
      <c r="B14" s="612" t="s">
        <v>215</v>
      </c>
      <c r="C14" s="612" t="s">
        <v>215</v>
      </c>
      <c r="D14" s="612" t="s">
        <v>215</v>
      </c>
      <c r="E14" s="612" t="s">
        <v>215</v>
      </c>
      <c r="F14" s="612" t="s">
        <v>215</v>
      </c>
      <c r="G14" s="613" t="s">
        <v>215</v>
      </c>
    </row>
    <row r="15" customFormat="false" ht="15" hidden="false" customHeight="true" outlineLevel="0" collapsed="false">
      <c r="A15" s="611" t="s">
        <v>696</v>
      </c>
      <c r="B15" s="612" t="s">
        <v>215</v>
      </c>
      <c r="C15" s="612" t="s">
        <v>215</v>
      </c>
      <c r="D15" s="612" t="s">
        <v>215</v>
      </c>
      <c r="E15" s="612" t="s">
        <v>215</v>
      </c>
      <c r="F15" s="612" t="s">
        <v>215</v>
      </c>
      <c r="G15" s="613" t="s">
        <v>215</v>
      </c>
    </row>
    <row r="16" customFormat="false" ht="15" hidden="false" customHeight="true" outlineLevel="0" collapsed="false">
      <c r="A16" s="611" t="s">
        <v>697</v>
      </c>
      <c r="B16" s="612" t="s">
        <v>215</v>
      </c>
      <c r="C16" s="612" t="s">
        <v>215</v>
      </c>
      <c r="D16" s="612" t="s">
        <v>215</v>
      </c>
      <c r="E16" s="612" t="s">
        <v>215</v>
      </c>
      <c r="F16" s="612" t="s">
        <v>215</v>
      </c>
      <c r="G16" s="613" t="s">
        <v>215</v>
      </c>
    </row>
    <row r="17" customFormat="false" ht="15" hidden="false" customHeight="true" outlineLevel="0" collapsed="false">
      <c r="A17" s="611" t="s">
        <v>698</v>
      </c>
      <c r="B17" s="612" t="s">
        <v>215</v>
      </c>
      <c r="C17" s="612" t="s">
        <v>215</v>
      </c>
      <c r="D17" s="612" t="s">
        <v>215</v>
      </c>
      <c r="E17" s="612" t="s">
        <v>215</v>
      </c>
      <c r="F17" s="612" t="s">
        <v>215</v>
      </c>
      <c r="G17" s="613" t="s">
        <v>215</v>
      </c>
    </row>
    <row r="18" customFormat="false" ht="15" hidden="false" customHeight="true" outlineLevel="0" collapsed="false">
      <c r="A18" s="611" t="s">
        <v>699</v>
      </c>
      <c r="B18" s="614" t="n">
        <f aca="false">ACTIF!D26</f>
        <v>0</v>
      </c>
      <c r="C18" s="614" t="n">
        <f aca="false">ACTIF!G26</f>
        <v>0</v>
      </c>
      <c r="D18" s="614" t="n">
        <f aca="false">B18-C18</f>
        <v>0</v>
      </c>
      <c r="E18" s="614" t="n">
        <v>0</v>
      </c>
      <c r="F18" s="614" t="n">
        <v>0</v>
      </c>
      <c r="G18" s="615" t="n">
        <f aca="false">C18</f>
        <v>0</v>
      </c>
    </row>
    <row r="19" customFormat="false" ht="15" hidden="false" customHeight="true" outlineLevel="0" collapsed="false">
      <c r="A19" s="616" t="s">
        <v>700</v>
      </c>
      <c r="B19" s="617" t="s">
        <v>215</v>
      </c>
      <c r="C19" s="617" t="s">
        <v>215</v>
      </c>
      <c r="D19" s="617" t="s">
        <v>215</v>
      </c>
      <c r="E19" s="617" t="s">
        <v>215</v>
      </c>
      <c r="F19" s="617" t="s">
        <v>215</v>
      </c>
      <c r="G19" s="618" t="s">
        <v>215</v>
      </c>
    </row>
    <row r="20" customFormat="false" ht="15" hidden="false" customHeight="false" outlineLevel="0" collapsed="false">
      <c r="A20" s="619" t="s">
        <v>701</v>
      </c>
      <c r="B20" s="620" t="n">
        <f aca="false">SUM(B13:B19)</f>
        <v>0</v>
      </c>
      <c r="C20" s="620" t="n">
        <f aca="false">SUM(C13:C19)</f>
        <v>0</v>
      </c>
      <c r="D20" s="620" t="n">
        <f aca="false">SUM(D13:D19)</f>
        <v>0</v>
      </c>
      <c r="E20" s="620" t="n">
        <f aca="false">SUM(E13:E19)</f>
        <v>0</v>
      </c>
      <c r="F20" s="620" t="n">
        <f aca="false">SUM(F13:F19)</f>
        <v>0</v>
      </c>
      <c r="G20" s="621" t="n">
        <f aca="false">SUM(G13:G19)</f>
        <v>0</v>
      </c>
    </row>
    <row r="21" customFormat="false" ht="14.5" hidden="false" customHeight="false" outlineLevel="0" collapsed="false">
      <c r="A21" s="608" t="s">
        <v>702</v>
      </c>
      <c r="B21" s="622" t="s">
        <v>215</v>
      </c>
      <c r="C21" s="622" t="s">
        <v>215</v>
      </c>
      <c r="D21" s="622" t="s">
        <v>215</v>
      </c>
      <c r="E21" s="622" t="s">
        <v>215</v>
      </c>
      <c r="F21" s="622" t="s">
        <v>215</v>
      </c>
      <c r="G21" s="623" t="s">
        <v>215</v>
      </c>
    </row>
    <row r="22" customFormat="false" ht="15" hidden="false" customHeight="false" outlineLevel="0" collapsed="false">
      <c r="A22" s="611" t="s">
        <v>703</v>
      </c>
      <c r="B22" s="624" t="s">
        <v>215</v>
      </c>
      <c r="C22" s="624" t="s">
        <v>215</v>
      </c>
      <c r="D22" s="624" t="s">
        <v>215</v>
      </c>
      <c r="E22" s="624" t="s">
        <v>215</v>
      </c>
      <c r="F22" s="624" t="s">
        <v>215</v>
      </c>
      <c r="G22" s="625" t="s">
        <v>215</v>
      </c>
    </row>
    <row r="23" customFormat="false" ht="15" hidden="false" customHeight="false" outlineLevel="0" collapsed="false">
      <c r="A23" s="619" t="s">
        <v>704</v>
      </c>
      <c r="B23" s="626" t="s">
        <v>215</v>
      </c>
      <c r="C23" s="626" t="s">
        <v>215</v>
      </c>
      <c r="D23" s="626" t="s">
        <v>215</v>
      </c>
      <c r="E23" s="626" t="s">
        <v>215</v>
      </c>
      <c r="F23" s="626" t="s">
        <v>215</v>
      </c>
      <c r="G23" s="627" t="s">
        <v>215</v>
      </c>
    </row>
    <row r="24" customFormat="false" ht="15" hidden="false" customHeight="false" outlineLevel="0" collapsed="false">
      <c r="A24" s="628" t="s">
        <v>705</v>
      </c>
    </row>
    <row r="25" customFormat="false" ht="30" hidden="false" customHeight="true" outlineLevel="0" collapsed="false">
      <c r="A25" s="629" t="s">
        <v>706</v>
      </c>
      <c r="B25" s="630" t="s">
        <v>707</v>
      </c>
      <c r="C25" s="630"/>
      <c r="D25" s="631" t="s">
        <v>708</v>
      </c>
      <c r="E25" s="632" t="s">
        <v>709</v>
      </c>
      <c r="F25" s="630" t="s">
        <v>710</v>
      </c>
      <c r="G25" s="633" t="s">
        <v>711</v>
      </c>
    </row>
    <row r="26" customFormat="false" ht="30" hidden="false" customHeight="true" outlineLevel="0" collapsed="false">
      <c r="A26" s="629"/>
      <c r="B26" s="630"/>
      <c r="C26" s="630"/>
      <c r="D26" s="631"/>
      <c r="E26" s="632"/>
      <c r="F26" s="634" t="s">
        <v>712</v>
      </c>
      <c r="G26" s="635" t="s">
        <v>713</v>
      </c>
    </row>
    <row r="27" customFormat="false" ht="20.15" hidden="false" customHeight="true" outlineLevel="0" collapsed="false">
      <c r="A27" s="636" t="s">
        <v>215</v>
      </c>
      <c r="B27" s="637" t="s">
        <v>714</v>
      </c>
      <c r="C27" s="637"/>
      <c r="D27" s="638"/>
      <c r="E27" s="639"/>
      <c r="F27" s="640"/>
      <c r="G27" s="641"/>
    </row>
    <row r="28" customFormat="false" ht="20.15" hidden="false" customHeight="true" outlineLevel="0" collapsed="false">
      <c r="A28" s="642" t="s">
        <v>215</v>
      </c>
      <c r="B28" s="643" t="s">
        <v>714</v>
      </c>
      <c r="C28" s="643"/>
      <c r="D28" s="644"/>
      <c r="E28" s="645"/>
      <c r="F28" s="646"/>
      <c r="G28" s="647"/>
    </row>
    <row r="29" customFormat="false" ht="20.15" hidden="false" customHeight="true" outlineLevel="0" collapsed="false">
      <c r="A29" s="642" t="s">
        <v>215</v>
      </c>
      <c r="B29" s="643" t="s">
        <v>714</v>
      </c>
      <c r="C29" s="643"/>
      <c r="D29" s="644"/>
      <c r="E29" s="645"/>
      <c r="F29" s="646"/>
      <c r="G29" s="647"/>
    </row>
    <row r="30" customFormat="false" ht="20.15" hidden="false" customHeight="true" outlineLevel="0" collapsed="false">
      <c r="A30" s="642" t="s">
        <v>215</v>
      </c>
      <c r="B30" s="643" t="s">
        <v>714</v>
      </c>
      <c r="C30" s="643"/>
      <c r="D30" s="644"/>
      <c r="E30" s="645"/>
      <c r="F30" s="646"/>
      <c r="G30" s="647"/>
    </row>
    <row r="31" customFormat="false" ht="20.15" hidden="false" customHeight="true" outlineLevel="0" collapsed="false">
      <c r="A31" s="648" t="s">
        <v>215</v>
      </c>
      <c r="B31" s="649" t="s">
        <v>714</v>
      </c>
      <c r="C31" s="649"/>
      <c r="D31" s="650"/>
      <c r="E31" s="651"/>
      <c r="F31" s="652"/>
      <c r="G31" s="653"/>
    </row>
    <row r="32" customFormat="false" ht="12" hidden="false" customHeight="true" outlineLevel="0" collapsed="false">
      <c r="A32" s="654"/>
      <c r="B32" s="654"/>
      <c r="C32" s="654"/>
      <c r="D32" s="655"/>
      <c r="E32" s="656"/>
      <c r="F32" s="656"/>
    </row>
    <row r="33" customFormat="false" ht="14.5" hidden="false" customHeight="false" outlineLevel="0" collapsed="false">
      <c r="A33" s="657" t="s">
        <v>585</v>
      </c>
      <c r="B33" s="534"/>
      <c r="C33" s="534"/>
      <c r="D33" s="534"/>
      <c r="E33" s="534"/>
      <c r="F33" s="534"/>
    </row>
    <row r="34" customFormat="false" ht="14.5" hidden="false" customHeight="false" outlineLevel="0" collapsed="false">
      <c r="A34" s="658" t="s">
        <v>715</v>
      </c>
      <c r="B34" s="534"/>
      <c r="C34" s="534"/>
      <c r="D34" s="534"/>
      <c r="E34" s="534"/>
      <c r="F34" s="534"/>
    </row>
    <row r="35" customFormat="false" ht="14.5" hidden="false" customHeight="false" outlineLevel="0" collapsed="false">
      <c r="A35" s="658" t="s">
        <v>716</v>
      </c>
      <c r="B35" s="534"/>
      <c r="C35" s="534"/>
      <c r="D35" s="534"/>
      <c r="E35" s="534"/>
      <c r="F35" s="534"/>
    </row>
    <row r="36" customFormat="false" ht="14.5" hidden="false" customHeight="false" outlineLevel="0" collapsed="false">
      <c r="A36" s="658" t="s">
        <v>717</v>
      </c>
      <c r="B36" s="534"/>
      <c r="C36" s="534"/>
      <c r="D36" s="534"/>
      <c r="E36" s="534"/>
      <c r="F36" s="534"/>
    </row>
    <row r="37" customFormat="false" ht="14.5" hidden="false" customHeight="false" outlineLevel="0" collapsed="false">
      <c r="A37" s="658" t="s">
        <v>718</v>
      </c>
      <c r="B37" s="534"/>
      <c r="C37" s="534"/>
      <c r="D37" s="534"/>
      <c r="E37" s="534"/>
      <c r="F37" s="534"/>
    </row>
    <row r="38" customFormat="false" ht="14.5" hidden="false" customHeight="false" outlineLevel="0" collapsed="false">
      <c r="A38" s="659" t="s">
        <v>719</v>
      </c>
      <c r="B38" s="534"/>
      <c r="C38" s="534"/>
      <c r="D38" s="534"/>
      <c r="E38" s="534"/>
      <c r="F38" s="534"/>
    </row>
    <row r="39" customFormat="false" ht="14.5" hidden="false" customHeight="false" outlineLevel="0" collapsed="false">
      <c r="A39" s="659" t="s">
        <v>720</v>
      </c>
      <c r="B39" s="534"/>
      <c r="C39" s="534"/>
      <c r="D39" s="534"/>
      <c r="E39" s="534"/>
      <c r="F39" s="534"/>
    </row>
    <row r="40" customFormat="false" ht="14.5" hidden="false" customHeight="false" outlineLevel="0" collapsed="false">
      <c r="A40" s="659" t="s">
        <v>721</v>
      </c>
      <c r="B40" s="534"/>
      <c r="C40" s="534"/>
      <c r="D40" s="534"/>
      <c r="E40" s="534"/>
      <c r="F40" s="534"/>
    </row>
    <row r="41" customFormat="false" ht="14.5" hidden="false" customHeight="false" outlineLevel="0" collapsed="false">
      <c r="A41" s="658" t="s">
        <v>722</v>
      </c>
      <c r="B41" s="534"/>
      <c r="C41" s="534"/>
      <c r="D41" s="534"/>
      <c r="E41" s="534"/>
      <c r="F41" s="534"/>
    </row>
    <row r="42" customFormat="false" ht="14.5" hidden="false" customHeight="false" outlineLevel="0" collapsed="false">
      <c r="A42" s="658" t="s">
        <v>723</v>
      </c>
      <c r="B42" s="534"/>
      <c r="C42" s="534"/>
      <c r="D42" s="534"/>
      <c r="E42" s="534"/>
      <c r="F42" s="534"/>
    </row>
    <row r="43" customFormat="false" ht="14.5" hidden="false" customHeight="false" outlineLevel="0" collapsed="false">
      <c r="A43" s="214"/>
    </row>
  </sheetData>
  <mergeCells count="17">
    <mergeCell ref="A9:G9"/>
    <mergeCell ref="A10:G10"/>
    <mergeCell ref="A11:A12"/>
    <mergeCell ref="B11:B12"/>
    <mergeCell ref="C11:C12"/>
    <mergeCell ref="D11:D12"/>
    <mergeCell ref="E11:E12"/>
    <mergeCell ref="G11:G12"/>
    <mergeCell ref="A25:A26"/>
    <mergeCell ref="B25:C26"/>
    <mergeCell ref="D25:D26"/>
    <mergeCell ref="E25:E26"/>
    <mergeCell ref="B27:C27"/>
    <mergeCell ref="B28:C28"/>
    <mergeCell ref="B29:C29"/>
    <mergeCell ref="B30:C30"/>
    <mergeCell ref="B31:C31"/>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H41"/>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38" activeCellId="0" sqref="B38"/>
    </sheetView>
  </sheetViews>
  <sheetFormatPr defaultColWidth="10.8125" defaultRowHeight="11.5" zeroHeight="false" outlineLevelRow="0" outlineLevelCol="0"/>
  <cols>
    <col collapsed="false" customWidth="true" hidden="false" outlineLevel="0" max="1" min="1" style="202" width="39.26"/>
    <col collapsed="false" customWidth="true" hidden="false" outlineLevel="0" max="2" min="2" style="202" width="17.72"/>
    <col collapsed="false" customWidth="true" hidden="false" outlineLevel="0" max="3" min="3" style="202" width="13.72"/>
    <col collapsed="false" customWidth="true" hidden="false" outlineLevel="0" max="4" min="4" style="202" width="14.17"/>
    <col collapsed="false" customWidth="true" hidden="false" outlineLevel="0" max="5" min="5" style="202" width="13.44"/>
    <col collapsed="false" customWidth="false" hidden="false" outlineLevel="0" max="257" min="6" style="202" width="10.81"/>
  </cols>
  <sheetData>
    <row r="6" s="209" customFormat="true" ht="14" hidden="false" customHeight="false" outlineLevel="0" collapsed="false">
      <c r="A6" s="359" t="s">
        <v>724</v>
      </c>
      <c r="B6" s="176"/>
      <c r="C6" s="217" t="s">
        <v>199</v>
      </c>
      <c r="D6" s="425"/>
      <c r="E6" s="203"/>
    </row>
    <row r="7" s="209" customFormat="true" ht="13" hidden="false" customHeight="false" outlineLevel="0" collapsed="false">
      <c r="A7" s="360" t="s">
        <v>620</v>
      </c>
      <c r="B7" s="217"/>
      <c r="C7" s="217" t="s">
        <v>101</v>
      </c>
      <c r="D7" s="425"/>
      <c r="E7" s="207"/>
    </row>
    <row r="8" s="209" customFormat="true" ht="12" hidden="false" customHeight="false" outlineLevel="0" collapsed="false">
      <c r="A8" s="660"/>
      <c r="B8" s="202"/>
      <c r="C8" s="202"/>
      <c r="D8" s="661"/>
    </row>
    <row r="10" customFormat="false" ht="14" hidden="false" customHeight="false" outlineLevel="0" collapsed="false">
      <c r="A10" s="417" t="s">
        <v>725</v>
      </c>
      <c r="B10" s="417"/>
      <c r="C10" s="417"/>
      <c r="D10" s="417"/>
      <c r="E10" s="417"/>
      <c r="F10" s="662"/>
      <c r="G10" s="663"/>
      <c r="H10" s="663"/>
    </row>
    <row r="11" customFormat="false" ht="14" hidden="false" customHeight="false" outlineLevel="0" collapsed="false">
      <c r="A11" s="664" t="s">
        <v>125</v>
      </c>
      <c r="B11" s="664"/>
      <c r="C11" s="664"/>
      <c r="D11" s="664"/>
      <c r="E11" s="664"/>
      <c r="F11" s="665"/>
      <c r="G11" s="666"/>
      <c r="H11" s="666"/>
    </row>
    <row r="12" customFormat="false" ht="12" hidden="false" customHeight="false" outlineLevel="0" collapsed="false">
      <c r="A12" s="667"/>
      <c r="B12" s="667"/>
      <c r="C12" s="667"/>
      <c r="D12" s="667"/>
      <c r="E12" s="667"/>
      <c r="F12" s="667"/>
      <c r="G12" s="667"/>
      <c r="H12" s="667"/>
    </row>
    <row r="13" customFormat="false" ht="22" hidden="false" customHeight="true" outlineLevel="0" collapsed="false">
      <c r="A13" s="316" t="s">
        <v>687</v>
      </c>
      <c r="B13" s="316"/>
      <c r="C13" s="668" t="s">
        <v>688</v>
      </c>
      <c r="D13" s="316" t="s">
        <v>689</v>
      </c>
      <c r="E13" s="669" t="s">
        <v>726</v>
      </c>
    </row>
    <row r="14" customFormat="false" ht="22" hidden="false" customHeight="true" outlineLevel="0" collapsed="false">
      <c r="A14" s="332" t="s">
        <v>727</v>
      </c>
      <c r="B14" s="332"/>
      <c r="C14" s="583" t="n">
        <v>0</v>
      </c>
      <c r="D14" s="343" t="n">
        <v>0</v>
      </c>
      <c r="E14" s="670" t="n">
        <v>0</v>
      </c>
    </row>
    <row r="15" customFormat="false" ht="22" hidden="false" customHeight="true" outlineLevel="0" collapsed="false">
      <c r="A15" s="671" t="s">
        <v>728</v>
      </c>
      <c r="B15" s="671"/>
      <c r="C15" s="579"/>
      <c r="D15" s="672"/>
      <c r="E15" s="673"/>
    </row>
    <row r="16" customFormat="false" ht="22" hidden="false" customHeight="true" outlineLevel="0" collapsed="false">
      <c r="A16" s="674" t="s">
        <v>729</v>
      </c>
      <c r="B16" s="674"/>
      <c r="C16" s="575"/>
      <c r="D16" s="574"/>
      <c r="E16" s="675"/>
    </row>
    <row r="17" customFormat="false" ht="22" hidden="false" customHeight="true" outlineLevel="0" collapsed="false">
      <c r="A17" s="676" t="s">
        <v>730</v>
      </c>
      <c r="B17" s="676"/>
      <c r="C17" s="677"/>
      <c r="D17" s="576"/>
      <c r="E17" s="678"/>
    </row>
    <row r="18" customFormat="false" ht="22" hidden="false" customHeight="true" outlineLevel="0" collapsed="false">
      <c r="A18" s="671" t="s">
        <v>215</v>
      </c>
      <c r="B18" s="671"/>
      <c r="C18" s="679"/>
      <c r="D18" s="409"/>
      <c r="E18" s="680"/>
    </row>
    <row r="19" customFormat="false" ht="22" hidden="false" customHeight="true" outlineLevel="0" collapsed="false">
      <c r="A19" s="674" t="s">
        <v>704</v>
      </c>
      <c r="B19" s="674"/>
      <c r="C19" s="581"/>
      <c r="D19" s="580"/>
      <c r="E19" s="681"/>
    </row>
    <row r="20" customFormat="false" ht="11.5" hidden="false" customHeight="false" outlineLevel="0" collapsed="false">
      <c r="A20" s="682" t="s">
        <v>731</v>
      </c>
      <c r="B20" s="560"/>
      <c r="C20" s="560"/>
      <c r="D20" s="560"/>
      <c r="E20" s="560"/>
    </row>
    <row r="21" customFormat="false" ht="11.5" hidden="false" customHeight="false" outlineLevel="0" collapsed="false">
      <c r="A21" s="683" t="s">
        <v>732</v>
      </c>
      <c r="B21" s="560"/>
      <c r="C21" s="560"/>
      <c r="D21" s="560"/>
      <c r="E21" s="560"/>
    </row>
    <row r="22" customFormat="false" ht="11.5" hidden="false" customHeight="false" outlineLevel="0" collapsed="false">
      <c r="A22" s="683" t="s">
        <v>733</v>
      </c>
      <c r="B22" s="560"/>
      <c r="C22" s="560"/>
      <c r="D22" s="560"/>
      <c r="E22" s="560"/>
    </row>
    <row r="23" customFormat="false" ht="11.5" hidden="false" customHeight="false" outlineLevel="0" collapsed="false">
      <c r="A23" s="684"/>
    </row>
    <row r="24" customFormat="false" ht="11.5" hidden="false" customHeight="false" outlineLevel="0" collapsed="false">
      <c r="A24" s="684"/>
    </row>
    <row r="25" customFormat="false" ht="14.5" hidden="false" customHeight="false" outlineLevel="0" collapsed="false">
      <c r="A25" s="664" t="s">
        <v>734</v>
      </c>
      <c r="B25" s="664"/>
      <c r="C25" s="664"/>
      <c r="D25" s="664"/>
      <c r="E25" s="664"/>
    </row>
    <row r="26" customFormat="false" ht="11.5" hidden="false" customHeight="true" outlineLevel="0" collapsed="false">
      <c r="A26" s="685" t="s">
        <v>687</v>
      </c>
      <c r="B26" s="685"/>
      <c r="C26" s="316" t="s">
        <v>688</v>
      </c>
      <c r="D26" s="316" t="s">
        <v>689</v>
      </c>
      <c r="E26" s="669" t="s">
        <v>726</v>
      </c>
    </row>
    <row r="27" customFormat="false" ht="22" hidden="false" customHeight="true" outlineLevel="0" collapsed="false">
      <c r="A27" s="686" t="s">
        <v>735</v>
      </c>
      <c r="B27" s="686"/>
      <c r="C27" s="343"/>
      <c r="D27" s="343"/>
      <c r="E27" s="670"/>
    </row>
    <row r="28" customFormat="false" ht="22" hidden="false" customHeight="true" outlineLevel="0" collapsed="false">
      <c r="A28" s="686" t="s">
        <v>736</v>
      </c>
      <c r="B28" s="686"/>
      <c r="C28" s="343"/>
      <c r="D28" s="343"/>
      <c r="E28" s="670"/>
    </row>
    <row r="29" customFormat="false" ht="26.25" hidden="false" customHeight="true" outlineLevel="0" collapsed="false">
      <c r="A29" s="686" t="s">
        <v>737</v>
      </c>
      <c r="B29" s="686"/>
      <c r="C29" s="343"/>
      <c r="D29" s="343"/>
      <c r="E29" s="670"/>
    </row>
    <row r="30" customFormat="false" ht="22" hidden="false" customHeight="true" outlineLevel="0" collapsed="false">
      <c r="A30" s="686" t="s">
        <v>738</v>
      </c>
      <c r="B30" s="686"/>
      <c r="C30" s="343"/>
      <c r="D30" s="343"/>
      <c r="E30" s="670"/>
    </row>
    <row r="31" customFormat="false" ht="22" hidden="false" customHeight="true" outlineLevel="0" collapsed="false">
      <c r="A31" s="687" t="s">
        <v>739</v>
      </c>
      <c r="B31" s="687"/>
      <c r="C31" s="580"/>
      <c r="D31" s="580"/>
      <c r="E31" s="681"/>
    </row>
    <row r="32" customFormat="false" ht="11.5" hidden="false" customHeight="false" outlineLevel="0" collapsed="false">
      <c r="A32" s="688" t="s">
        <v>95</v>
      </c>
    </row>
    <row r="33" customFormat="false" ht="11.5" hidden="false" customHeight="false" outlineLevel="0" collapsed="false">
      <c r="A33" s="657" t="s">
        <v>740</v>
      </c>
      <c r="B33" s="534"/>
      <c r="C33" s="534"/>
      <c r="D33" s="534"/>
    </row>
    <row r="34" customFormat="false" ht="11.5" hidden="false" customHeight="false" outlineLevel="0" collapsed="false">
      <c r="A34" s="689" t="s">
        <v>95</v>
      </c>
      <c r="B34" s="534"/>
      <c r="C34" s="534"/>
      <c r="D34" s="534"/>
    </row>
    <row r="35" customFormat="false" ht="11.5" hidden="false" customHeight="false" outlineLevel="0" collapsed="false">
      <c r="A35" s="658" t="s">
        <v>741</v>
      </c>
      <c r="B35" s="534"/>
      <c r="C35" s="534"/>
      <c r="D35" s="534"/>
    </row>
    <row r="36" customFormat="false" ht="11.5" hidden="false" customHeight="false" outlineLevel="0" collapsed="false">
      <c r="A36" s="658" t="s">
        <v>742</v>
      </c>
      <c r="B36" s="534"/>
      <c r="C36" s="534"/>
      <c r="D36" s="534"/>
    </row>
    <row r="37" customFormat="false" ht="11.5" hidden="false" customHeight="false" outlineLevel="0" collapsed="false">
      <c r="A37" s="690" t="s">
        <v>95</v>
      </c>
      <c r="B37" s="534"/>
      <c r="C37" s="534"/>
      <c r="D37" s="534"/>
    </row>
    <row r="38" customFormat="false" ht="11.5" hidden="false" customHeight="false" outlineLevel="0" collapsed="false">
      <c r="A38" s="690" t="s">
        <v>743</v>
      </c>
      <c r="B38" s="690" t="s">
        <v>95</v>
      </c>
      <c r="C38" s="534"/>
      <c r="D38" s="534"/>
    </row>
    <row r="39" customFormat="false" ht="11.5" hidden="false" customHeight="false" outlineLevel="0" collapsed="false">
      <c r="A39" s="534"/>
      <c r="B39" s="534"/>
      <c r="C39" s="534"/>
      <c r="D39" s="534"/>
    </row>
    <row r="40" customFormat="false" ht="11.5" hidden="false" customHeight="false" outlineLevel="0" collapsed="false">
      <c r="A40" s="534"/>
      <c r="B40" s="534"/>
      <c r="C40" s="534"/>
      <c r="D40" s="534"/>
    </row>
    <row r="41" customFormat="false" ht="11.5" hidden="false" customHeight="false" outlineLevel="0" collapsed="false">
      <c r="A41" s="534"/>
      <c r="B41" s="534"/>
      <c r="C41" s="534"/>
      <c r="D41" s="534"/>
    </row>
  </sheetData>
  <mergeCells count="16">
    <mergeCell ref="A10:E10"/>
    <mergeCell ref="A11:E11"/>
    <mergeCell ref="A13:B13"/>
    <mergeCell ref="A14:B14"/>
    <mergeCell ref="A15:B15"/>
    <mergeCell ref="A16:B16"/>
    <mergeCell ref="A17:B17"/>
    <mergeCell ref="A18:B18"/>
    <mergeCell ref="A19:B19"/>
    <mergeCell ref="A25:E25"/>
    <mergeCell ref="A26:B26"/>
    <mergeCell ref="A27:B27"/>
    <mergeCell ref="A28:B28"/>
    <mergeCell ref="A29:B29"/>
    <mergeCell ref="A30:B30"/>
    <mergeCell ref="A31:B31"/>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38"/>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C22" activeCellId="0" sqref="C22:E22"/>
    </sheetView>
  </sheetViews>
  <sheetFormatPr defaultColWidth="10.8125" defaultRowHeight="12" zeroHeight="false" outlineLevelRow="0" outlineLevelCol="0"/>
  <cols>
    <col collapsed="false" customWidth="true" hidden="false" outlineLevel="0" max="1" min="1" style="209" width="5.44"/>
    <col collapsed="false" customWidth="true" hidden="false" outlineLevel="0" max="2" min="2" style="209" width="65.72"/>
    <col collapsed="false" customWidth="true" hidden="false" outlineLevel="0" max="3" min="3" style="209" width="12.44"/>
    <col collapsed="false" customWidth="true" hidden="false" outlineLevel="0" max="4" min="4" style="209" width="12.81"/>
    <col collapsed="false" customWidth="true" hidden="false" outlineLevel="0" max="5" min="5" style="209" width="11.44"/>
    <col collapsed="false" customWidth="true" hidden="false" outlineLevel="0" max="6" min="6" style="209" width="0.81"/>
    <col collapsed="false" customWidth="false" hidden="false" outlineLevel="0" max="257" min="7" style="209" width="10.81"/>
  </cols>
  <sheetData>
    <row r="1" customFormat="false" ht="12" hidden="false" customHeight="false" outlineLevel="0" collapsed="false">
      <c r="B1" s="691"/>
    </row>
    <row r="2" customFormat="false" ht="12" hidden="false" customHeight="false" outlineLevel="0" collapsed="false">
      <c r="B2" s="600"/>
    </row>
    <row r="3" customFormat="false" ht="12" hidden="false" customHeight="false" outlineLevel="0" collapsed="false">
      <c r="B3" s="692"/>
    </row>
    <row r="4" customFormat="false" ht="12" hidden="false" customHeight="false" outlineLevel="0" collapsed="false">
      <c r="B4" s="692"/>
    </row>
    <row r="5" customFormat="false" ht="12" hidden="false" customHeight="false" outlineLevel="0" collapsed="false">
      <c r="B5" s="692"/>
    </row>
    <row r="6" customFormat="false" ht="15.5" hidden="false" customHeight="false" outlineLevel="0" collapsed="false">
      <c r="B6" s="359" t="s">
        <v>744</v>
      </c>
      <c r="C6" s="217" t="s">
        <v>199</v>
      </c>
      <c r="D6" s="217"/>
      <c r="E6" s="203"/>
    </row>
    <row r="7" customFormat="false" ht="13" hidden="false" customHeight="false" outlineLevel="0" collapsed="false">
      <c r="B7" s="360" t="s">
        <v>200</v>
      </c>
      <c r="C7" s="217" t="s">
        <v>101</v>
      </c>
      <c r="D7" s="217"/>
      <c r="E7" s="207"/>
    </row>
    <row r="9" customFormat="false" ht="14" hidden="false" customHeight="false" outlineLevel="0" collapsed="false">
      <c r="B9" s="592" t="s">
        <v>745</v>
      </c>
      <c r="C9" s="592"/>
      <c r="D9" s="592"/>
      <c r="E9" s="592"/>
      <c r="F9" s="434"/>
    </row>
    <row r="10" customFormat="false" ht="17" hidden="false" customHeight="false" outlineLevel="0" collapsed="false">
      <c r="B10" s="566" t="s">
        <v>746</v>
      </c>
      <c r="C10" s="566"/>
      <c r="D10" s="566"/>
      <c r="E10" s="566"/>
      <c r="F10" s="567"/>
    </row>
    <row r="11" customFormat="false" ht="23.5" hidden="false" customHeight="false" outlineLevel="0" collapsed="false">
      <c r="B11" s="603" t="s">
        <v>687</v>
      </c>
      <c r="C11" s="693" t="s">
        <v>688</v>
      </c>
      <c r="D11" s="693" t="s">
        <v>689</v>
      </c>
      <c r="E11" s="606" t="s">
        <v>690</v>
      </c>
    </row>
    <row r="12" customFormat="false" ht="15" hidden="false" customHeight="true" outlineLevel="0" collapsed="false">
      <c r="B12" s="694" t="s">
        <v>747</v>
      </c>
      <c r="C12" s="695" t="n">
        <f aca="false">+ACTIF!F29</f>
        <v>0</v>
      </c>
      <c r="D12" s="695" t="n">
        <f aca="false">+ACTIF!G29</f>
        <v>0</v>
      </c>
      <c r="E12" s="696" t="e">
        <f aca="false">+(C12-D12)/D12</f>
        <v>#DIV/0!</v>
      </c>
    </row>
    <row r="13" customFormat="false" ht="15" hidden="false" customHeight="true" outlineLevel="0" collapsed="false">
      <c r="B13" s="697" t="s">
        <v>748</v>
      </c>
      <c r="C13" s="698"/>
      <c r="D13" s="698"/>
      <c r="E13" s="699"/>
    </row>
    <row r="14" customFormat="false" ht="15" hidden="false" customHeight="true" outlineLevel="0" collapsed="false">
      <c r="B14" s="697" t="s">
        <v>749</v>
      </c>
      <c r="C14" s="698"/>
      <c r="D14" s="698"/>
      <c r="E14" s="699"/>
    </row>
    <row r="15" customFormat="false" ht="15" hidden="false" customHeight="true" outlineLevel="0" collapsed="false">
      <c r="B15" s="697" t="s">
        <v>750</v>
      </c>
      <c r="C15" s="698"/>
      <c r="D15" s="698"/>
      <c r="E15" s="699"/>
    </row>
    <row r="16" customFormat="false" ht="15" hidden="false" customHeight="true" outlineLevel="0" collapsed="false">
      <c r="B16" s="697" t="s">
        <v>751</v>
      </c>
      <c r="C16" s="698"/>
      <c r="D16" s="698"/>
      <c r="E16" s="699"/>
    </row>
    <row r="17" customFormat="false" ht="15" hidden="false" customHeight="true" outlineLevel="0" collapsed="false">
      <c r="B17" s="697" t="s">
        <v>752</v>
      </c>
      <c r="C17" s="698"/>
      <c r="D17" s="698"/>
      <c r="E17" s="699"/>
    </row>
    <row r="18" customFormat="false" ht="15" hidden="false" customHeight="true" outlineLevel="0" collapsed="false">
      <c r="B18" s="697" t="s">
        <v>753</v>
      </c>
      <c r="C18" s="698"/>
      <c r="D18" s="698"/>
      <c r="E18" s="699"/>
    </row>
    <row r="19" customFormat="false" ht="12.5" hidden="false" customHeight="false" outlineLevel="0" collapsed="false">
      <c r="B19" s="700" t="s">
        <v>754</v>
      </c>
      <c r="C19" s="701"/>
      <c r="D19" s="701"/>
      <c r="E19" s="699"/>
    </row>
    <row r="20" customFormat="false" ht="15" hidden="false" customHeight="true" outlineLevel="0" collapsed="false">
      <c r="B20" s="702" t="s">
        <v>755</v>
      </c>
      <c r="C20" s="703" t="n">
        <f aca="false">SUM(C12:C19)</f>
        <v>0</v>
      </c>
      <c r="D20" s="703" t="n">
        <f aca="false">SUM(D12:D19)</f>
        <v>0</v>
      </c>
      <c r="E20" s="704" t="e">
        <f aca="false">+(C20-D20)/D20</f>
        <v>#DIV/0!</v>
      </c>
    </row>
    <row r="21" customFormat="false" ht="15" hidden="false" customHeight="true" outlineLevel="0" collapsed="false">
      <c r="B21" s="705" t="s">
        <v>95</v>
      </c>
      <c r="C21" s="706"/>
      <c r="D21" s="706"/>
      <c r="E21" s="707"/>
    </row>
    <row r="22" customFormat="false" ht="15" hidden="false" customHeight="true" outlineLevel="0" collapsed="false">
      <c r="B22" s="697" t="s">
        <v>756</v>
      </c>
      <c r="C22" s="698"/>
      <c r="D22" s="698"/>
      <c r="E22" s="708"/>
    </row>
    <row r="23" customFormat="false" ht="15" hidden="false" customHeight="true" outlineLevel="0" collapsed="false">
      <c r="B23" s="700" t="s">
        <v>215</v>
      </c>
      <c r="C23" s="709"/>
      <c r="D23" s="709"/>
      <c r="E23" s="710"/>
    </row>
    <row r="24" customFormat="false" ht="15" hidden="false" customHeight="true" outlineLevel="0" collapsed="false">
      <c r="B24" s="711" t="s">
        <v>704</v>
      </c>
      <c r="C24" s="712" t="n">
        <f aca="false">C20</f>
        <v>0</v>
      </c>
      <c r="D24" s="712" t="n">
        <f aca="false">D20</f>
        <v>0</v>
      </c>
      <c r="E24" s="713" t="e">
        <f aca="false">E20</f>
        <v>#DIV/0!</v>
      </c>
    </row>
    <row r="25" customFormat="false" ht="25.5" hidden="false" customHeight="true" outlineLevel="0" collapsed="false">
      <c r="B25" s="714" t="s">
        <v>757</v>
      </c>
      <c r="C25" s="714"/>
      <c r="D25" s="714"/>
      <c r="E25" s="714"/>
      <c r="F25" s="714"/>
    </row>
    <row r="26" customFormat="false" ht="12" hidden="false" customHeight="false" outlineLevel="0" collapsed="false">
      <c r="B26" s="657" t="s">
        <v>95</v>
      </c>
      <c r="C26" s="534"/>
      <c r="D26" s="534"/>
      <c r="E26" s="534"/>
      <c r="F26" s="534"/>
    </row>
    <row r="27" customFormat="false" ht="12" hidden="false" customHeight="false" outlineLevel="0" collapsed="false">
      <c r="B27" s="715" t="s">
        <v>758</v>
      </c>
      <c r="C27" s="534"/>
      <c r="D27" s="534"/>
      <c r="E27" s="534"/>
      <c r="F27" s="534"/>
    </row>
    <row r="28" customFormat="false" ht="29.25" hidden="false" customHeight="true" outlineLevel="0" collapsed="false">
      <c r="B28" s="714" t="s">
        <v>759</v>
      </c>
      <c r="C28" s="714"/>
      <c r="D28" s="714"/>
      <c r="E28" s="714"/>
      <c r="F28" s="714"/>
    </row>
    <row r="29" customFormat="false" ht="16.5" hidden="false" customHeight="true" outlineLevel="0" collapsed="false">
      <c r="B29" s="714" t="s">
        <v>760</v>
      </c>
      <c r="C29" s="714"/>
      <c r="D29" s="714"/>
      <c r="E29" s="714"/>
      <c r="F29" s="714"/>
    </row>
    <row r="30" customFormat="false" ht="19.5" hidden="false" customHeight="true" outlineLevel="0" collapsed="false">
      <c r="B30" s="714" t="s">
        <v>761</v>
      </c>
      <c r="C30" s="714"/>
      <c r="D30" s="714"/>
      <c r="E30" s="714"/>
      <c r="F30" s="714"/>
    </row>
    <row r="31" customFormat="false" ht="12" hidden="false" customHeight="false" outlineLevel="0" collapsed="false">
      <c r="B31" s="716" t="s">
        <v>95</v>
      </c>
      <c r="C31" s="717" t="s">
        <v>95</v>
      </c>
      <c r="D31" s="717" t="s">
        <v>95</v>
      </c>
      <c r="E31" s="718" t="s">
        <v>95</v>
      </c>
    </row>
    <row r="32" customFormat="false" ht="12" hidden="false" customHeight="false" outlineLevel="0" collapsed="false">
      <c r="B32" s="691" t="s">
        <v>95</v>
      </c>
    </row>
    <row r="33" customFormat="false" ht="12" hidden="false" customHeight="false" outlineLevel="0" collapsed="false">
      <c r="B33" s="691" t="s">
        <v>95</v>
      </c>
    </row>
    <row r="34" customFormat="false" ht="12" hidden="false" customHeight="false" outlineLevel="0" collapsed="false">
      <c r="B34" s="691" t="s">
        <v>95</v>
      </c>
    </row>
    <row r="35" customFormat="false" ht="12" hidden="false" customHeight="false" outlineLevel="0" collapsed="false">
      <c r="B35" s="691"/>
    </row>
    <row r="36" customFormat="false" ht="12" hidden="false" customHeight="false" outlineLevel="0" collapsed="false">
      <c r="B36" s="691" t="s">
        <v>95</v>
      </c>
    </row>
    <row r="37" customFormat="false" ht="12" hidden="false" customHeight="false" outlineLevel="0" collapsed="false">
      <c r="B37" s="691" t="s">
        <v>95</v>
      </c>
    </row>
    <row r="38" customFormat="false" ht="12" hidden="false" customHeight="false" outlineLevel="0" collapsed="false">
      <c r="B38" s="691"/>
    </row>
  </sheetData>
  <mergeCells count="6">
    <mergeCell ref="B9:E9"/>
    <mergeCell ref="B10:E10"/>
    <mergeCell ref="B25:F25"/>
    <mergeCell ref="B28:F28"/>
    <mergeCell ref="B29:F29"/>
    <mergeCell ref="B30:F30"/>
  </mergeCells>
  <printOptions headings="false" gridLines="false" gridLinesSet="true" horizontalCentered="false" verticalCentered="false"/>
  <pageMargins left="0.118055555555556" right="0.118055555555556" top="0.157638888888889" bottom="0.157638888888889"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G35"/>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A38" activeCellId="0" sqref="A38"/>
    </sheetView>
  </sheetViews>
  <sheetFormatPr defaultColWidth="10.8125" defaultRowHeight="12" zeroHeight="false" outlineLevelRow="0" outlineLevelCol="0"/>
  <cols>
    <col collapsed="false" customWidth="true" hidden="false" outlineLevel="0" max="1" min="1" style="209" width="61.26"/>
    <col collapsed="false" customWidth="true" hidden="false" outlineLevel="0" max="3" min="2" style="209" width="12.44"/>
    <col collapsed="false" customWidth="true" hidden="false" outlineLevel="0" max="4" min="4" style="209" width="13.44"/>
    <col collapsed="false" customWidth="true" hidden="false" outlineLevel="0" max="6" min="5" style="209" width="12.44"/>
    <col collapsed="false" customWidth="false" hidden="false" outlineLevel="0" max="257" min="7" style="209" width="10.81"/>
  </cols>
  <sheetData>
    <row r="4" customFormat="false" ht="13" hidden="false" customHeight="false" outlineLevel="0" collapsed="false">
      <c r="A4" s="359" t="s">
        <v>500</v>
      </c>
      <c r="E4" s="217" t="s">
        <v>199</v>
      </c>
      <c r="F4" s="217"/>
      <c r="G4" s="203"/>
    </row>
    <row r="5" customFormat="false" ht="13" hidden="false" customHeight="false" outlineLevel="0" collapsed="false">
      <c r="A5" s="360" t="s">
        <v>200</v>
      </c>
      <c r="E5" s="217" t="s">
        <v>101</v>
      </c>
      <c r="F5" s="217"/>
      <c r="G5" s="207"/>
    </row>
    <row r="6" customFormat="false" ht="14" hidden="false" customHeight="false" outlineLevel="0" collapsed="false">
      <c r="A6" s="602" t="s">
        <v>762</v>
      </c>
      <c r="B6" s="602"/>
      <c r="C6" s="602"/>
      <c r="D6" s="602"/>
      <c r="E6" s="602"/>
      <c r="F6" s="602"/>
      <c r="G6" s="602"/>
    </row>
    <row r="7" customFormat="false" ht="14.5" hidden="false" customHeight="false" outlineLevel="0" collapsed="false">
      <c r="A7" s="566" t="s">
        <v>129</v>
      </c>
      <c r="B7" s="566"/>
      <c r="C7" s="566"/>
      <c r="D7" s="566"/>
      <c r="E7" s="566"/>
      <c r="F7" s="566"/>
      <c r="G7" s="566"/>
    </row>
    <row r="8" customFormat="false" ht="23.25" hidden="false" customHeight="true" outlineLevel="0" collapsed="false">
      <c r="A8" s="603" t="s">
        <v>687</v>
      </c>
      <c r="B8" s="604" t="s">
        <v>763</v>
      </c>
      <c r="C8" s="604" t="s">
        <v>764</v>
      </c>
      <c r="D8" s="604" t="s">
        <v>690</v>
      </c>
      <c r="E8" s="719" t="s">
        <v>691</v>
      </c>
      <c r="F8" s="605" t="s">
        <v>765</v>
      </c>
      <c r="G8" s="720" t="s">
        <v>693</v>
      </c>
    </row>
    <row r="9" customFormat="false" ht="19.5" hidden="false" customHeight="true" outlineLevel="0" collapsed="false">
      <c r="A9" s="603"/>
      <c r="B9" s="604"/>
      <c r="C9" s="604"/>
      <c r="D9" s="604"/>
      <c r="E9" s="719"/>
      <c r="F9" s="461" t="s">
        <v>766</v>
      </c>
      <c r="G9" s="720"/>
    </row>
    <row r="10" customFormat="false" ht="15" hidden="false" customHeight="true" outlineLevel="0" collapsed="false">
      <c r="A10" s="603"/>
      <c r="B10" s="604"/>
      <c r="C10" s="604"/>
      <c r="D10" s="604"/>
      <c r="E10" s="719"/>
      <c r="F10" s="461" t="s">
        <v>767</v>
      </c>
      <c r="G10" s="720"/>
    </row>
    <row r="11" customFormat="false" ht="15" hidden="false" customHeight="true" outlineLevel="0" collapsed="false">
      <c r="A11" s="603"/>
      <c r="B11" s="604"/>
      <c r="C11" s="604"/>
      <c r="D11" s="604"/>
      <c r="E11" s="719"/>
      <c r="F11" s="607" t="s">
        <v>768</v>
      </c>
      <c r="G11" s="720"/>
    </row>
    <row r="12" customFormat="false" ht="12" hidden="false" customHeight="false" outlineLevel="0" collapsed="false">
      <c r="A12" s="694" t="s">
        <v>769</v>
      </c>
      <c r="B12" s="721" t="n">
        <f aca="false">ACTIF!F32</f>
        <v>0</v>
      </c>
      <c r="C12" s="721" t="n">
        <f aca="false">+ACTIF!G32</f>
        <v>0</v>
      </c>
      <c r="D12" s="722" t="e">
        <f aca="false">(B12-C12)/C12</f>
        <v>#DIV/0!</v>
      </c>
      <c r="E12" s="721" t="n">
        <f aca="false">B12</f>
        <v>0</v>
      </c>
      <c r="F12" s="721"/>
      <c r="G12" s="723"/>
    </row>
    <row r="13" customFormat="false" ht="15" hidden="false" customHeight="true" outlineLevel="0" collapsed="false">
      <c r="A13" s="697" t="s">
        <v>770</v>
      </c>
      <c r="B13" s="724"/>
      <c r="C13" s="724"/>
      <c r="D13" s="724"/>
      <c r="E13" s="724"/>
      <c r="F13" s="724"/>
      <c r="G13" s="725"/>
    </row>
    <row r="14" customFormat="false" ht="15" hidden="false" customHeight="true" outlineLevel="0" collapsed="false">
      <c r="A14" s="697" t="s">
        <v>771</v>
      </c>
      <c r="B14" s="724"/>
      <c r="C14" s="724"/>
      <c r="D14" s="724"/>
      <c r="E14" s="724"/>
      <c r="F14" s="724"/>
      <c r="G14" s="725"/>
    </row>
    <row r="15" customFormat="false" ht="15" hidden="false" customHeight="true" outlineLevel="0" collapsed="false">
      <c r="A15" s="726" t="s">
        <v>772</v>
      </c>
      <c r="B15" s="724"/>
      <c r="C15" s="724"/>
      <c r="D15" s="724"/>
      <c r="E15" s="724"/>
      <c r="F15" s="724"/>
      <c r="G15" s="725"/>
    </row>
    <row r="16" customFormat="false" ht="15" hidden="false" customHeight="true" outlineLevel="0" collapsed="false">
      <c r="A16" s="697" t="s">
        <v>773</v>
      </c>
      <c r="B16" s="724"/>
      <c r="C16" s="724"/>
      <c r="D16" s="724"/>
      <c r="E16" s="724"/>
      <c r="F16" s="724"/>
      <c r="G16" s="725"/>
    </row>
    <row r="17" customFormat="false" ht="15" hidden="false" customHeight="true" outlineLevel="0" collapsed="false">
      <c r="A17" s="697" t="s">
        <v>774</v>
      </c>
      <c r="B17" s="724"/>
      <c r="C17" s="724"/>
      <c r="D17" s="724"/>
      <c r="E17" s="724"/>
      <c r="F17" s="724"/>
      <c r="G17" s="725"/>
    </row>
    <row r="18" customFormat="false" ht="15" hidden="false" customHeight="true" outlineLevel="0" collapsed="false">
      <c r="A18" s="697" t="s">
        <v>775</v>
      </c>
      <c r="B18" s="724"/>
      <c r="C18" s="724"/>
      <c r="D18" s="724"/>
      <c r="E18" s="724"/>
      <c r="F18" s="724"/>
      <c r="G18" s="725"/>
    </row>
    <row r="19" customFormat="false" ht="15" hidden="false" customHeight="true" outlineLevel="0" collapsed="false">
      <c r="A19" s="700" t="s">
        <v>776</v>
      </c>
      <c r="B19" s="727"/>
      <c r="C19" s="727"/>
      <c r="D19" s="727"/>
      <c r="E19" s="727"/>
      <c r="F19" s="727"/>
      <c r="G19" s="728"/>
    </row>
    <row r="20" customFormat="false" ht="15" hidden="false" customHeight="true" outlineLevel="0" collapsed="false">
      <c r="A20" s="702" t="s">
        <v>777</v>
      </c>
      <c r="B20" s="497" t="n">
        <f aca="false">SUM(B12:B19)</f>
        <v>0</v>
      </c>
      <c r="C20" s="497" t="n">
        <f aca="false">SUM(C12:C19)</f>
        <v>0</v>
      </c>
      <c r="D20" s="729" t="e">
        <f aca="false">SUM(D12:D19)</f>
        <v>#DIV/0!</v>
      </c>
      <c r="E20" s="497" t="n">
        <f aca="false">SUM(E12:E19)</f>
        <v>0</v>
      </c>
      <c r="F20" s="497" t="n">
        <f aca="false">SUM(F12:F19)</f>
        <v>0</v>
      </c>
      <c r="G20" s="497" t="n">
        <f aca="false">SUM(G12:G19)</f>
        <v>0</v>
      </c>
    </row>
    <row r="21" customFormat="false" ht="15" hidden="false" customHeight="true" outlineLevel="0" collapsed="false">
      <c r="A21" s="705" t="s">
        <v>215</v>
      </c>
      <c r="B21" s="376"/>
      <c r="C21" s="376"/>
      <c r="D21" s="376"/>
      <c r="E21" s="376"/>
      <c r="F21" s="376"/>
      <c r="G21" s="377"/>
    </row>
    <row r="22" customFormat="false" ht="15" hidden="false" customHeight="true" outlineLevel="0" collapsed="false">
      <c r="A22" s="697" t="s">
        <v>778</v>
      </c>
      <c r="B22" s="724"/>
      <c r="C22" s="724"/>
      <c r="D22" s="724"/>
      <c r="E22" s="724"/>
      <c r="F22" s="724"/>
      <c r="G22" s="725"/>
    </row>
    <row r="23" customFormat="false" ht="15" hidden="false" customHeight="true" outlineLevel="0" collapsed="false">
      <c r="A23" s="700" t="s">
        <v>215</v>
      </c>
      <c r="B23" s="385"/>
      <c r="C23" s="385"/>
      <c r="D23" s="385"/>
      <c r="E23" s="385"/>
      <c r="F23" s="385"/>
      <c r="G23" s="386"/>
    </row>
    <row r="24" customFormat="false" ht="15" hidden="false" customHeight="true" outlineLevel="0" collapsed="false">
      <c r="A24" s="702" t="s">
        <v>704</v>
      </c>
      <c r="B24" s="497" t="n">
        <f aca="false">B20</f>
        <v>0</v>
      </c>
      <c r="C24" s="497" t="n">
        <f aca="false">C20</f>
        <v>0</v>
      </c>
      <c r="D24" s="497" t="e">
        <f aca="false">D20</f>
        <v>#DIV/0!</v>
      </c>
      <c r="E24" s="497" t="n">
        <f aca="false">E20</f>
        <v>0</v>
      </c>
      <c r="F24" s="370"/>
      <c r="G24" s="371"/>
    </row>
    <row r="25" customFormat="false" ht="15" hidden="false" customHeight="true" outlineLevel="0" collapsed="false">
      <c r="A25" s="705" t="s">
        <v>215</v>
      </c>
      <c r="B25" s="376"/>
      <c r="C25" s="376"/>
      <c r="D25" s="376"/>
      <c r="E25" s="376"/>
      <c r="F25" s="376"/>
      <c r="G25" s="377"/>
    </row>
    <row r="26" customFormat="false" ht="15" hidden="false" customHeight="true" outlineLevel="0" collapsed="false">
      <c r="A26" s="697" t="s">
        <v>779</v>
      </c>
      <c r="B26" s="724"/>
      <c r="C26" s="724"/>
      <c r="D26" s="724"/>
      <c r="E26" s="724"/>
      <c r="F26" s="724"/>
      <c r="G26" s="725"/>
    </row>
    <row r="27" customFormat="false" ht="15" hidden="false" customHeight="true" outlineLevel="0" collapsed="false">
      <c r="A27" s="697" t="s">
        <v>780</v>
      </c>
      <c r="B27" s="724"/>
      <c r="C27" s="724"/>
      <c r="D27" s="724"/>
      <c r="E27" s="724"/>
      <c r="F27" s="724"/>
      <c r="G27" s="725"/>
    </row>
    <row r="28" customFormat="false" ht="15" hidden="false" customHeight="true" outlineLevel="0" collapsed="false">
      <c r="A28" s="700" t="s">
        <v>781</v>
      </c>
      <c r="B28" s="727"/>
      <c r="C28" s="727"/>
      <c r="D28" s="727"/>
      <c r="E28" s="727"/>
      <c r="F28" s="727"/>
      <c r="G28" s="728"/>
    </row>
    <row r="29" customFormat="false" ht="15" hidden="false" customHeight="true" outlineLevel="0" collapsed="false">
      <c r="A29" s="702" t="s">
        <v>782</v>
      </c>
      <c r="B29" s="370"/>
      <c r="C29" s="370"/>
      <c r="D29" s="370"/>
      <c r="E29" s="370"/>
      <c r="F29" s="370"/>
      <c r="G29" s="371"/>
    </row>
    <row r="30" customFormat="false" ht="12" hidden="false" customHeight="false" outlineLevel="0" collapsed="false">
      <c r="A30" s="730" t="s">
        <v>783</v>
      </c>
    </row>
    <row r="31" customFormat="false" ht="15.75" hidden="false" customHeight="true" outlineLevel="0" collapsed="false">
      <c r="A31" s="731" t="s">
        <v>784</v>
      </c>
      <c r="B31" s="731"/>
      <c r="C31" s="731"/>
      <c r="D31" s="731"/>
      <c r="E31" s="731"/>
      <c r="F31" s="731"/>
      <c r="G31" s="731"/>
    </row>
    <row r="32" customFormat="false" ht="12" hidden="false" customHeight="false" outlineLevel="0" collapsed="false">
      <c r="A32" s="731"/>
      <c r="B32" s="731"/>
      <c r="C32" s="731"/>
      <c r="D32" s="731"/>
      <c r="E32" s="731"/>
      <c r="F32" s="731"/>
      <c r="G32" s="731"/>
    </row>
    <row r="33" customFormat="false" ht="12" hidden="false" customHeight="false" outlineLevel="0" collapsed="false">
      <c r="A33" s="731"/>
      <c r="B33" s="731"/>
      <c r="C33" s="731"/>
      <c r="D33" s="731"/>
      <c r="E33" s="731"/>
      <c r="F33" s="731"/>
      <c r="G33" s="731"/>
    </row>
    <row r="34" customFormat="false" ht="12" hidden="false" customHeight="false" outlineLevel="0" collapsed="false">
      <c r="A34" s="731"/>
      <c r="B34" s="731"/>
      <c r="C34" s="731"/>
      <c r="D34" s="731"/>
      <c r="E34" s="731"/>
      <c r="F34" s="731"/>
      <c r="G34" s="731"/>
    </row>
    <row r="35" customFormat="false" ht="12" hidden="false" customHeight="false" outlineLevel="0" collapsed="false">
      <c r="A35" s="731"/>
      <c r="B35" s="731"/>
      <c r="C35" s="731"/>
      <c r="D35" s="731"/>
      <c r="E35" s="731"/>
      <c r="F35" s="731"/>
      <c r="G35" s="731"/>
    </row>
  </sheetData>
  <mergeCells count="9">
    <mergeCell ref="A6:G6"/>
    <mergeCell ref="A7:G7"/>
    <mergeCell ref="A8:A11"/>
    <mergeCell ref="B8:B11"/>
    <mergeCell ref="C8:C11"/>
    <mergeCell ref="D8:D11"/>
    <mergeCell ref="E8:E11"/>
    <mergeCell ref="G8:G11"/>
    <mergeCell ref="A31:G35"/>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B39" activeCellId="0" sqref="B39"/>
    </sheetView>
  </sheetViews>
  <sheetFormatPr defaultColWidth="10.8125" defaultRowHeight="11.5" zeroHeight="false" outlineLevelRow="0" outlineLevelCol="0"/>
  <cols>
    <col collapsed="false" customWidth="true" hidden="false" outlineLevel="0" max="1" min="1" style="202" width="61.44"/>
    <col collapsed="false" customWidth="true" hidden="false" outlineLevel="0" max="3" min="2" style="202" width="12.44"/>
    <col collapsed="false" customWidth="true" hidden="false" outlineLevel="0" max="4" min="4" style="202" width="13.44"/>
    <col collapsed="false" customWidth="true" hidden="false" outlineLevel="0" max="6" min="5" style="202" width="12.44"/>
    <col collapsed="false" customWidth="false" hidden="false" outlineLevel="0" max="257" min="7" style="202" width="10.81"/>
  </cols>
  <sheetData>
    <row r="1" customFormat="false" ht="11.5" hidden="false" customHeight="false" outlineLevel="0" collapsed="false">
      <c r="A1" s="732"/>
    </row>
    <row r="2" customFormat="false" ht="11.5" hidden="false" customHeight="false" outlineLevel="0" collapsed="false">
      <c r="A2" s="260"/>
    </row>
    <row r="3" customFormat="false" ht="11.5" hidden="false" customHeight="false" outlineLevel="0" collapsed="false">
      <c r="A3" s="733"/>
    </row>
    <row r="4" customFormat="false" ht="11.5" hidden="false" customHeight="false" outlineLevel="0" collapsed="false">
      <c r="A4" s="733"/>
    </row>
    <row r="5" customFormat="false" ht="13" hidden="false" customHeight="false" outlineLevel="0" collapsed="false">
      <c r="A5" s="359" t="s">
        <v>785</v>
      </c>
      <c r="B5" s="209"/>
      <c r="C5" s="209"/>
      <c r="D5" s="209"/>
      <c r="E5" s="217" t="s">
        <v>199</v>
      </c>
      <c r="F5" s="217"/>
      <c r="G5" s="203"/>
    </row>
    <row r="6" customFormat="false" ht="13" hidden="false" customHeight="false" outlineLevel="0" collapsed="false">
      <c r="A6" s="360" t="s">
        <v>200</v>
      </c>
      <c r="B6" s="209"/>
      <c r="C6" s="209"/>
      <c r="D6" s="209"/>
      <c r="E6" s="217" t="s">
        <v>101</v>
      </c>
      <c r="F6" s="217"/>
      <c r="G6" s="207"/>
    </row>
    <row r="7" customFormat="false" ht="12.5" hidden="false" customHeight="false" outlineLevel="0" collapsed="false">
      <c r="A7" s="733"/>
      <c r="E7" s="217"/>
      <c r="F7" s="217"/>
      <c r="G7" s="217"/>
    </row>
    <row r="8" customFormat="false" ht="11.5" hidden="false" customHeight="false" outlineLevel="0" collapsed="false">
      <c r="A8" s="734" t="s">
        <v>786</v>
      </c>
      <c r="B8" s="734"/>
      <c r="C8" s="734"/>
      <c r="D8" s="734"/>
      <c r="E8" s="734"/>
      <c r="F8" s="734"/>
      <c r="G8" s="734"/>
    </row>
    <row r="9" customFormat="false" ht="12" hidden="false" customHeight="false" outlineLevel="0" collapsed="false">
      <c r="A9" s="735" t="s">
        <v>131</v>
      </c>
      <c r="B9" s="735"/>
      <c r="C9" s="735"/>
      <c r="D9" s="735"/>
      <c r="E9" s="735"/>
      <c r="F9" s="735"/>
      <c r="G9" s="735"/>
    </row>
    <row r="10" customFormat="false" ht="23" hidden="false" customHeight="true" outlineLevel="0" collapsed="false">
      <c r="A10" s="363" t="s">
        <v>687</v>
      </c>
      <c r="B10" s="363" t="s">
        <v>688</v>
      </c>
      <c r="C10" s="363" t="s">
        <v>689</v>
      </c>
      <c r="D10" s="363" t="s">
        <v>690</v>
      </c>
      <c r="E10" s="363" t="s">
        <v>691</v>
      </c>
      <c r="F10" s="736" t="s">
        <v>765</v>
      </c>
      <c r="G10" s="363" t="s">
        <v>693</v>
      </c>
    </row>
    <row r="11" customFormat="false" ht="11.5" hidden="false" customHeight="false" outlineLevel="0" collapsed="false">
      <c r="A11" s="363"/>
      <c r="B11" s="363"/>
      <c r="C11" s="363"/>
      <c r="D11" s="363"/>
      <c r="E11" s="363"/>
      <c r="F11" s="737" t="s">
        <v>766</v>
      </c>
      <c r="G11" s="363"/>
    </row>
    <row r="12" customFormat="false" ht="11.5" hidden="false" customHeight="false" outlineLevel="0" collapsed="false">
      <c r="A12" s="363"/>
      <c r="B12" s="363"/>
      <c r="C12" s="363"/>
      <c r="D12" s="363"/>
      <c r="E12" s="363"/>
      <c r="F12" s="737" t="s">
        <v>767</v>
      </c>
      <c r="G12" s="363"/>
    </row>
    <row r="13" customFormat="false" ht="12" hidden="false" customHeight="false" outlineLevel="0" collapsed="false">
      <c r="A13" s="363"/>
      <c r="B13" s="363"/>
      <c r="C13" s="363"/>
      <c r="D13" s="363"/>
      <c r="E13" s="363"/>
      <c r="F13" s="738" t="s">
        <v>768</v>
      </c>
      <c r="G13" s="363"/>
    </row>
    <row r="14" customFormat="false" ht="12" hidden="false" customHeight="false" outlineLevel="0" collapsed="false">
      <c r="A14" s="550" t="s">
        <v>521</v>
      </c>
      <c r="B14" s="739"/>
      <c r="C14" s="739"/>
      <c r="D14" s="739"/>
      <c r="E14" s="739"/>
      <c r="F14" s="739"/>
      <c r="G14" s="739"/>
    </row>
    <row r="15" customFormat="false" ht="12" hidden="false" customHeight="false" outlineLevel="0" collapsed="false">
      <c r="A15" s="550" t="s">
        <v>787</v>
      </c>
      <c r="B15" s="739"/>
      <c r="C15" s="739"/>
      <c r="D15" s="739"/>
      <c r="E15" s="739"/>
      <c r="F15" s="739"/>
      <c r="G15" s="739"/>
    </row>
    <row r="16" customFormat="false" ht="12" hidden="false" customHeight="false" outlineLevel="0" collapsed="false">
      <c r="A16" s="550" t="s">
        <v>788</v>
      </c>
      <c r="B16" s="740"/>
      <c r="C16" s="740"/>
      <c r="D16" s="741"/>
      <c r="E16" s="740"/>
      <c r="F16" s="740"/>
      <c r="G16" s="739"/>
    </row>
    <row r="17" customFormat="false" ht="12" hidden="false" customHeight="false" outlineLevel="0" collapsed="false">
      <c r="A17" s="550" t="s">
        <v>524</v>
      </c>
      <c r="B17" s="739"/>
      <c r="C17" s="739"/>
      <c r="D17" s="739"/>
      <c r="E17" s="739"/>
      <c r="F17" s="739"/>
      <c r="G17" s="739"/>
    </row>
    <row r="18" customFormat="false" ht="12" hidden="false" customHeight="false" outlineLevel="0" collapsed="false">
      <c r="A18" s="550" t="s">
        <v>789</v>
      </c>
      <c r="B18" s="739"/>
      <c r="C18" s="739"/>
      <c r="D18" s="739"/>
      <c r="E18" s="739"/>
      <c r="F18" s="739"/>
      <c r="G18" s="739"/>
    </row>
    <row r="19" customFormat="false" ht="12" hidden="false" customHeight="false" outlineLevel="0" collapsed="false">
      <c r="A19" s="550" t="s">
        <v>790</v>
      </c>
      <c r="B19" s="739"/>
      <c r="C19" s="739"/>
      <c r="D19" s="739"/>
      <c r="E19" s="739"/>
      <c r="F19" s="739"/>
      <c r="G19" s="739"/>
    </row>
    <row r="20" customFormat="false" ht="12" hidden="false" customHeight="false" outlineLevel="0" collapsed="false">
      <c r="A20" s="550" t="s">
        <v>791</v>
      </c>
      <c r="B20" s="739" t="n">
        <v>0</v>
      </c>
      <c r="C20" s="739" t="n">
        <v>0</v>
      </c>
      <c r="D20" s="742"/>
      <c r="E20" s="739" t="n">
        <f aca="false">B20</f>
        <v>0</v>
      </c>
      <c r="F20" s="739"/>
      <c r="G20" s="739"/>
    </row>
    <row r="21" customFormat="false" ht="12" hidden="false" customHeight="false" outlineLevel="0" collapsed="false">
      <c r="A21" s="550" t="s">
        <v>792</v>
      </c>
      <c r="B21" s="739"/>
      <c r="C21" s="739"/>
      <c r="D21" s="739"/>
      <c r="E21" s="739"/>
      <c r="F21" s="739"/>
      <c r="G21" s="739"/>
    </row>
    <row r="22" customFormat="false" ht="12" hidden="false" customHeight="false" outlineLevel="0" collapsed="false">
      <c r="A22" s="550" t="s">
        <v>793</v>
      </c>
      <c r="B22" s="739"/>
      <c r="C22" s="739"/>
      <c r="D22" s="739"/>
      <c r="E22" s="739"/>
      <c r="F22" s="739"/>
      <c r="G22" s="739"/>
    </row>
    <row r="23" customFormat="false" ht="12" hidden="false" customHeight="false" outlineLevel="0" collapsed="false">
      <c r="A23" s="550" t="s">
        <v>794</v>
      </c>
      <c r="B23" s="740"/>
      <c r="C23" s="740"/>
      <c r="D23" s="740"/>
      <c r="E23" s="740"/>
      <c r="F23" s="740"/>
      <c r="G23" s="740"/>
    </row>
    <row r="24" customFormat="false" ht="12" hidden="false" customHeight="false" outlineLevel="0" collapsed="false">
      <c r="A24" s="743" t="s">
        <v>795</v>
      </c>
      <c r="B24" s="744" t="n">
        <f aca="false">SUM(B14:B23)</f>
        <v>0</v>
      </c>
      <c r="C24" s="744" t="n">
        <f aca="false">SUM(C14:C23)</f>
        <v>0</v>
      </c>
      <c r="D24" s="744" t="n">
        <f aca="false">SUM(D14:D23)</f>
        <v>0</v>
      </c>
      <c r="E24" s="744" t="n">
        <f aca="false">SUM(E14:E23)</f>
        <v>0</v>
      </c>
      <c r="F24" s="744" t="n">
        <f aca="false">SUM(F14:F23)</f>
        <v>0</v>
      </c>
      <c r="G24" s="744" t="n">
        <f aca="false">SUM(G14:G23)</f>
        <v>0</v>
      </c>
    </row>
    <row r="25" customFormat="false" ht="12" hidden="false" customHeight="false" outlineLevel="0" collapsed="false">
      <c r="A25" s="550" t="s">
        <v>215</v>
      </c>
      <c r="B25" s="745"/>
      <c r="C25" s="745"/>
      <c r="D25" s="745"/>
      <c r="E25" s="745"/>
      <c r="F25" s="745"/>
      <c r="G25" s="745"/>
    </row>
    <row r="26" customFormat="false" ht="12" hidden="false" customHeight="false" outlineLevel="0" collapsed="false">
      <c r="A26" s="550" t="s">
        <v>796</v>
      </c>
      <c r="B26" s="739"/>
      <c r="C26" s="739"/>
      <c r="D26" s="739"/>
      <c r="E26" s="739"/>
      <c r="F26" s="739"/>
      <c r="G26" s="739"/>
    </row>
    <row r="27" customFormat="false" ht="12" hidden="false" customHeight="false" outlineLevel="0" collapsed="false">
      <c r="A27" s="550" t="s">
        <v>215</v>
      </c>
      <c r="B27" s="745"/>
      <c r="C27" s="745"/>
      <c r="D27" s="745"/>
      <c r="E27" s="745"/>
      <c r="F27" s="745"/>
      <c r="G27" s="745"/>
    </row>
    <row r="28" customFormat="false" ht="12" hidden="false" customHeight="false" outlineLevel="0" collapsed="false">
      <c r="A28" s="551" t="s">
        <v>704</v>
      </c>
      <c r="B28" s="744" t="n">
        <f aca="false">B24</f>
        <v>0</v>
      </c>
      <c r="C28" s="744" t="n">
        <f aca="false">C24</f>
        <v>0</v>
      </c>
      <c r="D28" s="744" t="n">
        <f aca="false">D24</f>
        <v>0</v>
      </c>
      <c r="E28" s="744" t="n">
        <f aca="false">E24</f>
        <v>0</v>
      </c>
      <c r="F28" s="746"/>
      <c r="G28" s="746"/>
    </row>
    <row r="29" customFormat="false" ht="11.5" hidden="false" customHeight="false" outlineLevel="0" collapsed="false">
      <c r="A29" s="688" t="s">
        <v>95</v>
      </c>
    </row>
    <row r="30" customFormat="false" ht="11.5" hidden="false" customHeight="false" outlineLevel="0" collapsed="false">
      <c r="A30" s="657" t="s">
        <v>740</v>
      </c>
      <c r="B30" s="534"/>
      <c r="C30" s="534"/>
      <c r="D30" s="534"/>
      <c r="E30" s="534"/>
      <c r="F30" s="534"/>
    </row>
    <row r="31" customFormat="false" ht="11.5" hidden="false" customHeight="false" outlineLevel="0" collapsed="false">
      <c r="A31" s="658" t="s">
        <v>797</v>
      </c>
      <c r="B31" s="534"/>
      <c r="C31" s="534"/>
      <c r="D31" s="534"/>
      <c r="E31" s="534"/>
      <c r="F31" s="534"/>
    </row>
    <row r="32" customFormat="false" ht="11.5" hidden="false" customHeight="false" outlineLevel="0" collapsed="false">
      <c r="A32" s="658" t="s">
        <v>798</v>
      </c>
      <c r="B32" s="534"/>
      <c r="C32" s="534"/>
      <c r="D32" s="534"/>
      <c r="E32" s="534"/>
      <c r="F32" s="534"/>
    </row>
    <row r="33" customFormat="false" ht="11.5" hidden="false" customHeight="false" outlineLevel="0" collapsed="false">
      <c r="A33" s="658" t="s">
        <v>799</v>
      </c>
      <c r="B33" s="534"/>
      <c r="C33" s="534"/>
      <c r="D33" s="534"/>
      <c r="E33" s="534"/>
      <c r="F33" s="534"/>
    </row>
    <row r="34" customFormat="false" ht="11.5" hidden="false" customHeight="false" outlineLevel="0" collapsed="false">
      <c r="A34" s="658" t="s">
        <v>800</v>
      </c>
      <c r="B34" s="534"/>
      <c r="C34" s="534"/>
      <c r="D34" s="534"/>
      <c r="E34" s="534"/>
      <c r="F34" s="534"/>
    </row>
    <row r="35" customFormat="false" ht="11.5" hidden="false" customHeight="false" outlineLevel="0" collapsed="false">
      <c r="A35" s="658" t="s">
        <v>801</v>
      </c>
      <c r="B35" s="534"/>
      <c r="C35" s="534"/>
      <c r="D35" s="534"/>
      <c r="E35" s="534"/>
      <c r="F35" s="534"/>
    </row>
  </sheetData>
  <mergeCells count="8">
    <mergeCell ref="A8:G8"/>
    <mergeCell ref="A9:G9"/>
    <mergeCell ref="A10:A13"/>
    <mergeCell ref="B10:B13"/>
    <mergeCell ref="C10:C13"/>
    <mergeCell ref="D10:D13"/>
    <mergeCell ref="E10:E13"/>
    <mergeCell ref="G10:G13"/>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G6" activeCellId="0" sqref="G6:G7"/>
    </sheetView>
  </sheetViews>
  <sheetFormatPr defaultColWidth="10.8125" defaultRowHeight="12" zeroHeight="false" outlineLevelRow="0" outlineLevelCol="0"/>
  <cols>
    <col collapsed="false" customWidth="true" hidden="false" outlineLevel="0" max="1" min="1" style="209" width="61.72"/>
    <col collapsed="false" customWidth="false" hidden="false" outlineLevel="0" max="257" min="2" style="209" width="10.81"/>
  </cols>
  <sheetData>
    <row r="1" customFormat="false" ht="12" hidden="false" customHeight="false" outlineLevel="0" collapsed="false">
      <c r="A1" s="691"/>
    </row>
    <row r="2" customFormat="false" ht="12" hidden="false" customHeight="false" outlineLevel="0" collapsed="false">
      <c r="A2" s="691"/>
    </row>
    <row r="3" customFormat="false" ht="12" hidden="false" customHeight="false" outlineLevel="0" collapsed="false">
      <c r="A3" s="691"/>
    </row>
    <row r="4" customFormat="false" ht="12" hidden="false" customHeight="false" outlineLevel="0" collapsed="false">
      <c r="A4" s="747" t="s">
        <v>802</v>
      </c>
    </row>
    <row r="5" customFormat="false" ht="12" hidden="false" customHeight="false" outlineLevel="0" collapsed="false">
      <c r="A5" s="747"/>
    </row>
    <row r="6" s="202" customFormat="true" ht="13" hidden="false" customHeight="false" outlineLevel="0" collapsed="false">
      <c r="A6" s="359" t="s">
        <v>785</v>
      </c>
      <c r="B6" s="209"/>
      <c r="C6" s="209"/>
      <c r="D6" s="209"/>
      <c r="E6" s="217" t="s">
        <v>199</v>
      </c>
      <c r="G6" s="203"/>
    </row>
    <row r="7" s="202" customFormat="true" ht="13" hidden="false" customHeight="false" outlineLevel="0" collapsed="false">
      <c r="A7" s="360" t="s">
        <v>200</v>
      </c>
      <c r="B7" s="209"/>
      <c r="C7" s="209"/>
      <c r="D7" s="209"/>
      <c r="E7" s="217" t="s">
        <v>101</v>
      </c>
      <c r="G7" s="207"/>
    </row>
    <row r="8" customFormat="false" ht="12" hidden="false" customHeight="false" outlineLevel="0" collapsed="false">
      <c r="A8" s="563"/>
    </row>
    <row r="9" customFormat="false" ht="14" hidden="false" customHeight="false" outlineLevel="0" collapsed="false">
      <c r="A9" s="592" t="s">
        <v>803</v>
      </c>
      <c r="B9" s="592"/>
      <c r="C9" s="592"/>
      <c r="D9" s="592"/>
      <c r="E9" s="592"/>
      <c r="F9" s="592"/>
      <c r="G9" s="592"/>
    </row>
    <row r="10" customFormat="false" ht="15.75" hidden="false" customHeight="true" outlineLevel="0" collapsed="false">
      <c r="A10" s="748" t="s">
        <v>804</v>
      </c>
      <c r="B10" s="748"/>
      <c r="C10" s="748"/>
      <c r="D10" s="748"/>
      <c r="E10" s="748"/>
      <c r="F10" s="748"/>
      <c r="G10" s="748"/>
    </row>
    <row r="11" customFormat="false" ht="31.5" hidden="false" customHeight="true" outlineLevel="0" collapsed="false">
      <c r="A11" s="749" t="s">
        <v>687</v>
      </c>
      <c r="B11" s="749" t="s">
        <v>805</v>
      </c>
      <c r="C11" s="749"/>
      <c r="D11" s="749" t="s">
        <v>806</v>
      </c>
      <c r="E11" s="749"/>
      <c r="F11" s="749" t="s">
        <v>807</v>
      </c>
      <c r="G11" s="749"/>
    </row>
    <row r="12" customFormat="false" ht="33" hidden="false" customHeight="true" outlineLevel="0" collapsed="false">
      <c r="A12" s="750" t="s">
        <v>808</v>
      </c>
      <c r="B12" s="751" t="s">
        <v>215</v>
      </c>
      <c r="C12" s="751"/>
      <c r="D12" s="751" t="s">
        <v>215</v>
      </c>
      <c r="E12" s="751"/>
      <c r="F12" s="751" t="s">
        <v>215</v>
      </c>
      <c r="G12" s="751"/>
    </row>
    <row r="13" customFormat="false" ht="24.75" hidden="false" customHeight="true" outlineLevel="0" collapsed="false">
      <c r="A13" s="750" t="s">
        <v>809</v>
      </c>
      <c r="B13" s="751" t="s">
        <v>215</v>
      </c>
      <c r="C13" s="751"/>
      <c r="D13" s="751" t="s">
        <v>215</v>
      </c>
      <c r="E13" s="751"/>
      <c r="F13" s="751" t="s">
        <v>215</v>
      </c>
      <c r="G13" s="751"/>
    </row>
    <row r="14" customFormat="false" ht="15" hidden="false" customHeight="true" outlineLevel="0" collapsed="false">
      <c r="A14" s="752" t="s">
        <v>810</v>
      </c>
      <c r="B14" s="753" t="s">
        <v>811</v>
      </c>
      <c r="C14" s="754" t="s">
        <v>812</v>
      </c>
      <c r="D14" s="754" t="s">
        <v>813</v>
      </c>
      <c r="E14" s="754" t="s">
        <v>812</v>
      </c>
      <c r="F14" s="753" t="s">
        <v>813</v>
      </c>
      <c r="G14" s="753" t="s">
        <v>812</v>
      </c>
    </row>
    <row r="15" customFormat="false" ht="15" hidden="false" customHeight="true" outlineLevel="0" collapsed="false">
      <c r="A15" s="752"/>
      <c r="B15" s="754" t="s">
        <v>814</v>
      </c>
      <c r="C15" s="755"/>
      <c r="D15" s="754" t="s">
        <v>814</v>
      </c>
      <c r="E15" s="755"/>
      <c r="F15" s="754" t="n">
        <v>6714</v>
      </c>
      <c r="G15" s="754"/>
    </row>
    <row r="16" customFormat="false" ht="15" hidden="false" customHeight="true" outlineLevel="0" collapsed="false">
      <c r="A16" s="752"/>
      <c r="B16" s="754" t="s">
        <v>815</v>
      </c>
      <c r="C16" s="755"/>
      <c r="D16" s="754" t="s">
        <v>815</v>
      </c>
      <c r="E16" s="755"/>
      <c r="F16" s="756"/>
      <c r="G16" s="756"/>
    </row>
    <row r="17" customFormat="false" ht="15" hidden="false" customHeight="true" outlineLevel="0" collapsed="false">
      <c r="A17" s="752"/>
      <c r="B17" s="754" t="s">
        <v>816</v>
      </c>
      <c r="C17" s="755"/>
      <c r="D17" s="754" t="s">
        <v>816</v>
      </c>
      <c r="E17" s="755"/>
      <c r="F17" s="756"/>
      <c r="G17" s="756"/>
    </row>
    <row r="18" customFormat="false" ht="15" hidden="false" customHeight="true" outlineLevel="0" collapsed="false">
      <c r="A18" s="752"/>
      <c r="B18" s="754" t="s">
        <v>817</v>
      </c>
      <c r="C18" s="755"/>
      <c r="D18" s="754" t="s">
        <v>817</v>
      </c>
      <c r="E18" s="755"/>
      <c r="F18" s="756"/>
      <c r="G18" s="756"/>
    </row>
    <row r="19" customFormat="false" ht="15" hidden="false" customHeight="true" outlineLevel="0" collapsed="false">
      <c r="A19" s="752"/>
      <c r="B19" s="754" t="s">
        <v>818</v>
      </c>
      <c r="C19" s="755"/>
      <c r="D19" s="754" t="s">
        <v>818</v>
      </c>
      <c r="E19" s="755"/>
      <c r="F19" s="756"/>
      <c r="G19" s="756"/>
    </row>
    <row r="20" customFormat="false" ht="15" hidden="false" customHeight="true" outlineLevel="0" collapsed="false">
      <c r="A20" s="750" t="s">
        <v>819</v>
      </c>
      <c r="B20" s="757" t="s">
        <v>215</v>
      </c>
      <c r="C20" s="755"/>
      <c r="D20" s="754" t="s">
        <v>215</v>
      </c>
      <c r="E20" s="755"/>
      <c r="F20" s="754" t="s">
        <v>215</v>
      </c>
      <c r="G20" s="754"/>
    </row>
    <row r="21" customFormat="false" ht="15" hidden="false" customHeight="true" outlineLevel="0" collapsed="false">
      <c r="A21" s="750" t="s">
        <v>820</v>
      </c>
      <c r="B21" s="754" t="s">
        <v>215</v>
      </c>
      <c r="C21" s="755"/>
      <c r="D21" s="754" t="s">
        <v>215</v>
      </c>
      <c r="E21" s="755"/>
      <c r="F21" s="754" t="s">
        <v>215</v>
      </c>
      <c r="G21" s="754"/>
    </row>
    <row r="22" customFormat="false" ht="15" hidden="false" customHeight="true" outlineLevel="0" collapsed="false">
      <c r="A22" s="750" t="s">
        <v>821</v>
      </c>
      <c r="B22" s="754" t="s">
        <v>215</v>
      </c>
      <c r="C22" s="755"/>
      <c r="D22" s="754" t="s">
        <v>215</v>
      </c>
      <c r="E22" s="755"/>
      <c r="F22" s="754" t="s">
        <v>215</v>
      </c>
      <c r="G22" s="754"/>
    </row>
    <row r="23" customFormat="false" ht="15" hidden="false" customHeight="true" outlineLevel="0" collapsed="false">
      <c r="A23" s="750" t="s">
        <v>822</v>
      </c>
      <c r="B23" s="754" t="s">
        <v>215</v>
      </c>
      <c r="C23" s="755"/>
      <c r="D23" s="754" t="s">
        <v>215</v>
      </c>
      <c r="E23" s="755"/>
      <c r="F23" s="754" t="s">
        <v>215</v>
      </c>
      <c r="G23" s="754"/>
    </row>
    <row r="24" customFormat="false" ht="15" hidden="false" customHeight="true" outlineLevel="0" collapsed="false">
      <c r="A24" s="750" t="s">
        <v>823</v>
      </c>
      <c r="B24" s="754" t="s">
        <v>215</v>
      </c>
      <c r="C24" s="755"/>
      <c r="D24" s="754" t="s">
        <v>215</v>
      </c>
      <c r="E24" s="755"/>
      <c r="F24" s="754" t="s">
        <v>215</v>
      </c>
      <c r="G24" s="754"/>
    </row>
    <row r="25" customFormat="false" ht="15" hidden="false" customHeight="true" outlineLevel="0" collapsed="false">
      <c r="A25" s="758" t="s">
        <v>271</v>
      </c>
      <c r="B25" s="757" t="s">
        <v>215</v>
      </c>
      <c r="C25" s="555"/>
      <c r="D25" s="759" t="s">
        <v>215</v>
      </c>
      <c r="E25" s="555"/>
      <c r="F25" s="759" t="s">
        <v>215</v>
      </c>
      <c r="G25" s="759"/>
    </row>
    <row r="26" customFormat="false" ht="13.5" hidden="false" customHeight="false" outlineLevel="0" collapsed="false">
      <c r="A26" s="718" t="s">
        <v>95</v>
      </c>
      <c r="C26" s="760" t="s">
        <v>95</v>
      </c>
    </row>
  </sheetData>
  <mergeCells count="12">
    <mergeCell ref="A9:G9"/>
    <mergeCell ref="A10:G10"/>
    <mergeCell ref="B11:C11"/>
    <mergeCell ref="D11:E11"/>
    <mergeCell ref="F11:G11"/>
    <mergeCell ref="B12:C12"/>
    <mergeCell ref="D12:E12"/>
    <mergeCell ref="F12:G12"/>
    <mergeCell ref="B13:C13"/>
    <mergeCell ref="D13:E13"/>
    <mergeCell ref="F13:G13"/>
    <mergeCell ref="A14:A1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9" activeCellId="0" sqref="B19:D19"/>
    </sheetView>
  </sheetViews>
  <sheetFormatPr defaultColWidth="10.8125" defaultRowHeight="12" zeroHeight="false" outlineLevelRow="0" outlineLevelCol="0"/>
  <cols>
    <col collapsed="false" customWidth="true" hidden="false" outlineLevel="0" max="1" min="1" style="209" width="51.26"/>
    <col collapsed="false" customWidth="false" hidden="false" outlineLevel="0" max="257" min="2" style="209" width="10.81"/>
  </cols>
  <sheetData>
    <row r="1" customFormat="false" ht="12" hidden="false" customHeight="false" outlineLevel="0" collapsed="false">
      <c r="A1" s="691"/>
    </row>
    <row r="2" customFormat="false" ht="12" hidden="false" customHeight="false" outlineLevel="0" collapsed="false">
      <c r="A2" s="761" t="s">
        <v>215</v>
      </c>
    </row>
    <row r="3" customFormat="false" ht="12" hidden="false" customHeight="false" outlineLevel="0" collapsed="false">
      <c r="A3" s="762"/>
    </row>
    <row r="4" s="202" customFormat="true" ht="13" hidden="false" customHeight="false" outlineLevel="0" collapsed="false">
      <c r="A4" s="359" t="s">
        <v>824</v>
      </c>
      <c r="B4" s="217" t="s">
        <v>199</v>
      </c>
      <c r="C4" s="217"/>
      <c r="D4" s="203"/>
    </row>
    <row r="5" s="202" customFormat="true" ht="13" hidden="false" customHeight="false" outlineLevel="0" collapsed="false">
      <c r="A5" s="360" t="s">
        <v>620</v>
      </c>
      <c r="B5" s="217" t="s">
        <v>101</v>
      </c>
      <c r="C5" s="217"/>
      <c r="D5" s="207"/>
    </row>
    <row r="6" customFormat="false" ht="12" hidden="false" customHeight="false" outlineLevel="0" collapsed="false">
      <c r="A6" s="762"/>
    </row>
    <row r="7" customFormat="false" ht="14" hidden="false" customHeight="false" outlineLevel="0" collapsed="false">
      <c r="A7" s="763" t="s">
        <v>825</v>
      </c>
      <c r="B7" s="763"/>
      <c r="C7" s="763"/>
      <c r="D7" s="763"/>
      <c r="E7" s="764"/>
      <c r="F7" s="764"/>
    </row>
    <row r="8" customFormat="false" ht="14.5" hidden="false" customHeight="false" outlineLevel="0" collapsed="false">
      <c r="A8" s="765" t="s">
        <v>133</v>
      </c>
      <c r="B8" s="765"/>
      <c r="C8" s="765"/>
      <c r="D8" s="765"/>
      <c r="E8" s="766"/>
      <c r="F8" s="766"/>
    </row>
    <row r="9" customFormat="false" ht="12" hidden="false" customHeight="true" outlineLevel="0" collapsed="false">
      <c r="A9" s="767" t="s">
        <v>826</v>
      </c>
      <c r="B9" s="363" t="s">
        <v>827</v>
      </c>
      <c r="C9" s="736" t="s">
        <v>828</v>
      </c>
      <c r="D9" s="363" t="s">
        <v>829</v>
      </c>
    </row>
    <row r="10" customFormat="false" ht="12.5" hidden="false" customHeight="false" outlineLevel="0" collapsed="false">
      <c r="A10" s="767"/>
      <c r="B10" s="363"/>
      <c r="C10" s="738" t="s">
        <v>830</v>
      </c>
      <c r="D10" s="363"/>
    </row>
    <row r="11" customFormat="false" ht="12.5" hidden="false" customHeight="false" outlineLevel="0" collapsed="false">
      <c r="A11" s="550" t="s">
        <v>831</v>
      </c>
      <c r="B11" s="754"/>
      <c r="C11" s="754"/>
      <c r="D11" s="754"/>
    </row>
    <row r="12" customFormat="false" ht="12.5" hidden="false" customHeight="false" outlineLevel="0" collapsed="false">
      <c r="A12" s="550" t="s">
        <v>832</v>
      </c>
      <c r="B12" s="754"/>
      <c r="C12" s="754"/>
      <c r="D12" s="754"/>
    </row>
    <row r="13" customFormat="false" ht="12.5" hidden="false" customHeight="false" outlineLevel="0" collapsed="false">
      <c r="A13" s="550" t="s">
        <v>833</v>
      </c>
      <c r="B13" s="754"/>
      <c r="C13" s="754"/>
      <c r="D13" s="754"/>
    </row>
    <row r="14" customFormat="false" ht="12.5" hidden="false" customHeight="false" outlineLevel="0" collapsed="false">
      <c r="A14" s="550" t="s">
        <v>834</v>
      </c>
      <c r="B14" s="754"/>
      <c r="C14" s="754"/>
      <c r="D14" s="754"/>
    </row>
    <row r="15" customFormat="false" ht="12.5" hidden="false" customHeight="false" outlineLevel="0" collapsed="false">
      <c r="A15" s="550" t="s">
        <v>835</v>
      </c>
      <c r="B15" s="754"/>
      <c r="C15" s="754"/>
      <c r="D15" s="754"/>
    </row>
    <row r="16" customFormat="false" ht="12.5" hidden="false" customHeight="false" outlineLevel="0" collapsed="false">
      <c r="A16" s="550" t="s">
        <v>700</v>
      </c>
      <c r="B16" s="754"/>
      <c r="C16" s="754"/>
      <c r="D16" s="754"/>
    </row>
    <row r="17" customFormat="false" ht="12.5" hidden="false" customHeight="false" outlineLevel="0" collapsed="false">
      <c r="A17" s="550" t="s">
        <v>836</v>
      </c>
      <c r="B17" s="754"/>
      <c r="C17" s="754"/>
      <c r="D17" s="754"/>
    </row>
    <row r="18" customFormat="false" ht="12.5" hidden="false" customHeight="false" outlineLevel="0" collapsed="false">
      <c r="A18" s="551" t="s">
        <v>837</v>
      </c>
      <c r="B18" s="768"/>
      <c r="C18" s="768"/>
      <c r="D18" s="768"/>
    </row>
    <row r="19" customFormat="false" ht="12.5" hidden="false" customHeight="false" outlineLevel="0" collapsed="false">
      <c r="A19" s="550" t="s">
        <v>838</v>
      </c>
      <c r="B19" s="754"/>
      <c r="C19" s="754"/>
      <c r="D19" s="754"/>
    </row>
    <row r="20" customFormat="false" ht="12.5" hidden="false" customHeight="false" outlineLevel="0" collapsed="false">
      <c r="A20" s="550" t="s">
        <v>215</v>
      </c>
      <c r="B20" s="754"/>
      <c r="C20" s="754"/>
      <c r="D20" s="754"/>
    </row>
    <row r="21" customFormat="false" ht="12.5" hidden="false" customHeight="false" outlineLevel="0" collapsed="false">
      <c r="A21" s="769" t="s">
        <v>704</v>
      </c>
      <c r="B21" s="756"/>
      <c r="C21" s="756"/>
      <c r="D21" s="756"/>
    </row>
    <row r="22" customFormat="false" ht="12" hidden="false" customHeight="false" outlineLevel="0" collapsed="false">
      <c r="A22" s="657" t="s">
        <v>839</v>
      </c>
      <c r="B22" s="534"/>
      <c r="C22" s="534"/>
      <c r="D22" s="534"/>
    </row>
    <row r="23" customFormat="false" ht="12" hidden="false" customHeight="false" outlineLevel="0" collapsed="false">
      <c r="A23" s="770" t="s">
        <v>797</v>
      </c>
      <c r="B23" s="771"/>
      <c r="C23" s="771"/>
      <c r="D23" s="771"/>
    </row>
    <row r="24" customFormat="false" ht="36" hidden="false" customHeight="true" outlineLevel="0" collapsed="false">
      <c r="A24" s="714" t="s">
        <v>840</v>
      </c>
      <c r="B24" s="714"/>
      <c r="C24" s="714"/>
      <c r="D24" s="714"/>
    </row>
    <row r="25" customFormat="false" ht="12" hidden="false" customHeight="false" outlineLevel="0" collapsed="false">
      <c r="A25" s="532" t="s">
        <v>841</v>
      </c>
      <c r="B25" s="532"/>
      <c r="C25" s="532"/>
      <c r="D25" s="534"/>
    </row>
    <row r="26" customFormat="false" ht="12" hidden="false" customHeight="false" outlineLevel="0" collapsed="false">
      <c r="A26" s="532" t="s">
        <v>800</v>
      </c>
      <c r="B26" s="532"/>
      <c r="C26" s="532"/>
      <c r="D26" s="532"/>
    </row>
    <row r="27" customFormat="false" ht="12" hidden="false" customHeight="false" outlineLevel="0" collapsed="false">
      <c r="A27" s="772"/>
    </row>
    <row r="28" customFormat="false" ht="12" hidden="false" customHeight="false" outlineLevel="0" collapsed="false">
      <c r="A28" s="772"/>
    </row>
    <row r="29" customFormat="false" ht="12" hidden="false" customHeight="false" outlineLevel="0" collapsed="false">
      <c r="A29" s="772"/>
    </row>
  </sheetData>
  <mergeCells count="8">
    <mergeCell ref="A7:D7"/>
    <mergeCell ref="A8:D8"/>
    <mergeCell ref="A9:A10"/>
    <mergeCell ref="B9:B10"/>
    <mergeCell ref="D9:D10"/>
    <mergeCell ref="A24:D24"/>
    <mergeCell ref="A25:C25"/>
    <mergeCell ref="A26:D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7" activeCellId="0" sqref="B17:D17"/>
    </sheetView>
  </sheetViews>
  <sheetFormatPr defaultColWidth="10.8125" defaultRowHeight="12" zeroHeight="false" outlineLevelRow="0" outlineLevelCol="0"/>
  <cols>
    <col collapsed="false" customWidth="true" hidden="false" outlineLevel="0" max="1" min="1" style="209" width="48.81"/>
    <col collapsed="false" customWidth="false" hidden="false" outlineLevel="0" max="2" min="2" style="209" width="10.81"/>
    <col collapsed="false" customWidth="true" hidden="false" outlineLevel="0" max="3" min="3" style="209" width="14.44"/>
    <col collapsed="false" customWidth="false" hidden="false" outlineLevel="0" max="257" min="4" style="209" width="10.81"/>
  </cols>
  <sheetData>
    <row r="1" customFormat="false" ht="12" hidden="false" customHeight="false" outlineLevel="0" collapsed="false">
      <c r="A1" s="772"/>
    </row>
    <row r="2" customFormat="false" ht="12" hidden="false" customHeight="false" outlineLevel="0" collapsed="false">
      <c r="A2" s="772"/>
    </row>
    <row r="3" customFormat="false" ht="12" hidden="false" customHeight="false" outlineLevel="0" collapsed="false">
      <c r="A3" s="761" t="s">
        <v>95</v>
      </c>
    </row>
    <row r="4" s="202" customFormat="true" ht="15.5" hidden="false" customHeight="false" outlineLevel="0" collapsed="false">
      <c r="A4" s="359" t="s">
        <v>842</v>
      </c>
      <c r="C4" s="773" t="s">
        <v>843</v>
      </c>
      <c r="D4" s="203"/>
    </row>
    <row r="5" s="202" customFormat="true" ht="13" hidden="false" customHeight="false" outlineLevel="0" collapsed="false">
      <c r="A5" s="360" t="s">
        <v>200</v>
      </c>
      <c r="C5" s="773" t="s">
        <v>844</v>
      </c>
      <c r="D5" s="207"/>
    </row>
    <row r="6" customFormat="false" ht="12" hidden="false" customHeight="false" outlineLevel="0" collapsed="false">
      <c r="A6" s="761"/>
    </row>
    <row r="7" customFormat="false" ht="14" hidden="false" customHeight="false" outlineLevel="0" collapsed="false">
      <c r="A7" s="592" t="s">
        <v>845</v>
      </c>
      <c r="B7" s="592"/>
      <c r="C7" s="592"/>
      <c r="D7" s="592"/>
      <c r="E7" s="434"/>
    </row>
    <row r="8" customFormat="false" ht="14.5" hidden="false" customHeight="false" outlineLevel="0" collapsed="false">
      <c r="A8" s="566" t="s">
        <v>846</v>
      </c>
      <c r="B8" s="566"/>
      <c r="C8" s="566"/>
      <c r="D8" s="566"/>
      <c r="E8" s="567"/>
    </row>
    <row r="9" customFormat="false" ht="23.5" hidden="false" customHeight="false" outlineLevel="0" collapsed="false">
      <c r="A9" s="363" t="s">
        <v>687</v>
      </c>
      <c r="B9" s="363" t="s">
        <v>688</v>
      </c>
      <c r="C9" s="363" t="s">
        <v>689</v>
      </c>
      <c r="D9" s="720" t="s">
        <v>690</v>
      </c>
    </row>
    <row r="10" customFormat="false" ht="12" hidden="false" customHeight="false" outlineLevel="0" collapsed="false">
      <c r="A10" s="373" t="s">
        <v>847</v>
      </c>
      <c r="B10" s="597"/>
      <c r="C10" s="597"/>
      <c r="D10" s="774"/>
    </row>
    <row r="11" customFormat="false" ht="12" hidden="false" customHeight="false" outlineLevel="0" collapsed="false">
      <c r="A11" s="293" t="s">
        <v>848</v>
      </c>
      <c r="B11" s="775"/>
      <c r="C11" s="775"/>
      <c r="D11" s="776"/>
    </row>
    <row r="12" customFormat="false" ht="12" hidden="false" customHeight="false" outlineLevel="0" collapsed="false">
      <c r="A12" s="293" t="s">
        <v>849</v>
      </c>
      <c r="B12" s="775"/>
      <c r="C12" s="775"/>
      <c r="D12" s="776"/>
    </row>
    <row r="13" customFormat="false" ht="12" hidden="false" customHeight="false" outlineLevel="0" collapsed="false">
      <c r="A13" s="293" t="s">
        <v>850</v>
      </c>
      <c r="B13" s="775"/>
      <c r="C13" s="775"/>
      <c r="D13" s="776"/>
    </row>
    <row r="14" customFormat="false" ht="12" hidden="false" customHeight="false" outlineLevel="0" collapsed="false">
      <c r="A14" s="293" t="s">
        <v>851</v>
      </c>
      <c r="B14" s="775"/>
      <c r="C14" s="775"/>
      <c r="D14" s="776"/>
    </row>
    <row r="15" customFormat="false" ht="12.5" hidden="false" customHeight="false" outlineLevel="0" collapsed="false">
      <c r="A15" s="241" t="s">
        <v>852</v>
      </c>
      <c r="B15" s="777"/>
      <c r="C15" s="777"/>
      <c r="D15" s="778"/>
    </row>
    <row r="16" customFormat="false" ht="12.5" hidden="false" customHeight="false" outlineLevel="0" collapsed="false">
      <c r="A16" s="779" t="s">
        <v>853</v>
      </c>
      <c r="B16" s="779"/>
      <c r="C16" s="779"/>
      <c r="D16" s="780"/>
    </row>
    <row r="17" customFormat="false" ht="12" hidden="false" customHeight="false" outlineLevel="0" collapsed="false">
      <c r="A17" s="373" t="s">
        <v>854</v>
      </c>
      <c r="B17" s="597"/>
      <c r="C17" s="597"/>
      <c r="D17" s="774"/>
    </row>
    <row r="18" customFormat="false" ht="12.5" hidden="false" customHeight="false" outlineLevel="0" collapsed="false">
      <c r="A18" s="241" t="s">
        <v>215</v>
      </c>
      <c r="B18" s="241"/>
      <c r="C18" s="241"/>
      <c r="D18" s="781"/>
    </row>
    <row r="19" customFormat="false" ht="12.5" hidden="false" customHeight="false" outlineLevel="0" collapsed="false">
      <c r="A19" s="782" t="s">
        <v>704</v>
      </c>
      <c r="B19" s="367"/>
      <c r="C19" s="367"/>
      <c r="D19" s="783"/>
    </row>
    <row r="20" customFormat="false" ht="12" hidden="false" customHeight="false" outlineLevel="0" collapsed="false">
      <c r="A20" s="657" t="s">
        <v>855</v>
      </c>
      <c r="B20" s="534"/>
      <c r="C20" s="534"/>
      <c r="D20" s="534"/>
    </row>
    <row r="21" customFormat="false" ht="12" hidden="false" customHeight="false" outlineLevel="0" collapsed="false">
      <c r="A21" s="784" t="s">
        <v>856</v>
      </c>
      <c r="B21" s="785"/>
      <c r="C21" s="785"/>
      <c r="D21" s="785"/>
      <c r="E21" s="786"/>
    </row>
    <row r="22" customFormat="false" ht="12" hidden="false" customHeight="false" outlineLevel="0" collapsed="false">
      <c r="A22" s="784" t="s">
        <v>857</v>
      </c>
      <c r="B22" s="785"/>
      <c r="C22" s="785"/>
      <c r="D22" s="785"/>
      <c r="E22" s="786"/>
    </row>
    <row r="23" customFormat="false" ht="12" hidden="false" customHeight="false" outlineLevel="0" collapsed="false">
      <c r="A23" s="715" t="s">
        <v>95</v>
      </c>
      <c r="B23" s="534"/>
      <c r="C23" s="534"/>
      <c r="D23" s="534"/>
    </row>
    <row r="24" customFormat="false" ht="12" hidden="false" customHeight="false" outlineLevel="0" collapsed="false">
      <c r="A24" s="715" t="s">
        <v>95</v>
      </c>
      <c r="B24" s="534"/>
      <c r="C24" s="534"/>
      <c r="D24" s="534"/>
    </row>
    <row r="25" customFormat="false" ht="12" hidden="false" customHeight="false" outlineLevel="0" collapsed="false">
      <c r="A25" s="761" t="s">
        <v>95</v>
      </c>
    </row>
    <row r="26" customFormat="false" ht="12" hidden="false" customHeight="false" outlineLevel="0" collapsed="false">
      <c r="A26" s="761" t="s">
        <v>95</v>
      </c>
    </row>
  </sheetData>
  <mergeCells count="2">
    <mergeCell ref="A7:D7"/>
    <mergeCell ref="A8:D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7"/>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C25" activeCellId="0" sqref="C25:E25"/>
    </sheetView>
  </sheetViews>
  <sheetFormatPr defaultColWidth="10.8125" defaultRowHeight="12" zeroHeight="false" outlineLevelRow="0" outlineLevelCol="0"/>
  <cols>
    <col collapsed="false" customWidth="true" hidden="false" outlineLevel="0" max="1" min="1" style="209" width="3.44"/>
    <col collapsed="false" customWidth="true" hidden="false" outlineLevel="0" max="2" min="2" style="209" width="61.17"/>
    <col collapsed="false" customWidth="true" hidden="false" outlineLevel="0" max="3" min="3" style="209" width="11.81"/>
    <col collapsed="false" customWidth="false" hidden="false" outlineLevel="0" max="4" min="4" style="209" width="10.81"/>
    <col collapsed="false" customWidth="true" hidden="false" outlineLevel="0" max="5" min="5" style="209" width="12.44"/>
    <col collapsed="false" customWidth="false" hidden="false" outlineLevel="0" max="257" min="6" style="209" width="10.81"/>
  </cols>
  <sheetData>
    <row r="1" customFormat="false" ht="12" hidden="false" customHeight="false" outlineLevel="0" collapsed="false">
      <c r="B1" s="691"/>
    </row>
    <row r="2" customFormat="false" ht="12" hidden="false" customHeight="false" outlineLevel="0" collapsed="false">
      <c r="B2" s="761" t="s">
        <v>95</v>
      </c>
    </row>
    <row r="3" customFormat="false" ht="12" hidden="false" customHeight="false" outlineLevel="0" collapsed="false">
      <c r="B3" s="424" t="s">
        <v>858</v>
      </c>
    </row>
    <row r="4" customFormat="false" ht="14.25" hidden="false" customHeight="true" outlineLevel="0" collapsed="false">
      <c r="B4" s="424"/>
      <c r="E4" s="787"/>
    </row>
    <row r="5" s="202" customFormat="true" ht="13" hidden="false" customHeight="false" outlineLevel="0" collapsed="false">
      <c r="B5" s="359" t="s">
        <v>859</v>
      </c>
      <c r="C5" s="217" t="s">
        <v>199</v>
      </c>
      <c r="D5" s="217"/>
      <c r="E5" s="203"/>
    </row>
    <row r="6" s="202" customFormat="true" ht="13" hidden="false" customHeight="false" outlineLevel="0" collapsed="false">
      <c r="B6" s="360" t="s">
        <v>200</v>
      </c>
      <c r="C6" s="217" t="s">
        <v>101</v>
      </c>
      <c r="D6" s="217"/>
      <c r="E6" s="207"/>
    </row>
    <row r="7" customFormat="false" ht="12" hidden="false" customHeight="false" outlineLevel="0" collapsed="false">
      <c r="B7" s="761" t="s">
        <v>95</v>
      </c>
    </row>
    <row r="8" customFormat="false" ht="14" hidden="false" customHeight="false" outlineLevel="0" collapsed="false">
      <c r="B8" s="602" t="s">
        <v>860</v>
      </c>
      <c r="C8" s="602"/>
      <c r="D8" s="602"/>
      <c r="E8" s="602"/>
    </row>
    <row r="9" customFormat="false" ht="15.75" hidden="false" customHeight="true" outlineLevel="0" collapsed="false">
      <c r="B9" s="765" t="s">
        <v>137</v>
      </c>
      <c r="C9" s="765"/>
      <c r="D9" s="765"/>
      <c r="E9" s="765"/>
    </row>
    <row r="10" customFormat="false" ht="12" hidden="false" customHeight="true" outlineLevel="0" collapsed="false">
      <c r="B10" s="788" t="s">
        <v>826</v>
      </c>
      <c r="C10" s="604" t="s">
        <v>827</v>
      </c>
      <c r="D10" s="605" t="s">
        <v>828</v>
      </c>
      <c r="E10" s="789" t="s">
        <v>861</v>
      </c>
    </row>
    <row r="11" customFormat="false" ht="20.25" hidden="false" customHeight="true" outlineLevel="0" collapsed="false">
      <c r="B11" s="788"/>
      <c r="C11" s="604"/>
      <c r="D11" s="607" t="s">
        <v>830</v>
      </c>
      <c r="E11" s="790" t="s">
        <v>862</v>
      </c>
    </row>
    <row r="12" customFormat="false" ht="12" hidden="false" customHeight="false" outlineLevel="0" collapsed="false">
      <c r="B12" s="694" t="s">
        <v>863</v>
      </c>
      <c r="C12" s="721" t="n">
        <v>0</v>
      </c>
      <c r="D12" s="721" t="n">
        <v>0</v>
      </c>
      <c r="E12" s="791" t="e">
        <f aca="false">(C12-D12)/D12</f>
        <v>#DIV/0!</v>
      </c>
    </row>
    <row r="13" customFormat="false" ht="12" hidden="false" customHeight="false" outlineLevel="0" collapsed="false">
      <c r="B13" s="697" t="s">
        <v>864</v>
      </c>
      <c r="C13" s="724"/>
      <c r="D13" s="724"/>
      <c r="E13" s="792"/>
    </row>
    <row r="14" customFormat="false" ht="12" hidden="false" customHeight="false" outlineLevel="0" collapsed="false">
      <c r="B14" s="697" t="s">
        <v>865</v>
      </c>
      <c r="C14" s="724"/>
      <c r="D14" s="724"/>
      <c r="E14" s="792"/>
    </row>
    <row r="15" customFormat="false" ht="12" hidden="false" customHeight="false" outlineLevel="0" collapsed="false">
      <c r="B15" s="697" t="s">
        <v>866</v>
      </c>
      <c r="C15" s="724"/>
      <c r="D15" s="724"/>
      <c r="E15" s="792"/>
    </row>
    <row r="16" customFormat="false" ht="12" hidden="false" customHeight="false" outlineLevel="0" collapsed="false">
      <c r="B16" s="697" t="s">
        <v>867</v>
      </c>
      <c r="C16" s="724"/>
      <c r="D16" s="724"/>
      <c r="E16" s="792"/>
    </row>
    <row r="17" customFormat="false" ht="12" hidden="false" customHeight="false" outlineLevel="0" collapsed="false">
      <c r="B17" s="697" t="s">
        <v>868</v>
      </c>
      <c r="C17" s="724"/>
      <c r="D17" s="724"/>
      <c r="E17" s="792"/>
    </row>
    <row r="18" customFormat="false" ht="12" hidden="false" customHeight="false" outlineLevel="0" collapsed="false">
      <c r="B18" s="697" t="s">
        <v>869</v>
      </c>
      <c r="C18" s="724"/>
      <c r="D18" s="724"/>
      <c r="E18" s="792"/>
    </row>
    <row r="19" customFormat="false" ht="12" hidden="false" customHeight="false" outlineLevel="0" collapsed="false">
      <c r="B19" s="726" t="s">
        <v>870</v>
      </c>
      <c r="C19" s="724"/>
      <c r="D19" s="724"/>
      <c r="E19" s="792"/>
    </row>
    <row r="20" customFormat="false" ht="12" hidden="false" customHeight="false" outlineLevel="0" collapsed="false">
      <c r="B20" s="697" t="s">
        <v>871</v>
      </c>
      <c r="C20" s="724"/>
      <c r="D20" s="724"/>
      <c r="E20" s="792"/>
    </row>
    <row r="21" customFormat="false" ht="12" hidden="false" customHeight="false" outlineLevel="0" collapsed="false">
      <c r="B21" s="697" t="s">
        <v>872</v>
      </c>
      <c r="C21" s="793" t="n">
        <v>0</v>
      </c>
      <c r="D21" s="793" t="n">
        <v>0</v>
      </c>
      <c r="E21" s="792"/>
    </row>
    <row r="22" customFormat="false" ht="12" hidden="false" customHeight="false" outlineLevel="0" collapsed="false">
      <c r="B22" s="697" t="s">
        <v>873</v>
      </c>
      <c r="C22" s="724"/>
      <c r="D22" s="724"/>
      <c r="E22" s="792"/>
    </row>
    <row r="23" customFormat="false" ht="12.5" hidden="false" customHeight="false" outlineLevel="0" collapsed="false">
      <c r="B23" s="700" t="s">
        <v>874</v>
      </c>
      <c r="C23" s="727"/>
      <c r="D23" s="727"/>
      <c r="E23" s="794"/>
    </row>
    <row r="24" customFormat="false" ht="12.5" hidden="false" customHeight="false" outlineLevel="0" collapsed="false">
      <c r="B24" s="702" t="s">
        <v>875</v>
      </c>
      <c r="C24" s="497" t="n">
        <f aca="false">SUM(C12:C23)</f>
        <v>0</v>
      </c>
      <c r="D24" s="497" t="n">
        <f aca="false">SUM(D12:D23)</f>
        <v>0</v>
      </c>
      <c r="E24" s="795" t="e">
        <f aca="false">(C24-D24)/D24</f>
        <v>#DIV/0!</v>
      </c>
    </row>
    <row r="25" customFormat="false" ht="12" hidden="false" customHeight="false" outlineLevel="0" collapsed="false">
      <c r="B25" s="694" t="s">
        <v>876</v>
      </c>
      <c r="C25" s="796"/>
      <c r="D25" s="796"/>
      <c r="E25" s="797"/>
    </row>
    <row r="26" customFormat="false" ht="12.5" hidden="false" customHeight="false" outlineLevel="0" collapsed="false">
      <c r="B26" s="700" t="s">
        <v>215</v>
      </c>
      <c r="C26" s="385"/>
      <c r="D26" s="385"/>
      <c r="E26" s="798"/>
    </row>
    <row r="27" customFormat="false" ht="12.5" hidden="false" customHeight="false" outlineLevel="0" collapsed="false">
      <c r="B27" s="799" t="s">
        <v>877</v>
      </c>
      <c r="C27" s="497" t="n">
        <f aca="false">C24</f>
        <v>0</v>
      </c>
      <c r="D27" s="497" t="n">
        <f aca="false">D24</f>
        <v>0</v>
      </c>
      <c r="E27" s="729" t="e">
        <f aca="false">E24</f>
        <v>#DIV/0!</v>
      </c>
    </row>
    <row r="28" customFormat="false" ht="12" hidden="false" customHeight="false" outlineLevel="0" collapsed="false">
      <c r="B28" s="657" t="s">
        <v>855</v>
      </c>
      <c r="C28" s="534"/>
      <c r="D28" s="534"/>
      <c r="E28" s="534"/>
    </row>
    <row r="29" customFormat="false" ht="12" hidden="false" customHeight="false" outlineLevel="0" collapsed="false">
      <c r="B29" s="658" t="s">
        <v>878</v>
      </c>
      <c r="C29" s="534"/>
      <c r="D29" s="534"/>
      <c r="E29" s="534"/>
    </row>
    <row r="30" customFormat="false" ht="12" hidden="false" customHeight="false" outlineLevel="0" collapsed="false">
      <c r="B30" s="658" t="s">
        <v>879</v>
      </c>
      <c r="C30" s="534"/>
      <c r="D30" s="534"/>
      <c r="E30" s="534"/>
    </row>
    <row r="31" customFormat="false" ht="12" hidden="false" customHeight="false" outlineLevel="0" collapsed="false">
      <c r="B31" s="658" t="s">
        <v>797</v>
      </c>
      <c r="C31" s="534"/>
      <c r="D31" s="534"/>
      <c r="E31" s="534"/>
    </row>
    <row r="32" customFormat="false" ht="12" hidden="false" customHeight="false" outlineLevel="0" collapsed="false">
      <c r="B32" s="658" t="s">
        <v>880</v>
      </c>
      <c r="C32" s="534"/>
      <c r="D32" s="534"/>
      <c r="E32" s="534"/>
    </row>
    <row r="33" customFormat="false" ht="12" hidden="false" customHeight="false" outlineLevel="0" collapsed="false">
      <c r="B33" s="658" t="s">
        <v>881</v>
      </c>
      <c r="C33" s="534"/>
      <c r="D33" s="534"/>
      <c r="E33" s="534"/>
    </row>
    <row r="34" customFormat="false" ht="26.25" hidden="false" customHeight="true" outlineLevel="0" collapsed="false">
      <c r="B34" s="800" t="s">
        <v>882</v>
      </c>
      <c r="C34" s="800"/>
      <c r="D34" s="800"/>
      <c r="E34" s="800"/>
    </row>
    <row r="35" customFormat="false" ht="12" hidden="false" customHeight="false" outlineLevel="0" collapsed="false">
      <c r="B35" s="715" t="s">
        <v>95</v>
      </c>
      <c r="C35" s="534"/>
      <c r="D35" s="534"/>
      <c r="E35" s="534"/>
    </row>
    <row r="36" customFormat="false" ht="12" hidden="false" customHeight="false" outlineLevel="0" collapsed="false">
      <c r="B36" s="761" t="s">
        <v>95</v>
      </c>
    </row>
    <row r="37" customFormat="false" ht="12" hidden="false" customHeight="false" outlineLevel="0" collapsed="false">
      <c r="B37" s="761"/>
    </row>
  </sheetData>
  <mergeCells count="5">
    <mergeCell ref="B8:E8"/>
    <mergeCell ref="B9:E9"/>
    <mergeCell ref="B10:B11"/>
    <mergeCell ref="C10:C11"/>
    <mergeCell ref="B34:E34"/>
  </mergeCells>
  <printOptions headings="false" gridLines="false" gridLinesSet="true" horizontalCentered="false" verticalCentered="false"/>
  <pageMargins left="0.118055555555556" right="0.118055555555556" top="0.157638888888889" bottom="0.157638888888889" header="0.511811023622047" footer="0.511811023622047"/>
  <pageSetup paperSize="9" scale="9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B25" activeCellId="0" sqref="B25:B26"/>
    </sheetView>
  </sheetViews>
  <sheetFormatPr defaultColWidth="10.8125" defaultRowHeight="12" zeroHeight="false" outlineLevelRow="0" outlineLevelCol="0"/>
  <cols>
    <col collapsed="false" customWidth="true" hidden="false" outlineLevel="0" max="1" min="1" style="209" width="38.44"/>
    <col collapsed="false" customWidth="true" hidden="false" outlineLevel="0" max="2" min="2" style="209" width="9.81"/>
    <col collapsed="false" customWidth="true" hidden="false" outlineLevel="0" max="3" min="3" style="209" width="10.17"/>
    <col collapsed="false" customWidth="true" hidden="false" outlineLevel="0" max="4" min="4" style="209" width="16.81"/>
    <col collapsed="false" customWidth="true" hidden="false" outlineLevel="0" max="5" min="5" style="209" width="9.17"/>
    <col collapsed="false" customWidth="false" hidden="false" outlineLevel="0" max="257" min="6" style="209" width="10.81"/>
  </cols>
  <sheetData>
    <row r="1" customFormat="false" ht="12" hidden="false" customHeight="false" outlineLevel="0" collapsed="false">
      <c r="A1" s="761"/>
    </row>
    <row r="2" customFormat="false" ht="12" hidden="false" customHeight="false" outlineLevel="0" collapsed="false">
      <c r="A2" s="761"/>
    </row>
    <row r="3" customFormat="false" ht="12" hidden="false" customHeight="false" outlineLevel="0" collapsed="false">
      <c r="A3" s="761"/>
    </row>
    <row r="4" s="202" customFormat="true" ht="15.5" hidden="false" customHeight="false" outlineLevel="0" collapsed="false">
      <c r="A4" s="359" t="s">
        <v>883</v>
      </c>
      <c r="D4" s="217" t="s">
        <v>199</v>
      </c>
      <c r="E4" s="217"/>
      <c r="F4" s="203"/>
    </row>
    <row r="5" s="202" customFormat="true" ht="13" hidden="false" customHeight="false" outlineLevel="0" collapsed="false">
      <c r="A5" s="360" t="s">
        <v>200</v>
      </c>
      <c r="D5" s="217" t="s">
        <v>101</v>
      </c>
      <c r="E5" s="217"/>
      <c r="F5" s="207"/>
    </row>
    <row r="7" customFormat="false" ht="12" hidden="false" customHeight="false" outlineLevel="0" collapsed="false">
      <c r="A7" s="734" t="s">
        <v>884</v>
      </c>
      <c r="B7" s="734"/>
      <c r="C7" s="734"/>
      <c r="D7" s="734"/>
      <c r="E7" s="734"/>
      <c r="F7" s="734"/>
    </row>
    <row r="8" customFormat="false" ht="12.5" hidden="false" customHeight="false" outlineLevel="0" collapsed="false">
      <c r="A8" s="801" t="s">
        <v>885</v>
      </c>
      <c r="B8" s="801"/>
      <c r="C8" s="801"/>
      <c r="D8" s="801"/>
      <c r="E8" s="801"/>
      <c r="F8" s="801"/>
    </row>
    <row r="9" customFormat="false" ht="15" hidden="false" customHeight="true" outlineLevel="0" collapsed="false">
      <c r="A9" s="802" t="s">
        <v>687</v>
      </c>
      <c r="B9" s="363" t="s">
        <v>886</v>
      </c>
      <c r="C9" s="363" t="s">
        <v>887</v>
      </c>
      <c r="D9" s="316" t="s">
        <v>888</v>
      </c>
      <c r="E9" s="316" t="s">
        <v>888</v>
      </c>
      <c r="F9" s="720" t="s">
        <v>889</v>
      </c>
    </row>
    <row r="10" customFormat="false" ht="15" hidden="false" customHeight="true" outlineLevel="0" collapsed="false">
      <c r="A10" s="802"/>
      <c r="B10" s="363"/>
      <c r="C10" s="363"/>
      <c r="D10" s="803" t="s">
        <v>890</v>
      </c>
      <c r="E10" s="803" t="s">
        <v>890</v>
      </c>
      <c r="F10" s="720"/>
    </row>
    <row r="11" customFormat="false" ht="15" hidden="false" customHeight="true" outlineLevel="0" collapsed="false">
      <c r="A11" s="802"/>
      <c r="B11" s="363"/>
      <c r="C11" s="363"/>
      <c r="D11" s="804" t="s">
        <v>891</v>
      </c>
      <c r="E11" s="805" t="n">
        <v>43100</v>
      </c>
      <c r="F11" s="720"/>
    </row>
    <row r="12" customFormat="false" ht="15" hidden="false" customHeight="true" outlineLevel="0" collapsed="false">
      <c r="A12" s="372" t="s">
        <v>892</v>
      </c>
      <c r="B12" s="597" t="s">
        <v>215</v>
      </c>
      <c r="C12" s="597"/>
      <c r="D12" s="597"/>
      <c r="E12" s="597"/>
      <c r="F12" s="774"/>
    </row>
    <row r="13" customFormat="false" ht="15" hidden="false" customHeight="true" outlineLevel="0" collapsed="false">
      <c r="A13" s="806" t="s">
        <v>893</v>
      </c>
      <c r="B13" s="597"/>
      <c r="C13" s="597"/>
      <c r="D13" s="597"/>
      <c r="E13" s="597"/>
      <c r="F13" s="774"/>
    </row>
    <row r="14" customFormat="false" ht="15" hidden="false" customHeight="true" outlineLevel="0" collapsed="false">
      <c r="A14" s="806" t="s">
        <v>215</v>
      </c>
      <c r="B14" s="807" t="s">
        <v>215</v>
      </c>
      <c r="C14" s="293"/>
      <c r="D14" s="293"/>
      <c r="E14" s="293"/>
      <c r="F14" s="231"/>
    </row>
    <row r="15" customFormat="false" ht="15" hidden="false" customHeight="true" outlineLevel="0" collapsed="false">
      <c r="A15" s="378" t="s">
        <v>215</v>
      </c>
      <c r="B15" s="293" t="s">
        <v>215</v>
      </c>
      <c r="C15" s="293"/>
      <c r="D15" s="293"/>
      <c r="E15" s="293"/>
      <c r="F15" s="231"/>
    </row>
    <row r="16" customFormat="false" ht="24" hidden="false" customHeight="false" outlineLevel="0" collapsed="false">
      <c r="A16" s="378" t="s">
        <v>894</v>
      </c>
      <c r="B16" s="775" t="s">
        <v>215</v>
      </c>
      <c r="C16" s="775"/>
      <c r="D16" s="775"/>
      <c r="E16" s="775"/>
      <c r="F16" s="776"/>
    </row>
    <row r="17" customFormat="false" ht="15" hidden="false" customHeight="true" outlineLevel="0" collapsed="false">
      <c r="A17" s="378" t="s">
        <v>215</v>
      </c>
      <c r="B17" s="293" t="s">
        <v>215</v>
      </c>
      <c r="C17" s="293"/>
      <c r="D17" s="293"/>
      <c r="E17" s="293"/>
      <c r="F17" s="231"/>
    </row>
    <row r="18" customFormat="false" ht="15" hidden="false" customHeight="true" outlineLevel="0" collapsed="false">
      <c r="A18" s="378" t="s">
        <v>215</v>
      </c>
      <c r="B18" s="293" t="s">
        <v>215</v>
      </c>
      <c r="C18" s="293"/>
      <c r="D18" s="293"/>
      <c r="E18" s="293"/>
      <c r="F18" s="231"/>
    </row>
    <row r="19" customFormat="false" ht="15" hidden="false" customHeight="true" outlineLevel="0" collapsed="false">
      <c r="A19" s="378" t="s">
        <v>215</v>
      </c>
      <c r="B19" s="293" t="s">
        <v>215</v>
      </c>
      <c r="C19" s="293"/>
      <c r="D19" s="293"/>
      <c r="E19" s="293"/>
      <c r="F19" s="231"/>
    </row>
    <row r="20" customFormat="false" ht="15" hidden="false" customHeight="true" outlineLevel="0" collapsed="false">
      <c r="A20" s="808" t="s">
        <v>215</v>
      </c>
      <c r="B20" s="408" t="s">
        <v>215</v>
      </c>
      <c r="C20" s="408"/>
      <c r="D20" s="408"/>
      <c r="E20" s="408"/>
      <c r="F20" s="809"/>
    </row>
    <row r="21" customFormat="false" ht="15" hidden="false" customHeight="true" outlineLevel="0" collapsed="false">
      <c r="A21" s="810" t="s">
        <v>895</v>
      </c>
    </row>
    <row r="22" customFormat="false" ht="15" hidden="false" customHeight="true" outlineLevel="0" collapsed="false">
      <c r="A22" s="684" t="s">
        <v>896</v>
      </c>
    </row>
    <row r="23" customFormat="false" ht="15" hidden="false" customHeight="true" outlineLevel="0" collapsed="false">
      <c r="A23" s="801" t="s">
        <v>897</v>
      </c>
      <c r="B23" s="801"/>
      <c r="C23" s="801"/>
      <c r="D23" s="801"/>
      <c r="E23" s="801"/>
      <c r="F23" s="801"/>
    </row>
    <row r="24" customFormat="false" ht="15" hidden="false" customHeight="true" outlineLevel="0" collapsed="false">
      <c r="A24" s="802" t="s">
        <v>687</v>
      </c>
      <c r="B24" s="363" t="s">
        <v>688</v>
      </c>
      <c r="C24" s="363" t="s">
        <v>689</v>
      </c>
      <c r="D24" s="720" t="s">
        <v>690</v>
      </c>
    </row>
    <row r="25" customFormat="false" ht="15" hidden="false" customHeight="true" outlineLevel="0" collapsed="false">
      <c r="A25" s="372" t="s">
        <v>898</v>
      </c>
      <c r="B25" s="597" t="s">
        <v>215</v>
      </c>
      <c r="C25" s="597" t="s">
        <v>215</v>
      </c>
      <c r="D25" s="774" t="s">
        <v>215</v>
      </c>
    </row>
    <row r="26" customFormat="false" ht="15" hidden="false" customHeight="true" outlineLevel="0" collapsed="false">
      <c r="A26" s="806" t="s">
        <v>899</v>
      </c>
      <c r="B26" s="597"/>
      <c r="C26" s="597"/>
      <c r="D26" s="774"/>
    </row>
    <row r="27" customFormat="false" ht="15" hidden="false" customHeight="true" outlineLevel="0" collapsed="false">
      <c r="A27" s="806" t="s">
        <v>215</v>
      </c>
      <c r="B27" s="807" t="s">
        <v>215</v>
      </c>
      <c r="C27" s="293" t="s">
        <v>215</v>
      </c>
      <c r="D27" s="231" t="s">
        <v>215</v>
      </c>
    </row>
    <row r="28" customFormat="false" ht="15" hidden="false" customHeight="true" outlineLevel="0" collapsed="false">
      <c r="A28" s="378" t="s">
        <v>215</v>
      </c>
      <c r="B28" s="293" t="s">
        <v>215</v>
      </c>
      <c r="C28" s="293" t="s">
        <v>215</v>
      </c>
      <c r="D28" s="231" t="s">
        <v>215</v>
      </c>
    </row>
    <row r="29" customFormat="false" ht="24" hidden="false" customHeight="false" outlineLevel="0" collapsed="false">
      <c r="A29" s="378" t="s">
        <v>900</v>
      </c>
      <c r="B29" s="775" t="s">
        <v>215</v>
      </c>
      <c r="C29" s="775" t="s">
        <v>215</v>
      </c>
      <c r="D29" s="776" t="s">
        <v>215</v>
      </c>
    </row>
    <row r="30" customFormat="false" ht="15" hidden="false" customHeight="true" outlineLevel="0" collapsed="false">
      <c r="A30" s="378" t="s">
        <v>215</v>
      </c>
      <c r="B30" s="293" t="s">
        <v>215</v>
      </c>
      <c r="C30" s="293" t="s">
        <v>215</v>
      </c>
      <c r="D30" s="231" t="s">
        <v>215</v>
      </c>
    </row>
    <row r="31" customFormat="false" ht="15" hidden="false" customHeight="true" outlineLevel="0" collapsed="false">
      <c r="A31" s="378" t="s">
        <v>215</v>
      </c>
      <c r="B31" s="293" t="s">
        <v>215</v>
      </c>
      <c r="C31" s="293" t="s">
        <v>215</v>
      </c>
      <c r="D31" s="231" t="s">
        <v>215</v>
      </c>
    </row>
    <row r="32" customFormat="false" ht="15" hidden="false" customHeight="true" outlineLevel="0" collapsed="false">
      <c r="A32" s="378" t="s">
        <v>215</v>
      </c>
      <c r="B32" s="293" t="s">
        <v>215</v>
      </c>
      <c r="C32" s="293" t="s">
        <v>215</v>
      </c>
      <c r="D32" s="231" t="s">
        <v>215</v>
      </c>
    </row>
    <row r="33" customFormat="false" ht="15" hidden="false" customHeight="true" outlineLevel="0" collapsed="false">
      <c r="A33" s="808" t="s">
        <v>215</v>
      </c>
      <c r="B33" s="408" t="s">
        <v>215</v>
      </c>
      <c r="C33" s="408" t="s">
        <v>215</v>
      </c>
      <c r="D33" s="809" t="s">
        <v>215</v>
      </c>
    </row>
    <row r="34" customFormat="false" ht="12" hidden="false" customHeight="false" outlineLevel="0" collapsed="false">
      <c r="A34" s="810" t="s">
        <v>95</v>
      </c>
    </row>
    <row r="35" customFormat="false" ht="12" hidden="false" customHeight="false" outlineLevel="0" collapsed="false">
      <c r="A35" s="688" t="s">
        <v>901</v>
      </c>
    </row>
    <row r="36" customFormat="false" ht="12" hidden="false" customHeight="false" outlineLevel="0" collapsed="false">
      <c r="A36" s="732" t="s">
        <v>902</v>
      </c>
    </row>
    <row r="37" customFormat="false" ht="12" hidden="false" customHeight="false" outlineLevel="0" collapsed="false">
      <c r="A37" s="811"/>
    </row>
    <row r="38" customFormat="false" ht="12" hidden="false" customHeight="false" outlineLevel="0" collapsed="false">
      <c r="A38" s="811"/>
    </row>
    <row r="39" customFormat="false" ht="12" hidden="false" customHeight="false" outlineLevel="0" collapsed="false">
      <c r="A39" s="761" t="s">
        <v>95</v>
      </c>
    </row>
  </sheetData>
  <mergeCells count="15">
    <mergeCell ref="A7:F7"/>
    <mergeCell ref="A8:F8"/>
    <mergeCell ref="A9:A11"/>
    <mergeCell ref="B9:B11"/>
    <mergeCell ref="C9:C11"/>
    <mergeCell ref="F9:F11"/>
    <mergeCell ref="B12:B13"/>
    <mergeCell ref="C12:C13"/>
    <mergeCell ref="D12:D13"/>
    <mergeCell ref="E12:E13"/>
    <mergeCell ref="F12:F13"/>
    <mergeCell ref="A23:F23"/>
    <mergeCell ref="B25:B26"/>
    <mergeCell ref="C25:C26"/>
    <mergeCell ref="D25:D26"/>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5:H3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F22" activeCellId="0" sqref="F22"/>
    </sheetView>
  </sheetViews>
  <sheetFormatPr defaultColWidth="10.8125" defaultRowHeight="12" zeroHeight="false" outlineLevelRow="0" outlineLevelCol="0"/>
  <cols>
    <col collapsed="false" customWidth="true" hidden="false" outlineLevel="0" max="1" min="1" style="209" width="3.72"/>
    <col collapsed="false" customWidth="true" hidden="false" outlineLevel="0" max="2" min="2" style="209" width="30.81"/>
    <col collapsed="false" customWidth="false" hidden="false" outlineLevel="0" max="3" min="3" style="209" width="10.81"/>
    <col collapsed="false" customWidth="true" hidden="false" outlineLevel="0" max="4" min="4" style="209" width="14.72"/>
    <col collapsed="false" customWidth="false" hidden="false" outlineLevel="0" max="5" min="5" style="209" width="10.81"/>
    <col collapsed="false" customWidth="true" hidden="false" outlineLevel="0" max="6" min="6" style="209" width="14.99"/>
    <col collapsed="false" customWidth="true" hidden="false" outlineLevel="0" max="7" min="7" style="209" width="11.44"/>
    <col collapsed="false" customWidth="false" hidden="false" outlineLevel="0" max="257" min="8" style="209" width="10.81"/>
  </cols>
  <sheetData>
    <row r="5" s="202" customFormat="true" ht="13" hidden="false" customHeight="false" outlineLevel="0" collapsed="false">
      <c r="B5" s="359" t="s">
        <v>51</v>
      </c>
      <c r="E5" s="217" t="s">
        <v>199</v>
      </c>
      <c r="F5" s="217"/>
      <c r="G5" s="203"/>
    </row>
    <row r="6" s="202" customFormat="true" ht="13" hidden="false" customHeight="false" outlineLevel="0" collapsed="false">
      <c r="B6" s="360" t="s">
        <v>620</v>
      </c>
      <c r="E6" s="217" t="s">
        <v>101</v>
      </c>
      <c r="F6" s="217"/>
      <c r="G6" s="207"/>
    </row>
    <row r="7" customFormat="false" ht="9.75" hidden="false" customHeight="true" outlineLevel="0" collapsed="false">
      <c r="B7" s="558"/>
    </row>
    <row r="8" customFormat="false" ht="14" hidden="false" customHeight="false" outlineLevel="0" collapsed="false">
      <c r="B8" s="812" t="s">
        <v>903</v>
      </c>
      <c r="C8" s="812"/>
      <c r="D8" s="812"/>
      <c r="E8" s="812"/>
      <c r="F8" s="812"/>
      <c r="G8" s="812"/>
    </row>
    <row r="9" customFormat="false" ht="15.75" hidden="false" customHeight="true" outlineLevel="0" collapsed="false">
      <c r="B9" s="813" t="s">
        <v>904</v>
      </c>
      <c r="C9" s="813"/>
      <c r="D9" s="813"/>
      <c r="E9" s="813"/>
      <c r="F9" s="813"/>
      <c r="G9" s="813"/>
    </row>
    <row r="10" customFormat="false" ht="12" hidden="false" customHeight="true" outlineLevel="0" collapsed="false">
      <c r="B10" s="814"/>
      <c r="C10" s="814"/>
      <c r="D10" s="815" t="s">
        <v>905</v>
      </c>
      <c r="E10" s="815"/>
      <c r="F10" s="815"/>
      <c r="G10" s="816"/>
    </row>
    <row r="11" customFormat="false" ht="12.5" hidden="false" customHeight="false" outlineLevel="0" collapsed="false">
      <c r="D11" s="815"/>
      <c r="E11" s="815"/>
      <c r="F11" s="815"/>
      <c r="G11" s="816"/>
    </row>
    <row r="12" customFormat="false" ht="35.25" hidden="false" customHeight="true" outlineLevel="0" collapsed="false">
      <c r="B12" s="817" t="s">
        <v>906</v>
      </c>
      <c r="C12" s="818" t="s">
        <v>907</v>
      </c>
      <c r="D12" s="818" t="s">
        <v>908</v>
      </c>
      <c r="E12" s="818" t="s">
        <v>909</v>
      </c>
      <c r="F12" s="818" t="s">
        <v>910</v>
      </c>
      <c r="G12" s="819" t="s">
        <v>911</v>
      </c>
    </row>
    <row r="13" customFormat="false" ht="16.5" hidden="false" customHeight="true" outlineLevel="0" collapsed="false">
      <c r="B13" s="817"/>
      <c r="C13" s="818"/>
      <c r="D13" s="818"/>
      <c r="E13" s="818"/>
      <c r="F13" s="818"/>
      <c r="G13" s="820" t="s">
        <v>912</v>
      </c>
    </row>
    <row r="14" customFormat="false" ht="23.25" hidden="false" customHeight="true" outlineLevel="0" collapsed="false">
      <c r="B14" s="817"/>
      <c r="C14" s="818"/>
      <c r="D14" s="818"/>
      <c r="E14" s="818"/>
      <c r="F14" s="818"/>
      <c r="G14" s="821" t="s">
        <v>913</v>
      </c>
    </row>
    <row r="15" customFormat="false" ht="12" hidden="false" customHeight="false" outlineLevel="0" collapsed="false">
      <c r="B15" s="694"/>
      <c r="C15" s="822"/>
      <c r="D15" s="822"/>
      <c r="E15" s="823"/>
      <c r="F15" s="376" t="n">
        <f aca="false">PASSIF!D10</f>
        <v>0</v>
      </c>
      <c r="G15" s="377" t="n">
        <v>0</v>
      </c>
    </row>
    <row r="16" customFormat="false" ht="12" hidden="false" customHeight="false" outlineLevel="0" collapsed="false">
      <c r="B16" s="697"/>
      <c r="C16" s="824"/>
      <c r="D16" s="824"/>
      <c r="E16" s="824"/>
      <c r="F16" s="380"/>
      <c r="G16" s="381"/>
    </row>
    <row r="17" customFormat="false" ht="12" hidden="false" customHeight="false" outlineLevel="0" collapsed="false">
      <c r="B17" s="697"/>
      <c r="C17" s="824"/>
      <c r="D17" s="824"/>
      <c r="E17" s="824"/>
      <c r="F17" s="380"/>
      <c r="G17" s="381"/>
    </row>
    <row r="18" customFormat="false" ht="12" hidden="false" customHeight="false" outlineLevel="0" collapsed="false">
      <c r="B18" s="697"/>
      <c r="C18" s="824"/>
      <c r="D18" s="824"/>
      <c r="E18" s="824"/>
      <c r="F18" s="380"/>
      <c r="G18" s="381"/>
    </row>
    <row r="19" customFormat="false" ht="12" hidden="false" customHeight="false" outlineLevel="0" collapsed="false">
      <c r="B19" s="697"/>
      <c r="C19" s="824"/>
      <c r="D19" s="824"/>
      <c r="E19" s="824"/>
      <c r="F19" s="380"/>
      <c r="G19" s="381"/>
    </row>
    <row r="20" customFormat="false" ht="12" hidden="false" customHeight="false" outlineLevel="0" collapsed="false">
      <c r="B20" s="697"/>
      <c r="C20" s="824"/>
      <c r="D20" s="824"/>
      <c r="E20" s="824"/>
      <c r="F20" s="380"/>
      <c r="G20" s="381"/>
    </row>
    <row r="21" customFormat="false" ht="12" hidden="false" customHeight="false" outlineLevel="0" collapsed="false">
      <c r="B21" s="697"/>
      <c r="C21" s="824"/>
      <c r="D21" s="824"/>
      <c r="E21" s="824"/>
      <c r="F21" s="380"/>
      <c r="G21" s="381"/>
    </row>
    <row r="22" customFormat="false" ht="12" hidden="false" customHeight="false" outlineLevel="0" collapsed="false">
      <c r="B22" s="697"/>
      <c r="C22" s="824"/>
      <c r="D22" s="824"/>
      <c r="E22" s="824"/>
      <c r="F22" s="380"/>
      <c r="G22" s="381"/>
    </row>
    <row r="23" customFormat="false" ht="12.5" hidden="false" customHeight="false" outlineLevel="0" collapsed="false">
      <c r="B23" s="825" t="s">
        <v>914</v>
      </c>
      <c r="C23" s="826"/>
      <c r="D23" s="826"/>
      <c r="E23" s="826"/>
      <c r="F23" s="826"/>
      <c r="G23" s="827"/>
    </row>
    <row r="24" customFormat="false" ht="12.5" hidden="false" customHeight="true" outlineLevel="0" collapsed="false">
      <c r="B24" s="828" t="s">
        <v>915</v>
      </c>
      <c r="C24" s="828"/>
      <c r="D24" s="828"/>
      <c r="E24" s="829"/>
      <c r="F24" s="830" t="n">
        <f aca="false">SUM(F15:F22)</f>
        <v>0</v>
      </c>
      <c r="G24" s="830" t="n">
        <f aca="false">SUM(G15:G22)</f>
        <v>0</v>
      </c>
    </row>
    <row r="25" customFormat="false" ht="12" hidden="false" customHeight="false" outlineLevel="0" collapsed="false">
      <c r="B25" s="558"/>
    </row>
    <row r="26" customFormat="false" ht="12" hidden="false" customHeight="false" outlineLevel="0" collapsed="false">
      <c r="B26" s="260" t="s">
        <v>644</v>
      </c>
    </row>
    <row r="27" customFormat="false" ht="12" hidden="false" customHeight="false" outlineLevel="0" collapsed="false">
      <c r="B27" s="831"/>
    </row>
    <row r="28" customFormat="false" ht="12" hidden="false" customHeight="false" outlineLevel="0" collapsed="false">
      <c r="B28" s="832" t="s">
        <v>916</v>
      </c>
      <c r="C28" s="833"/>
      <c r="D28" s="833"/>
      <c r="E28" s="833"/>
      <c r="F28" s="833"/>
      <c r="G28" s="833"/>
      <c r="H28" s="833"/>
    </row>
    <row r="29" customFormat="false" ht="12" hidden="false" customHeight="false" outlineLevel="0" collapsed="false">
      <c r="B29" s="832" t="s">
        <v>917</v>
      </c>
      <c r="C29" s="833"/>
      <c r="D29" s="833"/>
      <c r="E29" s="833"/>
      <c r="F29" s="833"/>
      <c r="G29" s="833"/>
      <c r="H29" s="833"/>
    </row>
    <row r="30" customFormat="false" ht="12" hidden="false" customHeight="false" outlineLevel="0" collapsed="false">
      <c r="B30" s="832" t="s">
        <v>918</v>
      </c>
      <c r="C30" s="833"/>
      <c r="D30" s="833"/>
      <c r="E30" s="833"/>
      <c r="F30" s="833"/>
      <c r="G30" s="833"/>
      <c r="H30" s="833"/>
    </row>
    <row r="31" customFormat="false" ht="12" hidden="false" customHeight="false" outlineLevel="0" collapsed="false">
      <c r="B31" s="832" t="s">
        <v>919</v>
      </c>
      <c r="C31" s="833"/>
      <c r="D31" s="833"/>
      <c r="E31" s="833"/>
      <c r="F31" s="833"/>
      <c r="G31" s="833"/>
      <c r="H31" s="833"/>
    </row>
    <row r="32" customFormat="false" ht="12" hidden="false" customHeight="false" outlineLevel="0" collapsed="false">
      <c r="B32" s="832" t="s">
        <v>920</v>
      </c>
      <c r="C32" s="833"/>
      <c r="D32" s="833"/>
      <c r="E32" s="833"/>
      <c r="F32" s="833"/>
      <c r="G32" s="833"/>
      <c r="H32" s="833"/>
    </row>
    <row r="34" customFormat="false" ht="12" hidden="false" customHeight="false" outlineLevel="0" collapsed="false">
      <c r="B34" s="558"/>
    </row>
  </sheetData>
  <mergeCells count="11">
    <mergeCell ref="B8:G8"/>
    <mergeCell ref="B9:G9"/>
    <mergeCell ref="B10:C10"/>
    <mergeCell ref="D10:F11"/>
    <mergeCell ref="G10:G11"/>
    <mergeCell ref="B12:B14"/>
    <mergeCell ref="C12:C14"/>
    <mergeCell ref="D12:D14"/>
    <mergeCell ref="E12:E14"/>
    <mergeCell ref="F12:F14"/>
    <mergeCell ref="B24:D24"/>
  </mergeCells>
  <printOptions headings="false" gridLines="false" gridLinesSet="true" horizontalCentered="false" verticalCentered="false"/>
  <pageMargins left="0.118055555555556" right="0.118055555555556" top="0.157638888888889" bottom="0.157638888888889"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6" activeCellId="0" sqref="F26"/>
    </sheetView>
  </sheetViews>
  <sheetFormatPr defaultColWidth="10.8125" defaultRowHeight="11.5" zeroHeight="false" outlineLevelRow="0" outlineLevelCol="0"/>
  <cols>
    <col collapsed="false" customWidth="true" hidden="false" outlineLevel="0" max="1" min="1" style="202" width="4.17"/>
    <col collapsed="false" customWidth="true" hidden="false" outlineLevel="0" max="2" min="2" style="202" width="58.44"/>
    <col collapsed="false" customWidth="true" hidden="false" outlineLevel="0" max="3" min="3" style="202" width="14.44"/>
    <col collapsed="false" customWidth="true" hidden="false" outlineLevel="0" max="4" min="4" style="202" width="13.26"/>
    <col collapsed="false" customWidth="true" hidden="false" outlineLevel="0" max="5" min="5" style="202" width="14.26"/>
    <col collapsed="false" customWidth="false" hidden="false" outlineLevel="0" max="257" min="6" style="202" width="10.81"/>
  </cols>
  <sheetData>
    <row r="4" customFormat="false" ht="13" hidden="false" customHeight="false" outlineLevel="0" collapsed="false">
      <c r="B4" s="359" t="s">
        <v>921</v>
      </c>
      <c r="C4" s="217" t="s">
        <v>199</v>
      </c>
      <c r="D4" s="217"/>
      <c r="E4" s="203"/>
    </row>
    <row r="5" customFormat="false" ht="13" hidden="false" customHeight="false" outlineLevel="0" collapsed="false">
      <c r="B5" s="360" t="s">
        <v>200</v>
      </c>
      <c r="C5" s="217" t="s">
        <v>101</v>
      </c>
      <c r="D5" s="217"/>
      <c r="E5" s="207"/>
    </row>
    <row r="7" customFormat="false" ht="14" hidden="false" customHeight="false" outlineLevel="0" collapsed="false">
      <c r="B7" s="834" t="s">
        <v>922</v>
      </c>
      <c r="C7" s="834"/>
      <c r="D7" s="834"/>
      <c r="E7" s="834"/>
      <c r="F7" s="835"/>
      <c r="G7" s="835"/>
    </row>
    <row r="8" customFormat="false" ht="14.5" hidden="false" customHeight="false" outlineLevel="0" collapsed="false">
      <c r="B8" s="418" t="s">
        <v>143</v>
      </c>
      <c r="C8" s="418"/>
      <c r="D8" s="418"/>
      <c r="E8" s="418"/>
      <c r="F8" s="666"/>
      <c r="G8" s="666"/>
    </row>
    <row r="9" customFormat="false" ht="23.5" hidden="false" customHeight="false" outlineLevel="0" collapsed="false">
      <c r="B9" s="788" t="s">
        <v>923</v>
      </c>
      <c r="C9" s="604" t="s">
        <v>688</v>
      </c>
      <c r="D9" s="604" t="s">
        <v>924</v>
      </c>
      <c r="E9" s="606" t="s">
        <v>889</v>
      </c>
    </row>
    <row r="10" customFormat="false" ht="15" hidden="false" customHeight="true" outlineLevel="0" collapsed="false">
      <c r="B10" s="694" t="s">
        <v>925</v>
      </c>
      <c r="C10" s="836"/>
      <c r="D10" s="836"/>
      <c r="E10" s="837"/>
    </row>
    <row r="11" customFormat="false" ht="15" hidden="false" customHeight="true" outlineLevel="0" collapsed="false">
      <c r="B11" s="697" t="s">
        <v>926</v>
      </c>
      <c r="C11" s="698"/>
      <c r="D11" s="698"/>
      <c r="E11" s="708"/>
    </row>
    <row r="12" customFormat="false" ht="15" hidden="false" customHeight="true" outlineLevel="0" collapsed="false">
      <c r="B12" s="697" t="s">
        <v>927</v>
      </c>
      <c r="C12" s="698"/>
      <c r="D12" s="698"/>
      <c r="E12" s="708"/>
    </row>
    <row r="13" customFormat="false" ht="15" hidden="false" customHeight="true" outlineLevel="0" collapsed="false">
      <c r="B13" s="697" t="s">
        <v>928</v>
      </c>
      <c r="C13" s="698"/>
      <c r="D13" s="698"/>
      <c r="E13" s="708"/>
    </row>
    <row r="14" customFormat="false" ht="15" hidden="false" customHeight="true" outlineLevel="0" collapsed="false">
      <c r="B14" s="697" t="s">
        <v>929</v>
      </c>
      <c r="C14" s="698"/>
      <c r="D14" s="698"/>
      <c r="E14" s="708"/>
    </row>
    <row r="15" customFormat="false" ht="15" hidden="false" customHeight="true" outlineLevel="0" collapsed="false">
      <c r="B15" s="838" t="s">
        <v>930</v>
      </c>
      <c r="C15" s="839"/>
      <c r="D15" s="839"/>
      <c r="E15" s="840"/>
    </row>
    <row r="16" customFormat="false" ht="15" hidden="false" customHeight="true" outlineLevel="0" collapsed="false">
      <c r="B16" s="697" t="s">
        <v>95</v>
      </c>
      <c r="C16" s="841"/>
      <c r="D16" s="841"/>
      <c r="E16" s="842"/>
    </row>
    <row r="17" customFormat="false" ht="15" hidden="false" customHeight="true" outlineLevel="0" collapsed="false">
      <c r="B17" s="697" t="s">
        <v>931</v>
      </c>
      <c r="C17" s="698"/>
      <c r="D17" s="698"/>
      <c r="E17" s="708"/>
    </row>
    <row r="18" customFormat="false" ht="15" hidden="false" customHeight="true" outlineLevel="0" collapsed="false">
      <c r="B18" s="697" t="s">
        <v>932</v>
      </c>
      <c r="C18" s="698"/>
      <c r="D18" s="698"/>
      <c r="E18" s="708"/>
    </row>
    <row r="19" customFormat="false" ht="15" hidden="false" customHeight="true" outlineLevel="0" collapsed="false">
      <c r="B19" s="697" t="s">
        <v>933</v>
      </c>
      <c r="C19" s="698"/>
      <c r="D19" s="698"/>
      <c r="E19" s="708"/>
    </row>
    <row r="20" customFormat="false" ht="28.5" hidden="false" customHeight="true" outlineLevel="0" collapsed="false">
      <c r="B20" s="697" t="s">
        <v>934</v>
      </c>
      <c r="C20" s="698"/>
      <c r="D20" s="698"/>
      <c r="E20" s="708"/>
    </row>
    <row r="21" customFormat="false" ht="15" hidden="false" customHeight="true" outlineLevel="0" collapsed="false">
      <c r="B21" s="697" t="s">
        <v>935</v>
      </c>
      <c r="C21" s="698"/>
      <c r="D21" s="698"/>
      <c r="E21" s="708"/>
    </row>
    <row r="22" customFormat="false" ht="15" hidden="false" customHeight="true" outlineLevel="0" collapsed="false">
      <c r="B22" s="838" t="s">
        <v>936</v>
      </c>
      <c r="C22" s="843"/>
      <c r="D22" s="843"/>
      <c r="E22" s="844"/>
    </row>
    <row r="23" customFormat="false" ht="15" hidden="false" customHeight="true" outlineLevel="0" collapsed="false">
      <c r="B23" s="697" t="s">
        <v>95</v>
      </c>
      <c r="C23" s="841"/>
      <c r="D23" s="841"/>
      <c r="E23" s="842"/>
    </row>
    <row r="24" customFormat="false" ht="15" hidden="false" customHeight="true" outlineLevel="0" collapsed="false">
      <c r="B24" s="845" t="s">
        <v>290</v>
      </c>
      <c r="C24" s="698"/>
      <c r="D24" s="698"/>
      <c r="E24" s="708"/>
    </row>
    <row r="25" customFormat="false" ht="15" hidden="false" customHeight="true" outlineLevel="0" collapsed="false">
      <c r="B25" s="697" t="s">
        <v>95</v>
      </c>
      <c r="C25" s="841"/>
      <c r="D25" s="841"/>
      <c r="E25" s="842"/>
    </row>
    <row r="26" customFormat="false" ht="15" hidden="false" customHeight="true" outlineLevel="0" collapsed="false">
      <c r="B26" s="846" t="s">
        <v>937</v>
      </c>
      <c r="C26" s="847" t="n">
        <f aca="false">PASSIF!D16</f>
        <v>0</v>
      </c>
      <c r="D26" s="847" t="n">
        <f aca="false">PASSIF!E16</f>
        <v>0</v>
      </c>
      <c r="E26" s="848" t="e">
        <f aca="false">(C26-D26)/D26</f>
        <v>#DIV/0!</v>
      </c>
    </row>
    <row r="27" customFormat="false" ht="11.5" hidden="false" customHeight="false" outlineLevel="0" collapsed="false">
      <c r="B27" s="688" t="s">
        <v>938</v>
      </c>
    </row>
    <row r="28" customFormat="false" ht="12" hidden="false" customHeight="false" outlineLevel="0" collapsed="false">
      <c r="B28" s="732" t="s">
        <v>939</v>
      </c>
    </row>
    <row r="29" customFormat="false" ht="12" hidden="false" customHeight="false" outlineLevel="0" collapsed="false">
      <c r="B29" s="732" t="s">
        <v>940</v>
      </c>
    </row>
    <row r="30" customFormat="false" ht="12" hidden="false" customHeight="false" outlineLevel="0" collapsed="false">
      <c r="B30" s="732" t="s">
        <v>941</v>
      </c>
    </row>
    <row r="31" customFormat="false" ht="12" hidden="false" customHeight="false" outlineLevel="0" collapsed="false">
      <c r="B31" s="732" t="s">
        <v>942</v>
      </c>
    </row>
    <row r="32" customFormat="false" ht="11.5" hidden="false" customHeight="false" outlineLevel="0" collapsed="false">
      <c r="B32" s="810" t="s">
        <v>95</v>
      </c>
    </row>
    <row r="33" customFormat="false" ht="11.5" hidden="false" customHeight="false" outlineLevel="0" collapsed="false">
      <c r="B33" s="810" t="s">
        <v>95</v>
      </c>
    </row>
    <row r="34" customFormat="false" ht="11.5" hidden="false" customHeight="false" outlineLevel="0" collapsed="false">
      <c r="B34" s="810"/>
    </row>
  </sheetData>
  <mergeCells count="2">
    <mergeCell ref="B7:E7"/>
    <mergeCell ref="B8:E8"/>
  </mergeCells>
  <printOptions headings="false" gridLines="false" gridLinesSet="true" horizontalCentered="false" verticalCentered="false"/>
  <pageMargins left="0.118055555555556" right="0.118055555555556" top="0.157638888888889" bottom="0.157638888888889"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K46" activeCellId="0" sqref="K46"/>
    </sheetView>
  </sheetViews>
  <sheetFormatPr defaultColWidth="10.90234375" defaultRowHeight="14.5" zeroHeight="false" outlineLevelRow="0" outlineLevelCol="0"/>
  <cols>
    <col collapsed="false" customWidth="true" hidden="false" outlineLevel="0" max="1" min="1" style="0" width="64.26"/>
  </cols>
  <sheetData>
    <row r="1" customFormat="false" ht="15" hidden="false" customHeight="false" outlineLevel="0" collapsed="false">
      <c r="A1" s="849"/>
    </row>
    <row r="2" customFormat="false" ht="15" hidden="false" customHeight="false" outlineLevel="0" collapsed="false">
      <c r="A2" s="849"/>
    </row>
    <row r="3" customFormat="false" ht="9.75" hidden="false" customHeight="true" outlineLevel="0" collapsed="false">
      <c r="A3" s="849" t="s">
        <v>95</v>
      </c>
    </row>
    <row r="4" s="202" customFormat="true" ht="13" hidden="false" customHeight="false" outlineLevel="0" collapsed="false">
      <c r="A4" s="359" t="s">
        <v>943</v>
      </c>
      <c r="B4" s="209"/>
      <c r="C4" s="209"/>
      <c r="D4" s="209"/>
      <c r="E4" s="217" t="s">
        <v>199</v>
      </c>
      <c r="F4" s="217"/>
      <c r="G4" s="203"/>
    </row>
    <row r="5" s="202" customFormat="true" ht="13" hidden="false" customHeight="false" outlineLevel="0" collapsed="false">
      <c r="A5" s="360" t="s">
        <v>200</v>
      </c>
      <c r="B5" s="209"/>
      <c r="C5" s="209"/>
      <c r="D5" s="209"/>
      <c r="E5" s="217" t="s">
        <v>101</v>
      </c>
      <c r="F5" s="217"/>
      <c r="G5" s="207"/>
    </row>
    <row r="6" s="202" customFormat="true" ht="4.5" hidden="false" customHeight="true" outlineLevel="0" collapsed="false">
      <c r="A6" s="660"/>
      <c r="D6" s="661"/>
    </row>
    <row r="7" customFormat="false" ht="14.5" hidden="false" customHeight="false" outlineLevel="0" collapsed="false">
      <c r="A7" s="850" t="s">
        <v>944</v>
      </c>
      <c r="B7" s="850"/>
      <c r="C7" s="850"/>
      <c r="D7" s="850"/>
      <c r="E7" s="850"/>
      <c r="F7" s="850"/>
      <c r="G7" s="850"/>
      <c r="H7" s="850"/>
    </row>
    <row r="8" customFormat="false" ht="16" hidden="false" customHeight="false" outlineLevel="0" collapsed="false">
      <c r="A8" s="851" t="s">
        <v>945</v>
      </c>
      <c r="B8" s="851"/>
      <c r="C8" s="851"/>
      <c r="D8" s="851"/>
      <c r="E8" s="851"/>
      <c r="F8" s="851"/>
      <c r="G8" s="851"/>
      <c r="H8" s="851"/>
    </row>
    <row r="9" customFormat="false" ht="39.5" hidden="false" customHeight="false" outlineLevel="0" collapsed="false">
      <c r="A9" s="852" t="s">
        <v>687</v>
      </c>
      <c r="B9" s="853" t="s">
        <v>946</v>
      </c>
      <c r="C9" s="853" t="s">
        <v>688</v>
      </c>
      <c r="D9" s="853" t="s">
        <v>689</v>
      </c>
      <c r="E9" s="853" t="s">
        <v>889</v>
      </c>
      <c r="F9" s="853" t="s">
        <v>690</v>
      </c>
      <c r="G9" s="853" t="s">
        <v>947</v>
      </c>
      <c r="H9" s="854" t="s">
        <v>948</v>
      </c>
    </row>
    <row r="10" customFormat="false" ht="15" hidden="false" customHeight="true" outlineLevel="0" collapsed="false">
      <c r="A10" s="855" t="s">
        <v>949</v>
      </c>
      <c r="B10" s="856" t="s">
        <v>215</v>
      </c>
      <c r="C10" s="857"/>
      <c r="D10" s="857"/>
      <c r="E10" s="857"/>
      <c r="F10" s="857"/>
      <c r="G10" s="858"/>
      <c r="H10" s="859"/>
    </row>
    <row r="11" customFormat="false" ht="15" hidden="false" customHeight="true" outlineLevel="0" collapsed="false">
      <c r="A11" s="860" t="s">
        <v>950</v>
      </c>
      <c r="B11" s="861" t="s">
        <v>215</v>
      </c>
      <c r="C11" s="862"/>
      <c r="D11" s="862"/>
      <c r="E11" s="862"/>
      <c r="F11" s="862"/>
      <c r="G11" s="863"/>
      <c r="H11" s="864"/>
    </row>
    <row r="12" customFormat="false" ht="15" hidden="false" customHeight="true" outlineLevel="0" collapsed="false">
      <c r="A12" s="860" t="s">
        <v>951</v>
      </c>
      <c r="B12" s="861" t="s">
        <v>215</v>
      </c>
      <c r="C12" s="862"/>
      <c r="D12" s="862"/>
      <c r="E12" s="862"/>
      <c r="F12" s="862"/>
      <c r="G12" s="863"/>
      <c r="H12" s="864"/>
    </row>
    <row r="13" customFormat="false" ht="14.5" hidden="false" customHeight="false" outlineLevel="0" collapsed="false">
      <c r="A13" s="860" t="s">
        <v>952</v>
      </c>
      <c r="B13" s="861" t="s">
        <v>215</v>
      </c>
      <c r="C13" s="862"/>
      <c r="D13" s="862"/>
      <c r="E13" s="862"/>
      <c r="F13" s="862"/>
      <c r="G13" s="863"/>
      <c r="H13" s="864"/>
    </row>
    <row r="14" customFormat="false" ht="15" hidden="false" customHeight="true" outlineLevel="0" collapsed="false">
      <c r="A14" s="860" t="s">
        <v>953</v>
      </c>
      <c r="B14" s="861" t="s">
        <v>215</v>
      </c>
      <c r="C14" s="862"/>
      <c r="D14" s="862"/>
      <c r="E14" s="862"/>
      <c r="F14" s="862"/>
      <c r="G14" s="863"/>
      <c r="H14" s="864"/>
    </row>
    <row r="15" customFormat="false" ht="15" hidden="false" customHeight="true" outlineLevel="0" collapsed="false">
      <c r="A15" s="860" t="s">
        <v>954</v>
      </c>
      <c r="B15" s="861" t="s">
        <v>215</v>
      </c>
      <c r="C15" s="862"/>
      <c r="D15" s="862"/>
      <c r="E15" s="862"/>
      <c r="F15" s="862"/>
      <c r="G15" s="863"/>
      <c r="H15" s="864"/>
    </row>
    <row r="16" customFormat="false" ht="15" hidden="false" customHeight="true" outlineLevel="0" collapsed="false">
      <c r="A16" s="860" t="s">
        <v>524</v>
      </c>
      <c r="B16" s="861" t="s">
        <v>215</v>
      </c>
      <c r="C16" s="862"/>
      <c r="D16" s="862"/>
      <c r="E16" s="862"/>
      <c r="F16" s="862"/>
      <c r="G16" s="863"/>
      <c r="H16" s="864"/>
    </row>
    <row r="17" customFormat="false" ht="15" hidden="false" customHeight="true" outlineLevel="0" collapsed="false">
      <c r="A17" s="865" t="s">
        <v>955</v>
      </c>
      <c r="B17" s="866" t="s">
        <v>215</v>
      </c>
      <c r="C17" s="867"/>
      <c r="D17" s="867"/>
      <c r="E17" s="867"/>
      <c r="F17" s="867"/>
      <c r="G17" s="868"/>
      <c r="H17" s="869"/>
    </row>
    <row r="18" customFormat="false" ht="15" hidden="false" customHeight="true" outlineLevel="0" collapsed="false">
      <c r="A18" s="870" t="s">
        <v>956</v>
      </c>
      <c r="B18" s="871" t="s">
        <v>215</v>
      </c>
      <c r="C18" s="872"/>
      <c r="D18" s="872"/>
      <c r="E18" s="872"/>
      <c r="F18" s="872"/>
      <c r="G18" s="872"/>
      <c r="H18" s="873"/>
    </row>
    <row r="19" customFormat="false" ht="15" hidden="false" customHeight="true" outlineLevel="0" collapsed="false">
      <c r="A19" s="855" t="s">
        <v>215</v>
      </c>
      <c r="B19" s="856" t="s">
        <v>215</v>
      </c>
      <c r="C19" s="874"/>
      <c r="D19" s="874"/>
      <c r="E19" s="874"/>
      <c r="F19" s="874"/>
      <c r="G19" s="874"/>
      <c r="H19" s="875"/>
    </row>
    <row r="20" customFormat="false" ht="15" hidden="false" customHeight="true" outlineLevel="0" collapsed="false">
      <c r="A20" s="860" t="s">
        <v>957</v>
      </c>
      <c r="B20" s="861" t="s">
        <v>215</v>
      </c>
      <c r="C20" s="862"/>
      <c r="D20" s="862"/>
      <c r="E20" s="862"/>
      <c r="F20" s="862"/>
      <c r="G20" s="862"/>
      <c r="H20" s="864"/>
    </row>
    <row r="21" customFormat="false" ht="15" hidden="false" customHeight="true" outlineLevel="0" collapsed="false">
      <c r="A21" s="860" t="s">
        <v>958</v>
      </c>
      <c r="B21" s="861" t="s">
        <v>215</v>
      </c>
      <c r="C21" s="862"/>
      <c r="D21" s="862"/>
      <c r="E21" s="862"/>
      <c r="F21" s="862"/>
      <c r="G21" s="862"/>
      <c r="H21" s="864"/>
    </row>
    <row r="22" customFormat="false" ht="15" hidden="false" customHeight="true" outlineLevel="0" collapsed="false">
      <c r="A22" s="860" t="s">
        <v>959</v>
      </c>
      <c r="B22" s="861"/>
      <c r="C22" s="862"/>
      <c r="D22" s="862"/>
      <c r="E22" s="862"/>
      <c r="F22" s="862"/>
      <c r="G22" s="862"/>
      <c r="H22" s="864"/>
    </row>
    <row r="23" customFormat="false" ht="15" hidden="false" customHeight="true" outlineLevel="0" collapsed="false">
      <c r="A23" s="860" t="s">
        <v>960</v>
      </c>
      <c r="B23" s="861" t="s">
        <v>215</v>
      </c>
      <c r="C23" s="862"/>
      <c r="D23" s="862"/>
      <c r="E23" s="862"/>
      <c r="F23" s="862"/>
      <c r="G23" s="862"/>
      <c r="H23" s="864"/>
    </row>
    <row r="24" customFormat="false" ht="15" hidden="false" customHeight="true" outlineLevel="0" collapsed="false">
      <c r="A24" s="860" t="s">
        <v>961</v>
      </c>
      <c r="B24" s="861" t="s">
        <v>215</v>
      </c>
      <c r="C24" s="862"/>
      <c r="D24" s="862"/>
      <c r="E24" s="862"/>
      <c r="F24" s="862"/>
      <c r="G24" s="862"/>
      <c r="H24" s="864"/>
    </row>
    <row r="25" customFormat="false" ht="15" hidden="false" customHeight="true" outlineLevel="0" collapsed="false">
      <c r="A25" s="860" t="s">
        <v>962</v>
      </c>
      <c r="B25" s="861" t="s">
        <v>215</v>
      </c>
      <c r="C25" s="862"/>
      <c r="D25" s="862"/>
      <c r="E25" s="862"/>
      <c r="F25" s="862"/>
      <c r="G25" s="862"/>
      <c r="H25" s="864"/>
    </row>
    <row r="26" customFormat="false" ht="15" hidden="false" customHeight="true" outlineLevel="0" collapsed="false">
      <c r="A26" s="865" t="s">
        <v>963</v>
      </c>
      <c r="B26" s="866" t="s">
        <v>215</v>
      </c>
      <c r="C26" s="876"/>
      <c r="D26" s="876" t="n">
        <f aca="false">+[1]PASSIF!E19</f>
        <v>0</v>
      </c>
      <c r="E26" s="867"/>
      <c r="F26" s="867"/>
      <c r="G26" s="867"/>
      <c r="H26" s="869"/>
    </row>
    <row r="27" customFormat="false" ht="15" hidden="false" customHeight="true" outlineLevel="0" collapsed="false">
      <c r="A27" s="870" t="s">
        <v>964</v>
      </c>
      <c r="B27" s="871" t="s">
        <v>215</v>
      </c>
      <c r="C27" s="872"/>
      <c r="D27" s="872"/>
      <c r="E27" s="872"/>
      <c r="F27" s="872"/>
      <c r="G27" s="872"/>
      <c r="H27" s="873"/>
    </row>
    <row r="28" customFormat="false" ht="15" hidden="false" customHeight="true" outlineLevel="0" collapsed="false">
      <c r="A28" s="877" t="s">
        <v>215</v>
      </c>
      <c r="B28" s="878" t="s">
        <v>215</v>
      </c>
      <c r="C28" s="879"/>
      <c r="D28" s="879"/>
      <c r="E28" s="879"/>
      <c r="F28" s="879"/>
      <c r="G28" s="879"/>
      <c r="H28" s="880"/>
    </row>
    <row r="29" customFormat="false" ht="15" hidden="false" customHeight="true" outlineLevel="0" collapsed="false">
      <c r="A29" s="881" t="s">
        <v>965</v>
      </c>
      <c r="B29" s="882" t="s">
        <v>215</v>
      </c>
      <c r="C29" s="883" t="n">
        <f aca="false">C26</f>
        <v>0</v>
      </c>
      <c r="D29" s="883" t="n">
        <f aca="false">D26</f>
        <v>0</v>
      </c>
      <c r="E29" s="883"/>
      <c r="F29" s="883"/>
      <c r="G29" s="884"/>
      <c r="H29" s="885"/>
    </row>
    <row r="30" customFormat="false" ht="15" hidden="false" customHeight="true" outlineLevel="0" collapsed="false">
      <c r="A30" s="886" t="s">
        <v>966</v>
      </c>
      <c r="B30" s="882"/>
      <c r="C30" s="883"/>
      <c r="D30" s="883"/>
      <c r="E30" s="883"/>
      <c r="F30" s="883"/>
      <c r="G30" s="883"/>
      <c r="H30" s="885"/>
    </row>
    <row r="31" customFormat="false" ht="9" hidden="false" customHeight="true" outlineLevel="0" collapsed="false">
      <c r="A31" s="887" t="s">
        <v>95</v>
      </c>
    </row>
    <row r="32" customFormat="false" ht="14.5" hidden="false" customHeight="false" outlineLevel="0" collapsed="false">
      <c r="A32" s="888" t="s">
        <v>967</v>
      </c>
    </row>
    <row r="33" customFormat="false" ht="39" hidden="false" customHeight="true" outlineLevel="0" collapsed="false">
      <c r="A33" s="889" t="s">
        <v>968</v>
      </c>
      <c r="B33" s="889"/>
      <c r="C33" s="889"/>
      <c r="D33" s="889"/>
      <c r="E33" s="889"/>
      <c r="F33" s="889"/>
      <c r="G33" s="889"/>
      <c r="H33" s="889"/>
    </row>
    <row r="34" customFormat="false" ht="14.5" hidden="false" customHeight="false" outlineLevel="0" collapsed="false">
      <c r="A34" s="890"/>
    </row>
    <row r="35" customFormat="false" ht="15.5" hidden="false" customHeight="false" outlineLevel="0" collapsed="false">
      <c r="A35" s="891" t="s">
        <v>95</v>
      </c>
    </row>
  </sheetData>
  <mergeCells count="10">
    <mergeCell ref="A7:H7"/>
    <mergeCell ref="A8:H8"/>
    <mergeCell ref="B29:B30"/>
    <mergeCell ref="C29:C30"/>
    <mergeCell ref="D29:D30"/>
    <mergeCell ref="E29:E30"/>
    <mergeCell ref="F29:F30"/>
    <mergeCell ref="G29:G30"/>
    <mergeCell ref="H29:H30"/>
    <mergeCell ref="A33:H33"/>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4" activeCellId="0" sqref="G4:G5"/>
    </sheetView>
  </sheetViews>
  <sheetFormatPr defaultColWidth="10.90234375" defaultRowHeight="14.5" zeroHeight="false" outlineLevelRow="0" outlineLevelCol="0"/>
  <cols>
    <col collapsed="false" customWidth="true" hidden="false" outlineLevel="0" max="1" min="1" style="0" width="61.72"/>
  </cols>
  <sheetData>
    <row r="4" s="202" customFormat="true" ht="13" hidden="false" customHeight="false" outlineLevel="0" collapsed="false">
      <c r="A4" s="359" t="s">
        <v>969</v>
      </c>
      <c r="B4" s="209"/>
      <c r="C4" s="209"/>
      <c r="D4" s="209"/>
      <c r="E4" s="217" t="s">
        <v>199</v>
      </c>
      <c r="F4" s="217"/>
      <c r="G4" s="203"/>
    </row>
    <row r="5" s="202" customFormat="true" ht="13" hidden="false" customHeight="false" outlineLevel="0" collapsed="false">
      <c r="A5" s="360" t="s">
        <v>200</v>
      </c>
      <c r="B5" s="209"/>
      <c r="C5" s="209"/>
      <c r="D5" s="209"/>
      <c r="E5" s="217" t="s">
        <v>101</v>
      </c>
      <c r="F5" s="217"/>
      <c r="G5" s="207"/>
    </row>
    <row r="7" customFormat="false" ht="14.5" hidden="false" customHeight="false" outlineLevel="0" collapsed="false">
      <c r="A7" s="592" t="s">
        <v>970</v>
      </c>
      <c r="B7" s="592"/>
      <c r="C7" s="592"/>
      <c r="D7" s="592"/>
      <c r="E7" s="592"/>
      <c r="F7" s="592"/>
      <c r="G7" s="592"/>
    </row>
    <row r="8" customFormat="false" ht="15" hidden="false" customHeight="false" outlineLevel="0" collapsed="false">
      <c r="A8" s="765" t="s">
        <v>971</v>
      </c>
      <c r="B8" s="765"/>
      <c r="C8" s="765"/>
      <c r="D8" s="765"/>
      <c r="E8" s="765"/>
      <c r="F8" s="765"/>
      <c r="G8" s="765"/>
    </row>
    <row r="9" customFormat="false" ht="42.5" hidden="false" customHeight="false" outlineLevel="0" collapsed="false">
      <c r="A9" s="892" t="s">
        <v>972</v>
      </c>
      <c r="B9" s="893" t="s">
        <v>946</v>
      </c>
      <c r="C9" s="893" t="s">
        <v>688</v>
      </c>
      <c r="D9" s="893" t="s">
        <v>689</v>
      </c>
      <c r="E9" s="893" t="s">
        <v>889</v>
      </c>
      <c r="F9" s="893" t="s">
        <v>690</v>
      </c>
      <c r="G9" s="894" t="s">
        <v>948</v>
      </c>
    </row>
    <row r="10" customFormat="false" ht="15" hidden="false" customHeight="true" outlineLevel="0" collapsed="false">
      <c r="A10" s="895" t="s">
        <v>973</v>
      </c>
      <c r="B10" s="896" t="s">
        <v>215</v>
      </c>
      <c r="C10" s="897"/>
      <c r="D10" s="897"/>
      <c r="E10" s="897"/>
      <c r="F10" s="897"/>
      <c r="G10" s="897"/>
    </row>
    <row r="11" customFormat="false" ht="17" hidden="false" customHeight="false" outlineLevel="0" collapsed="false">
      <c r="A11" s="895" t="s">
        <v>974</v>
      </c>
      <c r="B11" s="896" t="s">
        <v>215</v>
      </c>
      <c r="C11" s="897"/>
      <c r="D11" s="897"/>
      <c r="E11" s="897"/>
      <c r="F11" s="897"/>
      <c r="G11" s="897"/>
    </row>
    <row r="12" customFormat="false" ht="15" hidden="false" customHeight="false" outlineLevel="0" collapsed="false">
      <c r="A12" s="898" t="s">
        <v>975</v>
      </c>
      <c r="B12" s="896" t="s">
        <v>215</v>
      </c>
      <c r="C12" s="897"/>
      <c r="D12" s="897"/>
      <c r="E12" s="897"/>
      <c r="F12" s="897"/>
      <c r="G12" s="897"/>
    </row>
    <row r="13" customFormat="false" ht="15" hidden="false" customHeight="false" outlineLevel="0" collapsed="false">
      <c r="A13" s="895" t="s">
        <v>976</v>
      </c>
      <c r="B13" s="896" t="s">
        <v>215</v>
      </c>
      <c r="C13" s="897"/>
      <c r="D13" s="897"/>
      <c r="E13" s="897"/>
      <c r="F13" s="897"/>
      <c r="G13" s="897"/>
    </row>
    <row r="14" customFormat="false" ht="15" hidden="false" customHeight="true" outlineLevel="0" collapsed="false">
      <c r="A14" s="895" t="s">
        <v>955</v>
      </c>
      <c r="B14" s="896" t="s">
        <v>215</v>
      </c>
      <c r="C14" s="897"/>
      <c r="D14" s="897"/>
      <c r="E14" s="897"/>
      <c r="F14" s="897"/>
      <c r="G14" s="897"/>
    </row>
    <row r="15" customFormat="false" ht="15" hidden="false" customHeight="true" outlineLevel="0" collapsed="false">
      <c r="A15" s="899" t="s">
        <v>977</v>
      </c>
      <c r="B15" s="900" t="s">
        <v>215</v>
      </c>
      <c r="C15" s="901"/>
      <c r="D15" s="901"/>
      <c r="E15" s="901"/>
      <c r="F15" s="901"/>
      <c r="G15" s="901"/>
    </row>
    <row r="16" customFormat="false" ht="14.5" hidden="false" customHeight="false" outlineLevel="0" collapsed="false">
      <c r="A16" s="902" t="s">
        <v>978</v>
      </c>
    </row>
    <row r="17" customFormat="false" ht="52.5" hidden="false" customHeight="true" outlineLevel="0" collapsed="false">
      <c r="A17" s="903" t="s">
        <v>979</v>
      </c>
      <c r="B17" s="903"/>
      <c r="C17" s="903"/>
      <c r="D17" s="903"/>
      <c r="E17" s="903"/>
      <c r="F17" s="903"/>
      <c r="G17" s="903"/>
    </row>
    <row r="18" customFormat="false" ht="14.5" hidden="false" customHeight="false" outlineLevel="0" collapsed="false">
      <c r="A18" s="888" t="s">
        <v>980</v>
      </c>
      <c r="B18" s="425"/>
      <c r="C18" s="425"/>
      <c r="D18" s="425"/>
      <c r="E18" s="425"/>
      <c r="F18" s="425"/>
      <c r="G18" s="425"/>
    </row>
    <row r="19" customFormat="false" ht="38.25" hidden="false" customHeight="true" outlineLevel="0" collapsed="false">
      <c r="A19" s="904" t="s">
        <v>981</v>
      </c>
      <c r="B19" s="904"/>
      <c r="C19" s="904"/>
      <c r="D19" s="904"/>
      <c r="E19" s="904"/>
      <c r="F19" s="904"/>
      <c r="G19" s="904"/>
    </row>
    <row r="20" customFormat="false" ht="21" hidden="false" customHeight="true" outlineLevel="0" collapsed="false">
      <c r="A20" s="905" t="s">
        <v>982</v>
      </c>
      <c r="B20" s="905"/>
      <c r="C20" s="905"/>
      <c r="D20" s="905"/>
      <c r="E20" s="905"/>
      <c r="F20" s="905"/>
      <c r="G20" s="905"/>
    </row>
    <row r="21" customFormat="false" ht="14.5" hidden="false" customHeight="false" outlineLevel="0" collapsed="false">
      <c r="A21" s="902" t="s">
        <v>95</v>
      </c>
    </row>
    <row r="22" customFormat="false" ht="14.5" hidden="false" customHeight="false" outlineLevel="0" collapsed="false">
      <c r="A22" s="906" t="s">
        <v>95</v>
      </c>
    </row>
    <row r="23" customFormat="false" ht="14.5" hidden="false" customHeight="false" outlineLevel="0" collapsed="false">
      <c r="A23" s="906" t="s">
        <v>95</v>
      </c>
    </row>
    <row r="24" customFormat="false" ht="14.5" hidden="false" customHeight="false" outlineLevel="0" collapsed="false">
      <c r="A24" s="906" t="s">
        <v>95</v>
      </c>
    </row>
  </sheetData>
  <mergeCells count="5">
    <mergeCell ref="A7:G7"/>
    <mergeCell ref="A8:G8"/>
    <mergeCell ref="A17:G17"/>
    <mergeCell ref="A19:G19"/>
    <mergeCell ref="A20:G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K48"/>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A41" activeCellId="0" sqref="A41:H48"/>
    </sheetView>
  </sheetViews>
  <sheetFormatPr defaultColWidth="10.8125" defaultRowHeight="12" zeroHeight="false" outlineLevelRow="0" outlineLevelCol="0"/>
  <cols>
    <col collapsed="false" customWidth="true" hidden="false" outlineLevel="0" max="1" min="1" style="209" width="71.72"/>
    <col collapsed="false" customWidth="true" hidden="false" outlineLevel="0" max="2" min="2" style="209" width="13.99"/>
    <col collapsed="false" customWidth="true" hidden="false" outlineLevel="0" max="3" min="3" style="209" width="14.26"/>
    <col collapsed="false" customWidth="true" hidden="false" outlineLevel="0" max="4" min="4" style="209" width="13.44"/>
    <col collapsed="false" customWidth="true" hidden="false" outlineLevel="0" max="5" min="5" style="209" width="13.72"/>
    <col collapsed="false" customWidth="true" hidden="false" outlineLevel="0" max="6" min="6" style="209" width="13.99"/>
    <col collapsed="false" customWidth="true" hidden="false" outlineLevel="0" max="7" min="7" style="209" width="18.44"/>
    <col collapsed="false" customWidth="true" hidden="false" outlineLevel="0" max="8" min="8" style="209" width="14.44"/>
    <col collapsed="false" customWidth="false" hidden="false" outlineLevel="0" max="257" min="9" style="209" width="10.81"/>
  </cols>
  <sheetData>
    <row r="3" s="202" customFormat="true" ht="22.5" hidden="false" customHeight="true" outlineLevel="0" collapsed="false">
      <c r="A3" s="359" t="s">
        <v>983</v>
      </c>
      <c r="B3" s="209"/>
      <c r="C3" s="209"/>
      <c r="D3" s="209"/>
      <c r="E3" s="217" t="s">
        <v>199</v>
      </c>
      <c r="F3" s="217"/>
      <c r="G3" s="203"/>
    </row>
    <row r="4" s="202" customFormat="true" ht="13" hidden="false" customHeight="false" outlineLevel="0" collapsed="false">
      <c r="A4" s="360" t="s">
        <v>200</v>
      </c>
      <c r="B4" s="209"/>
      <c r="C4" s="209"/>
      <c r="D4" s="209"/>
      <c r="E4" s="217" t="s">
        <v>101</v>
      </c>
      <c r="F4" s="217"/>
      <c r="G4" s="207"/>
    </row>
    <row r="5" customFormat="false" ht="12.5" hidden="false" customHeight="false" outlineLevel="0" collapsed="false">
      <c r="A5" s="907" t="s">
        <v>984</v>
      </c>
      <c r="B5" s="907"/>
      <c r="C5" s="907"/>
      <c r="D5" s="907"/>
      <c r="E5" s="907"/>
      <c r="F5" s="907"/>
      <c r="G5" s="907"/>
      <c r="H5" s="907"/>
    </row>
    <row r="6" customFormat="false" ht="47.25" hidden="false" customHeight="true" outlineLevel="0" collapsed="false">
      <c r="A6" s="908" t="s">
        <v>985</v>
      </c>
      <c r="B6" s="909" t="s">
        <v>827</v>
      </c>
      <c r="C6" s="909" t="s">
        <v>986</v>
      </c>
      <c r="D6" s="909" t="s">
        <v>987</v>
      </c>
      <c r="E6" s="909" t="s">
        <v>726</v>
      </c>
      <c r="F6" s="909" t="s">
        <v>988</v>
      </c>
      <c r="G6" s="909" t="s">
        <v>989</v>
      </c>
      <c r="H6" s="910" t="s">
        <v>990</v>
      </c>
    </row>
    <row r="7" customFormat="false" ht="12" hidden="false" customHeight="false" outlineLevel="0" collapsed="false">
      <c r="A7" s="694" t="s">
        <v>991</v>
      </c>
      <c r="B7" s="796"/>
      <c r="C7" s="796"/>
      <c r="D7" s="796"/>
      <c r="E7" s="796"/>
      <c r="F7" s="796"/>
      <c r="G7" s="796"/>
      <c r="H7" s="723"/>
    </row>
    <row r="8" customFormat="false" ht="12" hidden="false" customHeight="false" outlineLevel="0" collapsed="false">
      <c r="A8" s="697" t="s">
        <v>992</v>
      </c>
      <c r="B8" s="724" t="n">
        <f aca="false">+PASSIF!D21</f>
        <v>0</v>
      </c>
      <c r="C8" s="724" t="n">
        <f aca="false">+PASSIF!E21</f>
        <v>0</v>
      </c>
      <c r="D8" s="911" t="n">
        <f aca="false">B8-C8</f>
        <v>0</v>
      </c>
      <c r="E8" s="912" t="e">
        <f aca="false">D8/C8</f>
        <v>#DIV/0!</v>
      </c>
      <c r="F8" s="724" t="n">
        <f aca="false">0</f>
        <v>0</v>
      </c>
      <c r="G8" s="724"/>
      <c r="H8" s="725" t="n">
        <f aca="false">B8-G8</f>
        <v>0</v>
      </c>
    </row>
    <row r="9" customFormat="false" ht="12" hidden="false" customHeight="false" outlineLevel="0" collapsed="false">
      <c r="A9" s="697" t="s">
        <v>993</v>
      </c>
      <c r="B9" s="724"/>
      <c r="C9" s="724"/>
      <c r="D9" s="724"/>
      <c r="E9" s="724"/>
      <c r="F9" s="724"/>
      <c r="G9" s="724"/>
      <c r="H9" s="725"/>
    </row>
    <row r="10" customFormat="false" ht="12" hidden="false" customHeight="false" outlineLevel="0" collapsed="false">
      <c r="A10" s="697" t="s">
        <v>994</v>
      </c>
      <c r="B10" s="724"/>
      <c r="C10" s="724"/>
      <c r="D10" s="724"/>
      <c r="E10" s="724"/>
      <c r="F10" s="724"/>
      <c r="G10" s="724"/>
      <c r="H10" s="725"/>
    </row>
    <row r="11" customFormat="false" ht="12" hidden="false" customHeight="false" outlineLevel="0" collapsed="false">
      <c r="A11" s="697" t="s">
        <v>995</v>
      </c>
      <c r="B11" s="724"/>
      <c r="C11" s="724"/>
      <c r="D11" s="724"/>
      <c r="E11" s="724"/>
      <c r="F11" s="724"/>
      <c r="G11" s="724"/>
      <c r="H11" s="725"/>
    </row>
    <row r="12" customFormat="false" ht="12" hidden="false" customHeight="false" outlineLevel="0" collapsed="false">
      <c r="A12" s="697" t="s">
        <v>996</v>
      </c>
      <c r="B12" s="724"/>
      <c r="C12" s="724"/>
      <c r="D12" s="724"/>
      <c r="E12" s="724"/>
      <c r="F12" s="724"/>
      <c r="G12" s="724"/>
      <c r="H12" s="725"/>
    </row>
    <row r="13" customFormat="false" ht="12" hidden="false" customHeight="false" outlineLevel="0" collapsed="false">
      <c r="A13" s="697" t="s">
        <v>997</v>
      </c>
      <c r="B13" s="724"/>
      <c r="C13" s="724"/>
      <c r="D13" s="724"/>
      <c r="E13" s="724"/>
      <c r="F13" s="724"/>
      <c r="G13" s="724"/>
      <c r="H13" s="725"/>
    </row>
    <row r="14" customFormat="false" ht="12" hidden="false" customHeight="false" outlineLevel="0" collapsed="false">
      <c r="A14" s="697" t="s">
        <v>998</v>
      </c>
      <c r="B14" s="724"/>
      <c r="C14" s="724"/>
      <c r="D14" s="724" t="n">
        <v>0</v>
      </c>
      <c r="E14" s="724" t="n">
        <v>0</v>
      </c>
      <c r="F14" s="724"/>
      <c r="G14" s="724" t="n">
        <v>0</v>
      </c>
      <c r="H14" s="725" t="n">
        <f aca="false">C14</f>
        <v>0</v>
      </c>
    </row>
    <row r="15" customFormat="false" ht="12" hidden="false" customHeight="false" outlineLevel="0" collapsed="false">
      <c r="A15" s="697" t="s">
        <v>999</v>
      </c>
      <c r="B15" s="724"/>
      <c r="C15" s="724"/>
      <c r="D15" s="724"/>
      <c r="E15" s="724"/>
      <c r="F15" s="724"/>
      <c r="G15" s="724"/>
      <c r="H15" s="725"/>
    </row>
    <row r="16" customFormat="false" ht="12.5" hidden="false" customHeight="false" outlineLevel="0" collapsed="false">
      <c r="A16" s="700" t="s">
        <v>1000</v>
      </c>
      <c r="B16" s="727"/>
      <c r="C16" s="727"/>
      <c r="D16" s="727"/>
      <c r="E16" s="727"/>
      <c r="F16" s="727"/>
      <c r="G16" s="727"/>
      <c r="H16" s="728"/>
    </row>
    <row r="17" customFormat="false" ht="12.5" hidden="false" customHeight="false" outlineLevel="0" collapsed="false">
      <c r="A17" s="702" t="s">
        <v>1001</v>
      </c>
      <c r="B17" s="497" t="n">
        <f aca="false">SUM(B7:B16)</f>
        <v>0</v>
      </c>
      <c r="C17" s="497" t="n">
        <f aca="false">SUM(C7:C16)</f>
        <v>0</v>
      </c>
      <c r="D17" s="497" t="n">
        <f aca="false">SUM(D7:D16)</f>
        <v>0</v>
      </c>
      <c r="E17" s="497" t="e">
        <f aca="false">SUM(E7:E16)</f>
        <v>#DIV/0!</v>
      </c>
      <c r="F17" s="497" t="n">
        <f aca="false">SUM(F7:F16)</f>
        <v>0</v>
      </c>
      <c r="G17" s="497" t="n">
        <f aca="false">SUM(G7:G16)</f>
        <v>0</v>
      </c>
      <c r="H17" s="497" t="n">
        <f aca="false">SUM(H7:H16)</f>
        <v>0</v>
      </c>
    </row>
    <row r="18" customFormat="false" ht="12" hidden="false" customHeight="false" outlineLevel="0" collapsed="false">
      <c r="A18" s="694"/>
      <c r="B18" s="376"/>
      <c r="C18" s="376"/>
      <c r="D18" s="376"/>
      <c r="E18" s="376"/>
      <c r="F18" s="376"/>
      <c r="G18" s="376"/>
      <c r="H18" s="377"/>
    </row>
    <row r="19" customFormat="false" ht="12" hidden="false" customHeight="false" outlineLevel="0" collapsed="false">
      <c r="A19" s="697" t="s">
        <v>1002</v>
      </c>
      <c r="B19" s="724"/>
      <c r="C19" s="724"/>
      <c r="D19" s="724"/>
      <c r="E19" s="724"/>
      <c r="F19" s="724"/>
      <c r="G19" s="724"/>
      <c r="H19" s="725"/>
    </row>
    <row r="20" customFormat="false" ht="12" hidden="false" customHeight="false" outlineLevel="0" collapsed="false">
      <c r="A20" s="697" t="s">
        <v>1003</v>
      </c>
      <c r="B20" s="724"/>
      <c r="C20" s="724"/>
      <c r="D20" s="724"/>
      <c r="E20" s="724"/>
      <c r="F20" s="724"/>
      <c r="G20" s="724"/>
      <c r="H20" s="725"/>
    </row>
    <row r="21" customFormat="false" ht="12" hidden="false" customHeight="false" outlineLevel="0" collapsed="false">
      <c r="A21" s="697" t="s">
        <v>1004</v>
      </c>
      <c r="B21" s="724"/>
      <c r="C21" s="724"/>
      <c r="D21" s="724"/>
      <c r="E21" s="724"/>
      <c r="F21" s="724"/>
      <c r="G21" s="724"/>
      <c r="H21" s="725"/>
    </row>
    <row r="22" customFormat="false" ht="12" hidden="false" customHeight="false" outlineLevel="0" collapsed="false">
      <c r="A22" s="697" t="s">
        <v>1005</v>
      </c>
      <c r="B22" s="724"/>
      <c r="C22" s="724"/>
      <c r="D22" s="724"/>
      <c r="E22" s="724"/>
      <c r="F22" s="724"/>
      <c r="G22" s="724"/>
      <c r="H22" s="725"/>
    </row>
    <row r="23" customFormat="false" ht="12.5" hidden="false" customHeight="false" outlineLevel="0" collapsed="false">
      <c r="A23" s="700" t="s">
        <v>1006</v>
      </c>
      <c r="B23" s="727"/>
      <c r="C23" s="727"/>
      <c r="D23" s="727"/>
      <c r="E23" s="727"/>
      <c r="F23" s="727"/>
      <c r="G23" s="727"/>
      <c r="H23" s="728"/>
    </row>
    <row r="24" customFormat="false" ht="12.5" hidden="false" customHeight="false" outlineLevel="0" collapsed="false">
      <c r="A24" s="702" t="s">
        <v>1007</v>
      </c>
      <c r="B24" s="370"/>
      <c r="C24" s="370"/>
      <c r="D24" s="370"/>
      <c r="E24" s="370"/>
      <c r="F24" s="370"/>
      <c r="G24" s="370"/>
      <c r="H24" s="371"/>
    </row>
    <row r="25" customFormat="false" ht="12" hidden="false" customHeight="false" outlineLevel="0" collapsed="false">
      <c r="A25" s="694"/>
      <c r="B25" s="376"/>
      <c r="C25" s="376"/>
      <c r="D25" s="376"/>
      <c r="E25" s="376"/>
      <c r="F25" s="822"/>
      <c r="G25" s="822"/>
      <c r="H25" s="913"/>
    </row>
    <row r="26" customFormat="false" ht="12" hidden="false" customHeight="false" outlineLevel="0" collapsed="false">
      <c r="A26" s="697" t="s">
        <v>1008</v>
      </c>
      <c r="B26" s="724" t="n">
        <f aca="false">PASSIF!D23</f>
        <v>0</v>
      </c>
      <c r="C26" s="724" t="n">
        <f aca="false">B26</f>
        <v>0</v>
      </c>
      <c r="D26" s="724" t="n">
        <f aca="false">B26-C26</f>
        <v>0</v>
      </c>
      <c r="E26" s="724" t="n">
        <v>0</v>
      </c>
      <c r="F26" s="914"/>
      <c r="G26" s="914"/>
      <c r="H26" s="915"/>
    </row>
    <row r="27" customFormat="false" ht="12" hidden="false" customHeight="false" outlineLevel="0" collapsed="false">
      <c r="A27" s="697" t="s">
        <v>1009</v>
      </c>
      <c r="B27" s="724"/>
      <c r="C27" s="724"/>
      <c r="D27" s="724"/>
      <c r="E27" s="724"/>
      <c r="F27" s="914"/>
      <c r="G27" s="914"/>
      <c r="H27" s="915"/>
    </row>
    <row r="28" customFormat="false" ht="12" hidden="false" customHeight="false" outlineLevel="0" collapsed="false">
      <c r="A28" s="697" t="s">
        <v>1010</v>
      </c>
      <c r="B28" s="724"/>
      <c r="C28" s="724"/>
      <c r="D28" s="724"/>
      <c r="E28" s="724"/>
      <c r="F28" s="914"/>
      <c r="G28" s="914"/>
      <c r="H28" s="915"/>
    </row>
    <row r="29" customFormat="false" ht="12" hidden="false" customHeight="false" outlineLevel="0" collapsed="false">
      <c r="A29" s="697" t="s">
        <v>1011</v>
      </c>
      <c r="B29" s="724"/>
      <c r="C29" s="724"/>
      <c r="D29" s="724"/>
      <c r="E29" s="724"/>
      <c r="F29" s="914"/>
      <c r="G29" s="914"/>
      <c r="H29" s="915"/>
    </row>
    <row r="30" customFormat="false" ht="12" hidden="false" customHeight="false" outlineLevel="0" collapsed="false">
      <c r="A30" s="697" t="s">
        <v>1012</v>
      </c>
      <c r="B30" s="724"/>
      <c r="C30" s="724"/>
      <c r="D30" s="724"/>
      <c r="E30" s="724"/>
      <c r="F30" s="914"/>
      <c r="G30" s="914"/>
      <c r="H30" s="915"/>
    </row>
    <row r="31" customFormat="false" ht="12" hidden="false" customHeight="false" outlineLevel="0" collapsed="false">
      <c r="A31" s="697" t="s">
        <v>1013</v>
      </c>
      <c r="B31" s="724"/>
      <c r="C31" s="724"/>
      <c r="D31" s="724"/>
      <c r="E31" s="724"/>
      <c r="F31" s="914"/>
      <c r="G31" s="914"/>
      <c r="H31" s="915"/>
    </row>
    <row r="32" customFormat="false" ht="12" hidden="false" customHeight="false" outlineLevel="0" collapsed="false">
      <c r="A32" s="697" t="s">
        <v>1014</v>
      </c>
      <c r="B32" s="724"/>
      <c r="C32" s="724"/>
      <c r="D32" s="724"/>
      <c r="E32" s="724"/>
      <c r="F32" s="914"/>
      <c r="G32" s="914"/>
      <c r="H32" s="915"/>
    </row>
    <row r="33" customFormat="false" ht="12" hidden="false" customHeight="false" outlineLevel="0" collapsed="false">
      <c r="A33" s="697" t="s">
        <v>1015</v>
      </c>
      <c r="B33" s="724"/>
      <c r="C33" s="724"/>
      <c r="D33" s="724"/>
      <c r="E33" s="724"/>
      <c r="F33" s="914"/>
      <c r="G33" s="914"/>
      <c r="H33" s="915"/>
    </row>
    <row r="34" customFormat="false" ht="12" hidden="false" customHeight="false" outlineLevel="0" collapsed="false">
      <c r="A34" s="697" t="s">
        <v>1016</v>
      </c>
      <c r="B34" s="724"/>
      <c r="C34" s="724"/>
      <c r="D34" s="724"/>
      <c r="E34" s="724"/>
      <c r="F34" s="914"/>
      <c r="G34" s="914"/>
      <c r="H34" s="915"/>
    </row>
    <row r="35" customFormat="false" ht="12" hidden="false" customHeight="false" outlineLevel="0" collapsed="false">
      <c r="A35" s="697" t="s">
        <v>1017</v>
      </c>
      <c r="B35" s="724"/>
      <c r="C35" s="724"/>
      <c r="D35" s="724"/>
      <c r="E35" s="724"/>
      <c r="F35" s="914"/>
      <c r="G35" s="914"/>
      <c r="H35" s="915"/>
    </row>
    <row r="36" customFormat="false" ht="12" hidden="false" customHeight="false" outlineLevel="0" collapsed="false">
      <c r="A36" s="697" t="s">
        <v>1018</v>
      </c>
      <c r="B36" s="724"/>
      <c r="C36" s="724"/>
      <c r="D36" s="724"/>
      <c r="E36" s="724"/>
      <c r="F36" s="914"/>
      <c r="G36" s="914"/>
      <c r="H36" s="915"/>
    </row>
    <row r="37" customFormat="false" ht="12" hidden="false" customHeight="false" outlineLevel="0" collapsed="false">
      <c r="A37" s="697" t="s">
        <v>1019</v>
      </c>
      <c r="B37" s="724"/>
      <c r="C37" s="724"/>
      <c r="D37" s="724"/>
      <c r="E37" s="724"/>
      <c r="F37" s="914"/>
      <c r="G37" s="914"/>
      <c r="H37" s="915"/>
    </row>
    <row r="38" customFormat="false" ht="12.5" hidden="false" customHeight="false" outlineLevel="0" collapsed="false">
      <c r="A38" s="700" t="s">
        <v>1020</v>
      </c>
      <c r="B38" s="727"/>
      <c r="C38" s="727"/>
      <c r="D38" s="727"/>
      <c r="E38" s="727"/>
      <c r="F38" s="916"/>
      <c r="G38" s="916"/>
      <c r="H38" s="917"/>
    </row>
    <row r="39" customFormat="false" ht="12.5" hidden="false" customHeight="false" outlineLevel="0" collapsed="false">
      <c r="A39" s="702" t="s">
        <v>1021</v>
      </c>
      <c r="B39" s="497" t="n">
        <f aca="false">SUM(B26:B38)</f>
        <v>0</v>
      </c>
      <c r="C39" s="497" t="n">
        <f aca="false">SUM(C26:C38)</f>
        <v>0</v>
      </c>
      <c r="D39" s="497" t="n">
        <f aca="false">SUM(D26:D38)</f>
        <v>0</v>
      </c>
      <c r="E39" s="497" t="n">
        <f aca="false">SUM(E26:E38)</f>
        <v>0</v>
      </c>
      <c r="F39" s="918"/>
      <c r="G39" s="918"/>
      <c r="H39" s="919"/>
    </row>
    <row r="40" customFormat="false" ht="12" hidden="false" customHeight="false" outlineLevel="0" collapsed="false">
      <c r="A40" s="260" t="s">
        <v>1022</v>
      </c>
    </row>
    <row r="41" customFormat="false" ht="15.75" hidden="false" customHeight="true" outlineLevel="0" collapsed="false">
      <c r="A41" s="920" t="s">
        <v>1023</v>
      </c>
      <c r="B41" s="920"/>
      <c r="C41" s="920"/>
      <c r="D41" s="920"/>
      <c r="E41" s="920"/>
      <c r="F41" s="920"/>
      <c r="G41" s="920"/>
      <c r="H41" s="920"/>
      <c r="I41" s="921"/>
      <c r="J41" s="921"/>
      <c r="K41" s="921"/>
    </row>
    <row r="42" customFormat="false" ht="12" hidden="false" customHeight="true" outlineLevel="0" collapsed="false">
      <c r="A42" s="920"/>
      <c r="B42" s="920"/>
      <c r="C42" s="920"/>
      <c r="D42" s="920"/>
      <c r="E42" s="920"/>
      <c r="F42" s="920"/>
      <c r="G42" s="920"/>
      <c r="H42" s="920"/>
      <c r="I42" s="921"/>
      <c r="J42" s="921"/>
      <c r="K42" s="921"/>
    </row>
    <row r="43" customFormat="false" ht="12" hidden="false" customHeight="true" outlineLevel="0" collapsed="false">
      <c r="A43" s="920"/>
      <c r="B43" s="920"/>
      <c r="C43" s="920"/>
      <c r="D43" s="920"/>
      <c r="E43" s="920"/>
      <c r="F43" s="920"/>
      <c r="G43" s="920"/>
      <c r="H43" s="920"/>
      <c r="I43" s="921"/>
      <c r="J43" s="921"/>
      <c r="K43" s="921"/>
    </row>
    <row r="44" customFormat="false" ht="12" hidden="false" customHeight="true" outlineLevel="0" collapsed="false">
      <c r="A44" s="920"/>
      <c r="B44" s="920"/>
      <c r="C44" s="920"/>
      <c r="D44" s="920"/>
      <c r="E44" s="920"/>
      <c r="F44" s="920"/>
      <c r="G44" s="920"/>
      <c r="H44" s="920"/>
      <c r="I44" s="921"/>
      <c r="J44" s="921"/>
      <c r="K44" s="921"/>
    </row>
    <row r="45" customFormat="false" ht="12" hidden="false" customHeight="true" outlineLevel="0" collapsed="false">
      <c r="A45" s="920"/>
      <c r="B45" s="920"/>
      <c r="C45" s="920"/>
      <c r="D45" s="920"/>
      <c r="E45" s="920"/>
      <c r="F45" s="920"/>
      <c r="G45" s="920"/>
      <c r="H45" s="920"/>
      <c r="I45" s="921"/>
      <c r="J45" s="921"/>
      <c r="K45" s="921"/>
    </row>
    <row r="46" customFormat="false" ht="12" hidden="false" customHeight="true" outlineLevel="0" collapsed="false">
      <c r="A46" s="920"/>
      <c r="B46" s="920"/>
      <c r="C46" s="920"/>
      <c r="D46" s="920"/>
      <c r="E46" s="920"/>
      <c r="F46" s="920"/>
      <c r="G46" s="920"/>
      <c r="H46" s="920"/>
      <c r="I46" s="921"/>
      <c r="J46" s="921"/>
      <c r="K46" s="921"/>
    </row>
    <row r="47" customFormat="false" ht="12" hidden="false" customHeight="true" outlineLevel="0" collapsed="false">
      <c r="A47" s="920"/>
      <c r="B47" s="920"/>
      <c r="C47" s="920"/>
      <c r="D47" s="920"/>
      <c r="E47" s="920"/>
      <c r="F47" s="920"/>
      <c r="G47" s="920"/>
      <c r="H47" s="920"/>
      <c r="I47" s="921"/>
      <c r="J47" s="921"/>
      <c r="K47" s="921"/>
    </row>
    <row r="48" customFormat="false" ht="12" hidden="false" customHeight="true" outlineLevel="0" collapsed="false">
      <c r="A48" s="920"/>
      <c r="B48" s="920"/>
      <c r="C48" s="920"/>
      <c r="D48" s="920"/>
      <c r="E48" s="920"/>
      <c r="F48" s="920"/>
      <c r="G48" s="920"/>
      <c r="H48" s="920"/>
      <c r="I48" s="921"/>
      <c r="J48" s="921"/>
      <c r="K48" s="921"/>
    </row>
  </sheetData>
  <mergeCells count="2">
    <mergeCell ref="A5:H5"/>
    <mergeCell ref="A41:H48"/>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5:E43"/>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B50" activeCellId="0" sqref="B50"/>
    </sheetView>
  </sheetViews>
  <sheetFormatPr defaultColWidth="10.8125" defaultRowHeight="12" zeroHeight="false" outlineLevelRow="0" outlineLevelCol="0"/>
  <cols>
    <col collapsed="false" customWidth="true" hidden="false" outlineLevel="0" max="1" min="1" style="209" width="100.26"/>
    <col collapsed="false" customWidth="true" hidden="false" outlineLevel="0" max="2" min="2" style="209" width="19.44"/>
    <col collapsed="false" customWidth="true" hidden="false" outlineLevel="0" max="3" min="3" style="209" width="18.99"/>
    <col collapsed="false" customWidth="true" hidden="false" outlineLevel="0" max="4" min="4" style="209" width="17.17"/>
    <col collapsed="false" customWidth="true" hidden="false" outlineLevel="0" max="5" min="5" style="209" width="17.72"/>
    <col collapsed="false" customWidth="false" hidden="false" outlineLevel="0" max="257" min="6" style="209" width="10.81"/>
  </cols>
  <sheetData>
    <row r="5" s="202" customFormat="true" ht="13" hidden="false" customHeight="false" outlineLevel="0" collapsed="false">
      <c r="A5" s="359" t="s">
        <v>1024</v>
      </c>
      <c r="B5" s="217" t="s">
        <v>199</v>
      </c>
      <c r="C5" s="203"/>
    </row>
    <row r="6" s="202" customFormat="true" ht="13" hidden="false" customHeight="false" outlineLevel="0" collapsed="false">
      <c r="A6" s="360" t="s">
        <v>200</v>
      </c>
      <c r="B6" s="217" t="s">
        <v>101</v>
      </c>
      <c r="C6" s="207"/>
    </row>
    <row r="7" customFormat="false" ht="14" hidden="false" customHeight="false" outlineLevel="0" collapsed="false">
      <c r="A7" s="602" t="s">
        <v>1025</v>
      </c>
      <c r="B7" s="602"/>
      <c r="C7" s="602"/>
      <c r="D7" s="922"/>
      <c r="E7" s="922"/>
    </row>
    <row r="8" customFormat="false" ht="14.5" hidden="false" customHeight="false" outlineLevel="0" collapsed="false">
      <c r="A8" s="566" t="s">
        <v>1026</v>
      </c>
      <c r="B8" s="566"/>
      <c r="C8" s="566"/>
      <c r="D8" s="566"/>
      <c r="E8" s="766"/>
    </row>
    <row r="9" customFormat="false" ht="12" hidden="false" customHeight="false" outlineLevel="0" collapsed="false">
      <c r="A9" s="923" t="s">
        <v>1027</v>
      </c>
      <c r="B9" s="924"/>
      <c r="C9" s="925"/>
    </row>
    <row r="10" customFormat="false" ht="12.5" hidden="false" customHeight="false" outlineLevel="0" collapsed="false">
      <c r="A10" s="926" t="s">
        <v>687</v>
      </c>
      <c r="B10" s="927" t="s">
        <v>688</v>
      </c>
      <c r="C10" s="928" t="s">
        <v>689</v>
      </c>
    </row>
    <row r="11" customFormat="false" ht="12" hidden="false" customHeight="false" outlineLevel="0" collapsed="false">
      <c r="A11" s="694" t="s">
        <v>1028</v>
      </c>
      <c r="B11" s="929"/>
      <c r="C11" s="930"/>
    </row>
    <row r="12" customFormat="false" ht="12" hidden="false" customHeight="false" outlineLevel="0" collapsed="false">
      <c r="A12" s="697" t="s">
        <v>1029</v>
      </c>
      <c r="B12" s="931"/>
      <c r="C12" s="932"/>
    </row>
    <row r="13" customFormat="false" ht="12" hidden="false" customHeight="false" outlineLevel="0" collapsed="false">
      <c r="A13" s="697" t="s">
        <v>1030</v>
      </c>
      <c r="B13" s="931"/>
      <c r="C13" s="932"/>
    </row>
    <row r="14" customFormat="false" ht="12" hidden="false" customHeight="false" outlineLevel="0" collapsed="false">
      <c r="A14" s="697" t="s">
        <v>1031</v>
      </c>
      <c r="B14" s="931"/>
      <c r="C14" s="932"/>
    </row>
    <row r="15" customFormat="false" ht="12" hidden="false" customHeight="false" outlineLevel="0" collapsed="false">
      <c r="A15" s="697" t="s">
        <v>1032</v>
      </c>
      <c r="B15" s="931"/>
      <c r="C15" s="932"/>
    </row>
    <row r="16" customFormat="false" ht="12.5" hidden="false" customHeight="false" outlineLevel="0" collapsed="false">
      <c r="A16" s="933" t="s">
        <v>1033</v>
      </c>
      <c r="B16" s="934"/>
      <c r="C16" s="935"/>
    </row>
    <row r="17" customFormat="false" ht="12" hidden="false" customHeight="false" outlineLevel="0" collapsed="false">
      <c r="A17" s="936" t="s">
        <v>1034</v>
      </c>
    </row>
    <row r="18" customFormat="false" ht="36" hidden="false" customHeight="true" outlineLevel="0" collapsed="false">
      <c r="A18" s="937" t="s">
        <v>1035</v>
      </c>
      <c r="B18" s="937"/>
      <c r="C18" s="937"/>
      <c r="D18" s="938"/>
      <c r="E18" s="938"/>
    </row>
    <row r="19" customFormat="false" ht="12.5" hidden="false" customHeight="false" outlineLevel="0" collapsed="false">
      <c r="A19" s="939"/>
    </row>
    <row r="20" customFormat="false" ht="45" hidden="false" customHeight="true" outlineLevel="0" collapsed="false">
      <c r="A20" s="363" t="s">
        <v>1036</v>
      </c>
      <c r="B20" s="363"/>
      <c r="C20" s="363"/>
    </row>
    <row r="21" customFormat="false" ht="12.5" hidden="false" customHeight="false" outlineLevel="0" collapsed="false">
      <c r="A21" s="603" t="s">
        <v>1037</v>
      </c>
      <c r="B21" s="604" t="s">
        <v>688</v>
      </c>
      <c r="C21" s="606" t="s">
        <v>689</v>
      </c>
    </row>
    <row r="22" customFormat="false" ht="12" hidden="false" customHeight="false" outlineLevel="0" collapsed="false">
      <c r="A22" s="940" t="s">
        <v>1038</v>
      </c>
      <c r="B22" s="941"/>
      <c r="C22" s="942"/>
    </row>
    <row r="23" customFormat="false" ht="12" hidden="false" customHeight="false" outlineLevel="0" collapsed="false">
      <c r="A23" s="697" t="s">
        <v>1039</v>
      </c>
      <c r="B23" s="943"/>
      <c r="C23" s="944"/>
    </row>
    <row r="24" customFormat="false" ht="12" hidden="false" customHeight="false" outlineLevel="0" collapsed="false">
      <c r="A24" s="697" t="s">
        <v>1040</v>
      </c>
      <c r="B24" s="943"/>
      <c r="C24" s="944"/>
    </row>
    <row r="25" customFormat="false" ht="12" hidden="false" customHeight="false" outlineLevel="0" collapsed="false">
      <c r="A25" s="697" t="s">
        <v>1041</v>
      </c>
      <c r="B25" s="943"/>
      <c r="C25" s="944"/>
    </row>
    <row r="26" customFormat="false" ht="12" hidden="false" customHeight="false" outlineLevel="0" collapsed="false">
      <c r="A26" s="697" t="s">
        <v>1042</v>
      </c>
      <c r="B26" s="943"/>
      <c r="C26" s="944"/>
    </row>
    <row r="27" customFormat="false" ht="12.5" hidden="false" customHeight="false" outlineLevel="0" collapsed="false">
      <c r="A27" s="700" t="s">
        <v>1043</v>
      </c>
      <c r="B27" s="945"/>
      <c r="C27" s="946"/>
    </row>
    <row r="28" customFormat="false" ht="12.5" hidden="false" customHeight="false" outlineLevel="0" collapsed="false">
      <c r="A28" s="702" t="s">
        <v>1044</v>
      </c>
      <c r="B28" s="947"/>
      <c r="C28" s="948"/>
    </row>
    <row r="29" customFormat="false" ht="12" hidden="false" customHeight="false" outlineLevel="0" collapsed="false">
      <c r="A29" s="949"/>
      <c r="B29" s="950"/>
      <c r="C29" s="951"/>
    </row>
    <row r="30" customFormat="false" ht="12" hidden="false" customHeight="false" outlineLevel="0" collapsed="false">
      <c r="A30" s="936" t="s">
        <v>1034</v>
      </c>
    </row>
    <row r="31" customFormat="false" ht="12" hidden="false" customHeight="false" outlineLevel="0" collapsed="false">
      <c r="A31" s="952" t="s">
        <v>1045</v>
      </c>
    </row>
    <row r="32" customFormat="false" ht="12.5" hidden="false" customHeight="false" outlineLevel="0" collapsed="false">
      <c r="A32" s="952"/>
    </row>
    <row r="33" customFormat="false" ht="30" hidden="false" customHeight="true" outlineLevel="0" collapsed="false">
      <c r="A33" s="363" t="s">
        <v>1046</v>
      </c>
      <c r="B33" s="363"/>
      <c r="C33" s="363"/>
      <c r="D33" s="363"/>
      <c r="E33" s="363"/>
    </row>
    <row r="34" customFormat="false" ht="12.5" hidden="false" customHeight="true" outlineLevel="0" collapsed="false">
      <c r="A34" s="953" t="s">
        <v>687</v>
      </c>
      <c r="B34" s="954" t="s">
        <v>688</v>
      </c>
      <c r="C34" s="954"/>
      <c r="D34" s="955" t="s">
        <v>689</v>
      </c>
      <c r="E34" s="955"/>
    </row>
    <row r="35" customFormat="false" ht="12" hidden="false" customHeight="false" outlineLevel="0" collapsed="false">
      <c r="A35" s="956" t="s">
        <v>215</v>
      </c>
      <c r="B35" s="957" t="s">
        <v>1047</v>
      </c>
      <c r="C35" s="957" t="s">
        <v>1048</v>
      </c>
      <c r="D35" s="957" t="s">
        <v>1047</v>
      </c>
      <c r="E35" s="958" t="s">
        <v>1048</v>
      </c>
    </row>
    <row r="36" customFormat="false" ht="12" hidden="false" customHeight="false" outlineLevel="0" collapsed="false">
      <c r="A36" s="697" t="s">
        <v>1029</v>
      </c>
      <c r="B36" s="931"/>
      <c r="C36" s="931"/>
      <c r="D36" s="931"/>
      <c r="E36" s="932"/>
    </row>
    <row r="37" customFormat="false" ht="12" hidden="false" customHeight="false" outlineLevel="0" collapsed="false">
      <c r="A37" s="697" t="s">
        <v>1049</v>
      </c>
      <c r="B37" s="931"/>
      <c r="C37" s="931"/>
      <c r="D37" s="931"/>
      <c r="E37" s="932"/>
    </row>
    <row r="38" customFormat="false" ht="12" hidden="false" customHeight="false" outlineLevel="0" collapsed="false">
      <c r="A38" s="697" t="s">
        <v>1050</v>
      </c>
      <c r="B38" s="931"/>
      <c r="C38" s="931"/>
      <c r="D38" s="931"/>
      <c r="E38" s="932"/>
    </row>
    <row r="39" customFormat="false" ht="12.5" hidden="false" customHeight="false" outlineLevel="0" collapsed="false">
      <c r="A39" s="933" t="s">
        <v>1051</v>
      </c>
      <c r="B39" s="934"/>
      <c r="C39" s="934"/>
      <c r="D39" s="934"/>
      <c r="E39" s="935"/>
    </row>
    <row r="40" customFormat="false" ht="12" hidden="false" customHeight="false" outlineLevel="0" collapsed="false">
      <c r="A40" s="810"/>
    </row>
    <row r="41" customFormat="false" ht="12" hidden="false" customHeight="false" outlineLevel="0" collapsed="false">
      <c r="A41" s="810" t="s">
        <v>1034</v>
      </c>
    </row>
    <row r="42" customFormat="false" ht="12" hidden="false" customHeight="false" outlineLevel="0" collapsed="false">
      <c r="A42" s="959" t="s">
        <v>1052</v>
      </c>
      <c r="B42" s="959"/>
      <c r="C42" s="959"/>
      <c r="D42" s="959"/>
    </row>
    <row r="43" customFormat="false" ht="12" hidden="false" customHeight="false" outlineLevel="0" collapsed="false">
      <c r="A43" s="959" t="s">
        <v>1053</v>
      </c>
      <c r="B43" s="959"/>
      <c r="C43" s="959"/>
      <c r="D43" s="959"/>
    </row>
  </sheetData>
  <mergeCells count="13">
    <mergeCell ref="A7:C7"/>
    <mergeCell ref="A8:D8"/>
    <mergeCell ref="A18:C18"/>
    <mergeCell ref="A20:C20"/>
    <mergeCell ref="A33:E33"/>
    <mergeCell ref="B34:C34"/>
    <mergeCell ref="D34:E34"/>
    <mergeCell ref="B36:B37"/>
    <mergeCell ref="C36:C37"/>
    <mergeCell ref="D36:D37"/>
    <mergeCell ref="E36:E37"/>
    <mergeCell ref="A42:D42"/>
    <mergeCell ref="A43:D43"/>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5:F34"/>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22" activeCellId="0" sqref="B22:E24"/>
    </sheetView>
  </sheetViews>
  <sheetFormatPr defaultColWidth="10.8125" defaultRowHeight="12" zeroHeight="false" outlineLevelRow="0" outlineLevelCol="0"/>
  <cols>
    <col collapsed="false" customWidth="true" hidden="false" outlineLevel="0" max="1" min="1" style="209" width="49.44"/>
    <col collapsed="false" customWidth="false" hidden="false" outlineLevel="0" max="257" min="2" style="209" width="10.81"/>
  </cols>
  <sheetData>
    <row r="5" s="202" customFormat="true" ht="13" hidden="false" customHeight="false" outlineLevel="0" collapsed="false">
      <c r="A5" s="359" t="s">
        <v>1024</v>
      </c>
      <c r="C5" s="217" t="s">
        <v>199</v>
      </c>
      <c r="E5" s="203"/>
    </row>
    <row r="6" s="202" customFormat="true" ht="13" hidden="false" customHeight="false" outlineLevel="0" collapsed="false">
      <c r="A6" s="360" t="s">
        <v>620</v>
      </c>
      <c r="C6" s="217" t="s">
        <v>101</v>
      </c>
      <c r="E6" s="207"/>
    </row>
    <row r="7" customFormat="false" ht="12" hidden="false" customHeight="false" outlineLevel="0" collapsed="false">
      <c r="A7" s="540"/>
      <c r="C7" s="540"/>
    </row>
    <row r="8" customFormat="false" ht="12" hidden="false" customHeight="false" outlineLevel="0" collapsed="false">
      <c r="A8" s="428" t="s">
        <v>1054</v>
      </c>
      <c r="B8" s="428"/>
      <c r="C8" s="428"/>
      <c r="D8" s="428"/>
      <c r="E8" s="428"/>
    </row>
    <row r="9" customFormat="false" ht="12" hidden="false" customHeight="false" outlineLevel="0" collapsed="false">
      <c r="A9" s="563"/>
    </row>
    <row r="10" customFormat="false" ht="12.5" hidden="false" customHeight="false" outlineLevel="0" collapsed="false">
      <c r="A10" s="960" t="s">
        <v>1055</v>
      </c>
      <c r="B10" s="960"/>
      <c r="C10" s="960"/>
      <c r="D10" s="960"/>
      <c r="E10" s="960"/>
      <c r="F10" s="960"/>
    </row>
    <row r="11" customFormat="false" ht="15" hidden="false" customHeight="true" outlineLevel="0" collapsed="false">
      <c r="A11" s="363" t="s">
        <v>1056</v>
      </c>
      <c r="B11" s="363"/>
      <c r="C11" s="363"/>
    </row>
    <row r="12" customFormat="false" ht="15" hidden="false" customHeight="true" outlineLevel="0" collapsed="false">
      <c r="A12" s="437" t="s">
        <v>687</v>
      </c>
      <c r="B12" s="738" t="s">
        <v>688</v>
      </c>
      <c r="C12" s="738" t="s">
        <v>689</v>
      </c>
    </row>
    <row r="13" customFormat="false" ht="15" hidden="false" customHeight="true" outlineLevel="0" collapsed="false">
      <c r="A13" s="550" t="s">
        <v>1057</v>
      </c>
      <c r="B13" s="961"/>
      <c r="C13" s="961"/>
    </row>
    <row r="14" customFormat="false" ht="15" hidden="false" customHeight="true" outlineLevel="0" collapsed="false">
      <c r="A14" s="550" t="s">
        <v>1058</v>
      </c>
      <c r="B14" s="962"/>
      <c r="C14" s="962"/>
    </row>
    <row r="15" customFormat="false" ht="15" hidden="false" customHeight="true" outlineLevel="0" collapsed="false">
      <c r="A15" s="551" t="s">
        <v>1059</v>
      </c>
      <c r="B15" s="963"/>
      <c r="C15" s="963"/>
    </row>
    <row r="16" customFormat="false" ht="12" hidden="false" customHeight="false" outlineLevel="0" collapsed="false">
      <c r="A16" s="810" t="s">
        <v>1034</v>
      </c>
    </row>
    <row r="17" customFormat="false" ht="12" hidden="false" customHeight="false" outlineLevel="0" collapsed="false">
      <c r="A17" s="732" t="s">
        <v>1060</v>
      </c>
    </row>
    <row r="18" customFormat="false" ht="12.5" hidden="false" customHeight="false" outlineLevel="0" collapsed="false">
      <c r="A18" s="964" t="s">
        <v>95</v>
      </c>
    </row>
    <row r="19" customFormat="false" ht="12.5" hidden="false" customHeight="true" outlineLevel="0" collapsed="false">
      <c r="A19" s="363" t="s">
        <v>1061</v>
      </c>
      <c r="B19" s="363"/>
      <c r="C19" s="363"/>
      <c r="D19" s="363"/>
      <c r="E19" s="363"/>
    </row>
    <row r="20" customFormat="false" ht="12.5" hidden="false" customHeight="true" outlineLevel="0" collapsed="false">
      <c r="A20" s="437" t="s">
        <v>687</v>
      </c>
      <c r="B20" s="363" t="s">
        <v>688</v>
      </c>
      <c r="C20" s="363"/>
      <c r="D20" s="363" t="s">
        <v>689</v>
      </c>
      <c r="E20" s="363"/>
    </row>
    <row r="21" customFormat="false" ht="23.5" hidden="false" customHeight="false" outlineLevel="0" collapsed="false">
      <c r="A21" s="965" t="s">
        <v>215</v>
      </c>
      <c r="B21" s="963" t="s">
        <v>1062</v>
      </c>
      <c r="C21" s="963" t="s">
        <v>1063</v>
      </c>
      <c r="D21" s="963" t="s">
        <v>1062</v>
      </c>
      <c r="E21" s="963" t="s">
        <v>1063</v>
      </c>
    </row>
    <row r="22" customFormat="false" ht="12.5" hidden="false" customHeight="false" outlineLevel="0" collapsed="false">
      <c r="A22" s="550" t="s">
        <v>832</v>
      </c>
      <c r="B22" s="966"/>
      <c r="C22" s="966"/>
      <c r="D22" s="966"/>
      <c r="E22" s="966"/>
    </row>
    <row r="23" customFormat="false" ht="12.5" hidden="false" customHeight="false" outlineLevel="0" collapsed="false">
      <c r="A23" s="550" t="s">
        <v>833</v>
      </c>
      <c r="B23" s="966"/>
      <c r="C23" s="966"/>
      <c r="D23" s="966"/>
      <c r="E23" s="966"/>
    </row>
    <row r="24" customFormat="false" ht="12.5" hidden="false" customHeight="false" outlineLevel="0" collapsed="false">
      <c r="A24" s="550" t="s">
        <v>1064</v>
      </c>
      <c r="B24" s="966"/>
      <c r="C24" s="966"/>
      <c r="D24" s="966"/>
      <c r="E24" s="966"/>
    </row>
    <row r="25" customFormat="false" ht="12.5" hidden="false" customHeight="false" outlineLevel="0" collapsed="false">
      <c r="A25" s="967" t="s">
        <v>1065</v>
      </c>
      <c r="B25" s="756"/>
      <c r="C25" s="756"/>
      <c r="D25" s="756"/>
      <c r="E25" s="756"/>
    </row>
    <row r="26" customFormat="false" ht="12" hidden="false" customHeight="false" outlineLevel="0" collapsed="false">
      <c r="A26" s="810"/>
    </row>
    <row r="27" customFormat="false" ht="12" hidden="false" customHeight="false" outlineLevel="0" collapsed="false">
      <c r="A27" s="810" t="s">
        <v>1066</v>
      </c>
    </row>
    <row r="28" customFormat="false" ht="12" hidden="false" customHeight="false" outlineLevel="0" collapsed="false">
      <c r="A28" s="732" t="s">
        <v>1067</v>
      </c>
      <c r="B28" s="964"/>
    </row>
    <row r="29" customFormat="false" ht="12" hidden="false" customHeight="false" outlineLevel="0" collapsed="false">
      <c r="A29" s="732" t="s">
        <v>1068</v>
      </c>
      <c r="B29" s="964"/>
    </row>
    <row r="30" customFormat="false" ht="12" hidden="false" customHeight="false" outlineLevel="0" collapsed="false">
      <c r="A30" s="732" t="s">
        <v>1069</v>
      </c>
    </row>
    <row r="31" customFormat="false" ht="12" hidden="false" customHeight="false" outlineLevel="0" collapsed="false">
      <c r="A31" s="761" t="s">
        <v>95</v>
      </c>
    </row>
    <row r="32" customFormat="false" ht="12" hidden="false" customHeight="false" outlineLevel="0" collapsed="false">
      <c r="A32" s="761" t="s">
        <v>95</v>
      </c>
    </row>
    <row r="33" customFormat="false" ht="12" hidden="false" customHeight="false" outlineLevel="0" collapsed="false">
      <c r="A33" s="761"/>
    </row>
    <row r="34" customFormat="false" ht="12" hidden="false" customHeight="false" outlineLevel="0" collapsed="false">
      <c r="A34" s="761"/>
    </row>
  </sheetData>
  <mergeCells count="5">
    <mergeCell ref="A8:E8"/>
    <mergeCell ref="A11:C11"/>
    <mergeCell ref="A19:E19"/>
    <mergeCell ref="B20:C20"/>
    <mergeCell ref="D20:E20"/>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C18"/>
    </sheetView>
  </sheetViews>
  <sheetFormatPr defaultColWidth="10.8125" defaultRowHeight="11.5" zeroHeight="false" outlineLevelRow="0" outlineLevelCol="0"/>
  <cols>
    <col collapsed="false" customWidth="true" hidden="false" outlineLevel="0" max="1" min="1" style="202" width="56.72"/>
    <col collapsed="false" customWidth="true" hidden="false" outlineLevel="0" max="2" min="2" style="202" width="13.44"/>
    <col collapsed="false" customWidth="false" hidden="false" outlineLevel="0" max="257" min="3" style="202" width="10.81"/>
  </cols>
  <sheetData>
    <row r="6" customFormat="false" ht="13" hidden="false" customHeight="false" outlineLevel="0" collapsed="false">
      <c r="A6" s="359" t="s">
        <v>1070</v>
      </c>
      <c r="B6" s="217" t="s">
        <v>199</v>
      </c>
      <c r="C6" s="203"/>
    </row>
    <row r="7" customFormat="false" ht="13" hidden="false" customHeight="false" outlineLevel="0" collapsed="false">
      <c r="A7" s="360" t="s">
        <v>200</v>
      </c>
      <c r="B7" s="217" t="s">
        <v>101</v>
      </c>
      <c r="C7" s="207"/>
    </row>
    <row r="8" customFormat="false" ht="11.5" hidden="false" customHeight="false" outlineLevel="0" collapsed="false">
      <c r="A8" s="260"/>
      <c r="C8" s="260"/>
    </row>
    <row r="9" customFormat="false" ht="11.5" hidden="false" customHeight="false" outlineLevel="0" collapsed="false">
      <c r="A9" s="260"/>
    </row>
    <row r="10" customFormat="false" ht="14" hidden="false" customHeight="false" outlineLevel="0" collapsed="false">
      <c r="A10" s="417" t="s">
        <v>1071</v>
      </c>
      <c r="B10" s="417"/>
      <c r="C10" s="417"/>
    </row>
    <row r="11" customFormat="false" ht="14.5" hidden="false" customHeight="false" outlineLevel="0" collapsed="false">
      <c r="A11" s="418" t="s">
        <v>1072</v>
      </c>
      <c r="B11" s="418"/>
      <c r="C11" s="418"/>
    </row>
    <row r="12" customFormat="false" ht="12" hidden="false" customHeight="false" outlineLevel="0" collapsed="false">
      <c r="A12" s="968" t="s">
        <v>1073</v>
      </c>
      <c r="B12" s="604" t="s">
        <v>688</v>
      </c>
      <c r="C12" s="606" t="s">
        <v>689</v>
      </c>
    </row>
    <row r="13" customFormat="false" ht="12" hidden="false" customHeight="false" outlineLevel="0" collapsed="false">
      <c r="A13" s="702" t="s">
        <v>1074</v>
      </c>
      <c r="B13" s="969"/>
      <c r="C13" s="970"/>
    </row>
    <row r="14" customFormat="false" ht="11.5" hidden="false" customHeight="false" outlineLevel="0" collapsed="false">
      <c r="A14" s="705" t="s">
        <v>1075</v>
      </c>
      <c r="B14" s="971"/>
      <c r="C14" s="972"/>
    </row>
    <row r="15" customFormat="false" ht="11.5" hidden="false" customHeight="false" outlineLevel="0" collapsed="false">
      <c r="A15" s="697" t="s">
        <v>1076</v>
      </c>
      <c r="B15" s="824"/>
      <c r="C15" s="973"/>
    </row>
    <row r="16" customFormat="false" ht="12" hidden="false" customHeight="false" outlineLevel="0" collapsed="false">
      <c r="A16" s="700" t="s">
        <v>1076</v>
      </c>
      <c r="B16" s="974"/>
      <c r="C16" s="975"/>
    </row>
    <row r="17" customFormat="false" ht="12" hidden="false" customHeight="false" outlineLevel="0" collapsed="false">
      <c r="A17" s="702" t="s">
        <v>1077</v>
      </c>
      <c r="B17" s="969"/>
      <c r="C17" s="970"/>
    </row>
    <row r="18" customFormat="false" ht="11.5" hidden="false" customHeight="false" outlineLevel="0" collapsed="false">
      <c r="A18" s="705" t="s">
        <v>1075</v>
      </c>
      <c r="B18" s="971"/>
      <c r="C18" s="972"/>
    </row>
    <row r="19" customFormat="false" ht="11.5" hidden="false" customHeight="false" outlineLevel="0" collapsed="false">
      <c r="A19" s="697" t="s">
        <v>1076</v>
      </c>
      <c r="B19" s="824"/>
      <c r="C19" s="973"/>
    </row>
    <row r="20" customFormat="false" ht="12" hidden="false" customHeight="false" outlineLevel="0" collapsed="false">
      <c r="A20" s="933" t="s">
        <v>1076</v>
      </c>
      <c r="B20" s="976"/>
      <c r="C20" s="977"/>
    </row>
    <row r="21" customFormat="false" ht="11.5" hidden="false" customHeight="false" outlineLevel="0" collapsed="false">
      <c r="A21" s="688" t="s">
        <v>1078</v>
      </c>
    </row>
    <row r="22" customFormat="false" ht="48" hidden="false" customHeight="true" outlineLevel="0" collapsed="false">
      <c r="A22" s="937" t="s">
        <v>1079</v>
      </c>
      <c r="B22" s="937"/>
      <c r="C22" s="937"/>
      <c r="D22" s="938"/>
    </row>
    <row r="23" customFormat="false" ht="11.5" hidden="false" customHeight="false" outlineLevel="0" collapsed="false">
      <c r="A23" s="810" t="s">
        <v>95</v>
      </c>
    </row>
    <row r="24" customFormat="false" ht="11.5" hidden="false" customHeight="false" outlineLevel="0" collapsed="false">
      <c r="A24" s="810" t="s">
        <v>95</v>
      </c>
    </row>
    <row r="25" customFormat="false" ht="11.5" hidden="false" customHeight="false" outlineLevel="0" collapsed="false">
      <c r="A25" s="810" t="s">
        <v>95</v>
      </c>
    </row>
    <row r="26" customFormat="false" ht="11.5" hidden="false" customHeight="false" outlineLevel="0" collapsed="false">
      <c r="A26" s="810" t="s">
        <v>95</v>
      </c>
    </row>
  </sheetData>
  <mergeCells count="3">
    <mergeCell ref="A10:C10"/>
    <mergeCell ref="A11:C11"/>
    <mergeCell ref="A22:C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D33" activeCellId="0" sqref="D33"/>
    </sheetView>
  </sheetViews>
  <sheetFormatPr defaultColWidth="10.8125" defaultRowHeight="11.5" zeroHeight="false" outlineLevelRow="0" outlineLevelCol="0"/>
  <cols>
    <col collapsed="false" customWidth="true" hidden="false" outlineLevel="0" max="1" min="1" style="202" width="55.99"/>
    <col collapsed="false" customWidth="true" hidden="false" outlineLevel="0" max="2" min="2" style="202" width="13.99"/>
    <col collapsed="false" customWidth="true" hidden="false" outlineLevel="0" max="3" min="3" style="202" width="12.44"/>
    <col collapsed="false" customWidth="true" hidden="false" outlineLevel="0" max="4" min="4" style="202" width="12.72"/>
    <col collapsed="false" customWidth="true" hidden="false" outlineLevel="0" max="5" min="5" style="202" width="12.44"/>
    <col collapsed="false" customWidth="true" hidden="false" outlineLevel="0" max="6" min="6" style="202" width="12.72"/>
    <col collapsed="false" customWidth="false" hidden="false" outlineLevel="0" max="257" min="7" style="202" width="10.81"/>
  </cols>
  <sheetData>
    <row r="1" customFormat="false" ht="11.5" hidden="false" customHeight="false" outlineLevel="0" collapsed="false">
      <c r="A1" s="810"/>
    </row>
    <row r="4" customFormat="false" ht="13" hidden="false" customHeight="false" outlineLevel="0" collapsed="false">
      <c r="A4" s="359" t="s">
        <v>1080</v>
      </c>
      <c r="D4" s="217" t="s">
        <v>199</v>
      </c>
      <c r="F4" s="203"/>
    </row>
    <row r="5" customFormat="false" ht="13" hidden="false" customHeight="false" outlineLevel="0" collapsed="false">
      <c r="A5" s="360" t="s">
        <v>200</v>
      </c>
      <c r="D5" s="217" t="s">
        <v>101</v>
      </c>
      <c r="F5" s="207"/>
    </row>
    <row r="6" customFormat="false" ht="11.5" hidden="false" customHeight="false" outlineLevel="0" collapsed="false">
      <c r="A6" s="260"/>
      <c r="C6" s="260"/>
    </row>
    <row r="7" customFormat="false" ht="11.5" hidden="false" customHeight="false" outlineLevel="0" collapsed="false">
      <c r="A7" s="978" t="s">
        <v>1081</v>
      </c>
      <c r="B7" s="978"/>
      <c r="C7" s="978"/>
      <c r="D7" s="978"/>
      <c r="E7" s="978"/>
      <c r="F7" s="978"/>
      <c r="G7" s="978"/>
    </row>
    <row r="8" customFormat="false" ht="12" hidden="false" customHeight="false" outlineLevel="0" collapsed="false">
      <c r="A8" s="735" t="s">
        <v>1082</v>
      </c>
      <c r="B8" s="735"/>
      <c r="C8" s="735"/>
      <c r="D8" s="735"/>
      <c r="E8" s="735"/>
      <c r="F8" s="735"/>
      <c r="G8" s="735"/>
    </row>
    <row r="9" customFormat="false" ht="51.75" hidden="false" customHeight="true" outlineLevel="0" collapsed="false">
      <c r="A9" s="603" t="s">
        <v>687</v>
      </c>
      <c r="B9" s="604" t="s">
        <v>688</v>
      </c>
      <c r="C9" s="604" t="s">
        <v>1083</v>
      </c>
      <c r="D9" s="604" t="s">
        <v>1084</v>
      </c>
      <c r="E9" s="604" t="s">
        <v>1085</v>
      </c>
      <c r="F9" s="604" t="s">
        <v>1086</v>
      </c>
      <c r="G9" s="979" t="s">
        <v>1087</v>
      </c>
    </row>
    <row r="10" customFormat="false" ht="15" hidden="false" customHeight="true" outlineLevel="0" collapsed="false">
      <c r="A10" s="980" t="s">
        <v>1088</v>
      </c>
      <c r="B10" s="721" t="n">
        <f aca="false">PASSIF!D28</f>
        <v>0</v>
      </c>
      <c r="C10" s="721" t="n">
        <f aca="false">PASSIF!E28</f>
        <v>0</v>
      </c>
      <c r="D10" s="981" t="e">
        <f aca="false">(B10-C10)/C10</f>
        <v>#DIV/0!</v>
      </c>
      <c r="E10" s="721" t="n">
        <f aca="false">B10</f>
        <v>0</v>
      </c>
      <c r="F10" s="721"/>
      <c r="G10" s="723"/>
    </row>
    <row r="11" customFormat="false" ht="15" hidden="false" customHeight="true" outlineLevel="0" collapsed="false">
      <c r="A11" s="697" t="s">
        <v>1089</v>
      </c>
      <c r="B11" s="724"/>
      <c r="C11" s="724"/>
      <c r="D11" s="724"/>
      <c r="E11" s="724"/>
      <c r="F11" s="724"/>
      <c r="G11" s="725"/>
    </row>
    <row r="12" customFormat="false" ht="11.5" hidden="false" customHeight="false" outlineLevel="0" collapsed="false">
      <c r="A12" s="697" t="s">
        <v>1090</v>
      </c>
      <c r="B12" s="724"/>
      <c r="C12" s="724"/>
      <c r="D12" s="724"/>
      <c r="E12" s="724"/>
      <c r="F12" s="724"/>
      <c r="G12" s="725"/>
    </row>
    <row r="13" customFormat="false" ht="11.5" hidden="false" customHeight="false" outlineLevel="0" collapsed="false">
      <c r="A13" s="697" t="s">
        <v>1091</v>
      </c>
      <c r="B13" s="724"/>
      <c r="C13" s="724"/>
      <c r="D13" s="724"/>
      <c r="E13" s="724"/>
      <c r="F13" s="724"/>
      <c r="G13" s="725"/>
    </row>
    <row r="14" customFormat="false" ht="12" hidden="false" customHeight="false" outlineLevel="0" collapsed="false">
      <c r="A14" s="700" t="s">
        <v>1092</v>
      </c>
      <c r="B14" s="727"/>
      <c r="C14" s="727"/>
      <c r="D14" s="727"/>
      <c r="E14" s="727"/>
      <c r="F14" s="727"/>
      <c r="G14" s="728"/>
    </row>
    <row r="15" customFormat="false" ht="15" hidden="false" customHeight="true" outlineLevel="0" collapsed="false">
      <c r="A15" s="711" t="s">
        <v>1093</v>
      </c>
      <c r="B15" s="497" t="n">
        <f aca="false">SUM(B10:B14)</f>
        <v>0</v>
      </c>
      <c r="C15" s="497" t="n">
        <f aca="false">SUM(C10:C14)</f>
        <v>0</v>
      </c>
      <c r="D15" s="497"/>
      <c r="E15" s="497" t="n">
        <f aca="false">SUM(E10:E14)</f>
        <v>0</v>
      </c>
      <c r="F15" s="497"/>
      <c r="G15" s="982"/>
    </row>
    <row r="16" customFormat="false" ht="15" hidden="false" customHeight="true" outlineLevel="0" collapsed="false">
      <c r="A16" s="694" t="s">
        <v>215</v>
      </c>
      <c r="B16" s="823"/>
      <c r="C16" s="823"/>
      <c r="D16" s="823"/>
      <c r="E16" s="823"/>
      <c r="F16" s="823"/>
      <c r="G16" s="983"/>
    </row>
    <row r="17" customFormat="false" ht="15" hidden="false" customHeight="true" outlineLevel="0" collapsed="false">
      <c r="A17" s="697" t="s">
        <v>1094</v>
      </c>
      <c r="B17" s="698"/>
      <c r="C17" s="698"/>
      <c r="D17" s="698"/>
      <c r="E17" s="698"/>
      <c r="F17" s="698"/>
      <c r="G17" s="708"/>
    </row>
    <row r="18" customFormat="false" ht="11.5" hidden="false" customHeight="false" outlineLevel="0" collapsed="false">
      <c r="A18" s="697" t="s">
        <v>1095</v>
      </c>
      <c r="B18" s="698"/>
      <c r="C18" s="698"/>
      <c r="D18" s="698"/>
      <c r="E18" s="698"/>
      <c r="F18" s="698"/>
      <c r="G18" s="708"/>
    </row>
    <row r="19" customFormat="false" ht="15" hidden="false" customHeight="true" outlineLevel="0" collapsed="false">
      <c r="A19" s="700" t="s">
        <v>1096</v>
      </c>
      <c r="B19" s="701"/>
      <c r="C19" s="701"/>
      <c r="D19" s="701"/>
      <c r="E19" s="701"/>
      <c r="F19" s="701"/>
      <c r="G19" s="984"/>
    </row>
    <row r="20" customFormat="false" ht="15" hidden="false" customHeight="true" outlineLevel="0" collapsed="false">
      <c r="A20" s="711" t="s">
        <v>1097</v>
      </c>
      <c r="B20" s="712"/>
      <c r="C20" s="712"/>
      <c r="D20" s="712"/>
      <c r="E20" s="712"/>
      <c r="F20" s="712"/>
      <c r="G20" s="985"/>
    </row>
    <row r="21" customFormat="false" ht="19.5" hidden="false" customHeight="true" outlineLevel="0" collapsed="false">
      <c r="A21" s="688" t="s">
        <v>938</v>
      </c>
    </row>
    <row r="22" customFormat="false" ht="15" hidden="false" customHeight="true" outlineLevel="0" collapsed="false">
      <c r="A22" s="986" t="s">
        <v>1098</v>
      </c>
      <c r="B22" s="986"/>
      <c r="C22" s="986"/>
      <c r="D22" s="986"/>
    </row>
    <row r="23" customFormat="false" ht="11.5" hidden="false" customHeight="false" outlineLevel="0" collapsed="false">
      <c r="A23" s="986"/>
      <c r="B23" s="986"/>
      <c r="C23" s="986"/>
      <c r="D23" s="986"/>
    </row>
    <row r="24" customFormat="false" ht="11.5" hidden="false" customHeight="false" outlineLevel="0" collapsed="false">
      <c r="A24" s="986"/>
      <c r="B24" s="986"/>
      <c r="C24" s="986"/>
      <c r="D24" s="986"/>
    </row>
    <row r="25" customFormat="false" ht="11.5" hidden="false" customHeight="false" outlineLevel="0" collapsed="false">
      <c r="A25" s="986"/>
      <c r="B25" s="986"/>
      <c r="C25" s="986"/>
      <c r="D25" s="986"/>
    </row>
    <row r="26" customFormat="false" ht="11.5" hidden="false" customHeight="false" outlineLevel="0" collapsed="false">
      <c r="A26" s="986"/>
      <c r="B26" s="986"/>
      <c r="C26" s="986"/>
      <c r="D26" s="986"/>
    </row>
  </sheetData>
  <mergeCells count="3">
    <mergeCell ref="A7:G7"/>
    <mergeCell ref="A8:G8"/>
    <mergeCell ref="A22:D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B37" activeCellId="0" sqref="B37"/>
    </sheetView>
  </sheetViews>
  <sheetFormatPr defaultColWidth="10.90234375" defaultRowHeight="14.5" zeroHeight="false" outlineLevelRow="0" outlineLevelCol="0"/>
  <cols>
    <col collapsed="false" customWidth="true" hidden="false" outlineLevel="0" max="1" min="1" style="0" width="68.17"/>
    <col collapsed="false" customWidth="true" hidden="false" outlineLevel="0" max="2" min="2" style="0" width="13.44"/>
    <col collapsed="false" customWidth="true" hidden="false" outlineLevel="0" max="3" min="3" style="0" width="14.17"/>
    <col collapsed="false" customWidth="true" hidden="false" outlineLevel="0" max="4" min="4" style="0" width="13.44"/>
    <col collapsed="false" customWidth="true" hidden="false" outlineLevel="0" max="6" min="6" style="0" width="14.72"/>
    <col collapsed="false" customWidth="true" hidden="false" outlineLevel="0" max="7" min="7" style="0" width="13.44"/>
  </cols>
  <sheetData>
    <row r="1" customFormat="false" ht="15" hidden="false" customHeight="false" outlineLevel="0" collapsed="false">
      <c r="A1" s="849"/>
    </row>
    <row r="2" customFormat="false" ht="14.5" hidden="false" customHeight="false" outlineLevel="0" collapsed="false">
      <c r="A2" s="601"/>
    </row>
    <row r="3" customFormat="false" ht="15" hidden="false" customHeight="false" outlineLevel="0" collapsed="false">
      <c r="A3" s="849"/>
    </row>
    <row r="4" s="202" customFormat="true" ht="13" hidden="false" customHeight="false" outlineLevel="0" collapsed="false">
      <c r="A4" s="359" t="s">
        <v>51</v>
      </c>
      <c r="F4" s="217" t="s">
        <v>199</v>
      </c>
      <c r="H4" s="203"/>
    </row>
    <row r="5" s="202" customFormat="true" ht="13" hidden="false" customHeight="false" outlineLevel="0" collapsed="false">
      <c r="A5" s="360" t="s">
        <v>200</v>
      </c>
      <c r="F5" s="217" t="s">
        <v>621</v>
      </c>
      <c r="H5" s="207"/>
    </row>
    <row r="6" s="202" customFormat="true" ht="11.5" hidden="false" customHeight="false" outlineLevel="0" collapsed="false">
      <c r="A6" s="260"/>
      <c r="C6" s="260"/>
      <c r="D6" s="260"/>
    </row>
    <row r="7" s="202" customFormat="true" ht="14" hidden="false" customHeight="false" outlineLevel="0" collapsed="false">
      <c r="A7" s="850" t="s">
        <v>1099</v>
      </c>
      <c r="B7" s="850"/>
      <c r="C7" s="850"/>
      <c r="D7" s="850"/>
      <c r="E7" s="850"/>
      <c r="F7" s="850"/>
      <c r="G7" s="850"/>
      <c r="H7" s="850"/>
    </row>
    <row r="8" s="202" customFormat="true" ht="14.5" hidden="false" customHeight="false" outlineLevel="0" collapsed="false">
      <c r="A8" s="664" t="s">
        <v>158</v>
      </c>
      <c r="B8" s="664"/>
      <c r="C8" s="664"/>
      <c r="D8" s="664"/>
      <c r="E8" s="664"/>
      <c r="F8" s="664"/>
      <c r="G8" s="664"/>
      <c r="H8" s="664"/>
    </row>
    <row r="9" s="202" customFormat="true" ht="23" hidden="false" customHeight="true" outlineLevel="0" collapsed="false">
      <c r="A9" s="603" t="s">
        <v>687</v>
      </c>
      <c r="B9" s="604" t="s">
        <v>688</v>
      </c>
      <c r="C9" s="604" t="s">
        <v>1083</v>
      </c>
      <c r="D9" s="604" t="s">
        <v>987</v>
      </c>
      <c r="E9" s="604" t="s">
        <v>1084</v>
      </c>
      <c r="F9" s="719" t="s">
        <v>1085</v>
      </c>
      <c r="G9" s="605" t="s">
        <v>1100</v>
      </c>
      <c r="H9" s="987" t="s">
        <v>1087</v>
      </c>
    </row>
    <row r="10" s="202" customFormat="true" ht="23.5" hidden="false" customHeight="false" outlineLevel="0" collapsed="false">
      <c r="A10" s="603"/>
      <c r="B10" s="604"/>
      <c r="C10" s="604"/>
      <c r="D10" s="604"/>
      <c r="E10" s="604"/>
      <c r="F10" s="719"/>
      <c r="G10" s="607" t="s">
        <v>1101</v>
      </c>
      <c r="H10" s="987"/>
    </row>
    <row r="11" s="202" customFormat="true" ht="20.15" hidden="false" customHeight="true" outlineLevel="0" collapsed="false">
      <c r="A11" s="980" t="s">
        <v>1102</v>
      </c>
      <c r="B11" s="796" t="s">
        <v>95</v>
      </c>
      <c r="C11" s="796" t="s">
        <v>215</v>
      </c>
      <c r="D11" s="796"/>
      <c r="E11" s="796" t="s">
        <v>215</v>
      </c>
      <c r="F11" s="796" t="s">
        <v>215</v>
      </c>
      <c r="G11" s="796" t="s">
        <v>215</v>
      </c>
      <c r="H11" s="723" t="s">
        <v>215</v>
      </c>
    </row>
    <row r="12" s="202" customFormat="true" ht="20.15" hidden="false" customHeight="true" outlineLevel="0" collapsed="false">
      <c r="A12" s="697" t="s">
        <v>1103</v>
      </c>
      <c r="B12" s="724" t="n">
        <v>0</v>
      </c>
      <c r="C12" s="724" t="n">
        <v>0</v>
      </c>
      <c r="D12" s="724" t="n">
        <f aca="false">B12-C12</f>
        <v>0</v>
      </c>
      <c r="E12" s="912"/>
      <c r="F12" s="724" t="s">
        <v>215</v>
      </c>
      <c r="G12" s="724" t="s">
        <v>215</v>
      </c>
      <c r="H12" s="725" t="s">
        <v>215</v>
      </c>
    </row>
    <row r="13" s="202" customFormat="true" ht="20.15" hidden="false" customHeight="true" outlineLevel="0" collapsed="false">
      <c r="A13" s="697" t="s">
        <v>1104</v>
      </c>
      <c r="B13" s="724" t="s">
        <v>95</v>
      </c>
      <c r="C13" s="724" t="s">
        <v>95</v>
      </c>
      <c r="D13" s="724" t="n">
        <v>0</v>
      </c>
      <c r="E13" s="912"/>
      <c r="F13" s="724" t="s">
        <v>95</v>
      </c>
      <c r="G13" s="724" t="s">
        <v>95</v>
      </c>
      <c r="H13" s="725" t="s">
        <v>95</v>
      </c>
    </row>
    <row r="14" s="202" customFormat="true" ht="20.15" hidden="false" customHeight="true" outlineLevel="0" collapsed="false">
      <c r="A14" s="697" t="s">
        <v>1105</v>
      </c>
      <c r="B14" s="793" t="n">
        <v>0</v>
      </c>
      <c r="C14" s="793" t="n">
        <v>0</v>
      </c>
      <c r="D14" s="793" t="n">
        <v>0</v>
      </c>
      <c r="E14" s="988" t="e">
        <f aca="false">D14/C14</f>
        <v>#DIV/0!</v>
      </c>
      <c r="F14" s="793" t="n">
        <f aca="false">B14</f>
        <v>0</v>
      </c>
      <c r="G14" s="724" t="n">
        <v>0</v>
      </c>
      <c r="H14" s="725" t="n">
        <v>0</v>
      </c>
    </row>
    <row r="15" s="202" customFormat="true" ht="20.15" hidden="false" customHeight="true" outlineLevel="0" collapsed="false">
      <c r="A15" s="697" t="s">
        <v>1106</v>
      </c>
      <c r="B15" s="724" t="n">
        <v>0</v>
      </c>
      <c r="C15" s="724" t="n">
        <v>0</v>
      </c>
      <c r="D15" s="724" t="n">
        <f aca="false">B15-C15</f>
        <v>0</v>
      </c>
      <c r="E15" s="989"/>
      <c r="F15" s="724" t="s">
        <v>215</v>
      </c>
      <c r="G15" s="724" t="s">
        <v>215</v>
      </c>
      <c r="H15" s="725" t="s">
        <v>215</v>
      </c>
    </row>
    <row r="16" s="202" customFormat="true" ht="20.15" hidden="false" customHeight="true" outlineLevel="0" collapsed="false">
      <c r="A16" s="700" t="s">
        <v>1107</v>
      </c>
      <c r="B16" s="727"/>
      <c r="C16" s="727"/>
      <c r="D16" s="724" t="n">
        <f aca="false">B16-C16</f>
        <v>0</v>
      </c>
      <c r="E16" s="727"/>
      <c r="F16" s="727"/>
      <c r="G16" s="727"/>
      <c r="H16" s="728"/>
    </row>
    <row r="17" s="202" customFormat="true" ht="20.15" hidden="false" customHeight="true" outlineLevel="0" collapsed="false">
      <c r="A17" s="711" t="s">
        <v>1108</v>
      </c>
      <c r="B17" s="497" t="n">
        <f aca="false">SUM(B11:B16)</f>
        <v>0</v>
      </c>
      <c r="C17" s="497" t="n">
        <f aca="false">SUM(C11:C16)</f>
        <v>0</v>
      </c>
      <c r="D17" s="497" t="n">
        <f aca="false">SUM(D11:D16)</f>
        <v>0</v>
      </c>
      <c r="E17" s="497"/>
      <c r="F17" s="497" t="n">
        <f aca="false">SUM(F11:F16)</f>
        <v>0</v>
      </c>
      <c r="G17" s="497" t="n">
        <f aca="false">SUM(G11:G16)</f>
        <v>0</v>
      </c>
      <c r="H17" s="982" t="n">
        <f aca="false">SUM(H11:H16)</f>
        <v>0</v>
      </c>
    </row>
    <row r="18" s="202" customFormat="true" ht="20.15" hidden="false" customHeight="true" outlineLevel="0" collapsed="false">
      <c r="A18" s="694" t="s">
        <v>215</v>
      </c>
      <c r="B18" s="376" t="s">
        <v>215</v>
      </c>
      <c r="C18" s="376" t="s">
        <v>215</v>
      </c>
      <c r="D18" s="376"/>
      <c r="E18" s="376" t="s">
        <v>215</v>
      </c>
      <c r="F18" s="376" t="s">
        <v>215</v>
      </c>
      <c r="G18" s="376" t="s">
        <v>215</v>
      </c>
      <c r="H18" s="377" t="s">
        <v>215</v>
      </c>
    </row>
    <row r="19" s="202" customFormat="true" ht="20.15" hidden="false" customHeight="true" outlineLevel="0" collapsed="false">
      <c r="A19" s="697" t="s">
        <v>1109</v>
      </c>
      <c r="B19" s="793" t="n">
        <v>0</v>
      </c>
      <c r="C19" s="793" t="n">
        <v>0</v>
      </c>
      <c r="D19" s="793" t="n">
        <f aca="false">B19-C19</f>
        <v>0</v>
      </c>
      <c r="E19" s="988" t="e">
        <f aca="false">D19/C19</f>
        <v>#DIV/0!</v>
      </c>
      <c r="F19" s="793" t="n">
        <f aca="false">B19</f>
        <v>0</v>
      </c>
      <c r="G19" s="724" t="n">
        <v>0</v>
      </c>
      <c r="H19" s="725" t="n">
        <v>0</v>
      </c>
    </row>
    <row r="20" s="202" customFormat="true" ht="20.15" hidden="false" customHeight="true" outlineLevel="0" collapsed="false">
      <c r="A20" s="697" t="s">
        <v>1110</v>
      </c>
      <c r="B20" s="724"/>
      <c r="C20" s="724"/>
      <c r="D20" s="724" t="n">
        <f aca="false">B20-C20</f>
        <v>0</v>
      </c>
      <c r="E20" s="989"/>
      <c r="F20" s="724"/>
      <c r="G20" s="724" t="n">
        <f aca="false">B20-F20</f>
        <v>0</v>
      </c>
      <c r="H20" s="725" t="n">
        <v>0</v>
      </c>
    </row>
    <row r="21" s="202" customFormat="true" ht="20.15" hidden="false" customHeight="true" outlineLevel="0" collapsed="false">
      <c r="A21" s="697" t="s">
        <v>1111</v>
      </c>
      <c r="B21" s="724"/>
      <c r="C21" s="724"/>
      <c r="D21" s="724" t="n">
        <f aca="false">B21-C21</f>
        <v>0</v>
      </c>
      <c r="E21" s="989"/>
      <c r="F21" s="724" t="s">
        <v>215</v>
      </c>
      <c r="G21" s="724" t="s">
        <v>215</v>
      </c>
      <c r="H21" s="725" t="s">
        <v>215</v>
      </c>
    </row>
    <row r="22" s="202" customFormat="true" ht="20.15" hidden="false" customHeight="true" outlineLevel="0" collapsed="false">
      <c r="A22" s="697" t="s">
        <v>1112</v>
      </c>
      <c r="B22" s="724"/>
      <c r="C22" s="724"/>
      <c r="D22" s="724"/>
      <c r="E22" s="724"/>
      <c r="F22" s="724"/>
      <c r="G22" s="724"/>
      <c r="H22" s="725"/>
    </row>
    <row r="23" s="202" customFormat="true" ht="20.15" hidden="false" customHeight="true" outlineLevel="0" collapsed="false">
      <c r="A23" s="700" t="s">
        <v>1113</v>
      </c>
      <c r="B23" s="727"/>
      <c r="C23" s="727"/>
      <c r="D23" s="727"/>
      <c r="E23" s="727"/>
      <c r="F23" s="727"/>
      <c r="G23" s="727"/>
      <c r="H23" s="728"/>
    </row>
    <row r="24" s="202" customFormat="true" ht="20.15" hidden="false" customHeight="true" outlineLevel="0" collapsed="false">
      <c r="A24" s="711" t="s">
        <v>1114</v>
      </c>
      <c r="B24" s="497" t="n">
        <f aca="false">SUM(B18:B23)</f>
        <v>0</v>
      </c>
      <c r="C24" s="497" t="n">
        <f aca="false">SUM(C18:C23)</f>
        <v>0</v>
      </c>
      <c r="D24" s="497" t="n">
        <f aca="false">SUM(D18:D23)</f>
        <v>0</v>
      </c>
      <c r="E24" s="729" t="e">
        <f aca="false">D24/C24</f>
        <v>#DIV/0!</v>
      </c>
      <c r="F24" s="497" t="n">
        <f aca="false">SUM(F18:F23)</f>
        <v>0</v>
      </c>
      <c r="G24" s="497" t="n">
        <f aca="false">SUM(G18:G23)</f>
        <v>0</v>
      </c>
      <c r="H24" s="982" t="n">
        <f aca="false">SUM(H18:H23)</f>
        <v>0</v>
      </c>
    </row>
    <row r="25" s="202" customFormat="true" ht="12.75" hidden="false" customHeight="true" outlineLevel="0" collapsed="false">
      <c r="A25" s="990"/>
      <c r="B25" s="991"/>
      <c r="C25" s="991"/>
      <c r="D25" s="991"/>
      <c r="E25" s="991"/>
      <c r="F25" s="991"/>
      <c r="G25" s="991"/>
      <c r="H25" s="992"/>
    </row>
    <row r="26" customFormat="false" ht="20.15" hidden="false" customHeight="true" outlineLevel="0" collapsed="false">
      <c r="A26" s="993" t="s">
        <v>1115</v>
      </c>
      <c r="B26" s="994" t="n">
        <f aca="false">B17+B24</f>
        <v>0</v>
      </c>
      <c r="C26" s="994" t="n">
        <f aca="false">C17+C24</f>
        <v>0</v>
      </c>
      <c r="D26" s="994" t="n">
        <f aca="false">D17+D24</f>
        <v>0</v>
      </c>
      <c r="E26" s="995" t="e">
        <f aca="false">E17+E24</f>
        <v>#DIV/0!</v>
      </c>
      <c r="F26" s="994" t="n">
        <f aca="false">F17+F24</f>
        <v>0</v>
      </c>
      <c r="G26" s="994" t="n">
        <f aca="false">G17+G24</f>
        <v>0</v>
      </c>
      <c r="H26" s="996" t="n">
        <f aca="false">H17+H24</f>
        <v>0</v>
      </c>
    </row>
    <row r="27" customFormat="false" ht="17.5" hidden="false" customHeight="false" outlineLevel="0" collapsed="false">
      <c r="A27" s="997"/>
    </row>
    <row r="28" s="202" customFormat="true" ht="11.5" hidden="false" customHeight="false" outlineLevel="0" collapsed="false">
      <c r="A28" s="688" t="s">
        <v>938</v>
      </c>
    </row>
    <row r="29" s="202" customFormat="true" ht="12" hidden="false" customHeight="false" outlineLevel="0" collapsed="false">
      <c r="A29" s="684" t="s">
        <v>1116</v>
      </c>
    </row>
    <row r="30" s="202" customFormat="true" ht="12" hidden="false" customHeight="false" outlineLevel="0" collapsed="false">
      <c r="A30" s="684" t="s">
        <v>1117</v>
      </c>
    </row>
    <row r="31" s="202" customFormat="true" ht="11.5" hidden="false" customHeight="false" outlineLevel="0" collapsed="false">
      <c r="A31" s="732"/>
    </row>
    <row r="32" s="202" customFormat="true" ht="11.5" hidden="false" customHeight="false" outlineLevel="0" collapsed="false">
      <c r="A32" s="810" t="s">
        <v>95</v>
      </c>
    </row>
    <row r="33" s="202" customFormat="true" ht="11.5" hidden="false" customHeight="false" outlineLevel="0" collapsed="false">
      <c r="A33" s="810" t="s">
        <v>95</v>
      </c>
    </row>
    <row r="34" s="202" customFormat="true" ht="11.5" hidden="false" customHeight="false" outlineLevel="0" collapsed="false"/>
    <row r="35" customFormat="false" ht="17.5" hidden="false" customHeight="false" outlineLevel="0" collapsed="false">
      <c r="A35" s="997"/>
    </row>
    <row r="36" customFormat="false" ht="17.5" hidden="false" customHeight="false" outlineLevel="0" collapsed="false">
      <c r="A36" s="997"/>
    </row>
    <row r="37" customFormat="false" ht="17.5" hidden="false" customHeight="false" outlineLevel="0" collapsed="false">
      <c r="A37" s="997"/>
    </row>
    <row r="39" customFormat="false" ht="14.5" hidden="false" customHeight="false" outlineLevel="0" collapsed="false">
      <c r="A39" s="998"/>
    </row>
    <row r="40" customFormat="false" ht="14.5" hidden="false" customHeight="false" outlineLevel="0" collapsed="false">
      <c r="A40" s="998"/>
    </row>
    <row r="41" customFormat="false" ht="14.5" hidden="false" customHeight="false" outlineLevel="0" collapsed="false">
      <c r="A41" s="999"/>
      <c r="B41" s="1000"/>
      <c r="C41" s="1000"/>
      <c r="D41" s="1000"/>
    </row>
    <row r="42" customFormat="false" ht="14.5" hidden="false" customHeight="false" outlineLevel="0" collapsed="false">
      <c r="A42" s="764"/>
    </row>
    <row r="43" customFormat="false" ht="15.5" hidden="false" customHeight="false" outlineLevel="0" collapsed="false">
      <c r="A43" s="1001"/>
    </row>
    <row r="44" customFormat="false" ht="15.5" hidden="false" customHeight="false" outlineLevel="0" collapsed="false">
      <c r="A44" s="1001"/>
    </row>
    <row r="45" customFormat="false" ht="15" hidden="false" customHeight="false" outlineLevel="0" collapsed="false">
      <c r="A45" s="849"/>
    </row>
    <row r="46" customFormat="false" ht="15" hidden="false" customHeight="false" outlineLevel="0" collapsed="false">
      <c r="A46" s="849"/>
    </row>
    <row r="47" customFormat="false" ht="15" hidden="false" customHeight="false" outlineLevel="0" collapsed="false">
      <c r="A47" s="849"/>
    </row>
    <row r="48" customFormat="false" ht="15" hidden="false" customHeight="false" outlineLevel="0" collapsed="false">
      <c r="A48" s="849"/>
    </row>
    <row r="49" customFormat="false" ht="15" hidden="false" customHeight="false" outlineLevel="0" collapsed="false">
      <c r="A49" s="849"/>
    </row>
  </sheetData>
  <mergeCells count="9">
    <mergeCell ref="A7:H7"/>
    <mergeCell ref="A8:H8"/>
    <mergeCell ref="A9:A10"/>
    <mergeCell ref="B9:B10"/>
    <mergeCell ref="C9:C10"/>
    <mergeCell ref="D9:D10"/>
    <mergeCell ref="E9:E10"/>
    <mergeCell ref="F9:F10"/>
    <mergeCell ref="H9:H10"/>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8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3" activeCellId="0" sqref="C13"/>
    </sheetView>
  </sheetViews>
  <sheetFormatPr defaultColWidth="10.8125" defaultRowHeight="11.5" zeroHeight="false" outlineLevelRow="0" outlineLevelCol="0"/>
  <cols>
    <col collapsed="false" customWidth="true" hidden="false" outlineLevel="0" max="1" min="1" style="202" width="64.44"/>
    <col collapsed="false" customWidth="true" hidden="false" outlineLevel="0" max="2" min="2" style="202" width="17.81"/>
    <col collapsed="false" customWidth="true" hidden="false" outlineLevel="0" max="3" min="3" style="202" width="16.44"/>
    <col collapsed="false" customWidth="true" hidden="false" outlineLevel="0" max="4" min="4" style="202" width="17.26"/>
    <col collapsed="false" customWidth="true" hidden="false" outlineLevel="0" max="5" min="5" style="202" width="14.26"/>
    <col collapsed="false" customWidth="true" hidden="false" outlineLevel="0" max="6" min="6" style="202" width="13.99"/>
    <col collapsed="false" customWidth="true" hidden="false" outlineLevel="0" max="7" min="7" style="202" width="14.17"/>
    <col collapsed="false" customWidth="true" hidden="false" outlineLevel="0" max="8" min="8" style="202" width="13.99"/>
    <col collapsed="false" customWidth="false" hidden="false" outlineLevel="0" max="257" min="9" style="202" width="10.81"/>
  </cols>
  <sheetData>
    <row r="1" customFormat="false" ht="11.5" hidden="false" customHeight="false" outlineLevel="0" collapsed="false">
      <c r="A1" s="810"/>
    </row>
    <row r="2" customFormat="false" ht="11.5" hidden="false" customHeight="false" outlineLevel="0" collapsed="false">
      <c r="A2" s="810"/>
    </row>
    <row r="4" customFormat="false" ht="13" hidden="false" customHeight="false" outlineLevel="0" collapsed="false">
      <c r="A4" s="359" t="s">
        <v>51</v>
      </c>
      <c r="E4" s="217" t="s">
        <v>199</v>
      </c>
      <c r="G4" s="203"/>
    </row>
    <row r="5" customFormat="false" ht="13" hidden="false" customHeight="false" outlineLevel="0" collapsed="false">
      <c r="A5" s="360" t="s">
        <v>200</v>
      </c>
      <c r="E5" s="217" t="s">
        <v>101</v>
      </c>
      <c r="G5" s="207"/>
    </row>
    <row r="6" customFormat="false" ht="14" hidden="false" customHeight="false" outlineLevel="0" collapsed="false">
      <c r="A6" s="850" t="s">
        <v>1118</v>
      </c>
      <c r="B6" s="850"/>
      <c r="C6" s="850"/>
      <c r="D6" s="850"/>
      <c r="E6" s="850"/>
      <c r="F6" s="850"/>
      <c r="G6" s="850"/>
    </row>
    <row r="7" customFormat="false" ht="14.5" hidden="false" customHeight="false" outlineLevel="0" collapsed="false">
      <c r="A7" s="664" t="s">
        <v>1119</v>
      </c>
      <c r="B7" s="664"/>
      <c r="C7" s="664"/>
      <c r="D7" s="664"/>
      <c r="E7" s="664"/>
      <c r="F7" s="664"/>
      <c r="G7" s="664"/>
    </row>
    <row r="8" customFormat="false" ht="48" hidden="false" customHeight="true" outlineLevel="0" collapsed="false">
      <c r="A8" s="603" t="s">
        <v>687</v>
      </c>
      <c r="B8" s="604" t="s">
        <v>688</v>
      </c>
      <c r="C8" s="604" t="s">
        <v>689</v>
      </c>
      <c r="D8" s="604" t="s">
        <v>889</v>
      </c>
      <c r="E8" s="604" t="s">
        <v>690</v>
      </c>
      <c r="F8" s="604" t="s">
        <v>1085</v>
      </c>
      <c r="G8" s="604" t="s">
        <v>1120</v>
      </c>
      <c r="H8" s="606" t="s">
        <v>1087</v>
      </c>
    </row>
    <row r="9" customFormat="false" ht="7.5" hidden="false" customHeight="true" outlineLevel="0" collapsed="false">
      <c r="A9" s="603"/>
      <c r="B9" s="604"/>
      <c r="C9" s="604"/>
      <c r="D9" s="604"/>
      <c r="E9" s="604"/>
      <c r="F9" s="604"/>
      <c r="G9" s="604"/>
      <c r="H9" s="606"/>
    </row>
    <row r="10" customFormat="false" ht="15" hidden="false" customHeight="true" outlineLevel="0" collapsed="false">
      <c r="A10" s="822" t="s">
        <v>524</v>
      </c>
      <c r="B10" s="1002"/>
      <c r="C10" s="1003"/>
      <c r="D10" s="1003"/>
      <c r="E10" s="1003"/>
      <c r="F10" s="1003"/>
      <c r="G10" s="1003"/>
      <c r="H10" s="1003"/>
    </row>
    <row r="11" customFormat="false" ht="15" hidden="false" customHeight="true" outlineLevel="0" collapsed="false">
      <c r="A11" s="824" t="s">
        <v>215</v>
      </c>
      <c r="B11" s="1004"/>
      <c r="C11" s="1004"/>
      <c r="D11" s="1004"/>
      <c r="E11" s="1004"/>
      <c r="F11" s="1004"/>
      <c r="G11" s="1004"/>
      <c r="H11" s="1004"/>
    </row>
    <row r="12" customFormat="false" ht="11.5" hidden="false" customHeight="false" outlineLevel="0" collapsed="false">
      <c r="A12" s="824" t="s">
        <v>1121</v>
      </c>
      <c r="B12" s="824"/>
      <c r="C12" s="931"/>
      <c r="D12" s="931"/>
      <c r="E12" s="931"/>
      <c r="F12" s="931"/>
      <c r="G12" s="931"/>
      <c r="H12" s="931"/>
    </row>
    <row r="13" customFormat="false" ht="15" hidden="false" customHeight="true" outlineLevel="0" collapsed="false">
      <c r="A13" s="824" t="s">
        <v>1122</v>
      </c>
      <c r="B13" s="824"/>
      <c r="C13" s="931"/>
      <c r="D13" s="931"/>
      <c r="E13" s="931"/>
      <c r="F13" s="931"/>
      <c r="G13" s="931"/>
      <c r="H13" s="931"/>
    </row>
    <row r="14" customFormat="false" ht="15" hidden="false" customHeight="true" outlineLevel="0" collapsed="false">
      <c r="A14" s="824" t="s">
        <v>1123</v>
      </c>
      <c r="B14" s="824"/>
      <c r="C14" s="931"/>
      <c r="D14" s="931"/>
      <c r="E14" s="931"/>
      <c r="F14" s="931"/>
      <c r="G14" s="931"/>
      <c r="H14" s="931"/>
    </row>
    <row r="15" customFormat="false" ht="15" hidden="false" customHeight="true" outlineLevel="0" collapsed="false">
      <c r="A15" s="824" t="s">
        <v>1124</v>
      </c>
      <c r="B15" s="824"/>
      <c r="C15" s="931"/>
      <c r="D15" s="931"/>
      <c r="E15" s="931"/>
      <c r="F15" s="931"/>
      <c r="G15" s="931"/>
      <c r="H15" s="931"/>
    </row>
    <row r="16" customFormat="false" ht="15" hidden="false" customHeight="true" outlineLevel="0" collapsed="false">
      <c r="A16" s="974" t="s">
        <v>1125</v>
      </c>
      <c r="B16" s="974"/>
      <c r="C16" s="1005"/>
      <c r="D16" s="1005"/>
      <c r="E16" s="1005"/>
      <c r="F16" s="1005"/>
      <c r="G16" s="1005"/>
      <c r="H16" s="1005"/>
    </row>
    <row r="17" customFormat="false" ht="15" hidden="false" customHeight="true" outlineLevel="0" collapsed="false">
      <c r="A17" s="702" t="s">
        <v>1126</v>
      </c>
      <c r="B17" s="1006"/>
      <c r="C17" s="1006"/>
      <c r="D17" s="1006"/>
      <c r="E17" s="1006"/>
      <c r="F17" s="1006"/>
      <c r="G17" s="1006"/>
      <c r="H17" s="1007"/>
    </row>
    <row r="18" customFormat="false" ht="15" hidden="false" customHeight="true" outlineLevel="0" collapsed="false">
      <c r="A18" s="822" t="s">
        <v>215</v>
      </c>
      <c r="B18" s="822"/>
      <c r="C18" s="822"/>
      <c r="D18" s="822"/>
      <c r="E18" s="822"/>
      <c r="F18" s="822"/>
      <c r="G18" s="822"/>
      <c r="H18" s="822"/>
    </row>
    <row r="19" customFormat="false" ht="15" hidden="false" customHeight="true" outlineLevel="0" collapsed="false">
      <c r="A19" s="824" t="s">
        <v>526</v>
      </c>
      <c r="B19" s="1008" t="n">
        <f aca="false">+PASSIF!D30</f>
        <v>0</v>
      </c>
      <c r="C19" s="1009" t="n">
        <f aca="false">+PASSIF!E30</f>
        <v>0</v>
      </c>
      <c r="D19" s="1009" t="n">
        <f aca="false">B19-C19</f>
        <v>0</v>
      </c>
      <c r="E19" s="1010" t="n">
        <f aca="false">IF(D19=0,0,D19/C19)</f>
        <v>0</v>
      </c>
      <c r="F19" s="931"/>
      <c r="G19" s="931"/>
      <c r="H19" s="931"/>
    </row>
    <row r="20" customFormat="false" ht="15" hidden="false" customHeight="true" outlineLevel="0" collapsed="false">
      <c r="A20" s="824" t="s">
        <v>1127</v>
      </c>
      <c r="B20" s="824"/>
      <c r="C20" s="931"/>
      <c r="D20" s="931"/>
      <c r="E20" s="931"/>
      <c r="F20" s="931"/>
      <c r="G20" s="931"/>
      <c r="H20" s="931"/>
    </row>
    <row r="21" customFormat="false" ht="15" hidden="false" customHeight="true" outlineLevel="0" collapsed="false">
      <c r="A21" s="824" t="s">
        <v>1128</v>
      </c>
      <c r="B21" s="824"/>
      <c r="C21" s="931"/>
      <c r="D21" s="931"/>
      <c r="E21" s="931"/>
      <c r="F21" s="931"/>
      <c r="G21" s="931"/>
      <c r="H21" s="931"/>
    </row>
    <row r="22" customFormat="false" ht="15" hidden="false" customHeight="true" outlineLevel="0" collapsed="false">
      <c r="A22" s="824" t="s">
        <v>1129</v>
      </c>
      <c r="B22" s="824"/>
      <c r="C22" s="931"/>
      <c r="D22" s="931"/>
      <c r="E22" s="931"/>
      <c r="F22" s="931"/>
      <c r="G22" s="931"/>
      <c r="H22" s="931"/>
    </row>
    <row r="23" customFormat="false" ht="11.5" hidden="false" customHeight="false" outlineLevel="0" collapsed="false">
      <c r="A23" s="824" t="s">
        <v>1130</v>
      </c>
      <c r="B23" s="824"/>
      <c r="C23" s="931"/>
      <c r="D23" s="931"/>
      <c r="E23" s="931"/>
      <c r="F23" s="931"/>
      <c r="G23" s="931"/>
      <c r="H23" s="931"/>
    </row>
    <row r="24" customFormat="false" ht="11.5" hidden="false" customHeight="false" outlineLevel="0" collapsed="false">
      <c r="A24" s="824" t="s">
        <v>790</v>
      </c>
      <c r="B24" s="824"/>
      <c r="C24" s="931"/>
      <c r="D24" s="931"/>
      <c r="E24" s="931"/>
      <c r="F24" s="931"/>
      <c r="G24" s="931"/>
      <c r="H24" s="931"/>
    </row>
    <row r="25" customFormat="false" ht="15" hidden="false" customHeight="true" outlineLevel="0" collapsed="false">
      <c r="A25" s="974" t="s">
        <v>1131</v>
      </c>
      <c r="B25" s="974"/>
      <c r="C25" s="1005"/>
      <c r="D25" s="1005"/>
      <c r="E25" s="1005"/>
      <c r="F25" s="1005"/>
      <c r="G25" s="1005"/>
      <c r="H25" s="1005"/>
    </row>
    <row r="26" customFormat="false" ht="15" hidden="false" customHeight="true" outlineLevel="0" collapsed="false">
      <c r="A26" s="702" t="s">
        <v>1132</v>
      </c>
      <c r="B26" s="1011" t="n">
        <f aca="false">B19</f>
        <v>0</v>
      </c>
      <c r="C26" s="1011" t="n">
        <f aca="false">C19</f>
        <v>0</v>
      </c>
      <c r="D26" s="1011" t="n">
        <f aca="false">D19</f>
        <v>0</v>
      </c>
      <c r="E26" s="713" t="n">
        <f aca="false">E19</f>
        <v>0</v>
      </c>
      <c r="F26" s="1006"/>
      <c r="G26" s="1006"/>
      <c r="H26" s="1007"/>
    </row>
    <row r="27" customFormat="false" ht="15" hidden="false" customHeight="true" outlineLevel="0" collapsed="false">
      <c r="A27" s="822" t="s">
        <v>215</v>
      </c>
      <c r="B27" s="822"/>
      <c r="C27" s="822"/>
      <c r="D27" s="822"/>
      <c r="E27" s="822"/>
      <c r="F27" s="822"/>
      <c r="G27" s="822"/>
      <c r="H27" s="822"/>
    </row>
    <row r="28" customFormat="false" ht="24.75" hidden="false" customHeight="true" outlineLevel="0" collapsed="false">
      <c r="A28" s="824" t="s">
        <v>792</v>
      </c>
      <c r="B28" s="824"/>
      <c r="C28" s="931"/>
      <c r="D28" s="931"/>
      <c r="E28" s="931"/>
      <c r="F28" s="931"/>
      <c r="G28" s="931"/>
      <c r="H28" s="931"/>
    </row>
    <row r="29" customFormat="false" ht="11.5" hidden="false" customHeight="false" outlineLevel="0" collapsed="false">
      <c r="A29" s="1012" t="s">
        <v>793</v>
      </c>
      <c r="B29" s="824"/>
      <c r="C29" s="931"/>
      <c r="D29" s="931"/>
      <c r="E29" s="931"/>
      <c r="F29" s="931"/>
      <c r="G29" s="931"/>
      <c r="H29" s="931"/>
    </row>
    <row r="30" customFormat="false" ht="11.5" hidden="false" customHeight="false" outlineLevel="0" collapsed="false">
      <c r="A30" s="824" t="s">
        <v>794</v>
      </c>
      <c r="B30" s="824"/>
      <c r="C30" s="931"/>
      <c r="D30" s="931"/>
      <c r="E30" s="931"/>
      <c r="F30" s="931"/>
      <c r="G30" s="931"/>
      <c r="H30" s="931"/>
    </row>
    <row r="31" customFormat="false" ht="15" hidden="false" customHeight="true" outlineLevel="0" collapsed="false">
      <c r="A31" s="1013" t="s">
        <v>1133</v>
      </c>
      <c r="B31" s="1014"/>
      <c r="C31" s="1014"/>
      <c r="D31" s="1014"/>
      <c r="E31" s="1014"/>
      <c r="F31" s="1014"/>
      <c r="G31" s="1014"/>
      <c r="H31" s="1014"/>
    </row>
    <row r="32" customFormat="false" ht="15" hidden="false" customHeight="true" outlineLevel="0" collapsed="false">
      <c r="A32" s="974" t="s">
        <v>215</v>
      </c>
      <c r="B32" s="974"/>
      <c r="C32" s="974"/>
      <c r="D32" s="974"/>
      <c r="E32" s="974"/>
      <c r="F32" s="974"/>
      <c r="G32" s="974"/>
      <c r="H32" s="974"/>
    </row>
    <row r="33" customFormat="false" ht="15" hidden="false" customHeight="true" outlineLevel="0" collapsed="false">
      <c r="A33" s="1015" t="s">
        <v>1134</v>
      </c>
      <c r="B33" s="1016" t="n">
        <f aca="false">B26</f>
        <v>0</v>
      </c>
      <c r="C33" s="1016" t="n">
        <f aca="false">C26</f>
        <v>0</v>
      </c>
      <c r="D33" s="1016" t="n">
        <f aca="false">D26</f>
        <v>0</v>
      </c>
      <c r="E33" s="1017" t="n">
        <f aca="false">E26</f>
        <v>0</v>
      </c>
      <c r="F33" s="1018"/>
      <c r="G33" s="1018"/>
      <c r="H33" s="1019"/>
    </row>
    <row r="34" customFormat="false" ht="15" hidden="false" customHeight="true" outlineLevel="0" collapsed="false">
      <c r="A34" s="822" t="s">
        <v>215</v>
      </c>
      <c r="B34" s="822"/>
      <c r="C34" s="822"/>
      <c r="D34" s="822"/>
      <c r="E34" s="822"/>
      <c r="F34" s="822"/>
      <c r="G34" s="822"/>
      <c r="H34" s="822"/>
    </row>
    <row r="35" customFormat="false" ht="11.5" hidden="false" customHeight="false" outlineLevel="0" collapsed="false">
      <c r="A35" s="824" t="s">
        <v>1135</v>
      </c>
      <c r="B35" s="824"/>
      <c r="C35" s="824"/>
      <c r="D35" s="824"/>
      <c r="E35" s="824"/>
      <c r="F35" s="824"/>
      <c r="G35" s="824"/>
      <c r="H35" s="824"/>
    </row>
    <row r="36" customFormat="false" ht="11.5" hidden="false" customHeight="false" outlineLevel="0" collapsed="false">
      <c r="A36" s="688" t="s">
        <v>1136</v>
      </c>
    </row>
    <row r="37" customFormat="false" ht="12" hidden="false" customHeight="false" outlineLevel="0" collapsed="false">
      <c r="A37" s="732" t="s">
        <v>1137</v>
      </c>
    </row>
    <row r="38" customFormat="false" ht="12" hidden="false" customHeight="false" outlineLevel="0" collapsed="false">
      <c r="A38" s="732" t="s">
        <v>1138</v>
      </c>
    </row>
    <row r="39" customFormat="false" ht="12" hidden="false" customHeight="false" outlineLevel="0" collapsed="false">
      <c r="A39" s="732" t="s">
        <v>1139</v>
      </c>
    </row>
    <row r="40" customFormat="false" ht="12" hidden="false" customHeight="false" outlineLevel="0" collapsed="false">
      <c r="A40" s="732" t="s">
        <v>1140</v>
      </c>
    </row>
    <row r="41" customFormat="false" ht="11.5" hidden="false" customHeight="false" outlineLevel="0" collapsed="false">
      <c r="A41" s="810" t="s">
        <v>95</v>
      </c>
    </row>
  </sheetData>
  <mergeCells count="10">
    <mergeCell ref="A6:G6"/>
    <mergeCell ref="A7:G7"/>
    <mergeCell ref="A8:A9"/>
    <mergeCell ref="B8:B9"/>
    <mergeCell ref="C8:C9"/>
    <mergeCell ref="D8:D9"/>
    <mergeCell ref="E8:E9"/>
    <mergeCell ref="F8:F9"/>
    <mergeCell ref="G8:G9"/>
    <mergeCell ref="H8:H9"/>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7" activeCellId="0" sqref="B17:D21"/>
    </sheetView>
  </sheetViews>
  <sheetFormatPr defaultColWidth="10.8125" defaultRowHeight="12" zeroHeight="false" outlineLevelRow="0" outlineLevelCol="0"/>
  <cols>
    <col collapsed="false" customWidth="true" hidden="false" outlineLevel="0" max="1" min="1" style="209" width="52.44"/>
    <col collapsed="false" customWidth="false" hidden="false" outlineLevel="0" max="2" min="2" style="209" width="10.81"/>
    <col collapsed="false" customWidth="true" hidden="false" outlineLevel="0" max="3" min="3" style="209" width="11.99"/>
    <col collapsed="false" customWidth="false" hidden="false" outlineLevel="0" max="257" min="4" style="209" width="10.81"/>
  </cols>
  <sheetData>
    <row r="1" customFormat="false" ht="12" hidden="false" customHeight="false" outlineLevel="0" collapsed="false">
      <c r="A1" s="761"/>
    </row>
    <row r="2" s="202" customFormat="true" ht="11.5" hidden="false" customHeight="false" outlineLevel="0" collapsed="false">
      <c r="A2" s="810"/>
    </row>
    <row r="3" s="202" customFormat="true" ht="11.5" hidden="false" customHeight="false" outlineLevel="0" collapsed="false">
      <c r="A3" s="810"/>
    </row>
    <row r="4" s="202" customFormat="true" ht="11.5" hidden="false" customHeight="false" outlineLevel="0" collapsed="false"/>
    <row r="5" s="202" customFormat="true" ht="13" hidden="false" customHeight="false" outlineLevel="0" collapsed="false">
      <c r="A5" s="359" t="s">
        <v>334</v>
      </c>
      <c r="C5" s="217" t="s">
        <v>199</v>
      </c>
      <c r="D5" s="203"/>
    </row>
    <row r="6" s="202" customFormat="true" ht="13" hidden="false" customHeight="false" outlineLevel="0" collapsed="false">
      <c r="A6" s="360" t="s">
        <v>200</v>
      </c>
      <c r="C6" s="217" t="s">
        <v>101</v>
      </c>
      <c r="D6" s="207"/>
    </row>
    <row r="7" s="202" customFormat="true" ht="11.5" hidden="false" customHeight="false" outlineLevel="0" collapsed="false">
      <c r="A7" s="260"/>
      <c r="C7" s="260"/>
    </row>
    <row r="8" customFormat="false" ht="16.5" hidden="false" customHeight="true" outlineLevel="0" collapsed="false">
      <c r="A8" s="428" t="s">
        <v>1141</v>
      </c>
      <c r="B8" s="428"/>
      <c r="C8" s="428"/>
      <c r="D8" s="428"/>
      <c r="E8" s="591"/>
      <c r="F8" s="591"/>
      <c r="G8" s="591"/>
      <c r="H8" s="591"/>
    </row>
    <row r="9" customFormat="false" ht="15.75" hidden="false" customHeight="true" outlineLevel="0" collapsed="false">
      <c r="A9" s="1020" t="s">
        <v>1142</v>
      </c>
      <c r="B9" s="1020"/>
      <c r="C9" s="1020"/>
      <c r="D9" s="1020"/>
      <c r="E9" s="567"/>
      <c r="F9" s="567"/>
      <c r="G9" s="567"/>
      <c r="H9" s="567"/>
    </row>
    <row r="10" customFormat="false" ht="15" hidden="false" customHeight="true" outlineLevel="0" collapsed="false">
      <c r="A10" s="788" t="s">
        <v>826</v>
      </c>
      <c r="B10" s="604" t="s">
        <v>763</v>
      </c>
      <c r="C10" s="604" t="s">
        <v>764</v>
      </c>
      <c r="D10" s="606" t="s">
        <v>1143</v>
      </c>
    </row>
    <row r="11" customFormat="false" ht="15" hidden="false" customHeight="true" outlineLevel="0" collapsed="false">
      <c r="A11" s="788"/>
      <c r="B11" s="604"/>
      <c r="C11" s="604"/>
      <c r="D11" s="606"/>
    </row>
    <row r="12" customFormat="false" ht="15" hidden="false" customHeight="true" outlineLevel="0" collapsed="false">
      <c r="A12" s="694" t="s">
        <v>1144</v>
      </c>
      <c r="B12" s="1021"/>
      <c r="C12" s="1021"/>
      <c r="D12" s="1022"/>
    </row>
    <row r="13" customFormat="false" ht="15" hidden="false" customHeight="true" outlineLevel="0" collapsed="false">
      <c r="A13" s="700" t="s">
        <v>1145</v>
      </c>
      <c r="B13" s="1023"/>
      <c r="C13" s="1023"/>
      <c r="D13" s="1024"/>
    </row>
    <row r="14" customFormat="false" ht="15" hidden="false" customHeight="true" outlineLevel="0" collapsed="false">
      <c r="A14" s="1025" t="s">
        <v>1146</v>
      </c>
      <c r="B14" s="947"/>
      <c r="C14" s="947"/>
      <c r="D14" s="1026"/>
    </row>
    <row r="15" customFormat="false" ht="15" hidden="false" customHeight="true" outlineLevel="0" collapsed="false">
      <c r="A15" s="1027" t="s">
        <v>1147</v>
      </c>
      <c r="B15" s="947"/>
      <c r="C15" s="947"/>
      <c r="D15" s="1026"/>
    </row>
    <row r="16" customFormat="false" ht="15" hidden="false" customHeight="true" outlineLevel="0" collapsed="false">
      <c r="A16" s="694" t="s">
        <v>215</v>
      </c>
      <c r="B16" s="1028"/>
      <c r="C16" s="1028"/>
      <c r="D16" s="1029"/>
    </row>
    <row r="17" customFormat="false" ht="15" hidden="false" customHeight="true" outlineLevel="0" collapsed="false">
      <c r="A17" s="697" t="s">
        <v>863</v>
      </c>
      <c r="B17" s="1030"/>
      <c r="C17" s="1030"/>
      <c r="D17" s="1031"/>
    </row>
    <row r="18" customFormat="false" ht="15" hidden="false" customHeight="true" outlineLevel="0" collapsed="false">
      <c r="A18" s="697" t="s">
        <v>864</v>
      </c>
      <c r="B18" s="1030"/>
      <c r="C18" s="1030"/>
      <c r="D18" s="1031"/>
    </row>
    <row r="19" customFormat="false" ht="15" hidden="false" customHeight="true" outlineLevel="0" collapsed="false">
      <c r="A19" s="697" t="s">
        <v>866</v>
      </c>
      <c r="B19" s="1030"/>
      <c r="C19" s="1030"/>
      <c r="D19" s="1031"/>
    </row>
    <row r="20" customFormat="false" ht="15" hidden="false" customHeight="true" outlineLevel="0" collapsed="false">
      <c r="A20" s="697" t="s">
        <v>867</v>
      </c>
      <c r="B20" s="1030"/>
      <c r="C20" s="1030"/>
      <c r="D20" s="1031"/>
    </row>
    <row r="21" customFormat="false" ht="15" hidden="false" customHeight="true" outlineLevel="0" collapsed="false">
      <c r="A21" s="700" t="s">
        <v>1148</v>
      </c>
      <c r="B21" s="1032" t="n">
        <f aca="false">+PASSIF!D34</f>
        <v>0</v>
      </c>
      <c r="C21" s="1032" t="n">
        <f aca="false">+PASSIF!E34</f>
        <v>0</v>
      </c>
      <c r="D21" s="1033" t="e">
        <f aca="false">(B21-C21)/C21</f>
        <v>#DIV/0!</v>
      </c>
    </row>
    <row r="22" customFormat="false" ht="15" hidden="false" customHeight="true" outlineLevel="0" collapsed="false">
      <c r="A22" s="702" t="s">
        <v>1149</v>
      </c>
      <c r="B22" s="1034" t="n">
        <f aca="false">B21</f>
        <v>0</v>
      </c>
      <c r="C22" s="1034" t="n">
        <f aca="false">C21</f>
        <v>0</v>
      </c>
      <c r="D22" s="713" t="e">
        <f aca="false">D21</f>
        <v>#DIV/0!</v>
      </c>
    </row>
    <row r="23" customFormat="false" ht="15" hidden="false" customHeight="true" outlineLevel="0" collapsed="false">
      <c r="A23" s="694" t="s">
        <v>215</v>
      </c>
      <c r="B23" s="822"/>
      <c r="C23" s="822"/>
      <c r="D23" s="913"/>
    </row>
    <row r="24" customFormat="false" ht="15" hidden="false" customHeight="true" outlineLevel="0" collapsed="false">
      <c r="A24" s="1035" t="s">
        <v>271</v>
      </c>
      <c r="B24" s="1036" t="n">
        <f aca="false">B22</f>
        <v>0</v>
      </c>
      <c r="C24" s="1036" t="n">
        <f aca="false">C22</f>
        <v>0</v>
      </c>
      <c r="D24" s="1037" t="e">
        <f aca="false">D22</f>
        <v>#DIV/0!</v>
      </c>
    </row>
    <row r="25" customFormat="false" ht="12" hidden="false" customHeight="false" outlineLevel="0" collapsed="false">
      <c r="A25" s="688" t="s">
        <v>938</v>
      </c>
    </row>
    <row r="26" customFormat="false" ht="12" hidden="false" customHeight="false" outlineLevel="0" collapsed="false">
      <c r="A26" s="732" t="s">
        <v>1150</v>
      </c>
    </row>
    <row r="27" customFormat="false" ht="21" hidden="false" customHeight="true" outlineLevel="0" collapsed="false">
      <c r="A27" s="732" t="s">
        <v>1151</v>
      </c>
    </row>
    <row r="28" customFormat="false" ht="12" hidden="false" customHeight="false" outlineLevel="0" collapsed="false">
      <c r="A28" s="1038" t="s">
        <v>1152</v>
      </c>
    </row>
    <row r="29" customFormat="false" ht="12" hidden="false" customHeight="false" outlineLevel="0" collapsed="false">
      <c r="A29" s="761" t="s">
        <v>95</v>
      </c>
    </row>
    <row r="30" customFormat="false" ht="12" hidden="false" customHeight="false" outlineLevel="0" collapsed="false">
      <c r="A30" s="761" t="s">
        <v>95</v>
      </c>
    </row>
    <row r="31" customFormat="false" ht="12" hidden="false" customHeight="false" outlineLevel="0" collapsed="false">
      <c r="A31" s="761" t="s">
        <v>95</v>
      </c>
    </row>
    <row r="32" customFormat="false" ht="12" hidden="false" customHeight="false" outlineLevel="0" collapsed="false">
      <c r="A32" s="761" t="s">
        <v>95</v>
      </c>
    </row>
    <row r="33" customFormat="false" ht="12" hidden="false" customHeight="false" outlineLevel="0" collapsed="false">
      <c r="A33" s="761" t="s">
        <v>95</v>
      </c>
    </row>
  </sheetData>
  <mergeCells count="9">
    <mergeCell ref="A8:D8"/>
    <mergeCell ref="A9:D9"/>
    <mergeCell ref="A10:A11"/>
    <mergeCell ref="B10:B11"/>
    <mergeCell ref="C10:C11"/>
    <mergeCell ref="D10:D11"/>
    <mergeCell ref="B14:B15"/>
    <mergeCell ref="C14:C15"/>
    <mergeCell ref="D14:D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4"/>
  <sheetViews>
    <sheetView showFormulas="false" showGridLines="true" showRowColHeaders="true" showZeros="true" rightToLeft="false" tabSelected="false" showOutlineSymbols="true" defaultGridColor="true" view="normal" topLeftCell="A37" colorId="64" zoomScale="100" zoomScaleNormal="100" zoomScalePageLayoutView="100" workbookViewId="0">
      <selection pane="topLeft" activeCell="G22" activeCellId="0" sqref="G22"/>
    </sheetView>
  </sheetViews>
  <sheetFormatPr defaultColWidth="10.8125" defaultRowHeight="12" zeroHeight="false" outlineLevelRow="0" outlineLevelCol="0"/>
  <cols>
    <col collapsed="false" customWidth="true" hidden="false" outlineLevel="0" max="1" min="1" style="209" width="61.17"/>
    <col collapsed="false" customWidth="true" hidden="false" outlineLevel="0" max="2" min="2" style="209" width="16.72"/>
    <col collapsed="false" customWidth="true" hidden="false" outlineLevel="0" max="3" min="3" style="209" width="17.44"/>
    <col collapsed="false" customWidth="true" hidden="false" outlineLevel="0" max="4" min="4" style="209" width="14.44"/>
    <col collapsed="false" customWidth="false" hidden="false" outlineLevel="0" max="257" min="5" style="209" width="10.81"/>
  </cols>
  <sheetData>
    <row r="1" customFormat="false" ht="12" hidden="false" customHeight="false" outlineLevel="0" collapsed="false">
      <c r="A1" s="761"/>
    </row>
    <row r="2" customFormat="false" ht="12" hidden="false" customHeight="false" outlineLevel="0" collapsed="false">
      <c r="A2" s="761"/>
    </row>
    <row r="3" s="202" customFormat="true" ht="11.5" hidden="false" customHeight="false" outlineLevel="0" collapsed="false">
      <c r="A3" s="810"/>
    </row>
    <row r="4" s="202" customFormat="true" ht="11.5" hidden="false" customHeight="false" outlineLevel="0" collapsed="false">
      <c r="A4" s="810"/>
    </row>
    <row r="5" s="202" customFormat="true" ht="11.5" hidden="false" customHeight="false" outlineLevel="0" collapsed="false"/>
    <row r="6" s="202" customFormat="true" ht="13" hidden="false" customHeight="false" outlineLevel="0" collapsed="false">
      <c r="A6" s="359" t="s">
        <v>1024</v>
      </c>
      <c r="B6" s="217" t="s">
        <v>199</v>
      </c>
      <c r="C6" s="217"/>
      <c r="D6" s="203"/>
    </row>
    <row r="7" s="202" customFormat="true" ht="13" hidden="false" customHeight="false" outlineLevel="0" collapsed="false">
      <c r="A7" s="360" t="s">
        <v>200</v>
      </c>
      <c r="B7" s="217" t="s">
        <v>101</v>
      </c>
      <c r="C7" s="217"/>
      <c r="D7" s="207"/>
    </row>
    <row r="8" s="202" customFormat="true" ht="11.5" hidden="false" customHeight="false" outlineLevel="0" collapsed="false">
      <c r="A8" s="260"/>
      <c r="C8" s="260"/>
    </row>
    <row r="9" customFormat="false" ht="14" hidden="false" customHeight="false" outlineLevel="0" collapsed="false">
      <c r="A9" s="592" t="s">
        <v>1153</v>
      </c>
      <c r="B9" s="592"/>
      <c r="C9" s="592"/>
      <c r="D9" s="592"/>
    </row>
    <row r="10" customFormat="false" ht="14.5" hidden="false" customHeight="false" outlineLevel="0" collapsed="false">
      <c r="A10" s="765" t="s">
        <v>1154</v>
      </c>
      <c r="B10" s="765"/>
      <c r="C10" s="765"/>
      <c r="D10" s="765"/>
    </row>
    <row r="11" customFormat="false" ht="20.15" hidden="false" customHeight="true" outlineLevel="0" collapsed="false">
      <c r="A11" s="603" t="s">
        <v>687</v>
      </c>
      <c r="B11" s="604" t="s">
        <v>688</v>
      </c>
      <c r="C11" s="604" t="s">
        <v>764</v>
      </c>
      <c r="D11" s="606" t="s">
        <v>1143</v>
      </c>
    </row>
    <row r="12" customFormat="false" ht="14.25" hidden="false" customHeight="true" outlineLevel="0" collapsed="false">
      <c r="A12" s="603"/>
      <c r="B12" s="604"/>
      <c r="C12" s="604"/>
      <c r="D12" s="606"/>
    </row>
    <row r="13" customFormat="false" ht="20.15" hidden="false" customHeight="true" outlineLevel="0" collapsed="false">
      <c r="A13" s="694" t="s">
        <v>1155</v>
      </c>
      <c r="B13" s="1039" t="n">
        <v>0</v>
      </c>
      <c r="C13" s="1039" t="n">
        <v>0</v>
      </c>
      <c r="D13" s="1040" t="e">
        <f aca="false">(B13-C13)/C13</f>
        <v>#DIV/0!</v>
      </c>
    </row>
    <row r="14" customFormat="false" ht="20.15" hidden="false" customHeight="true" outlineLevel="0" collapsed="false">
      <c r="A14" s="697" t="s">
        <v>1156</v>
      </c>
      <c r="B14" s="793"/>
      <c r="C14" s="793"/>
      <c r="D14" s="1040"/>
    </row>
    <row r="15" customFormat="false" ht="20.15" hidden="false" customHeight="true" outlineLevel="0" collapsed="false">
      <c r="A15" s="697" t="s">
        <v>1157</v>
      </c>
      <c r="B15" s="793"/>
      <c r="C15" s="793"/>
      <c r="D15" s="1040"/>
    </row>
    <row r="16" customFormat="false" ht="20.15" hidden="false" customHeight="true" outlineLevel="0" collapsed="false">
      <c r="A16" s="700" t="s">
        <v>1158</v>
      </c>
      <c r="B16" s="1041"/>
      <c r="C16" s="1041"/>
      <c r="D16" s="1040"/>
    </row>
    <row r="17" customFormat="false" ht="20.15" hidden="false" customHeight="true" outlineLevel="0" collapsed="false">
      <c r="A17" s="702" t="s">
        <v>1159</v>
      </c>
      <c r="B17" s="497" t="n">
        <f aca="false">SUM(B13:B16)</f>
        <v>0</v>
      </c>
      <c r="C17" s="497" t="n">
        <f aca="false">SUM(C13:C16)</f>
        <v>0</v>
      </c>
      <c r="D17" s="1042" t="e">
        <f aca="false">(B17-C17)/C17</f>
        <v>#DIV/0!</v>
      </c>
    </row>
    <row r="18" customFormat="false" ht="20.15" hidden="false" customHeight="true" outlineLevel="0" collapsed="false">
      <c r="A18" s="705" t="s">
        <v>215</v>
      </c>
      <c r="B18" s="479"/>
      <c r="C18" s="479"/>
      <c r="D18" s="1042"/>
    </row>
    <row r="19" customFormat="false" ht="20.15" hidden="false" customHeight="true" outlineLevel="0" collapsed="false">
      <c r="A19" s="697" t="s">
        <v>1155</v>
      </c>
      <c r="B19" s="793"/>
      <c r="C19" s="793"/>
      <c r="D19" s="1040"/>
    </row>
    <row r="20" customFormat="false" ht="20.15" hidden="false" customHeight="true" outlineLevel="0" collapsed="false">
      <c r="A20" s="697" t="s">
        <v>1156</v>
      </c>
      <c r="B20" s="793"/>
      <c r="C20" s="793"/>
      <c r="D20" s="1040"/>
    </row>
    <row r="21" customFormat="false" ht="20.15" hidden="false" customHeight="true" outlineLevel="0" collapsed="false">
      <c r="A21" s="697" t="s">
        <v>1157</v>
      </c>
      <c r="B21" s="793"/>
      <c r="C21" s="793"/>
      <c r="D21" s="1040"/>
    </row>
    <row r="22" customFormat="false" ht="20.15" hidden="false" customHeight="true" outlineLevel="0" collapsed="false">
      <c r="A22" s="700" t="s">
        <v>1158</v>
      </c>
      <c r="B22" s="1041"/>
      <c r="C22" s="1041"/>
      <c r="D22" s="1040"/>
    </row>
    <row r="23" customFormat="false" ht="20.15" hidden="false" customHeight="true" outlineLevel="0" collapsed="false">
      <c r="A23" s="702" t="s">
        <v>1160</v>
      </c>
      <c r="B23" s="497" t="n">
        <v>0</v>
      </c>
      <c r="C23" s="497" t="n">
        <v>0</v>
      </c>
      <c r="D23" s="1042"/>
    </row>
    <row r="24" customFormat="false" ht="20.15" hidden="false" customHeight="true" outlineLevel="0" collapsed="false">
      <c r="A24" s="705" t="s">
        <v>215</v>
      </c>
      <c r="B24" s="479"/>
      <c r="C24" s="479"/>
      <c r="D24" s="1042"/>
    </row>
    <row r="25" customFormat="false" ht="20.15" hidden="false" customHeight="true" outlineLevel="0" collapsed="false">
      <c r="A25" s="697" t="s">
        <v>1155</v>
      </c>
      <c r="B25" s="721" t="n">
        <v>0</v>
      </c>
      <c r="C25" s="721" t="n">
        <v>0</v>
      </c>
      <c r="D25" s="1040" t="e">
        <f aca="false">(B25-C25)/C25</f>
        <v>#DIV/0!</v>
      </c>
    </row>
    <row r="26" customFormat="false" ht="20.15" hidden="false" customHeight="true" outlineLevel="0" collapsed="false">
      <c r="A26" s="697" t="s">
        <v>1156</v>
      </c>
      <c r="B26" s="793"/>
      <c r="C26" s="793"/>
      <c r="D26" s="1040"/>
    </row>
    <row r="27" customFormat="false" ht="20.15" hidden="false" customHeight="true" outlineLevel="0" collapsed="false">
      <c r="A27" s="697" t="s">
        <v>1157</v>
      </c>
      <c r="B27" s="793"/>
      <c r="C27" s="793"/>
      <c r="D27" s="1040"/>
    </row>
    <row r="28" customFormat="false" ht="20.15" hidden="false" customHeight="true" outlineLevel="0" collapsed="false">
      <c r="A28" s="700" t="s">
        <v>1158</v>
      </c>
      <c r="B28" s="1041"/>
      <c r="C28" s="1041"/>
      <c r="D28" s="1040"/>
    </row>
    <row r="29" customFormat="false" ht="15.75" hidden="false" customHeight="true" outlineLevel="0" collapsed="false">
      <c r="A29" s="702" t="s">
        <v>1161</v>
      </c>
      <c r="B29" s="497" t="n">
        <f aca="false">SUM(B25:B28)</f>
        <v>0</v>
      </c>
      <c r="C29" s="497" t="n">
        <f aca="false">SUM(C25:C28)</f>
        <v>0</v>
      </c>
      <c r="D29" s="1042" t="e">
        <f aca="false">(B29-C29)/C29</f>
        <v>#DIV/0!</v>
      </c>
    </row>
    <row r="30" customFormat="false" ht="20.15" hidden="false" customHeight="true" outlineLevel="0" collapsed="false">
      <c r="A30" s="705" t="s">
        <v>215</v>
      </c>
      <c r="B30" s="479"/>
      <c r="C30" s="479"/>
      <c r="D30" s="1042"/>
    </row>
    <row r="31" customFormat="false" ht="20.15" hidden="false" customHeight="true" outlineLevel="0" collapsed="false">
      <c r="A31" s="845" t="s">
        <v>1162</v>
      </c>
      <c r="B31" s="793" t="n">
        <v>0</v>
      </c>
      <c r="C31" s="793" t="n">
        <v>0</v>
      </c>
      <c r="D31" s="1040" t="e">
        <f aca="false">(B31-C31)/C31</f>
        <v>#DIV/0!</v>
      </c>
    </row>
    <row r="32" customFormat="false" ht="20.15" hidden="false" customHeight="true" outlineLevel="0" collapsed="false">
      <c r="A32" s="697" t="s">
        <v>215</v>
      </c>
      <c r="B32" s="485"/>
      <c r="C32" s="485"/>
      <c r="D32" s="1042"/>
    </row>
    <row r="33" customFormat="false" ht="20.15" hidden="false" customHeight="true" outlineLevel="0" collapsed="false">
      <c r="A33" s="700" t="s">
        <v>215</v>
      </c>
      <c r="B33" s="491"/>
      <c r="C33" s="491"/>
      <c r="D33" s="1042"/>
    </row>
    <row r="34" customFormat="false" ht="20.15" hidden="false" customHeight="true" outlineLevel="0" collapsed="false">
      <c r="A34" s="1043" t="s">
        <v>1163</v>
      </c>
      <c r="B34" s="1044" t="n">
        <f aca="false">B17+B23+B29+B31</f>
        <v>0</v>
      </c>
      <c r="C34" s="1044" t="n">
        <f aca="false">C17+C23+C29+C31</f>
        <v>0</v>
      </c>
      <c r="D34" s="1042" t="e">
        <f aca="false">(B34-C34)/C34</f>
        <v>#DIV/0!</v>
      </c>
    </row>
    <row r="35" customFormat="false" ht="20.15" hidden="false" customHeight="true" outlineLevel="0" collapsed="false">
      <c r="A35" s="694" t="s">
        <v>215</v>
      </c>
      <c r="B35" s="479"/>
      <c r="C35" s="479"/>
      <c r="D35" s="1042"/>
    </row>
    <row r="36" customFormat="false" ht="20.15" hidden="false" customHeight="true" outlineLevel="0" collapsed="false">
      <c r="A36" s="697" t="s">
        <v>1164</v>
      </c>
      <c r="B36" s="793"/>
      <c r="C36" s="793"/>
      <c r="D36" s="1040"/>
    </row>
    <row r="37" customFormat="false" ht="20.15" hidden="false" customHeight="true" outlineLevel="0" collapsed="false">
      <c r="A37" s="697" t="s">
        <v>1165</v>
      </c>
      <c r="B37" s="793" t="n">
        <f aca="false">'Compte de Résultat'!E19</f>
        <v>0</v>
      </c>
      <c r="C37" s="793" t="n">
        <v>0</v>
      </c>
      <c r="D37" s="1040"/>
    </row>
    <row r="38" customFormat="false" ht="20.15" hidden="false" customHeight="true" outlineLevel="0" collapsed="false">
      <c r="A38" s="700" t="s">
        <v>1166</v>
      </c>
      <c r="B38" s="1041" t="n">
        <v>0</v>
      </c>
      <c r="C38" s="1041" t="n">
        <v>0</v>
      </c>
      <c r="D38" s="1040" t="e">
        <f aca="false">(B38-C38)/C38</f>
        <v>#DIV/0!</v>
      </c>
    </row>
    <row r="39" customFormat="false" ht="20.15" hidden="false" customHeight="true" outlineLevel="0" collapsed="false">
      <c r="A39" s="1043" t="s">
        <v>1167</v>
      </c>
      <c r="B39" s="1044" t="n">
        <f aca="false">SUM(B36:B38)</f>
        <v>0</v>
      </c>
      <c r="C39" s="1044" t="n">
        <f aca="false">SUM(C36:C38)</f>
        <v>0</v>
      </c>
      <c r="D39" s="1042" t="e">
        <f aca="false">(B39-C39)/C39</f>
        <v>#DIV/0!</v>
      </c>
    </row>
    <row r="40" customFormat="false" ht="20.15" hidden="false" customHeight="true" outlineLevel="0" collapsed="false">
      <c r="A40" s="1045" t="s">
        <v>215</v>
      </c>
      <c r="B40" s="1046"/>
      <c r="C40" s="1046"/>
      <c r="D40" s="1042"/>
    </row>
    <row r="41" customFormat="false" ht="20.15" hidden="false" customHeight="true" outlineLevel="0" collapsed="false">
      <c r="A41" s="1015" t="s">
        <v>1168</v>
      </c>
      <c r="B41" s="1047" t="n">
        <f aca="false">B34+B39</f>
        <v>0</v>
      </c>
      <c r="C41" s="1047" t="n">
        <f aca="false">C34+C39</f>
        <v>0</v>
      </c>
      <c r="D41" s="1042" t="e">
        <f aca="false">(B41-C41)/C41</f>
        <v>#DIV/0!</v>
      </c>
    </row>
    <row r="42" customFormat="false" ht="12" hidden="false" customHeight="false" outlineLevel="0" collapsed="false">
      <c r="A42" s="810" t="s">
        <v>1169</v>
      </c>
    </row>
    <row r="43" customFormat="false" ht="12" hidden="false" customHeight="false" outlineLevel="0" collapsed="false">
      <c r="A43" s="831" t="s">
        <v>1170</v>
      </c>
    </row>
    <row r="44" customFormat="false" ht="36" hidden="false" customHeight="true" outlineLevel="0" collapsed="false">
      <c r="A44" s="937" t="s">
        <v>1171</v>
      </c>
      <c r="B44" s="937"/>
      <c r="C44" s="937"/>
      <c r="D44" s="937"/>
    </row>
  </sheetData>
  <mergeCells count="7">
    <mergeCell ref="A9:D9"/>
    <mergeCell ref="A10:D10"/>
    <mergeCell ref="A11:A12"/>
    <mergeCell ref="B11:B12"/>
    <mergeCell ref="C11:C12"/>
    <mergeCell ref="D11:D12"/>
    <mergeCell ref="A44:D44"/>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31" activeCellId="0" sqref="H31"/>
    </sheetView>
  </sheetViews>
  <sheetFormatPr defaultColWidth="10.8125" defaultRowHeight="12" zeroHeight="false" outlineLevelRow="0" outlineLevelCol="0"/>
  <cols>
    <col collapsed="false" customWidth="true" hidden="false" outlineLevel="0" max="1" min="1" style="209" width="55.81"/>
    <col collapsed="false" customWidth="true" hidden="false" outlineLevel="0" max="2" min="2" style="209" width="15.72"/>
    <col collapsed="false" customWidth="true" hidden="false" outlineLevel="0" max="3" min="3" style="209" width="14.72"/>
    <col collapsed="false" customWidth="true" hidden="false" outlineLevel="0" max="4" min="4" style="209" width="13.26"/>
    <col collapsed="false" customWidth="false" hidden="false" outlineLevel="0" max="257" min="5" style="209" width="10.81"/>
  </cols>
  <sheetData>
    <row r="1" customFormat="false" ht="12" hidden="false" customHeight="false" outlineLevel="0" collapsed="false">
      <c r="A1" s="732"/>
    </row>
    <row r="2" customFormat="false" ht="12" hidden="false" customHeight="false" outlineLevel="0" collapsed="false">
      <c r="A2" s="691"/>
    </row>
    <row r="3" customFormat="false" ht="12" hidden="false" customHeight="false" outlineLevel="0" collapsed="false">
      <c r="A3" s="762"/>
    </row>
    <row r="4" customFormat="false" ht="12" hidden="false" customHeight="false" outlineLevel="0" collapsed="false">
      <c r="A4" s="761" t="s">
        <v>95</v>
      </c>
    </row>
    <row r="5" customFormat="false" ht="13" hidden="false" customHeight="false" outlineLevel="0" collapsed="false">
      <c r="A5" s="359" t="s">
        <v>1024</v>
      </c>
      <c r="B5" s="217" t="s">
        <v>199</v>
      </c>
      <c r="C5" s="217"/>
      <c r="D5" s="203"/>
    </row>
    <row r="6" customFormat="false" ht="13" hidden="false" customHeight="false" outlineLevel="0" collapsed="false">
      <c r="A6" s="360" t="s">
        <v>200</v>
      </c>
      <c r="B6" s="217" t="s">
        <v>101</v>
      </c>
      <c r="C6" s="217"/>
      <c r="D6" s="207"/>
    </row>
    <row r="7" customFormat="false" ht="13" hidden="false" customHeight="false" outlineLevel="0" collapsed="false">
      <c r="A7" s="591" t="s">
        <v>95</v>
      </c>
      <c r="B7" s="425"/>
      <c r="C7" s="425"/>
      <c r="D7" s="425"/>
    </row>
    <row r="8" customFormat="false" ht="12" hidden="false" customHeight="false" outlineLevel="0" collapsed="false">
      <c r="A8" s="428" t="s">
        <v>1172</v>
      </c>
      <c r="B8" s="428"/>
      <c r="C8" s="428"/>
      <c r="D8" s="428"/>
    </row>
    <row r="9" customFormat="false" ht="12.5" hidden="false" customHeight="false" outlineLevel="0" collapsed="false">
      <c r="A9" s="1048" t="s">
        <v>166</v>
      </c>
      <c r="B9" s="1048"/>
      <c r="C9" s="1048"/>
      <c r="D9" s="1048"/>
    </row>
    <row r="10" customFormat="false" ht="20.15" hidden="false" customHeight="true" outlineLevel="0" collapsed="false">
      <c r="A10" s="923" t="s">
        <v>687</v>
      </c>
      <c r="B10" s="1049" t="s">
        <v>763</v>
      </c>
      <c r="C10" s="1049" t="s">
        <v>764</v>
      </c>
      <c r="D10" s="1050" t="s">
        <v>1084</v>
      </c>
    </row>
    <row r="11" customFormat="false" ht="20.15" hidden="false" customHeight="true" outlineLevel="0" collapsed="false">
      <c r="A11" s="697" t="s">
        <v>1173</v>
      </c>
      <c r="B11" s="793" t="n">
        <v>0</v>
      </c>
      <c r="C11" s="793" t="n">
        <v>0</v>
      </c>
      <c r="D11" s="1051" t="e">
        <f aca="false">(B11-C11)/C11</f>
        <v>#DIV/0!</v>
      </c>
    </row>
    <row r="12" customFormat="false" ht="20.15" hidden="false" customHeight="true" outlineLevel="0" collapsed="false">
      <c r="A12" s="697" t="s">
        <v>1174</v>
      </c>
      <c r="B12" s="793"/>
      <c r="C12" s="793"/>
      <c r="D12" s="1052"/>
    </row>
    <row r="13" customFormat="false" ht="20.15" hidden="false" customHeight="true" outlineLevel="0" collapsed="false">
      <c r="A13" s="700" t="s">
        <v>1175</v>
      </c>
      <c r="B13" s="1041"/>
      <c r="C13" s="1041"/>
      <c r="D13" s="1053"/>
    </row>
    <row r="14" customFormat="false" ht="20.15" hidden="false" customHeight="true" outlineLevel="0" collapsed="false">
      <c r="A14" s="702" t="s">
        <v>1176</v>
      </c>
      <c r="B14" s="497" t="n">
        <f aca="false">SUM(B11:B13)</f>
        <v>0</v>
      </c>
      <c r="C14" s="497" t="n">
        <f aca="false">SUM(C11:C13)</f>
        <v>0</v>
      </c>
      <c r="D14" s="795" t="e">
        <f aca="false">SUM(D11:D13)</f>
        <v>#DIV/0!</v>
      </c>
    </row>
    <row r="15" customFormat="false" ht="20.15" hidden="false" customHeight="true" outlineLevel="0" collapsed="false">
      <c r="A15" s="705" t="s">
        <v>215</v>
      </c>
      <c r="B15" s="479"/>
      <c r="C15" s="479"/>
      <c r="D15" s="1054"/>
    </row>
    <row r="16" customFormat="false" ht="20.15" hidden="false" customHeight="true" outlineLevel="0" collapsed="false">
      <c r="A16" s="697" t="s">
        <v>1173</v>
      </c>
      <c r="B16" s="793"/>
      <c r="C16" s="793"/>
      <c r="D16" s="1052"/>
    </row>
    <row r="17" customFormat="false" ht="20.15" hidden="false" customHeight="true" outlineLevel="0" collapsed="false">
      <c r="A17" s="697" t="s">
        <v>1174</v>
      </c>
      <c r="B17" s="793"/>
      <c r="C17" s="793"/>
      <c r="D17" s="1052"/>
    </row>
    <row r="18" customFormat="false" ht="20.15" hidden="false" customHeight="true" outlineLevel="0" collapsed="false">
      <c r="A18" s="700" t="s">
        <v>1175</v>
      </c>
      <c r="B18" s="1041"/>
      <c r="C18" s="1041"/>
      <c r="D18" s="1053"/>
    </row>
    <row r="19" customFormat="false" ht="20.15" hidden="false" customHeight="true" outlineLevel="0" collapsed="false">
      <c r="A19" s="702" t="s">
        <v>1177</v>
      </c>
      <c r="B19" s="497" t="n">
        <f aca="false">SUM(B15:B18)</f>
        <v>0</v>
      </c>
      <c r="C19" s="497" t="n">
        <f aca="false">SUM(C15:C18)</f>
        <v>0</v>
      </c>
      <c r="D19" s="982" t="n">
        <f aca="false">SUM(D15:D18)</f>
        <v>0</v>
      </c>
    </row>
    <row r="20" customFormat="false" ht="20.15" hidden="false" customHeight="true" outlineLevel="0" collapsed="false">
      <c r="A20" s="705" t="s">
        <v>215</v>
      </c>
      <c r="B20" s="479"/>
      <c r="C20" s="479"/>
      <c r="D20" s="1054"/>
    </row>
    <row r="21" customFormat="false" ht="20.15" hidden="false" customHeight="true" outlineLevel="0" collapsed="false">
      <c r="A21" s="697" t="s">
        <v>1178</v>
      </c>
      <c r="B21" s="793"/>
      <c r="C21" s="793"/>
      <c r="D21" s="1055"/>
    </row>
    <row r="22" customFormat="false" ht="20.15" hidden="false" customHeight="true" outlineLevel="0" collapsed="false">
      <c r="A22" s="697" t="s">
        <v>1179</v>
      </c>
      <c r="B22" s="793"/>
      <c r="C22" s="793"/>
      <c r="D22" s="1056"/>
    </row>
    <row r="23" customFormat="false" ht="20.15" hidden="false" customHeight="true" outlineLevel="0" collapsed="false">
      <c r="A23" s="697" t="s">
        <v>1180</v>
      </c>
      <c r="B23" s="793"/>
      <c r="C23" s="793"/>
      <c r="D23" s="1056"/>
    </row>
    <row r="24" customFormat="false" ht="20.15" hidden="false" customHeight="true" outlineLevel="0" collapsed="false">
      <c r="A24" s="697" t="s">
        <v>1181</v>
      </c>
      <c r="B24" s="793"/>
      <c r="C24" s="793"/>
      <c r="D24" s="1056"/>
    </row>
    <row r="25" customFormat="false" ht="20.15" hidden="false" customHeight="true" outlineLevel="0" collapsed="false">
      <c r="A25" s="697" t="s">
        <v>1182</v>
      </c>
      <c r="B25" s="793" t="n">
        <v>0</v>
      </c>
      <c r="C25" s="793" t="n">
        <v>0</v>
      </c>
      <c r="D25" s="1051" t="e">
        <f aca="false">(B25-C25)/C25</f>
        <v>#DIV/0!</v>
      </c>
    </row>
    <row r="26" customFormat="false" ht="20.15" hidden="false" customHeight="true" outlineLevel="0" collapsed="false">
      <c r="A26" s="697" t="s">
        <v>1183</v>
      </c>
      <c r="B26" s="793" t="n">
        <v>0</v>
      </c>
      <c r="C26" s="793" t="n">
        <v>0</v>
      </c>
      <c r="D26" s="1051" t="e">
        <f aca="false">(B26-C26)/C26</f>
        <v>#DIV/0!</v>
      </c>
    </row>
    <row r="27" customFormat="false" ht="20.15" hidden="false" customHeight="true" outlineLevel="0" collapsed="false">
      <c r="A27" s="697" t="s">
        <v>1184</v>
      </c>
      <c r="B27" s="793" t="n">
        <v>0</v>
      </c>
      <c r="C27" s="793" t="n">
        <v>0</v>
      </c>
      <c r="D27" s="1051" t="e">
        <f aca="false">(B27-C27)/C27</f>
        <v>#DIV/0!</v>
      </c>
    </row>
    <row r="28" customFormat="false" ht="20.15" hidden="false" customHeight="true" outlineLevel="0" collapsed="false">
      <c r="A28" s="697" t="s">
        <v>1185</v>
      </c>
      <c r="B28" s="793" t="n">
        <v>0</v>
      </c>
      <c r="C28" s="793" t="n">
        <v>0</v>
      </c>
      <c r="D28" s="1051" t="e">
        <f aca="false">(B28-C28)/C28</f>
        <v>#DIV/0!</v>
      </c>
    </row>
    <row r="29" customFormat="false" ht="20.15" hidden="false" customHeight="true" outlineLevel="0" collapsed="false">
      <c r="A29" s="697" t="s">
        <v>1186</v>
      </c>
      <c r="B29" s="793" t="n">
        <v>0</v>
      </c>
      <c r="C29" s="793" t="n">
        <v>0</v>
      </c>
      <c r="D29" s="1057" t="e">
        <f aca="false">(B29-C29)/C29</f>
        <v>#DIV/0!</v>
      </c>
    </row>
    <row r="30" customFormat="false" ht="20.15" hidden="false" customHeight="true" outlineLevel="0" collapsed="false">
      <c r="A30" s="697" t="s">
        <v>1187</v>
      </c>
      <c r="B30" s="793" t="n">
        <v>0</v>
      </c>
      <c r="C30" s="793" t="n">
        <v>0</v>
      </c>
      <c r="D30" s="1057" t="e">
        <f aca="false">(B30-C30)/C30</f>
        <v>#DIV/0!</v>
      </c>
    </row>
    <row r="31" customFormat="false" ht="26.25" hidden="false" customHeight="true" outlineLevel="0" collapsed="false">
      <c r="A31" s="697" t="s">
        <v>1188</v>
      </c>
      <c r="B31" s="793" t="n">
        <v>0</v>
      </c>
      <c r="C31" s="793" t="n">
        <v>0</v>
      </c>
      <c r="D31" s="1057" t="e">
        <f aca="false">(B31-C31)/C31</f>
        <v>#DIV/0!</v>
      </c>
    </row>
    <row r="32" customFormat="false" ht="20.15" hidden="false" customHeight="true" outlineLevel="0" collapsed="false">
      <c r="A32" s="697" t="s">
        <v>1189</v>
      </c>
      <c r="B32" s="793"/>
      <c r="C32" s="793"/>
      <c r="D32" s="1057"/>
    </row>
    <row r="33" customFormat="false" ht="20.15" hidden="false" customHeight="true" outlineLevel="0" collapsed="false">
      <c r="A33" s="697" t="s">
        <v>1190</v>
      </c>
      <c r="B33" s="793"/>
      <c r="C33" s="793"/>
      <c r="D33" s="1057"/>
    </row>
    <row r="34" customFormat="false" ht="20.15" hidden="false" customHeight="true" outlineLevel="0" collapsed="false">
      <c r="A34" s="700" t="s">
        <v>1191</v>
      </c>
      <c r="B34" s="1041"/>
      <c r="C34" s="1041"/>
      <c r="D34" s="1057"/>
    </row>
    <row r="35" customFormat="false" ht="20.15" hidden="false" customHeight="true" outlineLevel="0" collapsed="false">
      <c r="A35" s="702" t="s">
        <v>1192</v>
      </c>
      <c r="B35" s="497" t="n">
        <f aca="false">SUM(B21:B34)</f>
        <v>0</v>
      </c>
      <c r="C35" s="497" t="n">
        <f aca="false">SUM(C21:C34)</f>
        <v>0</v>
      </c>
      <c r="D35" s="795" t="e">
        <f aca="false">(B35-C35)/C35</f>
        <v>#DIV/0!</v>
      </c>
    </row>
    <row r="36" customFormat="false" ht="12" hidden="false" customHeight="false" outlineLevel="0" collapsed="false">
      <c r="A36" s="730" t="s">
        <v>95</v>
      </c>
    </row>
    <row r="37" customFormat="false" ht="12" hidden="false" customHeight="false" outlineLevel="0" collapsed="false">
      <c r="A37" s="688" t="s">
        <v>1034</v>
      </c>
    </row>
    <row r="38" customFormat="false" ht="12" hidden="false" customHeight="false" outlineLevel="0" collapsed="false">
      <c r="A38" s="684" t="s">
        <v>1116</v>
      </c>
    </row>
  </sheetData>
  <mergeCells count="2">
    <mergeCell ref="A8:D8"/>
    <mergeCell ref="A9:D9"/>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D14"/>
    </sheetView>
  </sheetViews>
  <sheetFormatPr defaultColWidth="10.8125" defaultRowHeight="12" zeroHeight="false" outlineLevelRow="0" outlineLevelCol="0"/>
  <cols>
    <col collapsed="false" customWidth="true" hidden="false" outlineLevel="0" max="1" min="1" style="209" width="50.44"/>
    <col collapsed="false" customWidth="false" hidden="false" outlineLevel="0" max="2" min="2" style="209" width="10.81"/>
    <col collapsed="false" customWidth="true" hidden="false" outlineLevel="0" max="3" min="3" style="209" width="11.72"/>
    <col collapsed="false" customWidth="false" hidden="false" outlineLevel="0" max="257" min="4" style="209" width="10.81"/>
  </cols>
  <sheetData>
    <row r="1" customFormat="false" ht="12" hidden="false" customHeight="false" outlineLevel="0" collapsed="false">
      <c r="A1" s="1058"/>
    </row>
    <row r="2" customFormat="false" ht="12" hidden="false" customHeight="false" outlineLevel="0" collapsed="false">
      <c r="A2" s="761" t="s">
        <v>95</v>
      </c>
    </row>
    <row r="3" customFormat="false" ht="12" hidden="false" customHeight="false" outlineLevel="0" collapsed="false">
      <c r="A3" s="761"/>
    </row>
    <row r="4" customFormat="false" ht="13" hidden="false" customHeight="false" outlineLevel="0" collapsed="false">
      <c r="A4" s="359" t="s">
        <v>1024</v>
      </c>
      <c r="C4" s="1059" t="s">
        <v>1193</v>
      </c>
      <c r="D4" s="203"/>
    </row>
    <row r="5" customFormat="false" ht="13" hidden="false" customHeight="false" outlineLevel="0" collapsed="false">
      <c r="A5" s="360" t="s">
        <v>1194</v>
      </c>
      <c r="C5" s="1059" t="s">
        <v>101</v>
      </c>
      <c r="D5" s="207"/>
    </row>
    <row r="6" customFormat="false" ht="12" hidden="false" customHeight="false" outlineLevel="0" collapsed="false">
      <c r="A6" s="591" t="s">
        <v>95</v>
      </c>
    </row>
    <row r="7" customFormat="false" ht="14" hidden="false" customHeight="false" outlineLevel="0" collapsed="false">
      <c r="A7" s="602" t="s">
        <v>1195</v>
      </c>
      <c r="B7" s="602"/>
      <c r="C7" s="602"/>
      <c r="D7" s="602"/>
      <c r="E7" s="922"/>
      <c r="F7" s="922"/>
      <c r="G7" s="922"/>
    </row>
    <row r="8" customFormat="false" ht="14.5" hidden="false" customHeight="false" outlineLevel="0" collapsed="false">
      <c r="A8" s="765" t="s">
        <v>168</v>
      </c>
      <c r="B8" s="765"/>
      <c r="C8" s="765"/>
      <c r="D8" s="765"/>
      <c r="E8" s="766"/>
      <c r="F8" s="766"/>
      <c r="G8" s="766"/>
    </row>
    <row r="9" customFormat="false" ht="20.15" hidden="false" customHeight="true" outlineLevel="0" collapsed="false">
      <c r="A9" s="1060" t="s">
        <v>826</v>
      </c>
      <c r="B9" s="1049" t="s">
        <v>688</v>
      </c>
      <c r="C9" s="1049" t="s">
        <v>689</v>
      </c>
      <c r="D9" s="1050" t="s">
        <v>690</v>
      </c>
    </row>
    <row r="10" customFormat="false" ht="20.15" hidden="false" customHeight="true" outlineLevel="0" collapsed="false">
      <c r="A10" s="697" t="s">
        <v>1196</v>
      </c>
      <c r="B10" s="724"/>
      <c r="C10" s="724"/>
      <c r="D10" s="1061"/>
    </row>
    <row r="11" customFormat="false" ht="20.15" hidden="false" customHeight="true" outlineLevel="0" collapsed="false">
      <c r="A11" s="697" t="s">
        <v>1197</v>
      </c>
      <c r="B11" s="724"/>
      <c r="C11" s="724"/>
      <c r="D11" s="1061"/>
    </row>
    <row r="12" customFormat="false" ht="20.15" hidden="false" customHeight="true" outlineLevel="0" collapsed="false">
      <c r="A12" s="697" t="s">
        <v>1198</v>
      </c>
      <c r="B12" s="724"/>
      <c r="C12" s="724"/>
      <c r="D12" s="1062"/>
    </row>
    <row r="13" customFormat="false" ht="20.15" hidden="false" customHeight="true" outlineLevel="0" collapsed="false">
      <c r="A13" s="697" t="s">
        <v>1199</v>
      </c>
      <c r="B13" s="724"/>
      <c r="C13" s="724"/>
      <c r="D13" s="1063"/>
    </row>
    <row r="14" customFormat="false" ht="20.15" hidden="false" customHeight="true" outlineLevel="0" collapsed="false">
      <c r="A14" s="697" t="s">
        <v>1200</v>
      </c>
      <c r="B14" s="793" t="n">
        <v>0</v>
      </c>
      <c r="C14" s="793" t="n">
        <v>0</v>
      </c>
      <c r="D14" s="1064" t="e">
        <f aca="false">(B14-C14)/C14</f>
        <v>#DIV/0!</v>
      </c>
    </row>
    <row r="15" customFormat="false" ht="20.15" hidden="false" customHeight="true" outlineLevel="0" collapsed="false">
      <c r="A15" s="702" t="s">
        <v>1168</v>
      </c>
      <c r="B15" s="497" t="n">
        <f aca="false">SUM(B10:B14)</f>
        <v>0</v>
      </c>
      <c r="C15" s="497" t="n">
        <f aca="false">SUM(C10:C14)</f>
        <v>0</v>
      </c>
      <c r="D15" s="1065" t="e">
        <f aca="false">(B15-C15)/C15</f>
        <v>#DIV/0!</v>
      </c>
    </row>
    <row r="16" customFormat="false" ht="15" hidden="false" customHeight="true" outlineLevel="0" collapsed="false">
      <c r="A16" s="688" t="s">
        <v>1034</v>
      </c>
    </row>
    <row r="17" customFormat="false" ht="12" hidden="false" customHeight="false" outlineLevel="0" collapsed="false">
      <c r="A17" s="684" t="s">
        <v>1116</v>
      </c>
    </row>
    <row r="18" customFormat="false" ht="12" hidden="false" customHeight="false" outlineLevel="0" collapsed="false">
      <c r="A18" s="761" t="s">
        <v>95</v>
      </c>
    </row>
    <row r="19" customFormat="false" ht="12" hidden="false" customHeight="false" outlineLevel="0" collapsed="false">
      <c r="A19" s="761" t="s">
        <v>95</v>
      </c>
    </row>
    <row r="20" customFormat="false" ht="12" hidden="false" customHeight="false" outlineLevel="0" collapsed="false">
      <c r="A20" s="761" t="s">
        <v>95</v>
      </c>
    </row>
    <row r="21" customFormat="false" ht="12" hidden="false" customHeight="false" outlineLevel="0" collapsed="false">
      <c r="A21" s="761" t="s">
        <v>95</v>
      </c>
    </row>
    <row r="22" customFormat="false" ht="12" hidden="false" customHeight="false" outlineLevel="0" collapsed="false">
      <c r="A22" s="761" t="s">
        <v>95</v>
      </c>
    </row>
  </sheetData>
  <mergeCells count="2">
    <mergeCell ref="A7:D7"/>
    <mergeCell ref="A8:D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D23"/>
    </sheetView>
  </sheetViews>
  <sheetFormatPr defaultColWidth="10.8125" defaultRowHeight="12" zeroHeight="false" outlineLevelRow="0" outlineLevelCol="0"/>
  <cols>
    <col collapsed="false" customWidth="true" hidden="false" outlineLevel="0" max="1" min="1" style="209" width="53.44"/>
    <col collapsed="false" customWidth="true" hidden="false" outlineLevel="0" max="2" min="2" style="209" width="13.99"/>
    <col collapsed="false" customWidth="true" hidden="false" outlineLevel="0" max="3" min="3" style="209" width="12.44"/>
    <col collapsed="false" customWidth="true" hidden="false" outlineLevel="0" max="4" min="4" style="209" width="13.26"/>
    <col collapsed="false" customWidth="false" hidden="false" outlineLevel="0" max="257" min="5" style="209" width="10.81"/>
  </cols>
  <sheetData>
    <row r="1" customFormat="false" ht="12" hidden="false" customHeight="false" outlineLevel="0" collapsed="false">
      <c r="A1" s="691"/>
    </row>
    <row r="2" customFormat="false" ht="12" hidden="false" customHeight="false" outlineLevel="0" collapsed="false">
      <c r="A2" s="761" t="s">
        <v>95</v>
      </c>
    </row>
    <row r="3" customFormat="false" ht="12" hidden="false" customHeight="false" outlineLevel="0" collapsed="false">
      <c r="A3" s="591"/>
    </row>
    <row r="4" customFormat="false" ht="13" hidden="false" customHeight="false" outlineLevel="0" collapsed="false">
      <c r="A4" s="359" t="s">
        <v>1024</v>
      </c>
      <c r="C4" s="217" t="s">
        <v>199</v>
      </c>
      <c r="D4" s="203"/>
    </row>
    <row r="5" customFormat="false" ht="13" hidden="false" customHeight="false" outlineLevel="0" collapsed="false">
      <c r="A5" s="360" t="s">
        <v>620</v>
      </c>
      <c r="C5" s="217" t="s">
        <v>101</v>
      </c>
      <c r="D5" s="207"/>
    </row>
    <row r="6" customFormat="false" ht="12" hidden="false" customHeight="false" outlineLevel="0" collapsed="false">
      <c r="A6" s="591" t="s">
        <v>95</v>
      </c>
    </row>
    <row r="7" customFormat="false" ht="14" hidden="false" customHeight="false" outlineLevel="0" collapsed="false">
      <c r="A7" s="763" t="s">
        <v>1201</v>
      </c>
      <c r="B7" s="763"/>
      <c r="C7" s="763"/>
      <c r="D7" s="763"/>
      <c r="E7" s="1066"/>
      <c r="F7" s="1066"/>
      <c r="G7" s="1066"/>
    </row>
    <row r="8" customFormat="false" ht="14.5" hidden="false" customHeight="false" outlineLevel="0" collapsed="false">
      <c r="A8" s="765" t="s">
        <v>1202</v>
      </c>
      <c r="B8" s="765"/>
      <c r="C8" s="765"/>
      <c r="D8" s="765"/>
      <c r="E8" s="1067"/>
      <c r="F8" s="1067"/>
      <c r="G8" s="1067"/>
    </row>
    <row r="9" customFormat="false" ht="23.25" hidden="false" customHeight="true" outlineLevel="0" collapsed="false">
      <c r="A9" s="923" t="s">
        <v>687</v>
      </c>
      <c r="B9" s="1049" t="s">
        <v>688</v>
      </c>
      <c r="C9" s="1049" t="s">
        <v>689</v>
      </c>
      <c r="D9" s="1050" t="s">
        <v>690</v>
      </c>
    </row>
    <row r="10" customFormat="false" ht="20.15" hidden="false" customHeight="true" outlineLevel="0" collapsed="false">
      <c r="A10" s="697" t="s">
        <v>1203</v>
      </c>
      <c r="B10" s="793"/>
      <c r="C10" s="793"/>
      <c r="D10" s="1068"/>
    </row>
    <row r="11" customFormat="false" ht="20.15" hidden="false" customHeight="true" outlineLevel="0" collapsed="false">
      <c r="A11" s="697" t="s">
        <v>1204</v>
      </c>
      <c r="B11" s="793" t="n">
        <v>0</v>
      </c>
      <c r="C11" s="793" t="n">
        <v>0</v>
      </c>
      <c r="D11" s="1051" t="e">
        <f aca="false">(B11-C11)/C11</f>
        <v>#DIV/0!</v>
      </c>
    </row>
    <row r="12" customFormat="false" ht="20.15" hidden="false" customHeight="true" outlineLevel="0" collapsed="false">
      <c r="A12" s="697" t="s">
        <v>1205</v>
      </c>
      <c r="B12" s="793"/>
      <c r="C12" s="793"/>
      <c r="D12" s="1051"/>
    </row>
    <row r="13" customFormat="false" ht="20.15" hidden="false" customHeight="true" outlineLevel="0" collapsed="false">
      <c r="A13" s="697" t="s">
        <v>1206</v>
      </c>
      <c r="B13" s="793" t="n">
        <v>0</v>
      </c>
      <c r="C13" s="793" t="n">
        <v>0</v>
      </c>
      <c r="D13" s="1051" t="e">
        <f aca="false">(B13-C13)/C13</f>
        <v>#DIV/0!</v>
      </c>
    </row>
    <row r="14" customFormat="false" ht="20.15" hidden="false" customHeight="true" outlineLevel="0" collapsed="false">
      <c r="A14" s="697" t="s">
        <v>1207</v>
      </c>
      <c r="B14" s="793" t="n">
        <v>0</v>
      </c>
      <c r="C14" s="793" t="n">
        <v>0</v>
      </c>
      <c r="D14" s="1051" t="e">
        <f aca="false">(B14-C14)/C14</f>
        <v>#DIV/0!</v>
      </c>
    </row>
    <row r="15" customFormat="false" ht="20.15" hidden="false" customHeight="true" outlineLevel="0" collapsed="false">
      <c r="A15" s="697" t="s">
        <v>1208</v>
      </c>
      <c r="B15" s="793"/>
      <c r="C15" s="793"/>
      <c r="D15" s="1051"/>
    </row>
    <row r="16" customFormat="false" ht="20.15" hidden="false" customHeight="true" outlineLevel="0" collapsed="false">
      <c r="A16" s="697" t="s">
        <v>1209</v>
      </c>
      <c r="B16" s="793"/>
      <c r="C16" s="793"/>
      <c r="D16" s="1051"/>
    </row>
    <row r="17" customFormat="false" ht="20.15" hidden="false" customHeight="true" outlineLevel="0" collapsed="false">
      <c r="A17" s="697" t="s">
        <v>1210</v>
      </c>
      <c r="B17" s="793" t="n">
        <v>0</v>
      </c>
      <c r="C17" s="793" t="n">
        <v>0</v>
      </c>
      <c r="D17" s="1051" t="e">
        <f aca="false">(B17-C17)/C17</f>
        <v>#DIV/0!</v>
      </c>
    </row>
    <row r="18" customFormat="false" ht="20.15" hidden="false" customHeight="true" outlineLevel="0" collapsed="false">
      <c r="A18" s="697" t="s">
        <v>1211</v>
      </c>
      <c r="B18" s="793" t="n">
        <v>0</v>
      </c>
      <c r="C18" s="793" t="n">
        <v>0</v>
      </c>
      <c r="D18" s="1051" t="e">
        <f aca="false">(B18-C18)/C18</f>
        <v>#DIV/0!</v>
      </c>
    </row>
    <row r="19" customFormat="false" ht="20.15" hidden="false" customHeight="true" outlineLevel="0" collapsed="false">
      <c r="A19" s="697" t="s">
        <v>1212</v>
      </c>
      <c r="B19" s="793" t="n">
        <v>0</v>
      </c>
      <c r="C19" s="793" t="n">
        <v>0</v>
      </c>
      <c r="D19" s="1051" t="e">
        <f aca="false">(B19-C19)/C19</f>
        <v>#DIV/0!</v>
      </c>
    </row>
    <row r="20" customFormat="false" ht="20.15" hidden="false" customHeight="true" outlineLevel="0" collapsed="false">
      <c r="A20" s="697" t="s">
        <v>1213</v>
      </c>
      <c r="B20" s="793"/>
      <c r="C20" s="793"/>
      <c r="D20" s="1051"/>
    </row>
    <row r="21" customFormat="false" ht="27" hidden="false" customHeight="true" outlineLevel="0" collapsed="false">
      <c r="A21" s="697" t="s">
        <v>1214</v>
      </c>
      <c r="B21" s="793"/>
      <c r="C21" s="793" t="n">
        <v>0</v>
      </c>
      <c r="D21" s="1051" t="e">
        <f aca="false">(B21-C21)/C21</f>
        <v>#DIV/0!</v>
      </c>
    </row>
    <row r="22" customFormat="false" ht="20.15" hidden="false" customHeight="true" outlineLevel="0" collapsed="false">
      <c r="A22" s="697" t="s">
        <v>1215</v>
      </c>
      <c r="B22" s="793"/>
      <c r="C22" s="793" t="n">
        <v>0</v>
      </c>
      <c r="D22" s="1051" t="e">
        <f aca="false">(B22-C22)/C22</f>
        <v>#DIV/0!</v>
      </c>
    </row>
    <row r="23" customFormat="false" ht="20.15" hidden="false" customHeight="true" outlineLevel="0" collapsed="false">
      <c r="A23" s="697" t="s">
        <v>1216</v>
      </c>
      <c r="B23" s="793" t="n">
        <v>0</v>
      </c>
      <c r="C23" s="793" t="n">
        <v>0</v>
      </c>
      <c r="D23" s="1051" t="e">
        <f aca="false">(B23-C23)/C23</f>
        <v>#DIV/0!</v>
      </c>
    </row>
    <row r="24" customFormat="false" ht="20.15" hidden="false" customHeight="true" outlineLevel="0" collapsed="false">
      <c r="A24" s="702" t="s">
        <v>1168</v>
      </c>
      <c r="B24" s="497" t="n">
        <f aca="false">SUM(B10:B23)</f>
        <v>0</v>
      </c>
      <c r="C24" s="497" t="n">
        <f aca="false">SUM(C10:C23)</f>
        <v>0</v>
      </c>
      <c r="D24" s="795" t="e">
        <f aca="false">(B24-C24)/C24</f>
        <v>#DIV/0!</v>
      </c>
    </row>
    <row r="25" customFormat="false" ht="12" hidden="false" customHeight="false" outlineLevel="0" collapsed="false">
      <c r="A25" s="688" t="s">
        <v>1034</v>
      </c>
      <c r="C25" s="446"/>
    </row>
    <row r="26" customFormat="false" ht="12" hidden="false" customHeight="false" outlineLevel="0" collapsed="false">
      <c r="A26" s="684" t="s">
        <v>1116</v>
      </c>
    </row>
    <row r="27" customFormat="false" ht="12" hidden="false" customHeight="false" outlineLevel="0" collapsed="false">
      <c r="A27" s="761" t="s">
        <v>95</v>
      </c>
      <c r="B27" s="446"/>
    </row>
    <row r="28" customFormat="false" ht="12" hidden="false" customHeight="false" outlineLevel="0" collapsed="false">
      <c r="A28" s="761" t="s">
        <v>95</v>
      </c>
    </row>
    <row r="29" customFormat="false" ht="12" hidden="false" customHeight="false" outlineLevel="0" collapsed="false">
      <c r="A29" s="761"/>
    </row>
    <row r="30" customFormat="false" ht="12" hidden="false" customHeight="false" outlineLevel="0" collapsed="false">
      <c r="A30" s="761"/>
    </row>
  </sheetData>
  <mergeCells count="2">
    <mergeCell ref="A7:D7"/>
    <mergeCell ref="A8:D8"/>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E22" activeCellId="0" sqref="E22"/>
    </sheetView>
  </sheetViews>
  <sheetFormatPr defaultColWidth="10.90234375" defaultRowHeight="14.5" zeroHeight="false" outlineLevelRow="0" outlineLevelCol="0"/>
  <cols>
    <col collapsed="false" customWidth="true" hidden="false" outlineLevel="0" max="1" min="1" style="0" width="54.17"/>
    <col collapsed="false" customWidth="true" hidden="false" outlineLevel="0" max="2" min="2" style="0" width="13.99"/>
    <col collapsed="false" customWidth="true" hidden="false" outlineLevel="0" max="3" min="3" style="0" width="11.81"/>
  </cols>
  <sheetData>
    <row r="1" customFormat="false" ht="15" hidden="false" customHeight="false" outlineLevel="0" collapsed="false">
      <c r="A1" s="849"/>
    </row>
    <row r="2" customFormat="false" ht="15" hidden="false" customHeight="false" outlineLevel="0" collapsed="false">
      <c r="A2" s="849"/>
    </row>
    <row r="3" customFormat="false" ht="14.5" hidden="false" customHeight="false" outlineLevel="0" collapsed="false">
      <c r="A3" s="601"/>
    </row>
    <row r="5" customFormat="false" ht="15" hidden="false" customHeight="true" outlineLevel="0" collapsed="false">
      <c r="A5" s="359" t="s">
        <v>969</v>
      </c>
      <c r="C5" s="217" t="s">
        <v>199</v>
      </c>
      <c r="D5" s="203"/>
    </row>
    <row r="6" customFormat="false" ht="14.5" hidden="false" customHeight="false" outlineLevel="0" collapsed="false">
      <c r="A6" s="360" t="s">
        <v>200</v>
      </c>
      <c r="C6" s="217" t="s">
        <v>101</v>
      </c>
      <c r="D6" s="207"/>
    </row>
    <row r="7" customFormat="false" ht="15" hidden="false" customHeight="false" outlineLevel="0" collapsed="false">
      <c r="A7" s="849" t="s">
        <v>95</v>
      </c>
    </row>
    <row r="8" customFormat="false" ht="15" hidden="false" customHeight="false" outlineLevel="0" collapsed="false">
      <c r="A8" s="1069" t="s">
        <v>1217</v>
      </c>
      <c r="B8" s="1069"/>
      <c r="C8" s="1069"/>
      <c r="D8" s="1069"/>
      <c r="E8" s="1070"/>
      <c r="F8" s="1070"/>
      <c r="G8" s="1070"/>
    </row>
    <row r="9" customFormat="false" ht="15.5" hidden="false" customHeight="false" outlineLevel="0" collapsed="false">
      <c r="A9" s="1071" t="s">
        <v>1218</v>
      </c>
      <c r="B9" s="1071"/>
      <c r="C9" s="1071"/>
      <c r="D9" s="1071"/>
      <c r="E9" s="1072"/>
      <c r="F9" s="1072"/>
      <c r="G9" s="1072"/>
    </row>
    <row r="10" customFormat="false" ht="23.5" hidden="false" customHeight="false" outlineLevel="0" collapsed="false">
      <c r="A10" s="603" t="s">
        <v>687</v>
      </c>
      <c r="B10" s="604" t="s">
        <v>688</v>
      </c>
      <c r="C10" s="604" t="s">
        <v>689</v>
      </c>
      <c r="D10" s="606" t="s">
        <v>690</v>
      </c>
    </row>
    <row r="11" customFormat="false" ht="14.5" hidden="false" customHeight="false" outlineLevel="0" collapsed="false">
      <c r="A11" s="694" t="s">
        <v>1219</v>
      </c>
      <c r="B11" s="1073" t="n">
        <v>0</v>
      </c>
      <c r="C11" s="1073"/>
      <c r="D11" s="1074"/>
    </row>
    <row r="12" customFormat="false" ht="14.5" hidden="false" customHeight="false" outlineLevel="0" collapsed="false">
      <c r="A12" s="697" t="s">
        <v>1220</v>
      </c>
      <c r="B12" s="1075" t="n">
        <v>0</v>
      </c>
      <c r="C12" s="1075"/>
      <c r="D12" s="1074"/>
    </row>
    <row r="13" customFormat="false" ht="14.5" hidden="false" customHeight="false" outlineLevel="0" collapsed="false">
      <c r="A13" s="697" t="s">
        <v>1221</v>
      </c>
      <c r="B13" s="1075"/>
      <c r="C13" s="1075" t="n">
        <v>0</v>
      </c>
      <c r="D13" s="1076" t="e">
        <f aca="false">(B13-C13)/C13</f>
        <v>#DIV/0!</v>
      </c>
    </row>
    <row r="14" customFormat="false" ht="14.5" hidden="false" customHeight="false" outlineLevel="0" collapsed="false">
      <c r="A14" s="697" t="s">
        <v>1222</v>
      </c>
      <c r="B14" s="1009"/>
      <c r="C14" s="1009"/>
      <c r="D14" s="1074"/>
    </row>
    <row r="15" customFormat="false" ht="15" hidden="false" customHeight="false" outlineLevel="0" collapsed="false">
      <c r="A15" s="697" t="s">
        <v>1223</v>
      </c>
      <c r="B15" s="1009"/>
      <c r="C15" s="1009" t="n">
        <v>0</v>
      </c>
      <c r="D15" s="1076" t="e">
        <f aca="false">(B15-C15)/C15</f>
        <v>#DIV/0!</v>
      </c>
    </row>
    <row r="16" customFormat="false" ht="15" hidden="false" customHeight="false" outlineLevel="0" collapsed="false">
      <c r="A16" s="702" t="s">
        <v>1224</v>
      </c>
      <c r="B16" s="703" t="n">
        <f aca="false">SUM(B11:B15)</f>
        <v>0</v>
      </c>
      <c r="C16" s="703" t="n">
        <f aca="false">SUM(C11:C15)</f>
        <v>0</v>
      </c>
      <c r="D16" s="703" t="e">
        <f aca="false">(B16-C16)/C16</f>
        <v>#DIV/0!</v>
      </c>
    </row>
    <row r="17" customFormat="false" ht="14.5" hidden="false" customHeight="false" outlineLevel="0" collapsed="false">
      <c r="A17" s="688" t="s">
        <v>938</v>
      </c>
    </row>
    <row r="18" customFormat="false" ht="14.5" hidden="false" customHeight="false" outlineLevel="0" collapsed="false">
      <c r="A18" s="732" t="s">
        <v>1150</v>
      </c>
    </row>
    <row r="19" customFormat="false" ht="14.5" hidden="false" customHeight="false" outlineLevel="0" collapsed="false">
      <c r="A19" s="732" t="s">
        <v>1225</v>
      </c>
    </row>
    <row r="20" customFormat="false" ht="15" hidden="false" customHeight="false" outlineLevel="0" collapsed="false">
      <c r="A20" s="849" t="s">
        <v>95</v>
      </c>
    </row>
  </sheetData>
  <mergeCells count="2">
    <mergeCell ref="A8:D8"/>
    <mergeCell ref="A9:D9"/>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28" activeCellId="0" sqref="B28"/>
    </sheetView>
  </sheetViews>
  <sheetFormatPr defaultColWidth="10.8125" defaultRowHeight="12" zeroHeight="false" outlineLevelRow="0" outlineLevelCol="0"/>
  <cols>
    <col collapsed="false" customWidth="true" hidden="false" outlineLevel="0" max="1" min="1" style="209" width="54.17"/>
    <col collapsed="false" customWidth="true" hidden="false" outlineLevel="0" max="2" min="2" style="209" width="12.99"/>
    <col collapsed="false" customWidth="true" hidden="false" outlineLevel="0" max="3" min="3" style="209" width="12.44"/>
    <col collapsed="false" customWidth="true" hidden="false" outlineLevel="0" max="4" min="4" style="209" width="13.26"/>
    <col collapsed="false" customWidth="false" hidden="false" outlineLevel="0" max="257" min="5" style="209" width="10.81"/>
  </cols>
  <sheetData>
    <row r="1" customFormat="false" ht="12" hidden="false" customHeight="false" outlineLevel="0" collapsed="false">
      <c r="A1" s="1077"/>
    </row>
    <row r="2" customFormat="false" ht="12" hidden="false" customHeight="false" outlineLevel="0" collapsed="false">
      <c r="A2" s="761" t="s">
        <v>95</v>
      </c>
    </row>
    <row r="3" customFormat="false" ht="12" hidden="false" customHeight="false" outlineLevel="0" collapsed="false">
      <c r="A3" s="761"/>
    </row>
    <row r="4" customFormat="false" ht="13" hidden="false" customHeight="false" outlineLevel="0" collapsed="false">
      <c r="A4" s="359" t="s">
        <v>51</v>
      </c>
      <c r="C4" s="217" t="s">
        <v>199</v>
      </c>
      <c r="D4" s="203"/>
    </row>
    <row r="5" customFormat="false" ht="13" hidden="false" customHeight="false" outlineLevel="0" collapsed="false">
      <c r="A5" s="360" t="s">
        <v>1194</v>
      </c>
      <c r="C5" s="217" t="s">
        <v>101</v>
      </c>
      <c r="D5" s="207"/>
    </row>
    <row r="6" customFormat="false" ht="12" hidden="false" customHeight="false" outlineLevel="0" collapsed="false">
      <c r="A6" s="691"/>
    </row>
    <row r="7" customFormat="false" ht="14.5" hidden="false" customHeight="false" outlineLevel="0" collapsed="false">
      <c r="A7" s="602" t="s">
        <v>1226</v>
      </c>
      <c r="B7" s="602"/>
      <c r="C7" s="602"/>
      <c r="D7" s="602"/>
      <c r="E7" s="1078"/>
      <c r="F7" s="1078"/>
      <c r="G7" s="1078"/>
    </row>
    <row r="8" customFormat="false" ht="14.5" hidden="false" customHeight="false" outlineLevel="0" collapsed="false">
      <c r="A8" s="765" t="s">
        <v>1227</v>
      </c>
      <c r="B8" s="765"/>
      <c r="C8" s="765"/>
      <c r="D8" s="765"/>
      <c r="E8" s="1067"/>
      <c r="F8" s="1067"/>
      <c r="G8" s="1067"/>
    </row>
    <row r="9" customFormat="false" ht="22.5" hidden="false" customHeight="true" outlineLevel="0" collapsed="false">
      <c r="A9" s="603" t="s">
        <v>687</v>
      </c>
      <c r="B9" s="604" t="s">
        <v>763</v>
      </c>
      <c r="C9" s="604" t="s">
        <v>1228</v>
      </c>
      <c r="D9" s="606" t="s">
        <v>690</v>
      </c>
    </row>
    <row r="10" customFormat="false" ht="20.15" hidden="false" customHeight="true" outlineLevel="0" collapsed="false">
      <c r="A10" s="694" t="s">
        <v>1229</v>
      </c>
      <c r="B10" s="796"/>
      <c r="C10" s="796"/>
      <c r="D10" s="1079"/>
    </row>
    <row r="11" customFormat="false" ht="20.15" hidden="false" customHeight="true" outlineLevel="0" collapsed="false">
      <c r="A11" s="697" t="s">
        <v>1230</v>
      </c>
      <c r="B11" s="724"/>
      <c r="C11" s="724"/>
      <c r="D11" s="1079"/>
    </row>
    <row r="12" customFormat="false" ht="20.15" hidden="false" customHeight="true" outlineLevel="0" collapsed="false">
      <c r="A12" s="697" t="s">
        <v>1231</v>
      </c>
      <c r="B12" s="724"/>
      <c r="C12" s="724"/>
      <c r="D12" s="1079"/>
    </row>
    <row r="13" customFormat="false" ht="15.75" hidden="false" customHeight="true" outlineLevel="0" collapsed="false">
      <c r="A13" s="697" t="s">
        <v>1232</v>
      </c>
      <c r="B13" s="724"/>
      <c r="C13" s="724"/>
      <c r="D13" s="1079"/>
    </row>
    <row r="14" customFormat="false" ht="12" hidden="false" customHeight="false" outlineLevel="0" collapsed="false">
      <c r="A14" s="697" t="s">
        <v>1233</v>
      </c>
      <c r="B14" s="793" t="n">
        <v>0</v>
      </c>
      <c r="C14" s="793"/>
      <c r="D14" s="1080"/>
    </row>
    <row r="15" customFormat="false" ht="20.15" hidden="false" customHeight="true" outlineLevel="0" collapsed="false">
      <c r="A15" s="697" t="s">
        <v>1234</v>
      </c>
      <c r="B15" s="793" t="n">
        <v>0</v>
      </c>
      <c r="C15" s="793" t="n">
        <v>0</v>
      </c>
      <c r="D15" s="1081" t="e">
        <f aca="false">(B15-C15)/C15</f>
        <v>#DIV/0!</v>
      </c>
    </row>
    <row r="16" customFormat="false" ht="20.15" hidden="false" customHeight="true" outlineLevel="0" collapsed="false">
      <c r="A16" s="697" t="s">
        <v>1235</v>
      </c>
      <c r="B16" s="793"/>
      <c r="C16" s="793" t="n">
        <v>0</v>
      </c>
      <c r="D16" s="1081" t="e">
        <f aca="false">(B16-C16)/C16</f>
        <v>#DIV/0!</v>
      </c>
    </row>
    <row r="17" customFormat="false" ht="25.5" hidden="false" customHeight="true" outlineLevel="0" collapsed="false">
      <c r="A17" s="697" t="s">
        <v>1236</v>
      </c>
      <c r="B17" s="724"/>
      <c r="C17" s="724"/>
      <c r="D17" s="1079"/>
    </row>
    <row r="18" customFormat="false" ht="20.15" hidden="false" customHeight="true" outlineLevel="0" collapsed="false">
      <c r="A18" s="700" t="s">
        <v>215</v>
      </c>
      <c r="B18" s="727"/>
      <c r="C18" s="727"/>
      <c r="D18" s="1079"/>
    </row>
    <row r="19" customFormat="false" ht="20.15" hidden="false" customHeight="true" outlineLevel="0" collapsed="false">
      <c r="A19" s="702" t="s">
        <v>1168</v>
      </c>
      <c r="B19" s="497" t="n">
        <f aca="false">SUM(B10:B18)</f>
        <v>0</v>
      </c>
      <c r="C19" s="497" t="n">
        <f aca="false">SUM(C10:C18)</f>
        <v>0</v>
      </c>
      <c r="D19" s="795" t="e">
        <f aca="false">(B19-C19)/C19</f>
        <v>#DIV/0!</v>
      </c>
    </row>
    <row r="20" customFormat="false" ht="12" hidden="false" customHeight="false" outlineLevel="0" collapsed="false">
      <c r="A20" s="688" t="s">
        <v>1066</v>
      </c>
    </row>
    <row r="21" customFormat="false" ht="12" hidden="false" customHeight="false" outlineLevel="0" collapsed="false">
      <c r="A21" s="732" t="s">
        <v>1150</v>
      </c>
    </row>
    <row r="22" customFormat="false" ht="12" hidden="false" customHeight="false" outlineLevel="0" collapsed="false">
      <c r="A22" s="732" t="s">
        <v>1237</v>
      </c>
    </row>
    <row r="23" customFormat="false" ht="12" hidden="false" customHeight="false" outlineLevel="0" collapsed="false">
      <c r="A23" s="732" t="s">
        <v>1238</v>
      </c>
    </row>
    <row r="24" customFormat="false" ht="12" hidden="false" customHeight="false" outlineLevel="0" collapsed="false">
      <c r="A24" s="761" t="s">
        <v>95</v>
      </c>
    </row>
    <row r="25" customFormat="false" ht="12" hidden="false" customHeight="false" outlineLevel="0" collapsed="false">
      <c r="A25" s="761" t="s">
        <v>95</v>
      </c>
    </row>
    <row r="26" customFormat="false" ht="12" hidden="false" customHeight="false" outlineLevel="0" collapsed="false">
      <c r="A26" s="761" t="s">
        <v>95</v>
      </c>
    </row>
  </sheetData>
  <mergeCells count="2">
    <mergeCell ref="A7:D7"/>
    <mergeCell ref="A8:D8"/>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8" activeCellId="0" sqref="B28"/>
    </sheetView>
  </sheetViews>
  <sheetFormatPr defaultColWidth="10.8125" defaultRowHeight="11.5" zeroHeight="false" outlineLevelRow="0" outlineLevelCol="0"/>
  <cols>
    <col collapsed="false" customWidth="true" hidden="false" outlineLevel="0" max="1" min="1" style="202" width="55.81"/>
    <col collapsed="false" customWidth="true" hidden="false" outlineLevel="0" max="2" min="2" style="202" width="14.99"/>
    <col collapsed="false" customWidth="true" hidden="false" outlineLevel="0" max="4" min="3" style="202" width="12.44"/>
    <col collapsed="false" customWidth="false" hidden="false" outlineLevel="0" max="257" min="5" style="202" width="10.81"/>
  </cols>
  <sheetData>
    <row r="1" customFormat="false" ht="11.5" hidden="false" customHeight="false" outlineLevel="0" collapsed="false">
      <c r="A1" s="810"/>
    </row>
    <row r="2" customFormat="false" ht="11.5" hidden="false" customHeight="false" outlineLevel="0" collapsed="false">
      <c r="A2" s="1082"/>
    </row>
    <row r="3" customFormat="false" ht="11.5" hidden="false" customHeight="false" outlineLevel="0" collapsed="false">
      <c r="A3" s="810" t="s">
        <v>215</v>
      </c>
    </row>
    <row r="5" customFormat="false" ht="13" hidden="false" customHeight="false" outlineLevel="0" collapsed="false">
      <c r="A5" s="359" t="s">
        <v>1239</v>
      </c>
      <c r="C5" s="217" t="s">
        <v>199</v>
      </c>
      <c r="D5" s="203"/>
    </row>
    <row r="6" customFormat="false" ht="13" hidden="false" customHeight="false" outlineLevel="0" collapsed="false">
      <c r="A6" s="360" t="s">
        <v>200</v>
      </c>
      <c r="C6" s="217" t="s">
        <v>101</v>
      </c>
      <c r="D6" s="207"/>
    </row>
    <row r="7" customFormat="false" ht="11.5" hidden="false" customHeight="false" outlineLevel="0" collapsed="false">
      <c r="A7" s="1082"/>
    </row>
    <row r="8" customFormat="false" ht="14" hidden="false" customHeight="false" outlineLevel="0" collapsed="false">
      <c r="A8" s="850" t="s">
        <v>1240</v>
      </c>
      <c r="B8" s="850"/>
      <c r="C8" s="850"/>
      <c r="D8" s="850"/>
      <c r="E8" s="1083"/>
      <c r="F8" s="1083"/>
      <c r="G8" s="1083"/>
    </row>
    <row r="9" customFormat="false" ht="14.5" hidden="false" customHeight="false" outlineLevel="0" collapsed="false">
      <c r="A9" s="418" t="s">
        <v>1241</v>
      </c>
      <c r="B9" s="418"/>
      <c r="C9" s="418"/>
      <c r="D9" s="418"/>
      <c r="E9" s="666"/>
      <c r="F9" s="666"/>
      <c r="G9" s="666"/>
    </row>
    <row r="10" customFormat="false" ht="22.5" hidden="false" customHeight="true" outlineLevel="0" collapsed="false">
      <c r="A10" s="603" t="s">
        <v>687</v>
      </c>
      <c r="B10" s="604" t="s">
        <v>763</v>
      </c>
      <c r="C10" s="604" t="s">
        <v>764</v>
      </c>
      <c r="D10" s="606" t="s">
        <v>690</v>
      </c>
    </row>
    <row r="11" customFormat="false" ht="20.15" hidden="false" customHeight="true" outlineLevel="0" collapsed="false">
      <c r="A11" s="694" t="s">
        <v>1242</v>
      </c>
      <c r="B11" s="721" t="n">
        <v>0</v>
      </c>
      <c r="C11" s="721" t="n">
        <v>0</v>
      </c>
      <c r="D11" s="791" t="e">
        <f aca="false">(B11-C11)/C11</f>
        <v>#DIV/0!</v>
      </c>
    </row>
    <row r="12" customFormat="false" ht="20.15" hidden="false" customHeight="true" outlineLevel="0" collapsed="false">
      <c r="A12" s="697" t="s">
        <v>1243</v>
      </c>
      <c r="B12" s="793"/>
      <c r="C12" s="793"/>
      <c r="D12" s="791"/>
    </row>
    <row r="13" customFormat="false" ht="20.15" hidden="false" customHeight="true" outlineLevel="0" collapsed="false">
      <c r="A13" s="697" t="s">
        <v>1244</v>
      </c>
      <c r="B13" s="793" t="n">
        <v>0</v>
      </c>
      <c r="C13" s="793" t="n">
        <v>0</v>
      </c>
      <c r="D13" s="791" t="e">
        <f aca="false">(B13-C13)/C13</f>
        <v>#DIV/0!</v>
      </c>
    </row>
    <row r="14" customFormat="false" ht="20.15" hidden="false" customHeight="true" outlineLevel="0" collapsed="false">
      <c r="A14" s="697" t="s">
        <v>1245</v>
      </c>
      <c r="B14" s="793"/>
      <c r="C14" s="793"/>
      <c r="D14" s="791"/>
    </row>
    <row r="15" customFormat="false" ht="20.15" hidden="false" customHeight="true" outlineLevel="0" collapsed="false">
      <c r="A15" s="697" t="s">
        <v>1246</v>
      </c>
      <c r="B15" s="793"/>
      <c r="C15" s="793"/>
      <c r="D15" s="791"/>
    </row>
    <row r="16" customFormat="false" ht="20.15" hidden="false" customHeight="true" outlineLevel="0" collapsed="false">
      <c r="A16" s="697" t="s">
        <v>1247</v>
      </c>
      <c r="B16" s="793" t="n">
        <v>0</v>
      </c>
      <c r="C16" s="793" t="n">
        <v>0</v>
      </c>
      <c r="D16" s="791" t="e">
        <f aca="false">(B16-C16)/C16</f>
        <v>#DIV/0!</v>
      </c>
    </row>
    <row r="17" customFormat="false" ht="20.15" hidden="false" customHeight="true" outlineLevel="0" collapsed="false">
      <c r="A17" s="700" t="s">
        <v>215</v>
      </c>
      <c r="B17" s="1041"/>
      <c r="C17" s="1041"/>
      <c r="D17" s="791"/>
    </row>
    <row r="18" customFormat="false" ht="20.15" hidden="false" customHeight="true" outlineLevel="0" collapsed="false">
      <c r="A18" s="702" t="s">
        <v>1168</v>
      </c>
      <c r="B18" s="497" t="n">
        <f aca="false">SUM(B11:B17)</f>
        <v>0</v>
      </c>
      <c r="C18" s="497" t="n">
        <f aca="false">SUM(C11:C17)</f>
        <v>0</v>
      </c>
      <c r="D18" s="729" t="e">
        <f aca="false">(B18-C18)/C18</f>
        <v>#DIV/0!</v>
      </c>
    </row>
    <row r="19" customFormat="false" ht="11.5" hidden="false" customHeight="false" outlineLevel="0" collapsed="false">
      <c r="A19" s="688" t="s">
        <v>1066</v>
      </c>
    </row>
    <row r="20" customFormat="false" ht="12" hidden="false" customHeight="false" outlineLevel="0" collapsed="false">
      <c r="A20" s="732" t="s">
        <v>1137</v>
      </c>
    </row>
    <row r="21" customFormat="false" ht="12" hidden="false" customHeight="false" outlineLevel="0" collapsed="false">
      <c r="A21" s="732" t="s">
        <v>1248</v>
      </c>
    </row>
    <row r="22" customFormat="false" ht="11.5" hidden="false" customHeight="false" outlineLevel="0" collapsed="false">
      <c r="A22" s="810" t="s">
        <v>95</v>
      </c>
    </row>
  </sheetData>
  <mergeCells count="2">
    <mergeCell ref="A8:D8"/>
    <mergeCell ref="A9:D9"/>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P3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P19" activeCellId="0" sqref="P19"/>
    </sheetView>
  </sheetViews>
  <sheetFormatPr defaultColWidth="10.90234375" defaultRowHeight="14.5" zeroHeight="false" outlineLevelRow="0" outlineLevelCol="0"/>
  <cols>
    <col collapsed="false" customWidth="true" hidden="false" outlineLevel="0" max="1" min="1" style="0" width="4.26"/>
    <col collapsed="false" customWidth="true" hidden="false" outlineLevel="0" max="2" min="2" style="0" width="22.26"/>
    <col collapsed="false" customWidth="true" hidden="false" outlineLevel="0" max="3" min="3" style="0" width="8.44"/>
    <col collapsed="false" customWidth="true" hidden="false" outlineLevel="0" max="6" min="6" style="0" width="10.17"/>
    <col collapsed="false" customWidth="true" hidden="false" outlineLevel="0" max="7" min="7" style="0" width="11.44"/>
    <col collapsed="false" customWidth="true" hidden="false" outlineLevel="0" max="11" min="10" style="0" width="12.44"/>
    <col collapsed="false" customWidth="true" hidden="false" outlineLevel="0" max="13" min="13" style="0" width="13.44"/>
  </cols>
  <sheetData>
    <row r="3" s="202" customFormat="true" ht="13" hidden="false" customHeight="false" outlineLevel="0" collapsed="false">
      <c r="A3" s="200" t="s">
        <v>785</v>
      </c>
      <c r="B3" s="1084"/>
      <c r="L3" s="217" t="s">
        <v>199</v>
      </c>
      <c r="M3" s="217"/>
      <c r="N3" s="203"/>
    </row>
    <row r="4" s="202" customFormat="true" ht="13" hidden="false" customHeight="false" outlineLevel="0" collapsed="false">
      <c r="A4" s="204" t="s">
        <v>200</v>
      </c>
      <c r="B4" s="1084"/>
      <c r="L4" s="217" t="s">
        <v>101</v>
      </c>
      <c r="M4" s="217"/>
      <c r="N4" s="207"/>
    </row>
    <row r="5" customFormat="false" ht="14.5" hidden="false" customHeight="false" outlineLevel="0" collapsed="false">
      <c r="A5" s="1085" t="s">
        <v>1249</v>
      </c>
      <c r="B5" s="1085"/>
      <c r="C5" s="1085"/>
      <c r="D5" s="1085"/>
      <c r="E5" s="1085"/>
      <c r="F5" s="1085"/>
      <c r="G5" s="1085"/>
      <c r="H5" s="1085"/>
      <c r="I5" s="1085"/>
      <c r="J5" s="1085"/>
      <c r="K5" s="1085"/>
      <c r="L5" s="1085"/>
      <c r="M5" s="1085"/>
      <c r="N5" s="1085"/>
      <c r="O5" s="1085"/>
      <c r="P5" s="1085"/>
    </row>
    <row r="6" customFormat="false" ht="15.5" hidden="false" customHeight="false" outlineLevel="0" collapsed="false">
      <c r="A6" s="1086" t="s">
        <v>178</v>
      </c>
      <c r="B6" s="1086"/>
      <c r="C6" s="1086"/>
      <c r="D6" s="1086"/>
      <c r="E6" s="1086"/>
      <c r="F6" s="1086"/>
      <c r="G6" s="1086"/>
      <c r="H6" s="1086"/>
      <c r="I6" s="1086"/>
      <c r="J6" s="1086"/>
      <c r="K6" s="1086"/>
      <c r="L6" s="1086"/>
      <c r="M6" s="1086"/>
      <c r="N6" s="1086"/>
      <c r="O6" s="1086"/>
      <c r="P6" s="1086"/>
    </row>
    <row r="7" customFormat="false" ht="20.15" hidden="false" customHeight="true" outlineLevel="0" collapsed="false">
      <c r="A7" s="1087"/>
      <c r="B7" s="1088" t="s">
        <v>1250</v>
      </c>
      <c r="C7" s="1089" t="s">
        <v>1251</v>
      </c>
      <c r="D7" s="1089"/>
      <c r="E7" s="1089"/>
      <c r="F7" s="1089"/>
      <c r="G7" s="1089"/>
      <c r="H7" s="1089"/>
      <c r="I7" s="1090"/>
      <c r="J7" s="1091" t="s">
        <v>1252</v>
      </c>
      <c r="K7" s="1091"/>
      <c r="L7" s="1091"/>
      <c r="M7" s="1091"/>
      <c r="N7" s="1091"/>
      <c r="O7" s="1091"/>
      <c r="P7" s="1091"/>
    </row>
    <row r="8" customFormat="false" ht="20.15" hidden="false" customHeight="true" outlineLevel="0" collapsed="false">
      <c r="A8" s="1087"/>
      <c r="B8" s="1092" t="s">
        <v>1253</v>
      </c>
      <c r="C8" s="1089"/>
      <c r="D8" s="1089"/>
      <c r="E8" s="1089"/>
      <c r="F8" s="1089"/>
      <c r="G8" s="1089"/>
      <c r="H8" s="1089"/>
      <c r="I8" s="1090"/>
      <c r="J8" s="1091"/>
      <c r="K8" s="1091"/>
      <c r="L8" s="1091"/>
      <c r="M8" s="1091"/>
      <c r="N8" s="1091"/>
      <c r="O8" s="1091"/>
      <c r="P8" s="1091"/>
    </row>
    <row r="9" customFormat="false" ht="20.15" hidden="false" customHeight="true" outlineLevel="0" collapsed="false">
      <c r="A9" s="1087"/>
      <c r="B9" s="1093"/>
      <c r="C9" s="1089"/>
      <c r="D9" s="1089"/>
      <c r="E9" s="1089"/>
      <c r="F9" s="1089"/>
      <c r="G9" s="1089"/>
      <c r="H9" s="1089"/>
      <c r="I9" s="1090"/>
      <c r="J9" s="1091"/>
      <c r="K9" s="1091"/>
      <c r="L9" s="1091"/>
      <c r="M9" s="1091"/>
      <c r="N9" s="1091"/>
      <c r="O9" s="1091"/>
      <c r="P9" s="1091"/>
    </row>
    <row r="10" customFormat="false" ht="20.15" hidden="false" customHeight="true" outlineLevel="0" collapsed="false">
      <c r="A10" s="1094"/>
      <c r="B10" s="1095"/>
      <c r="C10" s="1096" t="s">
        <v>1254</v>
      </c>
      <c r="D10" s="1096"/>
      <c r="E10" s="1097" t="s">
        <v>1255</v>
      </c>
      <c r="F10" s="1097"/>
      <c r="G10" s="1097" t="s">
        <v>1256</v>
      </c>
      <c r="H10" s="1097"/>
      <c r="I10" s="1097" t="s">
        <v>915</v>
      </c>
      <c r="J10" s="1097" t="s">
        <v>1254</v>
      </c>
      <c r="K10" s="1097"/>
      <c r="L10" s="1097" t="s">
        <v>1255</v>
      </c>
      <c r="M10" s="1097"/>
      <c r="N10" s="1097" t="s">
        <v>1256</v>
      </c>
      <c r="O10" s="1097"/>
      <c r="P10" s="1098" t="s">
        <v>915</v>
      </c>
    </row>
    <row r="11" customFormat="false" ht="20.15" hidden="false" customHeight="true" outlineLevel="0" collapsed="false">
      <c r="A11" s="1099"/>
      <c r="B11" s="1100" t="s">
        <v>1257</v>
      </c>
      <c r="C11" s="1096" t="s">
        <v>1258</v>
      </c>
      <c r="D11" s="1097" t="s">
        <v>493</v>
      </c>
      <c r="E11" s="1097" t="s">
        <v>1258</v>
      </c>
      <c r="F11" s="1097" t="s">
        <v>493</v>
      </c>
      <c r="G11" s="1097" t="s">
        <v>1258</v>
      </c>
      <c r="H11" s="1097" t="s">
        <v>493</v>
      </c>
      <c r="I11" s="1097"/>
      <c r="J11" s="1097" t="s">
        <v>1258</v>
      </c>
      <c r="K11" s="1097" t="s">
        <v>493</v>
      </c>
      <c r="L11" s="1097" t="s">
        <v>1258</v>
      </c>
      <c r="M11" s="1097" t="s">
        <v>493</v>
      </c>
      <c r="N11" s="1097" t="s">
        <v>1258</v>
      </c>
      <c r="O11" s="1097" t="s">
        <v>493</v>
      </c>
      <c r="P11" s="1098"/>
    </row>
    <row r="12" customFormat="false" ht="20.15" hidden="false" customHeight="true" outlineLevel="0" collapsed="false">
      <c r="A12" s="1101" t="s">
        <v>1259</v>
      </c>
      <c r="B12" s="611" t="s">
        <v>1260</v>
      </c>
      <c r="C12" s="1102"/>
      <c r="D12" s="1102"/>
      <c r="E12" s="1102" t="n">
        <v>0</v>
      </c>
      <c r="F12" s="1102" t="n">
        <v>0</v>
      </c>
      <c r="G12" s="1102" t="n">
        <v>0</v>
      </c>
      <c r="H12" s="1102" t="n">
        <v>0</v>
      </c>
      <c r="I12" s="1102" t="n">
        <f aca="false">SUM(C12:H12)</f>
        <v>0</v>
      </c>
      <c r="J12" s="1103"/>
      <c r="K12" s="1103" t="n">
        <v>0</v>
      </c>
      <c r="L12" s="1103"/>
      <c r="M12" s="1103"/>
      <c r="N12" s="1103"/>
      <c r="O12" s="1103"/>
      <c r="P12" s="1104" t="n">
        <f aca="false">SUM(J12:O12)</f>
        <v>0</v>
      </c>
    </row>
    <row r="13" customFormat="false" ht="20.5" hidden="false" customHeight="false" outlineLevel="0" collapsed="false">
      <c r="A13" s="1101" t="s">
        <v>1261</v>
      </c>
      <c r="B13" s="611" t="s">
        <v>1262</v>
      </c>
      <c r="C13" s="1102"/>
      <c r="D13" s="1102"/>
      <c r="E13" s="1102" t="n">
        <v>0</v>
      </c>
      <c r="F13" s="1102" t="n">
        <v>0</v>
      </c>
      <c r="G13" s="1102" t="n">
        <v>0</v>
      </c>
      <c r="H13" s="1102" t="n">
        <v>0</v>
      </c>
      <c r="I13" s="1102" t="n">
        <f aca="false">SUM(C13:H13)</f>
        <v>0</v>
      </c>
      <c r="J13" s="1103" t="n">
        <v>0</v>
      </c>
      <c r="K13" s="1103" t="n">
        <v>0</v>
      </c>
      <c r="L13" s="1103"/>
      <c r="M13" s="1103"/>
      <c r="N13" s="1103"/>
      <c r="O13" s="1103"/>
      <c r="P13" s="1104" t="n">
        <f aca="false">SUM(J13:O13)</f>
        <v>0</v>
      </c>
    </row>
    <row r="14" customFormat="false" ht="20.5" hidden="false" customHeight="false" outlineLevel="0" collapsed="false">
      <c r="A14" s="1101" t="s">
        <v>1263</v>
      </c>
      <c r="B14" s="611" t="s">
        <v>1264</v>
      </c>
      <c r="C14" s="1102"/>
      <c r="D14" s="1102"/>
      <c r="E14" s="1102" t="n">
        <v>0</v>
      </c>
      <c r="F14" s="1102" t="n">
        <v>0</v>
      </c>
      <c r="G14" s="1102" t="n">
        <v>0</v>
      </c>
      <c r="H14" s="1102" t="n">
        <v>0</v>
      </c>
      <c r="I14" s="1102" t="n">
        <f aca="false">SUM(C14:H14)</f>
        <v>0</v>
      </c>
      <c r="J14" s="1103" t="n">
        <v>0</v>
      </c>
      <c r="K14" s="1103" t="n">
        <v>0</v>
      </c>
      <c r="L14" s="1103"/>
      <c r="M14" s="1103"/>
      <c r="N14" s="1103"/>
      <c r="O14" s="1103"/>
      <c r="P14" s="1104" t="n">
        <f aca="false">SUM(J14:O14)</f>
        <v>0</v>
      </c>
    </row>
    <row r="15" customFormat="false" ht="20.5" hidden="false" customHeight="false" outlineLevel="0" collapsed="false">
      <c r="A15" s="1105" t="s">
        <v>1265</v>
      </c>
      <c r="B15" s="616" t="s">
        <v>1266</v>
      </c>
      <c r="C15" s="1106"/>
      <c r="D15" s="1106"/>
      <c r="E15" s="1106" t="n">
        <v>0</v>
      </c>
      <c r="F15" s="1106" t="n">
        <v>0</v>
      </c>
      <c r="G15" s="1106" t="n">
        <v>0</v>
      </c>
      <c r="H15" s="1106" t="n">
        <v>0</v>
      </c>
      <c r="I15" s="1102" t="n">
        <f aca="false">SUM(C15:H15)</f>
        <v>0</v>
      </c>
      <c r="J15" s="1107" t="n">
        <f aca="false">1069724*C15</f>
        <v>0</v>
      </c>
      <c r="K15" s="1107"/>
      <c r="L15" s="1107"/>
      <c r="M15" s="1107"/>
      <c r="N15" s="1107"/>
      <c r="O15" s="1107"/>
      <c r="P15" s="1104" t="n">
        <f aca="false">SUM(J15:O15)</f>
        <v>0</v>
      </c>
    </row>
    <row r="16" customFormat="false" ht="20.15" hidden="false" customHeight="true" outlineLevel="0" collapsed="false">
      <c r="A16" s="1108" t="s">
        <v>1267</v>
      </c>
      <c r="B16" s="1109" t="s">
        <v>1268</v>
      </c>
      <c r="C16" s="1110" t="n">
        <f aca="false">SUM(C12:C15)</f>
        <v>0</v>
      </c>
      <c r="D16" s="1110" t="n">
        <f aca="false">SUM(D12:D15)</f>
        <v>0</v>
      </c>
      <c r="E16" s="1110" t="n">
        <f aca="false">SUM(E12:E15)</f>
        <v>0</v>
      </c>
      <c r="F16" s="1110" t="n">
        <f aca="false">SUM(F12:F15)</f>
        <v>0</v>
      </c>
      <c r="G16" s="1110" t="n">
        <f aca="false">SUM(G12:G15)</f>
        <v>0</v>
      </c>
      <c r="H16" s="1110" t="n">
        <f aca="false">SUM(H12:H15)</f>
        <v>0</v>
      </c>
      <c r="I16" s="1110" t="n">
        <f aca="false">SUM(I12:I15)</f>
        <v>0</v>
      </c>
      <c r="J16" s="1111" t="n">
        <f aca="false">SUM(J12:J15)</f>
        <v>0</v>
      </c>
      <c r="K16" s="1111" t="n">
        <f aca="false">SUM(K12:K15)</f>
        <v>0</v>
      </c>
      <c r="L16" s="1111" t="n">
        <f aca="false">SUM(L12:L15)</f>
        <v>0</v>
      </c>
      <c r="M16" s="1111" t="n">
        <f aca="false">SUM(M12:M15)</f>
        <v>0</v>
      </c>
      <c r="N16" s="1111" t="n">
        <f aca="false">SUM(N12:N15)</f>
        <v>0</v>
      </c>
      <c r="O16" s="1111" t="n">
        <f aca="false">SUM(O12:O15)</f>
        <v>0</v>
      </c>
      <c r="P16" s="1111" t="n">
        <f aca="false">SUM(P12:P15)</f>
        <v>0</v>
      </c>
    </row>
    <row r="17" customFormat="false" ht="20.15" hidden="false" customHeight="true" outlineLevel="0" collapsed="false">
      <c r="A17" s="1101"/>
      <c r="B17" s="608"/>
      <c r="C17" s="1112"/>
      <c r="D17" s="1112"/>
      <c r="E17" s="1112"/>
      <c r="F17" s="1112"/>
      <c r="G17" s="1112"/>
      <c r="H17" s="1112"/>
      <c r="I17" s="1112"/>
      <c r="J17" s="1113"/>
      <c r="K17" s="1113"/>
      <c r="L17" s="1113"/>
      <c r="M17" s="1113"/>
      <c r="N17" s="1113"/>
      <c r="O17" s="1113"/>
      <c r="P17" s="1114"/>
    </row>
    <row r="18" customFormat="false" ht="20.15" hidden="false" customHeight="true" outlineLevel="0" collapsed="false">
      <c r="A18" s="1101" t="s">
        <v>1269</v>
      </c>
      <c r="B18" s="611" t="s">
        <v>1270</v>
      </c>
      <c r="C18" s="1115" t="n">
        <f aca="false">C16</f>
        <v>0</v>
      </c>
      <c r="D18" s="1115" t="n">
        <f aca="false">D16</f>
        <v>0</v>
      </c>
      <c r="E18" s="1115" t="n">
        <f aca="false">E16</f>
        <v>0</v>
      </c>
      <c r="F18" s="1115" t="n">
        <f aca="false">F16</f>
        <v>0</v>
      </c>
      <c r="G18" s="1115" t="n">
        <f aca="false">G16</f>
        <v>0</v>
      </c>
      <c r="H18" s="1115" t="n">
        <f aca="false">H16</f>
        <v>0</v>
      </c>
      <c r="I18" s="1115" t="n">
        <f aca="false">I16</f>
        <v>0</v>
      </c>
      <c r="J18" s="1116" t="n">
        <f aca="false">J16</f>
        <v>0</v>
      </c>
      <c r="K18" s="1116" t="n">
        <f aca="false">K16</f>
        <v>0</v>
      </c>
      <c r="L18" s="1116" t="n">
        <f aca="false">L16</f>
        <v>0</v>
      </c>
      <c r="M18" s="1116" t="n">
        <f aca="false">M16</f>
        <v>0</v>
      </c>
      <c r="N18" s="1116" t="n">
        <f aca="false">N16</f>
        <v>0</v>
      </c>
      <c r="O18" s="1116" t="n">
        <f aca="false">O16</f>
        <v>0</v>
      </c>
      <c r="P18" s="1116" t="n">
        <f aca="false">P16</f>
        <v>0</v>
      </c>
    </row>
    <row r="19" customFormat="false" ht="20.15" hidden="false" customHeight="true" outlineLevel="0" collapsed="false">
      <c r="A19" s="1101" t="s">
        <v>1271</v>
      </c>
      <c r="B19" s="1117" t="s">
        <v>1272</v>
      </c>
      <c r="C19" s="1118" t="n">
        <v>0</v>
      </c>
      <c r="D19" s="1118" t="n">
        <v>0</v>
      </c>
      <c r="E19" s="1118" t="n">
        <v>0</v>
      </c>
      <c r="F19" s="1118" t="n">
        <v>0</v>
      </c>
      <c r="G19" s="1118" t="n">
        <v>0</v>
      </c>
      <c r="H19" s="1118" t="n">
        <v>0</v>
      </c>
      <c r="I19" s="1115" t="n">
        <f aca="false">I17</f>
        <v>0</v>
      </c>
      <c r="J19" s="1119"/>
      <c r="K19" s="1119"/>
      <c r="L19" s="1119"/>
      <c r="M19" s="1119"/>
      <c r="N19" s="1119"/>
      <c r="O19" s="1119"/>
      <c r="P19" s="1120"/>
    </row>
    <row r="20" customFormat="false" ht="20.15" hidden="false" customHeight="true" outlineLevel="0" collapsed="false">
      <c r="A20" s="1094"/>
      <c r="B20" s="1094"/>
      <c r="C20" s="1094"/>
      <c r="D20" s="1094"/>
      <c r="E20" s="1094"/>
      <c r="F20" s="1094"/>
      <c r="G20" s="1094"/>
      <c r="H20" s="1094"/>
      <c r="I20" s="1094"/>
      <c r="J20" s="1099"/>
      <c r="K20" s="1099"/>
      <c r="L20" s="1094"/>
      <c r="M20" s="1094"/>
      <c r="N20" s="1094"/>
      <c r="O20" s="1094"/>
      <c r="P20" s="1094"/>
    </row>
    <row r="21" customFormat="false" ht="20.15" hidden="false" customHeight="true" outlineLevel="0" collapsed="false">
      <c r="A21" s="1094"/>
      <c r="B21" s="1094"/>
      <c r="C21" s="1094"/>
      <c r="D21" s="1094"/>
      <c r="E21" s="1094"/>
      <c r="F21" s="1094"/>
      <c r="G21" s="1094"/>
      <c r="H21" s="1094"/>
      <c r="I21" s="1121"/>
      <c r="J21" s="1122" t="s">
        <v>1273</v>
      </c>
      <c r="K21" s="1122"/>
      <c r="L21" s="1094"/>
      <c r="M21" s="1094"/>
      <c r="N21" s="1094"/>
      <c r="O21" s="1094"/>
      <c r="P21" s="1094"/>
    </row>
    <row r="22" customFormat="false" ht="20.15" hidden="false" customHeight="true" outlineLevel="0" collapsed="false">
      <c r="A22" s="1094"/>
      <c r="B22" s="1123" t="s">
        <v>1274</v>
      </c>
      <c r="C22" s="1094"/>
      <c r="D22" s="1094"/>
      <c r="E22" s="1094"/>
      <c r="F22" s="1094"/>
      <c r="G22" s="1094"/>
      <c r="H22" s="1094"/>
      <c r="I22" s="1121"/>
      <c r="J22" s="1122"/>
      <c r="K22" s="1122"/>
      <c r="L22" s="1094"/>
      <c r="M22" s="1124"/>
      <c r="N22" s="1125"/>
      <c r="O22" s="1094"/>
      <c r="P22" s="1094"/>
    </row>
    <row r="23" customFormat="false" ht="20.15" hidden="false" customHeight="true" outlineLevel="0" collapsed="false">
      <c r="A23" s="1126" t="s">
        <v>1275</v>
      </c>
      <c r="B23" s="1127" t="s">
        <v>1260</v>
      </c>
      <c r="C23" s="1128"/>
      <c r="D23" s="1128"/>
      <c r="E23" s="1128"/>
      <c r="F23" s="1128"/>
      <c r="G23" s="1128"/>
      <c r="H23" s="1128"/>
      <c r="I23" s="1128"/>
      <c r="J23" s="1129"/>
      <c r="K23" s="1130" t="n">
        <v>0</v>
      </c>
      <c r="L23" s="1094"/>
      <c r="M23" s="1094"/>
      <c r="N23" s="1125"/>
      <c r="O23" s="1094"/>
      <c r="P23" s="1094"/>
    </row>
    <row r="24" customFormat="false" ht="20" hidden="false" customHeight="false" outlineLevel="0" collapsed="false">
      <c r="A24" s="1131" t="s">
        <v>1276</v>
      </c>
      <c r="B24" s="1132" t="s">
        <v>1262</v>
      </c>
      <c r="C24" s="1102"/>
      <c r="D24" s="1102"/>
      <c r="E24" s="1102"/>
      <c r="F24" s="1102"/>
      <c r="G24" s="1102"/>
      <c r="H24" s="1102"/>
      <c r="I24" s="1102"/>
      <c r="J24" s="1103"/>
      <c r="K24" s="1104" t="n">
        <v>0</v>
      </c>
      <c r="L24" s="1094"/>
      <c r="M24" s="1125"/>
      <c r="N24" s="1125"/>
      <c r="O24" s="1094"/>
      <c r="P24" s="1094"/>
    </row>
    <row r="25" customFormat="false" ht="20" hidden="false" customHeight="false" outlineLevel="0" collapsed="false">
      <c r="A25" s="1131" t="s">
        <v>1277</v>
      </c>
      <c r="B25" s="1132" t="s">
        <v>1264</v>
      </c>
      <c r="C25" s="1102"/>
      <c r="D25" s="1102"/>
      <c r="E25" s="1102"/>
      <c r="F25" s="1102"/>
      <c r="G25" s="1102"/>
      <c r="H25" s="1102"/>
      <c r="I25" s="1102"/>
      <c r="J25" s="1103"/>
      <c r="K25" s="1104" t="n">
        <v>0</v>
      </c>
      <c r="L25" s="1094"/>
      <c r="M25" s="1125"/>
      <c r="N25" s="1094"/>
      <c r="O25" s="1094"/>
      <c r="P25" s="1094"/>
    </row>
    <row r="26" customFormat="false" ht="20" hidden="false" customHeight="false" outlineLevel="0" collapsed="false">
      <c r="A26" s="1131" t="s">
        <v>1278</v>
      </c>
      <c r="B26" s="1132" t="s">
        <v>1266</v>
      </c>
      <c r="C26" s="1102"/>
      <c r="D26" s="1102"/>
      <c r="E26" s="1102"/>
      <c r="F26" s="1102"/>
      <c r="G26" s="1102"/>
      <c r="H26" s="1102"/>
      <c r="I26" s="1102"/>
      <c r="J26" s="1103"/>
      <c r="K26" s="1104"/>
      <c r="L26" s="1094"/>
      <c r="M26" s="1094"/>
      <c r="N26" s="1094" t="s">
        <v>1279</v>
      </c>
      <c r="O26" s="1094" t="n">
        <v>53</v>
      </c>
      <c r="P26" s="1094"/>
    </row>
    <row r="27" customFormat="false" ht="20.15" hidden="false" customHeight="true" outlineLevel="0" collapsed="false">
      <c r="A27" s="1131" t="s">
        <v>1280</v>
      </c>
      <c r="B27" s="1133" t="s">
        <v>1281</v>
      </c>
      <c r="C27" s="1115"/>
      <c r="D27" s="1115" t="n">
        <f aca="false">SUM(D23:D26)</f>
        <v>0</v>
      </c>
      <c r="E27" s="1115" t="n">
        <f aca="false">SUM(E23:E26)</f>
        <v>0</v>
      </c>
      <c r="F27" s="1115" t="n">
        <f aca="false">SUM(F23:F26)</f>
        <v>0</v>
      </c>
      <c r="G27" s="1115" t="n">
        <f aca="false">SUM(G23:G26)</f>
        <v>0</v>
      </c>
      <c r="H27" s="1115" t="n">
        <f aca="false">SUM(H23:H26)</f>
        <v>0</v>
      </c>
      <c r="I27" s="1115" t="n">
        <f aca="false">SUM(I23:I26)</f>
        <v>0</v>
      </c>
      <c r="J27" s="1116" t="n">
        <f aca="false">SUM(J23:J26)</f>
        <v>0</v>
      </c>
      <c r="K27" s="1116" t="n">
        <f aca="false">SUM(K23:K26)</f>
        <v>0</v>
      </c>
      <c r="L27" s="1094"/>
      <c r="M27" s="1094"/>
      <c r="N27" s="1094" t="s">
        <v>1282</v>
      </c>
      <c r="O27" s="1094" t="n">
        <v>71</v>
      </c>
      <c r="P27" s="1094"/>
    </row>
    <row r="28" customFormat="false" ht="20.15" hidden="false" customHeight="true" outlineLevel="0" collapsed="false">
      <c r="A28" s="1131"/>
      <c r="B28" s="1132"/>
      <c r="C28" s="1132"/>
      <c r="D28" s="1132"/>
      <c r="E28" s="1132"/>
      <c r="F28" s="1132"/>
      <c r="G28" s="1132"/>
      <c r="H28" s="1132"/>
      <c r="I28" s="1132"/>
      <c r="J28" s="612"/>
      <c r="K28" s="613"/>
      <c r="L28" s="1094"/>
      <c r="M28" s="1094"/>
      <c r="N28" s="1094"/>
      <c r="O28" s="1094"/>
      <c r="P28" s="1094"/>
    </row>
    <row r="29" customFormat="false" ht="20.15" hidden="false" customHeight="true" outlineLevel="0" collapsed="false">
      <c r="A29" s="1131" t="s">
        <v>1283</v>
      </c>
      <c r="B29" s="1132" t="s">
        <v>1270</v>
      </c>
      <c r="C29" s="1102"/>
      <c r="D29" s="1102"/>
      <c r="E29" s="1102"/>
      <c r="F29" s="1102"/>
      <c r="G29" s="1102"/>
      <c r="H29" s="1102"/>
      <c r="I29" s="1102"/>
      <c r="J29" s="1103"/>
      <c r="K29" s="1104"/>
      <c r="L29" s="1087"/>
      <c r="M29" s="1087"/>
      <c r="N29" s="1087"/>
      <c r="O29" s="1087"/>
      <c r="P29" s="1087"/>
    </row>
    <row r="30" customFormat="false" ht="20.15" hidden="false" customHeight="true" outlineLevel="0" collapsed="false">
      <c r="A30" s="1131" t="s">
        <v>1284</v>
      </c>
      <c r="B30" s="1132" t="s">
        <v>1272</v>
      </c>
      <c r="C30" s="1102"/>
      <c r="D30" s="1102"/>
      <c r="E30" s="1102"/>
      <c r="F30" s="1102"/>
      <c r="G30" s="1102"/>
      <c r="H30" s="1102"/>
      <c r="I30" s="1102"/>
      <c r="J30" s="1103"/>
      <c r="K30" s="1104"/>
      <c r="L30" s="1087"/>
      <c r="M30" s="1087"/>
      <c r="N30" s="1087"/>
      <c r="O30" s="1087"/>
      <c r="P30" s="1087"/>
    </row>
    <row r="31" customFormat="false" ht="20.15" hidden="false" customHeight="true" outlineLevel="0" collapsed="false">
      <c r="A31" s="1134"/>
      <c r="B31" s="1135"/>
      <c r="C31" s="1135"/>
      <c r="D31" s="1135"/>
      <c r="E31" s="1135"/>
      <c r="F31" s="1135"/>
      <c r="G31" s="1135"/>
      <c r="H31" s="1135"/>
      <c r="I31" s="1135"/>
      <c r="J31" s="1136"/>
      <c r="K31" s="1137"/>
      <c r="L31" s="1094"/>
      <c r="M31" s="1094"/>
      <c r="N31" s="1094"/>
      <c r="O31" s="1094"/>
      <c r="P31" s="1094"/>
    </row>
    <row r="32" customFormat="false" ht="20.15" hidden="false" customHeight="true" outlineLevel="0" collapsed="false">
      <c r="A32" s="1138" t="s">
        <v>1285</v>
      </c>
      <c r="B32" s="1110" t="s">
        <v>1286</v>
      </c>
      <c r="C32" s="1110" t="n">
        <f aca="false">C16+C27</f>
        <v>0</v>
      </c>
      <c r="D32" s="1110" t="n">
        <f aca="false">D16+D27</f>
        <v>0</v>
      </c>
      <c r="E32" s="1110" t="n">
        <f aca="false">E16+E27</f>
        <v>0</v>
      </c>
      <c r="F32" s="1110" t="n">
        <f aca="false">F16+F27</f>
        <v>0</v>
      </c>
      <c r="G32" s="1110" t="n">
        <f aca="false">G16+G27</f>
        <v>0</v>
      </c>
      <c r="H32" s="1110" t="n">
        <f aca="false">H16+H27</f>
        <v>0</v>
      </c>
      <c r="I32" s="1110" t="n">
        <f aca="false">I16+I27</f>
        <v>0</v>
      </c>
      <c r="J32" s="1139"/>
      <c r="K32" s="1140"/>
      <c r="L32" s="1094"/>
      <c r="M32" s="1094"/>
      <c r="N32" s="1094"/>
      <c r="O32" s="1094"/>
      <c r="P32" s="1094"/>
    </row>
    <row r="33" customFormat="false" ht="14.5" hidden="false" customHeight="false" outlineLevel="0" collapsed="false">
      <c r="A33" s="1141"/>
    </row>
    <row r="34" customFormat="false" ht="14.5" hidden="false" customHeight="false" outlineLevel="0" collapsed="false">
      <c r="A34" s="1142" t="s">
        <v>1287</v>
      </c>
    </row>
    <row r="35" customFormat="false" ht="14.5" hidden="false" customHeight="false" outlineLevel="0" collapsed="false">
      <c r="A35" s="1143" t="s">
        <v>1288</v>
      </c>
    </row>
    <row r="37" customFormat="false" ht="14.5" hidden="false" customHeight="false" outlineLevel="0" collapsed="false">
      <c r="A37" s="1144"/>
    </row>
  </sheetData>
  <mergeCells count="18">
    <mergeCell ref="A5:P5"/>
    <mergeCell ref="A6:P6"/>
    <mergeCell ref="A7:A9"/>
    <mergeCell ref="C7:H9"/>
    <mergeCell ref="I7:I9"/>
    <mergeCell ref="J7:P9"/>
    <mergeCell ref="C10:D10"/>
    <mergeCell ref="E10:F10"/>
    <mergeCell ref="G10:H10"/>
    <mergeCell ref="J10:K10"/>
    <mergeCell ref="L10:M10"/>
    <mergeCell ref="N10:O10"/>
    <mergeCell ref="J21:K22"/>
    <mergeCell ref="L29:L30"/>
    <mergeCell ref="M29:M30"/>
    <mergeCell ref="N29:N30"/>
    <mergeCell ref="O29:O30"/>
    <mergeCell ref="P29:P30"/>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89" zoomScaleNormal="89" zoomScalePageLayoutView="100" workbookViewId="0">
      <selection pane="topLeft" activeCell="B16" activeCellId="0" sqref="B16:I27"/>
    </sheetView>
  </sheetViews>
  <sheetFormatPr defaultColWidth="10.8125" defaultRowHeight="12" zeroHeight="false" outlineLevelRow="0" outlineLevelCol="0"/>
  <cols>
    <col collapsed="false" customWidth="true" hidden="false" outlineLevel="0" max="1" min="1" style="209" width="68.26"/>
    <col collapsed="false" customWidth="true" hidden="false" outlineLevel="0" max="2" min="2" style="209" width="14.99"/>
    <col collapsed="false" customWidth="true" hidden="false" outlineLevel="0" max="3" min="3" style="209" width="13.99"/>
    <col collapsed="false" customWidth="true" hidden="false" outlineLevel="0" max="4" min="4" style="209" width="12.99"/>
    <col collapsed="false" customWidth="false" hidden="false" outlineLevel="0" max="5" min="5" style="209" width="10.81"/>
    <col collapsed="false" customWidth="true" hidden="false" outlineLevel="0" max="6" min="6" style="209" width="12.44"/>
    <col collapsed="false" customWidth="true" hidden="false" outlineLevel="0" max="7" min="7" style="209" width="11.44"/>
    <col collapsed="false" customWidth="true" hidden="false" outlineLevel="0" max="8" min="8" style="209" width="14.17"/>
    <col collapsed="false" customWidth="true" hidden="false" outlineLevel="0" max="9" min="9" style="209" width="14.44"/>
    <col collapsed="false" customWidth="false" hidden="false" outlineLevel="0" max="257" min="10" style="209" width="10.81"/>
  </cols>
  <sheetData>
    <row r="1" customFormat="false" ht="12" hidden="false" customHeight="false" outlineLevel="0" collapsed="false">
      <c r="A1" s="558"/>
    </row>
    <row r="2" customFormat="false" ht="12" hidden="false" customHeight="false" outlineLevel="0" collapsed="false">
      <c r="A2" s="1145"/>
    </row>
    <row r="3" customFormat="false" ht="5.25" hidden="false" customHeight="true" outlineLevel="0" collapsed="false">
      <c r="A3" s="1145"/>
    </row>
    <row r="4" customFormat="false" ht="13" hidden="false" customHeight="false" outlineLevel="0" collapsed="false">
      <c r="A4" s="359" t="s">
        <v>51</v>
      </c>
      <c r="F4" s="217" t="s">
        <v>199</v>
      </c>
      <c r="G4" s="217"/>
      <c r="H4" s="203"/>
    </row>
    <row r="5" customFormat="false" ht="13" hidden="false" customHeight="false" outlineLevel="0" collapsed="false">
      <c r="A5" s="360" t="s">
        <v>335</v>
      </c>
      <c r="F5" s="217" t="s">
        <v>101</v>
      </c>
      <c r="G5" s="217"/>
      <c r="H5" s="207"/>
    </row>
    <row r="6" customFormat="false" ht="12" hidden="false" customHeight="false" outlineLevel="0" collapsed="false">
      <c r="A6" s="1146"/>
    </row>
    <row r="7" customFormat="false" ht="14" hidden="false" customHeight="false" outlineLevel="0" collapsed="false">
      <c r="A7" s="812" t="s">
        <v>1289</v>
      </c>
      <c r="B7" s="812"/>
      <c r="C7" s="812"/>
      <c r="D7" s="812"/>
      <c r="E7" s="812"/>
      <c r="F7" s="812"/>
      <c r="G7" s="812"/>
      <c r="H7" s="812"/>
      <c r="I7" s="812"/>
    </row>
    <row r="8" customFormat="false" ht="14.5" hidden="false" customHeight="false" outlineLevel="0" collapsed="false">
      <c r="A8" s="542" t="s">
        <v>1290</v>
      </c>
      <c r="B8" s="542"/>
      <c r="C8" s="542"/>
      <c r="D8" s="542"/>
      <c r="E8" s="542"/>
      <c r="F8" s="542"/>
      <c r="G8" s="542"/>
      <c r="H8" s="542"/>
      <c r="I8" s="542"/>
    </row>
    <row r="9" customFormat="false" ht="20.15" hidden="false" customHeight="true" outlineLevel="0" collapsed="false">
      <c r="A9" s="1147" t="s">
        <v>1291</v>
      </c>
      <c r="B9" s="1148" t="s">
        <v>104</v>
      </c>
      <c r="C9" s="1148" t="s">
        <v>458</v>
      </c>
      <c r="D9" s="1148"/>
      <c r="E9" s="1148"/>
      <c r="F9" s="1148" t="s">
        <v>471</v>
      </c>
      <c r="G9" s="1148"/>
      <c r="H9" s="1148"/>
      <c r="I9" s="1148" t="s">
        <v>1292</v>
      </c>
    </row>
    <row r="10" customFormat="false" ht="20.15" hidden="false" customHeight="true" outlineLevel="0" collapsed="false">
      <c r="A10" s="1147"/>
      <c r="B10" s="1149" t="s">
        <v>1293</v>
      </c>
      <c r="C10" s="1149" t="s">
        <v>1294</v>
      </c>
      <c r="D10" s="1149"/>
      <c r="E10" s="1149"/>
      <c r="F10" s="1149" t="s">
        <v>1295</v>
      </c>
      <c r="G10" s="1149"/>
      <c r="H10" s="1149"/>
      <c r="I10" s="1149" t="s">
        <v>1296</v>
      </c>
    </row>
    <row r="11" customFormat="false" ht="39.75" hidden="false" customHeight="true" outlineLevel="0" collapsed="false">
      <c r="A11" s="1147"/>
      <c r="B11" s="1149"/>
      <c r="C11" s="1150" t="s">
        <v>1297</v>
      </c>
      <c r="D11" s="1150" t="s">
        <v>1298</v>
      </c>
      <c r="E11" s="1150" t="s">
        <v>1299</v>
      </c>
      <c r="F11" s="1150" t="s">
        <v>1300</v>
      </c>
      <c r="G11" s="1150" t="s">
        <v>1298</v>
      </c>
      <c r="H11" s="1150" t="s">
        <v>1301</v>
      </c>
      <c r="I11" s="1149"/>
    </row>
    <row r="12" customFormat="false" ht="20.15" hidden="false" customHeight="true" outlineLevel="0" collapsed="false">
      <c r="A12" s="1151" t="s">
        <v>1302</v>
      </c>
      <c r="B12" s="1152"/>
      <c r="C12" s="1152"/>
      <c r="D12" s="1152"/>
      <c r="E12" s="1152"/>
      <c r="F12" s="1152"/>
      <c r="G12" s="1152"/>
      <c r="H12" s="1152"/>
      <c r="I12" s="739" t="n">
        <f aca="false">B12+C12+D12+E12-F12-G12-H12</f>
        <v>0</v>
      </c>
    </row>
    <row r="13" customFormat="false" ht="18" hidden="false" customHeight="true" outlineLevel="0" collapsed="false">
      <c r="A13" s="550" t="s">
        <v>1303</v>
      </c>
      <c r="B13" s="739" t="n">
        <f aca="false">PASSIF!D23</f>
        <v>0</v>
      </c>
      <c r="C13" s="739" t="n">
        <v>0</v>
      </c>
      <c r="D13" s="739" t="n">
        <v>0</v>
      </c>
      <c r="E13" s="739" t="n">
        <v>0</v>
      </c>
      <c r="F13" s="739" t="n">
        <v>0</v>
      </c>
      <c r="G13" s="739" t="n">
        <v>0</v>
      </c>
      <c r="H13" s="739"/>
      <c r="I13" s="739" t="n">
        <f aca="false">B13+C13+D13+E13-F13-G13-H13</f>
        <v>0</v>
      </c>
    </row>
    <row r="14" customFormat="false" ht="20.15" hidden="false" customHeight="true" outlineLevel="0" collapsed="false">
      <c r="A14" s="550" t="s">
        <v>1304</v>
      </c>
      <c r="B14" s="739"/>
      <c r="C14" s="739"/>
      <c r="D14" s="739"/>
      <c r="E14" s="739"/>
      <c r="F14" s="739"/>
      <c r="G14" s="739"/>
      <c r="H14" s="739"/>
      <c r="I14" s="739"/>
    </row>
    <row r="15" customFormat="false" ht="20.15" hidden="false" customHeight="true" outlineLevel="0" collapsed="false">
      <c r="A15" s="551" t="s">
        <v>1305</v>
      </c>
      <c r="B15" s="744" t="n">
        <f aca="false">SUM(B12:B14)</f>
        <v>0</v>
      </c>
      <c r="C15" s="1153"/>
      <c r="D15" s="1153"/>
      <c r="E15" s="1153"/>
      <c r="F15" s="1153"/>
      <c r="G15" s="1153"/>
      <c r="H15" s="1153"/>
      <c r="I15" s="744" t="n">
        <f aca="false">B15+C15-F15</f>
        <v>0</v>
      </c>
    </row>
    <row r="16" customFormat="false" ht="20.15" hidden="false" customHeight="true" outlineLevel="0" collapsed="false">
      <c r="A16" s="550"/>
      <c r="B16" s="739"/>
      <c r="C16" s="1154"/>
      <c r="D16" s="1154"/>
      <c r="E16" s="1154"/>
      <c r="F16" s="1154"/>
      <c r="G16" s="1154"/>
      <c r="H16" s="1154"/>
      <c r="I16" s="739"/>
    </row>
    <row r="17" customFormat="false" ht="20.15" hidden="false" customHeight="true" outlineLevel="0" collapsed="false">
      <c r="A17" s="550" t="s">
        <v>1306</v>
      </c>
      <c r="B17" s="739"/>
      <c r="C17" s="1154"/>
      <c r="D17" s="1154"/>
      <c r="E17" s="1154"/>
      <c r="F17" s="1154"/>
      <c r="G17" s="1154"/>
      <c r="H17" s="1154"/>
      <c r="I17" s="739" t="n">
        <f aca="false">B17+C17-F17</f>
        <v>0</v>
      </c>
    </row>
    <row r="18" customFormat="false" ht="20.15" hidden="false" customHeight="true" outlineLevel="0" collapsed="false">
      <c r="A18" s="550" t="s">
        <v>1307</v>
      </c>
      <c r="B18" s="739"/>
      <c r="C18" s="1154"/>
      <c r="D18" s="1154"/>
      <c r="E18" s="1154"/>
      <c r="F18" s="1154"/>
      <c r="G18" s="1154"/>
      <c r="H18" s="1154"/>
      <c r="I18" s="739" t="n">
        <f aca="false">B18+C18-F18</f>
        <v>0</v>
      </c>
    </row>
    <row r="19" customFormat="false" ht="20.15" hidden="false" customHeight="true" outlineLevel="0" collapsed="false">
      <c r="A19" s="550" t="s">
        <v>1308</v>
      </c>
      <c r="B19" s="739"/>
      <c r="C19" s="1154"/>
      <c r="D19" s="1154"/>
      <c r="E19" s="1154"/>
      <c r="F19" s="1154"/>
      <c r="G19" s="1154"/>
      <c r="H19" s="1154"/>
      <c r="I19" s="739" t="n">
        <f aca="false">B19+C19-F19</f>
        <v>0</v>
      </c>
    </row>
    <row r="20" customFormat="false" ht="20.15" hidden="false" customHeight="true" outlineLevel="0" collapsed="false">
      <c r="A20" s="550" t="s">
        <v>1309</v>
      </c>
      <c r="B20" s="739"/>
      <c r="C20" s="1154"/>
      <c r="D20" s="1154"/>
      <c r="E20" s="1154"/>
      <c r="F20" s="1154"/>
      <c r="G20" s="1154"/>
      <c r="H20" s="1154"/>
      <c r="I20" s="739" t="n">
        <f aca="false">B20+C20-F20</f>
        <v>0</v>
      </c>
    </row>
    <row r="21" customFormat="false" ht="20.15" hidden="false" customHeight="true" outlineLevel="0" collapsed="false">
      <c r="A21" s="550" t="s">
        <v>1310</v>
      </c>
      <c r="B21" s="739"/>
      <c r="C21" s="1154"/>
      <c r="D21" s="1154"/>
      <c r="E21" s="1154"/>
      <c r="F21" s="1154"/>
      <c r="G21" s="1154"/>
      <c r="H21" s="1154"/>
      <c r="I21" s="739" t="n">
        <f aca="false">B21+C21-F21</f>
        <v>0</v>
      </c>
    </row>
    <row r="22" customFormat="false" ht="20.15" hidden="false" customHeight="true" outlineLevel="0" collapsed="false">
      <c r="A22" s="550" t="s">
        <v>1311</v>
      </c>
      <c r="B22" s="739"/>
      <c r="C22" s="1155"/>
      <c r="D22" s="1155"/>
      <c r="E22" s="1155"/>
      <c r="F22" s="1155"/>
      <c r="G22" s="1155"/>
      <c r="H22" s="1155"/>
      <c r="I22" s="1155" t="n">
        <f aca="false">B22+C22+D22+E22-F22-G22-H22</f>
        <v>0</v>
      </c>
    </row>
    <row r="23" customFormat="false" ht="20.15" hidden="false" customHeight="true" outlineLevel="0" collapsed="false">
      <c r="A23" s="550" t="s">
        <v>1312</v>
      </c>
      <c r="B23" s="739"/>
      <c r="C23" s="1155"/>
      <c r="D23" s="1155"/>
      <c r="E23" s="1155"/>
      <c r="F23" s="1155"/>
      <c r="G23" s="1155"/>
      <c r="H23" s="1155"/>
      <c r="I23" s="1155"/>
    </row>
    <row r="24" customFormat="false" ht="20.15" hidden="false" customHeight="true" outlineLevel="0" collapsed="false">
      <c r="A24" s="550" t="s">
        <v>1313</v>
      </c>
      <c r="B24" s="739"/>
      <c r="C24" s="1155"/>
      <c r="D24" s="1155"/>
      <c r="E24" s="1155"/>
      <c r="F24" s="1155"/>
      <c r="G24" s="1155"/>
      <c r="H24" s="1155"/>
      <c r="I24" s="1155"/>
    </row>
    <row r="25" customFormat="false" ht="20.15" hidden="false" customHeight="true" outlineLevel="0" collapsed="false">
      <c r="A25" s="550" t="s">
        <v>1314</v>
      </c>
      <c r="B25" s="739"/>
      <c r="C25" s="1155"/>
      <c r="D25" s="1155"/>
      <c r="E25" s="1155"/>
      <c r="F25" s="1155"/>
      <c r="G25" s="1155"/>
      <c r="H25" s="1155"/>
      <c r="I25" s="1155"/>
    </row>
    <row r="26" customFormat="false" ht="15" hidden="false" customHeight="true" outlineLevel="0" collapsed="false">
      <c r="A26" s="550" t="s">
        <v>1315</v>
      </c>
      <c r="B26" s="739"/>
      <c r="C26" s="1155"/>
      <c r="D26" s="1155"/>
      <c r="E26" s="1155"/>
      <c r="F26" s="1155"/>
      <c r="G26" s="1155"/>
      <c r="H26" s="1155"/>
      <c r="I26" s="1155"/>
    </row>
    <row r="27" customFormat="false" ht="16.5" hidden="false" customHeight="true" outlineLevel="0" collapsed="false">
      <c r="A27" s="550" t="s">
        <v>1316</v>
      </c>
      <c r="B27" s="739"/>
      <c r="C27" s="1155"/>
      <c r="D27" s="1155"/>
      <c r="E27" s="1155"/>
      <c r="F27" s="1155"/>
      <c r="G27" s="1155"/>
      <c r="H27" s="1155"/>
      <c r="I27" s="1155"/>
    </row>
    <row r="28" customFormat="false" ht="12.5" hidden="false" customHeight="false" outlineLevel="0" collapsed="false">
      <c r="A28" s="551" t="s">
        <v>1317</v>
      </c>
      <c r="B28" s="744" t="n">
        <f aca="false">SUM(B17:B27)</f>
        <v>0</v>
      </c>
      <c r="C28" s="1153"/>
      <c r="D28" s="1153"/>
      <c r="E28" s="1153"/>
      <c r="F28" s="1153"/>
      <c r="G28" s="1153"/>
      <c r="H28" s="1153"/>
      <c r="I28" s="744" t="n">
        <f aca="false">SUM(I17:I27)</f>
        <v>0</v>
      </c>
    </row>
    <row r="29" customFormat="false" ht="10.5" hidden="false" customHeight="true" outlineLevel="0" collapsed="false">
      <c r="A29" s="550"/>
      <c r="B29" s="1156"/>
      <c r="C29" s="1157"/>
      <c r="D29" s="1157"/>
      <c r="E29" s="1157"/>
      <c r="F29" s="1157"/>
      <c r="G29" s="1157"/>
      <c r="H29" s="1157"/>
      <c r="I29" s="1156"/>
    </row>
    <row r="30" customFormat="false" ht="12.5" hidden="false" customHeight="false" outlineLevel="0" collapsed="false">
      <c r="A30" s="1158" t="s">
        <v>1318</v>
      </c>
      <c r="B30" s="1159" t="n">
        <f aca="false">B15+B28</f>
        <v>0</v>
      </c>
      <c r="C30" s="1160"/>
      <c r="D30" s="1160"/>
      <c r="E30" s="1160"/>
      <c r="F30" s="1160"/>
      <c r="G30" s="1160"/>
      <c r="H30" s="1160"/>
      <c r="I30" s="1159" t="n">
        <f aca="false">I15+I28</f>
        <v>0</v>
      </c>
    </row>
    <row r="31" customFormat="false" ht="12" hidden="false" customHeight="false" outlineLevel="0" collapsed="false">
      <c r="A31" s="558"/>
    </row>
    <row r="32" customFormat="false" ht="12" hidden="false" customHeight="false" outlineLevel="0" collapsed="false">
      <c r="A32" s="260" t="s">
        <v>1319</v>
      </c>
    </row>
    <row r="33" customFormat="false" ht="12" hidden="false" customHeight="false" outlineLevel="0" collapsed="false">
      <c r="A33" s="202" t="s">
        <v>1320</v>
      </c>
    </row>
  </sheetData>
  <mergeCells count="29">
    <mergeCell ref="A7:I7"/>
    <mergeCell ref="A8:I8"/>
    <mergeCell ref="A9:A11"/>
    <mergeCell ref="C9:E9"/>
    <mergeCell ref="F9:H9"/>
    <mergeCell ref="B10:B11"/>
    <mergeCell ref="C10:E10"/>
    <mergeCell ref="F10:H10"/>
    <mergeCell ref="I10:I11"/>
    <mergeCell ref="C15:E15"/>
    <mergeCell ref="F15:H15"/>
    <mergeCell ref="C16:E16"/>
    <mergeCell ref="F16:H16"/>
    <mergeCell ref="C17:E17"/>
    <mergeCell ref="F17:H17"/>
    <mergeCell ref="C18:E18"/>
    <mergeCell ref="F18:H18"/>
    <mergeCell ref="C19:E19"/>
    <mergeCell ref="F19:H19"/>
    <mergeCell ref="C20:E20"/>
    <mergeCell ref="F20:H20"/>
    <mergeCell ref="C21:E21"/>
    <mergeCell ref="F21:H21"/>
    <mergeCell ref="C28:E28"/>
    <mergeCell ref="F28:H28"/>
    <mergeCell ref="C29:E29"/>
    <mergeCell ref="F29:H29"/>
    <mergeCell ref="C30:E30"/>
    <mergeCell ref="F30:H30"/>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F35"/>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35" activeCellId="0" sqref="B35"/>
    </sheetView>
  </sheetViews>
  <sheetFormatPr defaultColWidth="10.90234375" defaultRowHeight="14.5" zeroHeight="false" outlineLevelRow="0" outlineLevelCol="0"/>
  <cols>
    <col collapsed="false" customWidth="true" hidden="false" outlineLevel="0" max="1" min="1" style="0" width="51.26"/>
    <col collapsed="false" customWidth="true" hidden="false" outlineLevel="0" max="2" min="2" style="0" width="12.99"/>
    <col collapsed="false" customWidth="true" hidden="false" outlineLevel="0" max="3" min="3" style="0" width="11.81"/>
  </cols>
  <sheetData>
    <row r="4" customFormat="false" ht="14.5" hidden="false" customHeight="false" outlineLevel="0" collapsed="false">
      <c r="A4" s="359" t="s">
        <v>1321</v>
      </c>
      <c r="C4" s="217" t="s">
        <v>199</v>
      </c>
      <c r="D4" s="203"/>
    </row>
    <row r="5" customFormat="false" ht="14.5" hidden="false" customHeight="false" outlineLevel="0" collapsed="false">
      <c r="A5" s="360" t="s">
        <v>200</v>
      </c>
      <c r="C5" s="217" t="s">
        <v>101</v>
      </c>
      <c r="D5" s="207"/>
    </row>
    <row r="6" customFormat="false" ht="14.5" hidden="false" customHeight="false" outlineLevel="0" collapsed="false">
      <c r="A6" s="1161" t="s">
        <v>95</v>
      </c>
    </row>
    <row r="7" customFormat="false" ht="14.5" hidden="false" customHeight="false" outlineLevel="0" collapsed="false">
      <c r="A7" s="602" t="s">
        <v>1322</v>
      </c>
      <c r="B7" s="602"/>
      <c r="C7" s="602"/>
      <c r="D7" s="602"/>
      <c r="E7" s="1078"/>
      <c r="F7" s="1078"/>
    </row>
    <row r="8" customFormat="false" ht="14.5" hidden="false" customHeight="false" outlineLevel="0" collapsed="false">
      <c r="A8" s="1162" t="s">
        <v>1323</v>
      </c>
      <c r="B8" s="1162"/>
      <c r="C8" s="1162"/>
      <c r="D8" s="1162"/>
      <c r="E8" s="1067"/>
      <c r="F8" s="1067"/>
    </row>
    <row r="9" customFormat="false" ht="20.15" hidden="false" customHeight="true" outlineLevel="0" collapsed="false">
      <c r="A9" s="1163" t="s">
        <v>687</v>
      </c>
      <c r="B9" s="1163" t="s">
        <v>763</v>
      </c>
      <c r="C9" s="1163" t="s">
        <v>764</v>
      </c>
      <c r="D9" s="1163" t="s">
        <v>690</v>
      </c>
    </row>
    <row r="10" customFormat="false" ht="20.15" hidden="false" customHeight="true" outlineLevel="0" collapsed="false">
      <c r="A10" s="824" t="s">
        <v>1324</v>
      </c>
      <c r="B10" s="1075"/>
      <c r="C10" s="1075"/>
      <c r="D10" s="1164"/>
    </row>
    <row r="11" customFormat="false" ht="20.15" hidden="false" customHeight="true" outlineLevel="0" collapsed="false">
      <c r="A11" s="824" t="s">
        <v>1325</v>
      </c>
      <c r="B11" s="1165"/>
      <c r="C11" s="1165"/>
      <c r="D11" s="1165"/>
    </row>
    <row r="12" customFormat="false" ht="20.15" hidden="false" customHeight="true" outlineLevel="0" collapsed="false">
      <c r="A12" s="824" t="s">
        <v>1326</v>
      </c>
      <c r="B12" s="1165"/>
      <c r="C12" s="1165"/>
      <c r="D12" s="1165"/>
    </row>
    <row r="13" customFormat="false" ht="20.15" hidden="false" customHeight="true" outlineLevel="0" collapsed="false">
      <c r="A13" s="824" t="s">
        <v>1327</v>
      </c>
      <c r="B13" s="698" t="n">
        <v>0</v>
      </c>
      <c r="C13" s="698" t="n">
        <v>0</v>
      </c>
      <c r="D13" s="988" t="e">
        <f aca="false">(B13-C13)/C13</f>
        <v>#DIV/0!</v>
      </c>
    </row>
    <row r="14" customFormat="false" ht="20.15" hidden="false" customHeight="true" outlineLevel="0" collapsed="false">
      <c r="A14" s="824" t="s">
        <v>1328</v>
      </c>
      <c r="B14" s="698"/>
      <c r="C14" s="698"/>
      <c r="D14" s="988"/>
    </row>
    <row r="15" customFormat="false" ht="20.15" hidden="false" customHeight="true" outlineLevel="0" collapsed="false">
      <c r="A15" s="824" t="s">
        <v>1329</v>
      </c>
      <c r="B15" s="698"/>
      <c r="C15" s="698"/>
      <c r="D15" s="988"/>
    </row>
    <row r="16" customFormat="false" ht="20.15" hidden="false" customHeight="true" outlineLevel="0" collapsed="false">
      <c r="A16" s="824" t="s">
        <v>1330</v>
      </c>
      <c r="B16" s="698"/>
      <c r="C16" s="698"/>
      <c r="D16" s="988"/>
    </row>
    <row r="17" customFormat="false" ht="23" hidden="false" customHeight="false" outlineLevel="0" collapsed="false">
      <c r="A17" s="824" t="s">
        <v>1331</v>
      </c>
      <c r="B17" s="698"/>
      <c r="C17" s="698"/>
      <c r="D17" s="988"/>
    </row>
    <row r="18" customFormat="false" ht="20.15" hidden="false" customHeight="true" outlineLevel="0" collapsed="false">
      <c r="A18" s="824" t="s">
        <v>1332</v>
      </c>
      <c r="B18" s="698"/>
      <c r="C18" s="698"/>
      <c r="D18" s="988"/>
    </row>
    <row r="19" customFormat="false" ht="23.5" hidden="false" customHeight="false" outlineLevel="0" collapsed="false">
      <c r="A19" s="974" t="s">
        <v>1333</v>
      </c>
      <c r="B19" s="701"/>
      <c r="C19" s="701"/>
      <c r="D19" s="1166"/>
    </row>
    <row r="20" customFormat="false" ht="20.15" hidden="false" customHeight="true" outlineLevel="0" collapsed="false">
      <c r="A20" s="702" t="s">
        <v>1334</v>
      </c>
      <c r="B20" s="703" t="n">
        <f aca="false">SUM(B10:B19)</f>
        <v>0</v>
      </c>
      <c r="C20" s="703" t="n">
        <f aca="false">SUM(C10:C19)</f>
        <v>0</v>
      </c>
      <c r="D20" s="729" t="e">
        <f aca="false">SUM(D10:D19)</f>
        <v>#DIV/0!</v>
      </c>
    </row>
    <row r="21" customFormat="false" ht="20.15" hidden="false" customHeight="true" outlineLevel="0" collapsed="false">
      <c r="A21" s="822" t="s">
        <v>215</v>
      </c>
      <c r="B21" s="836"/>
      <c r="C21" s="836"/>
      <c r="D21" s="836"/>
    </row>
    <row r="22" customFormat="false" ht="20.15" hidden="false" customHeight="true" outlineLevel="0" collapsed="false">
      <c r="A22" s="824" t="s">
        <v>1335</v>
      </c>
      <c r="B22" s="698" t="n">
        <v>0</v>
      </c>
      <c r="C22" s="698"/>
      <c r="D22" s="698"/>
    </row>
    <row r="23" customFormat="false" ht="20.15" hidden="false" customHeight="true" outlineLevel="0" collapsed="false">
      <c r="A23" s="824" t="s">
        <v>1336</v>
      </c>
      <c r="B23" s="698"/>
      <c r="C23" s="698"/>
      <c r="D23" s="698"/>
    </row>
    <row r="24" customFormat="false" ht="20.15" hidden="false" customHeight="true" outlineLevel="0" collapsed="false">
      <c r="A24" s="824" t="s">
        <v>1337</v>
      </c>
      <c r="B24" s="698"/>
      <c r="C24" s="698"/>
      <c r="D24" s="698"/>
    </row>
    <row r="25" customFormat="false" ht="20.15" hidden="false" customHeight="true" outlineLevel="0" collapsed="false">
      <c r="A25" s="824" t="s">
        <v>1338</v>
      </c>
      <c r="B25" s="698"/>
      <c r="C25" s="698"/>
      <c r="D25" s="698"/>
    </row>
    <row r="26" customFormat="false" ht="20.15" hidden="false" customHeight="true" outlineLevel="0" collapsed="false">
      <c r="A26" s="824" t="s">
        <v>1339</v>
      </c>
      <c r="B26" s="698"/>
      <c r="C26" s="698"/>
      <c r="D26" s="698"/>
    </row>
    <row r="27" customFormat="false" ht="20.15" hidden="false" customHeight="true" outlineLevel="0" collapsed="false">
      <c r="A27" s="824" t="s">
        <v>1340</v>
      </c>
      <c r="B27" s="698"/>
      <c r="C27" s="698"/>
      <c r="D27" s="698"/>
    </row>
    <row r="28" customFormat="false" ht="20.15" hidden="false" customHeight="true" outlineLevel="0" collapsed="false">
      <c r="A28" s="824" t="s">
        <v>1341</v>
      </c>
      <c r="B28" s="698"/>
      <c r="C28" s="698"/>
      <c r="D28" s="698"/>
    </row>
    <row r="29" customFormat="false" ht="23.5" hidden="false" customHeight="false" outlineLevel="0" collapsed="false">
      <c r="A29" s="974" t="s">
        <v>1342</v>
      </c>
      <c r="B29" s="701"/>
      <c r="C29" s="701"/>
      <c r="D29" s="701"/>
    </row>
    <row r="30" customFormat="false" ht="20.15" hidden="false" customHeight="true" outlineLevel="0" collapsed="false">
      <c r="A30" s="702" t="s">
        <v>1343</v>
      </c>
      <c r="B30" s="712" t="n">
        <f aca="false">B22</f>
        <v>0</v>
      </c>
      <c r="C30" s="712"/>
      <c r="D30" s="985"/>
    </row>
    <row r="31" customFormat="false" ht="20.15" hidden="false" customHeight="true" outlineLevel="0" collapsed="false">
      <c r="A31" s="1167" t="s">
        <v>215</v>
      </c>
      <c r="B31" s="1168"/>
      <c r="C31" s="1168"/>
      <c r="D31" s="1168"/>
    </row>
    <row r="32" customFormat="false" ht="20.15" hidden="false" customHeight="true" outlineLevel="0" collapsed="false">
      <c r="A32" s="1015" t="s">
        <v>1168</v>
      </c>
      <c r="B32" s="403" t="n">
        <f aca="false">B20-B30</f>
        <v>0</v>
      </c>
      <c r="C32" s="403" t="n">
        <f aca="false">C20-C30</f>
        <v>0</v>
      </c>
      <c r="D32" s="1017" t="e">
        <f aca="false">D20-D30</f>
        <v>#DIV/0!</v>
      </c>
    </row>
    <row r="33" customFormat="false" ht="14.5" hidden="false" customHeight="false" outlineLevel="0" collapsed="false">
      <c r="A33" s="313" t="s">
        <v>1344</v>
      </c>
    </row>
    <row r="34" customFormat="false" ht="14.5" hidden="false" customHeight="false" outlineLevel="0" collapsed="false">
      <c r="A34" s="952" t="s">
        <v>1345</v>
      </c>
    </row>
    <row r="35" customFormat="false" ht="14.5" hidden="false" customHeight="false" outlineLevel="0" collapsed="false">
      <c r="A35" s="952" t="s">
        <v>1346</v>
      </c>
    </row>
  </sheetData>
  <mergeCells count="2">
    <mergeCell ref="A7:D7"/>
    <mergeCell ref="A8:D8"/>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F30" activeCellId="0" sqref="F30"/>
    </sheetView>
  </sheetViews>
  <sheetFormatPr defaultColWidth="10.8125" defaultRowHeight="12" zeroHeight="false" outlineLevelRow="0" outlineLevelCol="0"/>
  <cols>
    <col collapsed="false" customWidth="true" hidden="false" outlineLevel="0" max="1" min="1" style="209" width="51.72"/>
    <col collapsed="false" customWidth="false" hidden="false" outlineLevel="0" max="2" min="2" style="209" width="10.81"/>
    <col collapsed="false" customWidth="true" hidden="false" outlineLevel="0" max="3" min="3" style="209" width="11.81"/>
    <col collapsed="false" customWidth="false" hidden="false" outlineLevel="0" max="257" min="4" style="209" width="10.81"/>
  </cols>
  <sheetData>
    <row r="1" customFormat="false" ht="14.5" hidden="false" customHeight="false" outlineLevel="0" collapsed="false">
      <c r="A1" s="0"/>
      <c r="B1" s="0"/>
      <c r="C1" s="0"/>
      <c r="D1" s="0"/>
      <c r="E1" s="0"/>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4.5" hidden="false" customHeight="false" outlineLevel="0" collapsed="false">
      <c r="A2" s="0"/>
      <c r="B2" s="0"/>
      <c r="C2" s="0"/>
      <c r="D2" s="0"/>
      <c r="E2" s="0"/>
      <c r="F2" s="0"/>
      <c r="G2" s="0"/>
      <c r="H2" s="0"/>
      <c r="I2" s="0"/>
      <c r="J2" s="0"/>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4.5" hidden="false" customHeight="false" outlineLevel="0" collapsed="false">
      <c r="A3" s="0"/>
      <c r="B3" s="0"/>
      <c r="C3" s="0"/>
      <c r="D3" s="0"/>
      <c r="E3" s="0"/>
      <c r="F3" s="0"/>
      <c r="G3" s="0"/>
      <c r="H3" s="0"/>
      <c r="I3" s="0"/>
      <c r="J3" s="0"/>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customFormat="false" ht="14.5" hidden="false" customHeight="false" outlineLevel="0" collapsed="false">
      <c r="A4" s="359" t="s">
        <v>1347</v>
      </c>
      <c r="C4" s="217" t="s">
        <v>199</v>
      </c>
      <c r="D4" s="203"/>
      <c r="E4" s="0"/>
      <c r="F4" s="0"/>
      <c r="G4" s="0"/>
      <c r="H4" s="0"/>
      <c r="I4" s="0"/>
      <c r="J4" s="0"/>
      <c r="K4" s="0"/>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c r="EJ4" s="0"/>
      <c r="EK4" s="0"/>
      <c r="EL4" s="0"/>
      <c r="EM4" s="0"/>
      <c r="EN4" s="0"/>
      <c r="EO4" s="0"/>
      <c r="EP4" s="0"/>
      <c r="EQ4" s="0"/>
      <c r="ER4" s="0"/>
      <c r="ES4" s="0"/>
      <c r="ET4" s="0"/>
      <c r="EU4" s="0"/>
      <c r="EV4" s="0"/>
      <c r="EW4" s="0"/>
      <c r="EX4" s="0"/>
      <c r="EY4" s="0"/>
      <c r="EZ4" s="0"/>
      <c r="FA4" s="0"/>
      <c r="FB4" s="0"/>
      <c r="FC4" s="0"/>
      <c r="FD4" s="0"/>
      <c r="FE4" s="0"/>
      <c r="FF4" s="0"/>
      <c r="FG4" s="0"/>
      <c r="FH4" s="0"/>
      <c r="FI4" s="0"/>
      <c r="FJ4" s="0"/>
      <c r="FK4" s="0"/>
      <c r="FL4" s="0"/>
      <c r="FM4" s="0"/>
      <c r="FN4" s="0"/>
      <c r="FO4" s="0"/>
      <c r="FP4" s="0"/>
      <c r="FQ4" s="0"/>
      <c r="FR4" s="0"/>
      <c r="FS4" s="0"/>
      <c r="FT4" s="0"/>
      <c r="FU4" s="0"/>
      <c r="FV4" s="0"/>
      <c r="FW4" s="0"/>
      <c r="FX4" s="0"/>
      <c r="FY4" s="0"/>
      <c r="FZ4" s="0"/>
      <c r="GA4" s="0"/>
      <c r="GB4" s="0"/>
      <c r="GC4" s="0"/>
      <c r="GD4" s="0"/>
      <c r="GE4" s="0"/>
      <c r="GF4" s="0"/>
      <c r="GG4" s="0"/>
      <c r="GH4" s="0"/>
      <c r="GI4" s="0"/>
      <c r="GJ4" s="0"/>
      <c r="GK4" s="0"/>
      <c r="GL4" s="0"/>
      <c r="GM4" s="0"/>
      <c r="GN4" s="0"/>
      <c r="GO4" s="0"/>
      <c r="GP4" s="0"/>
      <c r="GQ4" s="0"/>
      <c r="GR4" s="0"/>
      <c r="GS4" s="0"/>
      <c r="GT4" s="0"/>
      <c r="GU4" s="0"/>
      <c r="GV4" s="0"/>
      <c r="GW4" s="0"/>
      <c r="GX4" s="0"/>
      <c r="GY4" s="0"/>
      <c r="GZ4" s="0"/>
      <c r="HA4" s="0"/>
      <c r="HB4" s="0"/>
      <c r="HC4" s="0"/>
      <c r="HD4" s="0"/>
      <c r="HE4" s="0"/>
      <c r="HF4" s="0"/>
      <c r="HG4" s="0"/>
      <c r="HH4" s="0"/>
      <c r="HI4" s="0"/>
      <c r="HJ4" s="0"/>
      <c r="HK4" s="0"/>
      <c r="HL4" s="0"/>
      <c r="HM4" s="0"/>
      <c r="HN4" s="0"/>
      <c r="HO4" s="0"/>
      <c r="HP4" s="0"/>
      <c r="HQ4" s="0"/>
      <c r="HR4" s="0"/>
      <c r="HS4" s="0"/>
      <c r="HT4" s="0"/>
      <c r="HU4" s="0"/>
      <c r="HV4" s="0"/>
      <c r="HW4" s="0"/>
      <c r="HX4" s="0"/>
      <c r="HY4" s="0"/>
      <c r="HZ4" s="0"/>
      <c r="IA4" s="0"/>
      <c r="IB4" s="0"/>
      <c r="IC4" s="0"/>
      <c r="ID4" s="0"/>
      <c r="IE4" s="0"/>
      <c r="IF4" s="0"/>
      <c r="IG4" s="0"/>
      <c r="IH4" s="0"/>
      <c r="II4" s="0"/>
      <c r="IJ4" s="0"/>
      <c r="IK4" s="0"/>
      <c r="IL4" s="0"/>
      <c r="IM4" s="0"/>
      <c r="IN4" s="0"/>
      <c r="IO4" s="0"/>
      <c r="IP4" s="0"/>
      <c r="IQ4" s="0"/>
      <c r="IR4" s="0"/>
      <c r="IS4" s="0"/>
      <c r="IT4" s="0"/>
      <c r="IU4" s="0"/>
      <c r="IV4" s="0"/>
      <c r="IW4" s="0"/>
    </row>
    <row r="5" customFormat="false" ht="14.5" hidden="false" customHeight="false" outlineLevel="0" collapsed="false">
      <c r="A5" s="360" t="s">
        <v>1194</v>
      </c>
      <c r="C5" s="217" t="s">
        <v>101</v>
      </c>
      <c r="D5" s="207"/>
      <c r="E5" s="0"/>
      <c r="F5" s="0"/>
      <c r="G5" s="0"/>
      <c r="H5" s="0"/>
      <c r="I5" s="0"/>
      <c r="J5" s="0"/>
      <c r="K5" s="0"/>
      <c r="L5" s="0"/>
      <c r="M5" s="0"/>
      <c r="N5" s="0"/>
      <c r="O5" s="0"/>
      <c r="P5" s="0"/>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3" hidden="false" customHeight="false" outlineLevel="0" collapsed="false">
      <c r="A6" s="1169" t="s">
        <v>95</v>
      </c>
      <c r="C6" s="425"/>
      <c r="D6" s="425"/>
    </row>
    <row r="7" customFormat="false" ht="12" hidden="false" customHeight="false" outlineLevel="0" collapsed="false">
      <c r="A7" s="428" t="s">
        <v>1348</v>
      </c>
      <c r="B7" s="428"/>
      <c r="C7" s="428"/>
      <c r="D7" s="428"/>
    </row>
    <row r="8" customFormat="false" ht="12.5" hidden="false" customHeight="false" outlineLevel="0" collapsed="false">
      <c r="A8" s="1020" t="s">
        <v>1349</v>
      </c>
      <c r="B8" s="1020"/>
      <c r="C8" s="1020"/>
      <c r="D8" s="1020"/>
    </row>
    <row r="9" customFormat="false" ht="23.5" hidden="false" customHeight="false" outlineLevel="0" collapsed="false">
      <c r="A9" s="603" t="s">
        <v>687</v>
      </c>
      <c r="B9" s="604" t="s">
        <v>763</v>
      </c>
      <c r="C9" s="604" t="s">
        <v>689</v>
      </c>
      <c r="D9" s="606" t="s">
        <v>690</v>
      </c>
    </row>
    <row r="10" customFormat="false" ht="12" hidden="false" customHeight="false" outlineLevel="0" collapsed="false">
      <c r="A10" s="694" t="s">
        <v>1350</v>
      </c>
      <c r="B10" s="1003"/>
      <c r="C10" s="1003"/>
      <c r="D10" s="1170"/>
    </row>
    <row r="11" customFormat="false" ht="12" hidden="false" customHeight="false" outlineLevel="0" collapsed="false">
      <c r="A11" s="697" t="s">
        <v>1351</v>
      </c>
      <c r="B11" s="943"/>
      <c r="C11" s="943"/>
      <c r="D11" s="944"/>
    </row>
    <row r="12" customFormat="false" ht="12" hidden="false" customHeight="false" outlineLevel="0" collapsed="false">
      <c r="A12" s="697" t="s">
        <v>1351</v>
      </c>
      <c r="B12" s="943"/>
      <c r="C12" s="943"/>
      <c r="D12" s="944"/>
    </row>
    <row r="13" customFormat="false" ht="12" hidden="false" customHeight="false" outlineLevel="0" collapsed="false">
      <c r="A13" s="697" t="s">
        <v>1352</v>
      </c>
      <c r="B13" s="943"/>
      <c r="C13" s="943"/>
      <c r="D13" s="944"/>
    </row>
    <row r="14" customFormat="false" ht="12" hidden="false" customHeight="false" outlineLevel="0" collapsed="false">
      <c r="A14" s="697" t="s">
        <v>1353</v>
      </c>
      <c r="B14" s="943"/>
      <c r="C14" s="943"/>
      <c r="D14" s="944"/>
    </row>
    <row r="15" customFormat="false" ht="12" hidden="false" customHeight="false" outlineLevel="0" collapsed="false">
      <c r="A15" s="697" t="s">
        <v>1354</v>
      </c>
      <c r="B15" s="931"/>
      <c r="C15" s="931"/>
      <c r="D15" s="932"/>
    </row>
    <row r="16" customFormat="false" ht="12" hidden="false" customHeight="false" outlineLevel="0" collapsed="false">
      <c r="A16" s="697" t="s">
        <v>1355</v>
      </c>
      <c r="B16" s="931"/>
      <c r="C16" s="931"/>
      <c r="D16" s="932"/>
    </row>
    <row r="17" customFormat="false" ht="12" hidden="false" customHeight="false" outlineLevel="0" collapsed="false">
      <c r="A17" s="697" t="s">
        <v>1356</v>
      </c>
      <c r="B17" s="931"/>
      <c r="C17" s="931"/>
      <c r="D17" s="932"/>
    </row>
    <row r="18" customFormat="false" ht="12" hidden="false" customHeight="false" outlineLevel="0" collapsed="false">
      <c r="A18" s="697" t="s">
        <v>1357</v>
      </c>
      <c r="B18" s="931"/>
      <c r="C18" s="931"/>
      <c r="D18" s="932"/>
    </row>
    <row r="19" customFormat="false" ht="12.5" hidden="false" customHeight="false" outlineLevel="0" collapsed="false">
      <c r="A19" s="700" t="s">
        <v>1358</v>
      </c>
      <c r="B19" s="1005"/>
      <c r="C19" s="1005"/>
      <c r="D19" s="1171"/>
    </row>
    <row r="20" customFormat="false" ht="12.5" hidden="false" customHeight="false" outlineLevel="0" collapsed="false">
      <c r="A20" s="702" t="s">
        <v>1359</v>
      </c>
      <c r="B20" s="1006"/>
      <c r="C20" s="1006"/>
      <c r="D20" s="1007"/>
    </row>
    <row r="21" customFormat="false" ht="12" hidden="false" customHeight="false" outlineLevel="0" collapsed="false">
      <c r="A21" s="694" t="s">
        <v>215</v>
      </c>
      <c r="B21" s="929"/>
      <c r="C21" s="929"/>
      <c r="D21" s="930"/>
    </row>
    <row r="22" customFormat="false" ht="12" hidden="false" customHeight="false" outlineLevel="0" collapsed="false">
      <c r="A22" s="697" t="s">
        <v>1360</v>
      </c>
      <c r="B22" s="931"/>
      <c r="C22" s="931"/>
      <c r="D22" s="932"/>
    </row>
    <row r="23" customFormat="false" ht="12" hidden="false" customHeight="false" outlineLevel="0" collapsed="false">
      <c r="A23" s="697" t="s">
        <v>1351</v>
      </c>
      <c r="B23" s="931"/>
      <c r="C23" s="931"/>
      <c r="D23" s="932"/>
    </row>
    <row r="24" customFormat="false" ht="12" hidden="false" customHeight="false" outlineLevel="0" collapsed="false">
      <c r="A24" s="697" t="s">
        <v>1351</v>
      </c>
      <c r="B24" s="931"/>
      <c r="C24" s="931"/>
      <c r="D24" s="932"/>
    </row>
    <row r="25" customFormat="false" ht="12" hidden="false" customHeight="false" outlineLevel="0" collapsed="false">
      <c r="A25" s="697" t="s">
        <v>1361</v>
      </c>
      <c r="B25" s="931"/>
      <c r="C25" s="931"/>
      <c r="D25" s="932"/>
    </row>
    <row r="26" customFormat="false" ht="12" hidden="false" customHeight="false" outlineLevel="0" collapsed="false">
      <c r="A26" s="697" t="s">
        <v>1362</v>
      </c>
      <c r="B26" s="931"/>
      <c r="C26" s="931"/>
      <c r="D26" s="932"/>
    </row>
    <row r="27" customFormat="false" ht="12" hidden="false" customHeight="false" outlineLevel="0" collapsed="false">
      <c r="A27" s="697" t="s">
        <v>1363</v>
      </c>
      <c r="B27" s="931"/>
      <c r="C27" s="931"/>
      <c r="D27" s="932"/>
    </row>
    <row r="28" customFormat="false" ht="23" hidden="false" customHeight="false" outlineLevel="0" collapsed="false">
      <c r="A28" s="697" t="s">
        <v>1364</v>
      </c>
      <c r="B28" s="931"/>
      <c r="C28" s="931"/>
      <c r="D28" s="932"/>
    </row>
    <row r="29" customFormat="false" ht="12" hidden="false" customHeight="false" outlineLevel="0" collapsed="false">
      <c r="A29" s="700" t="s">
        <v>1365</v>
      </c>
      <c r="B29" s="1005"/>
      <c r="C29" s="1005"/>
      <c r="D29" s="1171"/>
    </row>
    <row r="30" customFormat="false" ht="12.5" hidden="false" customHeight="false" outlineLevel="0" collapsed="false">
      <c r="A30" s="700" t="s">
        <v>1358</v>
      </c>
      <c r="B30" s="1005"/>
      <c r="C30" s="1005"/>
      <c r="D30" s="1171"/>
    </row>
    <row r="31" customFormat="false" ht="12.5" hidden="false" customHeight="false" outlineLevel="0" collapsed="false">
      <c r="A31" s="702" t="s">
        <v>1366</v>
      </c>
      <c r="B31" s="1006"/>
      <c r="C31" s="1006"/>
      <c r="D31" s="1007"/>
    </row>
    <row r="32" customFormat="false" ht="12.5" hidden="false" customHeight="false" outlineLevel="0" collapsed="false">
      <c r="A32" s="1045" t="s">
        <v>215</v>
      </c>
      <c r="B32" s="1167"/>
      <c r="C32" s="1167"/>
      <c r="D32" s="1172"/>
    </row>
    <row r="33" customFormat="false" ht="12.5" hidden="false" customHeight="false" outlineLevel="0" collapsed="false">
      <c r="A33" s="1015" t="s">
        <v>1168</v>
      </c>
      <c r="B33" s="1018"/>
      <c r="C33" s="1018"/>
      <c r="D33" s="1019"/>
    </row>
    <row r="34" customFormat="false" ht="19.5" hidden="false" customHeight="true" outlineLevel="0" collapsed="false">
      <c r="A34" s="313" t="s">
        <v>1367</v>
      </c>
    </row>
    <row r="35" customFormat="false" ht="12" hidden="false" customHeight="false" outlineLevel="0" collapsed="false">
      <c r="A35" s="732" t="s">
        <v>1116</v>
      </c>
    </row>
    <row r="36" customFormat="false" ht="12" hidden="false" customHeight="false" outlineLevel="0" collapsed="false">
      <c r="A36" s="1169" t="s">
        <v>95</v>
      </c>
    </row>
  </sheetData>
  <mergeCells count="2">
    <mergeCell ref="A7:D7"/>
    <mergeCell ref="A8:D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I40"/>
  <sheetViews>
    <sheetView showFormulas="false" showGridLines="true" showRowColHeaders="true" showZeros="true" rightToLeft="false" tabSelected="false" showOutlineSymbols="true" defaultGridColor="true" view="normal" topLeftCell="A20" colorId="64" zoomScale="80" zoomScaleNormal="80" zoomScalePageLayoutView="100" workbookViewId="0">
      <selection pane="topLeft" activeCell="D19" activeCellId="0" sqref="D19"/>
    </sheetView>
  </sheetViews>
  <sheetFormatPr defaultColWidth="10.90234375" defaultRowHeight="14.5" zeroHeight="false" outlineLevelRow="0" outlineLevelCol="0"/>
  <cols>
    <col collapsed="false" customWidth="true" hidden="false" outlineLevel="0" max="1" min="1" style="0" width="91.99"/>
    <col collapsed="false" customWidth="true" hidden="false" outlineLevel="0" max="2" min="2" style="0" width="19.44"/>
    <col collapsed="false" customWidth="true" hidden="false" outlineLevel="0" max="3" min="3" style="0" width="20.44"/>
    <col collapsed="false" customWidth="true" hidden="false" outlineLevel="0" max="4" min="4" style="0" width="17.81"/>
    <col collapsed="false" customWidth="true" hidden="false" outlineLevel="0" max="5" min="5" style="0" width="17.26"/>
    <col collapsed="false" customWidth="true" hidden="false" outlineLevel="0" max="6" min="6" style="0" width="17.44"/>
  </cols>
  <sheetData>
    <row r="4" customFormat="false" ht="14.5" hidden="false" customHeight="false" outlineLevel="0" collapsed="false">
      <c r="A4" s="359" t="s">
        <v>1368</v>
      </c>
      <c r="D4" s="217" t="s">
        <v>199</v>
      </c>
      <c r="E4" s="203"/>
    </row>
    <row r="5" customFormat="false" ht="14.5" hidden="false" customHeight="false" outlineLevel="0" collapsed="false">
      <c r="A5" s="360" t="s">
        <v>1369</v>
      </c>
      <c r="D5" s="217" t="s">
        <v>101</v>
      </c>
      <c r="E5" s="207"/>
    </row>
    <row r="6" customFormat="false" ht="14.5" hidden="false" customHeight="false" outlineLevel="0" collapsed="false">
      <c r="A6" s="812" t="s">
        <v>1370</v>
      </c>
      <c r="B6" s="812"/>
      <c r="C6" s="812"/>
      <c r="D6" s="812"/>
      <c r="E6" s="812"/>
      <c r="F6" s="812"/>
      <c r="G6" s="1173"/>
      <c r="H6" s="1173"/>
      <c r="I6" s="1173"/>
    </row>
    <row r="7" customFormat="false" ht="27" hidden="false" customHeight="true" outlineLevel="0" collapsed="false">
      <c r="A7" s="1174" t="s">
        <v>1371</v>
      </c>
      <c r="B7" s="1174"/>
      <c r="C7" s="1174"/>
      <c r="D7" s="1174"/>
      <c r="E7" s="1174"/>
      <c r="F7" s="1174"/>
      <c r="G7" s="1175"/>
      <c r="H7" s="1175"/>
      <c r="I7" s="1175"/>
    </row>
    <row r="8" customFormat="false" ht="33.75" hidden="false" customHeight="true" outlineLevel="0" collapsed="false">
      <c r="A8" s="1176" t="s">
        <v>1372</v>
      </c>
      <c r="B8" s="1177" t="s">
        <v>1373</v>
      </c>
      <c r="C8" s="1177" t="s">
        <v>830</v>
      </c>
      <c r="D8" s="1177" t="s">
        <v>1374</v>
      </c>
      <c r="E8" s="1177" t="s">
        <v>1375</v>
      </c>
      <c r="F8" s="1178" t="s">
        <v>1376</v>
      </c>
      <c r="H8" s="1179"/>
    </row>
    <row r="9" customFormat="false" ht="20.15" hidden="false" customHeight="true" outlineLevel="0" collapsed="false">
      <c r="A9" s="1176"/>
      <c r="B9" s="1177"/>
      <c r="C9" s="1177"/>
      <c r="D9" s="1177"/>
      <c r="E9" s="1177"/>
      <c r="F9" s="1178"/>
    </row>
    <row r="10" customFormat="false" ht="18" hidden="false" customHeight="true" outlineLevel="0" collapsed="false">
      <c r="A10" s="870" t="s">
        <v>1377</v>
      </c>
      <c r="B10" s="1180" t="n">
        <f aca="false">B11</f>
        <v>0</v>
      </c>
      <c r="C10" s="1180" t="n">
        <f aca="false">C11</f>
        <v>0</v>
      </c>
      <c r="D10" s="1180" t="n">
        <f aca="false">D11</f>
        <v>0</v>
      </c>
      <c r="E10" s="1180" t="n">
        <f aca="false">E11</f>
        <v>0</v>
      </c>
      <c r="F10" s="1181" t="n">
        <f aca="false">F11</f>
        <v>0</v>
      </c>
    </row>
    <row r="11" customFormat="false" ht="18" hidden="false" customHeight="true" outlineLevel="0" collapsed="false">
      <c r="A11" s="855" t="s">
        <v>1378</v>
      </c>
      <c r="B11" s="1182" t="n">
        <v>0</v>
      </c>
      <c r="C11" s="1182" t="n">
        <v>0</v>
      </c>
      <c r="D11" s="1182" t="n">
        <v>0</v>
      </c>
      <c r="E11" s="1182" t="n">
        <v>0</v>
      </c>
      <c r="F11" s="1182" t="n">
        <v>0</v>
      </c>
    </row>
    <row r="12" customFormat="false" ht="18" hidden="false" customHeight="true" outlineLevel="0" collapsed="false">
      <c r="A12" s="860" t="s">
        <v>1379</v>
      </c>
      <c r="B12" s="1183"/>
      <c r="C12" s="1183"/>
      <c r="D12" s="1183"/>
      <c r="E12" s="1183"/>
      <c r="F12" s="1184"/>
    </row>
    <row r="13" customFormat="false" ht="18" hidden="false" customHeight="true" outlineLevel="0" collapsed="false">
      <c r="A13" s="860" t="s">
        <v>1380</v>
      </c>
      <c r="B13" s="1183"/>
      <c r="C13" s="1183"/>
      <c r="D13" s="1183"/>
      <c r="E13" s="1183"/>
      <c r="F13" s="1184"/>
    </row>
    <row r="14" customFormat="false" ht="18" hidden="false" customHeight="true" outlineLevel="0" collapsed="false">
      <c r="A14" s="860" t="s">
        <v>1381</v>
      </c>
      <c r="B14" s="1183"/>
      <c r="C14" s="1183"/>
      <c r="D14" s="1183"/>
      <c r="E14" s="1183"/>
      <c r="F14" s="1184"/>
    </row>
    <row r="15" customFormat="false" ht="18" hidden="false" customHeight="true" outlineLevel="0" collapsed="false">
      <c r="A15" s="1185" t="s">
        <v>1382</v>
      </c>
      <c r="B15" s="1186"/>
      <c r="C15" s="1186"/>
      <c r="D15" s="1186"/>
      <c r="E15" s="1186"/>
      <c r="F15" s="1187"/>
    </row>
    <row r="16" customFormat="false" ht="18" hidden="false" customHeight="true" outlineLevel="0" collapsed="false">
      <c r="A16" s="1188" t="s">
        <v>1383</v>
      </c>
      <c r="B16" s="1189"/>
      <c r="C16" s="1189"/>
      <c r="D16" s="1189"/>
      <c r="E16" s="1189"/>
      <c r="F16" s="1190"/>
    </row>
    <row r="17" customFormat="false" ht="18" hidden="false" customHeight="true" outlineLevel="0" collapsed="false">
      <c r="A17" s="870" t="s">
        <v>1384</v>
      </c>
      <c r="B17" s="1191"/>
      <c r="C17" s="1191"/>
      <c r="D17" s="1191"/>
      <c r="E17" s="1191"/>
      <c r="F17" s="1192"/>
    </row>
    <row r="18" customFormat="false" ht="18" hidden="false" customHeight="true" outlineLevel="0" collapsed="false">
      <c r="A18" s="855" t="s">
        <v>1385</v>
      </c>
      <c r="B18" s="1193" t="n">
        <v>0</v>
      </c>
      <c r="C18" s="1193" t="n">
        <v>0</v>
      </c>
      <c r="D18" s="1193" t="n">
        <v>0</v>
      </c>
      <c r="E18" s="1193" t="n">
        <v>0</v>
      </c>
      <c r="F18" s="1194" t="n">
        <v>0</v>
      </c>
    </row>
    <row r="19" customFormat="false" ht="18" hidden="false" customHeight="true" outlineLevel="0" collapsed="false">
      <c r="A19" s="860" t="s">
        <v>1386</v>
      </c>
      <c r="B19" s="1183" t="n">
        <v>0</v>
      </c>
      <c r="C19" s="1183" t="n">
        <v>0</v>
      </c>
      <c r="D19" s="1183" t="n">
        <v>0</v>
      </c>
      <c r="E19" s="1183" t="n">
        <v>0</v>
      </c>
      <c r="F19" s="1184" t="n">
        <v>0</v>
      </c>
    </row>
    <row r="20" customFormat="false" ht="18" hidden="false" customHeight="true" outlineLevel="0" collapsed="false">
      <c r="A20" s="860" t="s">
        <v>1387</v>
      </c>
      <c r="B20" s="1183"/>
      <c r="C20" s="1183"/>
      <c r="D20" s="1183"/>
      <c r="E20" s="1183"/>
      <c r="F20" s="1184"/>
    </row>
    <row r="21" customFormat="false" ht="18" hidden="false" customHeight="true" outlineLevel="0" collapsed="false">
      <c r="A21" s="860" t="s">
        <v>1388</v>
      </c>
      <c r="B21" s="1183" t="n">
        <v>0</v>
      </c>
      <c r="C21" s="1183" t="n">
        <v>0</v>
      </c>
      <c r="D21" s="1183" t="n">
        <v>0</v>
      </c>
      <c r="E21" s="1183" t="n">
        <v>0</v>
      </c>
      <c r="F21" s="1184" t="n">
        <v>0</v>
      </c>
    </row>
    <row r="22" customFormat="false" ht="18" hidden="false" customHeight="true" outlineLevel="0" collapsed="false">
      <c r="A22" s="865" t="s">
        <v>1389</v>
      </c>
      <c r="B22" s="1195" t="n">
        <v>0</v>
      </c>
      <c r="C22" s="1195" t="n">
        <v>0</v>
      </c>
      <c r="D22" s="1195" t="n">
        <v>0</v>
      </c>
      <c r="E22" s="1195" t="n">
        <v>0</v>
      </c>
      <c r="F22" s="1196" t="n">
        <v>0</v>
      </c>
    </row>
    <row r="23" customFormat="false" ht="18" hidden="false" customHeight="true" outlineLevel="0" collapsed="false">
      <c r="A23" s="870" t="s">
        <v>1390</v>
      </c>
      <c r="B23" s="1197"/>
      <c r="C23" s="1197"/>
      <c r="D23" s="1197"/>
      <c r="E23" s="1197"/>
      <c r="F23" s="1198"/>
    </row>
    <row r="24" customFormat="false" ht="18" hidden="false" customHeight="true" outlineLevel="0" collapsed="false">
      <c r="A24" s="855" t="s">
        <v>1391</v>
      </c>
      <c r="B24" s="1193"/>
      <c r="C24" s="1193"/>
      <c r="D24" s="1193"/>
      <c r="E24" s="1193"/>
      <c r="F24" s="1194"/>
    </row>
    <row r="25" customFormat="false" ht="18" hidden="false" customHeight="true" outlineLevel="0" collapsed="false">
      <c r="A25" s="865" t="s">
        <v>1392</v>
      </c>
      <c r="B25" s="1195"/>
      <c r="C25" s="1195"/>
      <c r="D25" s="1195"/>
      <c r="E25" s="1195"/>
      <c r="F25" s="1196"/>
    </row>
    <row r="26" customFormat="false" ht="18" hidden="false" customHeight="true" outlineLevel="0" collapsed="false">
      <c r="A26" s="870" t="s">
        <v>1393</v>
      </c>
      <c r="B26" s="1191"/>
      <c r="C26" s="1191"/>
      <c r="D26" s="1191"/>
      <c r="E26" s="1191"/>
      <c r="F26" s="1192"/>
    </row>
    <row r="27" customFormat="false" ht="18" hidden="false" customHeight="true" outlineLevel="0" collapsed="false">
      <c r="A27" s="855" t="s">
        <v>1394</v>
      </c>
      <c r="B27" s="1193" t="n">
        <v>0</v>
      </c>
      <c r="C27" s="1193" t="n">
        <v>0</v>
      </c>
      <c r="D27" s="1193" t="n">
        <v>0</v>
      </c>
      <c r="E27" s="1193" t="n">
        <v>0</v>
      </c>
      <c r="F27" s="1194" t="n">
        <v>0</v>
      </c>
    </row>
    <row r="28" customFormat="false" ht="18" hidden="false" customHeight="true" outlineLevel="0" collapsed="false">
      <c r="A28" s="860" t="s">
        <v>1395</v>
      </c>
      <c r="B28" s="1183" t="n">
        <v>0</v>
      </c>
      <c r="C28" s="1183" t="n">
        <v>0</v>
      </c>
      <c r="D28" s="1183"/>
      <c r="E28" s="1183"/>
      <c r="F28" s="1184"/>
    </row>
    <row r="29" customFormat="false" ht="18" hidden="false" customHeight="true" outlineLevel="0" collapsed="false">
      <c r="A29" s="860" t="s">
        <v>1396</v>
      </c>
      <c r="B29" s="1183" t="n">
        <v>0</v>
      </c>
      <c r="C29" s="1183" t="n">
        <v>0</v>
      </c>
      <c r="D29" s="1183" t="n">
        <v>0</v>
      </c>
      <c r="E29" s="1183" t="n">
        <v>0</v>
      </c>
      <c r="F29" s="1184" t="n">
        <v>0</v>
      </c>
    </row>
    <row r="30" customFormat="false" ht="18" hidden="false" customHeight="true" outlineLevel="0" collapsed="false">
      <c r="A30" s="860" t="s">
        <v>1397</v>
      </c>
      <c r="B30" s="1183" t="n">
        <f aca="false">B29*0.194</f>
        <v>0</v>
      </c>
      <c r="C30" s="1183" t="n">
        <f aca="false">C29*0.194</f>
        <v>0</v>
      </c>
      <c r="D30" s="1183" t="n">
        <f aca="false">D29*0.194</f>
        <v>0</v>
      </c>
      <c r="E30" s="1183" t="n">
        <f aca="false">E29*0.194</f>
        <v>0</v>
      </c>
      <c r="F30" s="1183" t="n">
        <v>0</v>
      </c>
    </row>
    <row r="31" customFormat="false" ht="18" hidden="false" customHeight="true" outlineLevel="0" collapsed="false">
      <c r="A31" s="1199" t="s">
        <v>1398</v>
      </c>
      <c r="B31" s="1200" t="n">
        <v>0</v>
      </c>
      <c r="C31" s="1200" t="n">
        <v>0</v>
      </c>
      <c r="D31" s="1200" t="n">
        <v>0</v>
      </c>
      <c r="E31" s="1200"/>
      <c r="F31" s="1201"/>
    </row>
    <row r="32" customFormat="false" ht="10.5" hidden="false" customHeight="true" outlineLevel="0" collapsed="false">
      <c r="A32" s="1202"/>
      <c r="B32" s="1202"/>
      <c r="C32" s="1202"/>
      <c r="D32" s="1202"/>
      <c r="E32" s="1202"/>
      <c r="F32" s="1202"/>
    </row>
    <row r="33" customFormat="false" ht="14.5" hidden="false" customHeight="true" outlineLevel="0" collapsed="false">
      <c r="A33" s="1203" t="s">
        <v>1399</v>
      </c>
      <c r="B33" s="1204" t="s">
        <v>1400</v>
      </c>
      <c r="C33" s="1204"/>
      <c r="D33" s="1204"/>
      <c r="E33" s="1204"/>
      <c r="F33" s="1204"/>
    </row>
    <row r="34" customFormat="false" ht="17.25" hidden="false" customHeight="true" outlineLevel="0" collapsed="false">
      <c r="A34" s="611" t="s">
        <v>1401</v>
      </c>
      <c r="B34" s="1205" t="s">
        <v>1402</v>
      </c>
      <c r="C34" s="1205"/>
      <c r="D34" s="1205"/>
      <c r="E34" s="1205"/>
      <c r="F34" s="1205"/>
    </row>
    <row r="35" customFormat="false" ht="16.5" hidden="false" customHeight="true" outlineLevel="0" collapsed="false">
      <c r="A35" s="611" t="s">
        <v>1403</v>
      </c>
      <c r="B35" s="1205" t="s">
        <v>1404</v>
      </c>
      <c r="C35" s="1205"/>
      <c r="D35" s="1205"/>
      <c r="E35" s="1205"/>
      <c r="F35" s="1205"/>
    </row>
    <row r="36" customFormat="false" ht="14.5" hidden="false" customHeight="true" outlineLevel="0" collapsed="false">
      <c r="A36" s="611" t="s">
        <v>1405</v>
      </c>
      <c r="B36" s="1205" t="s">
        <v>1406</v>
      </c>
      <c r="C36" s="1205"/>
      <c r="D36" s="1205"/>
      <c r="E36" s="1205"/>
      <c r="F36" s="1205"/>
    </row>
    <row r="37" customFormat="false" ht="15" hidden="false" customHeight="false" outlineLevel="0" collapsed="false">
      <c r="A37" s="1117" t="s">
        <v>1407</v>
      </c>
      <c r="B37" s="1206"/>
      <c r="C37" s="1206"/>
      <c r="D37" s="1206"/>
      <c r="E37" s="1206"/>
      <c r="F37" s="1206"/>
    </row>
    <row r="38" customFormat="false" ht="14.5" hidden="false" customHeight="false" outlineLevel="0" collapsed="false">
      <c r="A38" s="1144"/>
    </row>
    <row r="40" customFormat="false" ht="14.5" hidden="false" customHeight="false" outlineLevel="0" collapsed="false">
      <c r="A40" s="1141"/>
    </row>
  </sheetData>
  <mergeCells count="14">
    <mergeCell ref="A6:F6"/>
    <mergeCell ref="A7:F7"/>
    <mergeCell ref="A8:A9"/>
    <mergeCell ref="B8:B9"/>
    <mergeCell ref="C8:C9"/>
    <mergeCell ref="D8:D9"/>
    <mergeCell ref="E8:E9"/>
    <mergeCell ref="F8:F9"/>
    <mergeCell ref="A32:F32"/>
    <mergeCell ref="B33:F33"/>
    <mergeCell ref="B34:F34"/>
    <mergeCell ref="B35:F35"/>
    <mergeCell ref="B36:F36"/>
    <mergeCell ref="B37:F37"/>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6"/>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M4" activeCellId="0" sqref="M4:M5"/>
    </sheetView>
  </sheetViews>
  <sheetFormatPr defaultColWidth="10.8125" defaultRowHeight="12" zeroHeight="false" outlineLevelRow="0" outlineLevelCol="0"/>
  <cols>
    <col collapsed="false" customWidth="true" hidden="false" outlineLevel="0" max="1" min="1" style="209" width="24.99"/>
    <col collapsed="false" customWidth="false" hidden="false" outlineLevel="0" max="257" min="2" style="209" width="10.81"/>
  </cols>
  <sheetData>
    <row r="1" customFormat="false" ht="12" hidden="false" customHeight="false" outlineLevel="0" collapsed="false">
      <c r="A1" s="558"/>
    </row>
    <row r="2" customFormat="false" ht="12" hidden="false" customHeight="false" outlineLevel="0" collapsed="false">
      <c r="A2" s="1145"/>
    </row>
    <row r="3" customFormat="false" ht="12" hidden="false" customHeight="false" outlineLevel="0" collapsed="false">
      <c r="A3" s="540"/>
      <c r="D3" s="540"/>
    </row>
    <row r="4" customFormat="false" ht="14.5" hidden="false" customHeight="false" outlineLevel="0" collapsed="false">
      <c r="A4" s="359" t="s">
        <v>785</v>
      </c>
      <c r="B4" s="0"/>
      <c r="C4" s="0"/>
      <c r="K4" s="217" t="s">
        <v>199</v>
      </c>
      <c r="L4" s="425"/>
      <c r="M4" s="203"/>
    </row>
    <row r="5" customFormat="false" ht="14.5" hidden="false" customHeight="false" outlineLevel="0" collapsed="false">
      <c r="A5" s="360" t="s">
        <v>620</v>
      </c>
      <c r="B5" s="0"/>
      <c r="C5" s="0"/>
      <c r="K5" s="217" t="s">
        <v>101</v>
      </c>
      <c r="L5" s="425"/>
      <c r="M5" s="207"/>
    </row>
    <row r="6" customFormat="false" ht="14" hidden="false" customHeight="false" outlineLevel="0" collapsed="false">
      <c r="A6" s="812" t="s">
        <v>1408</v>
      </c>
      <c r="B6" s="812"/>
      <c r="C6" s="812"/>
      <c r="D6" s="812"/>
      <c r="E6" s="812"/>
      <c r="F6" s="812"/>
      <c r="G6" s="812"/>
      <c r="H6" s="812"/>
      <c r="I6" s="812"/>
      <c r="J6" s="812"/>
      <c r="K6" s="812"/>
      <c r="L6" s="812"/>
      <c r="M6" s="812"/>
      <c r="N6" s="812"/>
    </row>
    <row r="7" customFormat="false" ht="15" hidden="false" customHeight="true" outlineLevel="0" collapsed="false">
      <c r="A7" s="542" t="s">
        <v>188</v>
      </c>
      <c r="B7" s="542"/>
      <c r="C7" s="542"/>
      <c r="D7" s="542"/>
      <c r="E7" s="542"/>
      <c r="F7" s="542"/>
      <c r="G7" s="542"/>
      <c r="H7" s="542"/>
      <c r="I7" s="542"/>
      <c r="J7" s="542"/>
      <c r="K7" s="542"/>
      <c r="L7" s="542"/>
      <c r="M7" s="542"/>
      <c r="N7" s="542"/>
    </row>
    <row r="8" customFormat="false" ht="12.5" hidden="false" customHeight="false" outlineLevel="0" collapsed="false">
      <c r="A8" s="540"/>
    </row>
    <row r="9" customFormat="false" ht="24" hidden="false" customHeight="true" outlineLevel="0" collapsed="false">
      <c r="A9" s="1207" t="s">
        <v>1409</v>
      </c>
      <c r="B9" s="1207" t="s">
        <v>1410</v>
      </c>
      <c r="C9" s="1208" t="s">
        <v>1411</v>
      </c>
      <c r="D9" s="1208"/>
      <c r="E9" s="1208" t="s">
        <v>1412</v>
      </c>
      <c r="F9" s="1208"/>
      <c r="G9" s="1208" t="s">
        <v>1413</v>
      </c>
      <c r="H9" s="1208"/>
      <c r="I9" s="1208" t="s">
        <v>1414</v>
      </c>
      <c r="J9" s="1208"/>
      <c r="K9" s="1208" t="s">
        <v>1415</v>
      </c>
      <c r="L9" s="1208"/>
      <c r="M9" s="1209" t="s">
        <v>1416</v>
      </c>
      <c r="N9" s="1209"/>
    </row>
    <row r="10" customFormat="false" ht="15" hidden="false" customHeight="true" outlineLevel="0" collapsed="false">
      <c r="A10" s="1207"/>
      <c r="B10" s="1207"/>
      <c r="C10" s="1208"/>
      <c r="D10" s="1208"/>
      <c r="E10" s="1208"/>
      <c r="F10" s="1208"/>
      <c r="G10" s="1208"/>
      <c r="H10" s="1208"/>
      <c r="I10" s="1208"/>
      <c r="J10" s="1208"/>
      <c r="K10" s="1208"/>
      <c r="L10" s="1208"/>
      <c r="M10" s="1209"/>
      <c r="N10" s="1209"/>
    </row>
    <row r="11" customFormat="false" ht="15.75" hidden="false" customHeight="true" outlineLevel="0" collapsed="false">
      <c r="A11" s="1207"/>
      <c r="B11" s="1207"/>
      <c r="C11" s="1210" t="s">
        <v>1417</v>
      </c>
      <c r="D11" s="1211" t="s">
        <v>1418</v>
      </c>
      <c r="E11" s="1210" t="s">
        <v>1417</v>
      </c>
      <c r="F11" s="1212" t="s">
        <v>1418</v>
      </c>
      <c r="G11" s="1210" t="s">
        <v>1417</v>
      </c>
      <c r="H11" s="1212" t="s">
        <v>1418</v>
      </c>
      <c r="I11" s="1210" t="s">
        <v>1417</v>
      </c>
      <c r="J11" s="1212" t="s">
        <v>1418</v>
      </c>
      <c r="K11" s="1210" t="s">
        <v>1417</v>
      </c>
      <c r="L11" s="1212" t="s">
        <v>1418</v>
      </c>
      <c r="M11" s="1213" t="s">
        <v>1417</v>
      </c>
      <c r="N11" s="1212" t="s">
        <v>1418</v>
      </c>
    </row>
    <row r="12" customFormat="false" ht="20.15" hidden="false" customHeight="true" outlineLevel="0" collapsed="false">
      <c r="A12" s="393"/>
      <c r="B12" s="1214"/>
      <c r="C12" s="1215"/>
      <c r="D12" s="1216"/>
      <c r="E12" s="1215"/>
      <c r="F12" s="1217"/>
      <c r="G12" s="1215"/>
      <c r="H12" s="1217"/>
      <c r="I12" s="1215"/>
      <c r="J12" s="1217"/>
      <c r="K12" s="1215"/>
      <c r="L12" s="1217"/>
      <c r="M12" s="1218"/>
      <c r="N12" s="1217"/>
    </row>
    <row r="13" customFormat="false" ht="20.15" hidden="false" customHeight="true" outlineLevel="0" collapsed="false">
      <c r="A13" s="1219"/>
      <c r="B13" s="230"/>
      <c r="C13" s="1220"/>
      <c r="D13" s="1221"/>
      <c r="E13" s="1220"/>
      <c r="F13" s="1222"/>
      <c r="G13" s="1220"/>
      <c r="H13" s="1222"/>
      <c r="I13" s="1220"/>
      <c r="J13" s="1222"/>
      <c r="K13" s="1220"/>
      <c r="L13" s="1222"/>
      <c r="M13" s="1223"/>
      <c r="N13" s="1222"/>
    </row>
    <row r="14" customFormat="false" ht="20.15" hidden="false" customHeight="true" outlineLevel="0" collapsed="false">
      <c r="A14" s="1219"/>
      <c r="B14" s="230"/>
      <c r="C14" s="1220"/>
      <c r="D14" s="1221"/>
      <c r="E14" s="1220"/>
      <c r="F14" s="1222"/>
      <c r="G14" s="1220"/>
      <c r="H14" s="1222"/>
      <c r="I14" s="1220"/>
      <c r="J14" s="1222"/>
      <c r="K14" s="1220"/>
      <c r="L14" s="1222"/>
      <c r="M14" s="1223"/>
      <c r="N14" s="1222"/>
    </row>
    <row r="15" customFormat="false" ht="20.15" hidden="false" customHeight="true" outlineLevel="0" collapsed="false">
      <c r="A15" s="1219"/>
      <c r="B15" s="230"/>
      <c r="C15" s="1220"/>
      <c r="D15" s="1221"/>
      <c r="E15" s="1220"/>
      <c r="F15" s="1222"/>
      <c r="G15" s="1220"/>
      <c r="H15" s="1222"/>
      <c r="I15" s="1220"/>
      <c r="J15" s="1222"/>
      <c r="K15" s="1220"/>
      <c r="L15" s="1222"/>
      <c r="M15" s="1223"/>
      <c r="N15" s="1222"/>
    </row>
    <row r="16" customFormat="false" ht="20.15" hidden="false" customHeight="true" outlineLevel="0" collapsed="false">
      <c r="A16" s="1219"/>
      <c r="B16" s="230"/>
      <c r="C16" s="1220"/>
      <c r="D16" s="1221"/>
      <c r="E16" s="1220"/>
      <c r="F16" s="1222"/>
      <c r="G16" s="1220"/>
      <c r="H16" s="1222"/>
      <c r="I16" s="1220"/>
      <c r="J16" s="1222"/>
      <c r="K16" s="1220"/>
      <c r="L16" s="1222"/>
      <c r="M16" s="1223"/>
      <c r="N16" s="1222"/>
    </row>
    <row r="17" customFormat="false" ht="20.15" hidden="false" customHeight="true" outlineLevel="0" collapsed="false">
      <c r="A17" s="1219"/>
      <c r="B17" s="230"/>
      <c r="C17" s="1220"/>
      <c r="D17" s="1221"/>
      <c r="E17" s="1220"/>
      <c r="F17" s="1222"/>
      <c r="G17" s="1220"/>
      <c r="H17" s="1222"/>
      <c r="I17" s="1220"/>
      <c r="J17" s="1222"/>
      <c r="K17" s="1220"/>
      <c r="L17" s="1222"/>
      <c r="M17" s="1223"/>
      <c r="N17" s="1222"/>
    </row>
    <row r="18" customFormat="false" ht="20.15" hidden="false" customHeight="true" outlineLevel="0" collapsed="false">
      <c r="A18" s="1219"/>
      <c r="B18" s="230"/>
      <c r="C18" s="1220"/>
      <c r="D18" s="1221"/>
      <c r="E18" s="1220"/>
      <c r="F18" s="1222"/>
      <c r="G18" s="1220"/>
      <c r="H18" s="1222"/>
      <c r="I18" s="1220"/>
      <c r="J18" s="1222"/>
      <c r="K18" s="1220"/>
      <c r="L18" s="1222"/>
      <c r="M18" s="1223"/>
      <c r="N18" s="1222"/>
    </row>
    <row r="19" customFormat="false" ht="20.15" hidden="false" customHeight="true" outlineLevel="0" collapsed="false">
      <c r="A19" s="1219"/>
      <c r="B19" s="230"/>
      <c r="C19" s="1220"/>
      <c r="D19" s="1221"/>
      <c r="E19" s="1220"/>
      <c r="F19" s="1222"/>
      <c r="G19" s="1220"/>
      <c r="H19" s="1222"/>
      <c r="I19" s="1220"/>
      <c r="J19" s="1222"/>
      <c r="K19" s="1220"/>
      <c r="L19" s="1222"/>
      <c r="M19" s="1223"/>
      <c r="N19" s="1222"/>
    </row>
    <row r="20" customFormat="false" ht="20.15" hidden="false" customHeight="true" outlineLevel="0" collapsed="false">
      <c r="A20" s="1224" t="s">
        <v>1419</v>
      </c>
      <c r="B20" s="1225"/>
      <c r="C20" s="1220"/>
      <c r="D20" s="1221"/>
      <c r="E20" s="1220"/>
      <c r="F20" s="1222"/>
      <c r="G20" s="1220"/>
      <c r="H20" s="1222"/>
      <c r="I20" s="1220"/>
      <c r="J20" s="1222"/>
      <c r="K20" s="1220"/>
      <c r="L20" s="1222"/>
      <c r="M20" s="1223"/>
      <c r="N20" s="1222"/>
    </row>
    <row r="21" customFormat="false" ht="20.15" hidden="false" customHeight="true" outlineLevel="0" collapsed="false">
      <c r="A21" s="1224"/>
      <c r="B21" s="1225"/>
      <c r="C21" s="1226"/>
      <c r="D21" s="1227"/>
      <c r="E21" s="1226"/>
      <c r="F21" s="1228"/>
      <c r="G21" s="1226"/>
      <c r="H21" s="1228"/>
      <c r="I21" s="1226"/>
      <c r="J21" s="1228"/>
      <c r="K21" s="1226"/>
      <c r="L21" s="1228"/>
      <c r="M21" s="1229"/>
      <c r="N21" s="1228"/>
    </row>
    <row r="22" customFormat="false" ht="20.15" hidden="false" customHeight="true" outlineLevel="0" collapsed="false">
      <c r="A22" s="1230" t="s">
        <v>915</v>
      </c>
      <c r="B22" s="1231"/>
      <c r="C22" s="1232"/>
      <c r="D22" s="1233"/>
      <c r="E22" s="1232"/>
      <c r="F22" s="1234"/>
      <c r="G22" s="1232"/>
      <c r="H22" s="1234"/>
      <c r="I22" s="1232"/>
      <c r="J22" s="1234"/>
      <c r="K22" s="1232"/>
      <c r="L22" s="1234"/>
      <c r="M22" s="1235"/>
      <c r="N22" s="1234"/>
    </row>
    <row r="23" customFormat="false" ht="20.15" hidden="false" customHeight="true" outlineLevel="0" collapsed="false">
      <c r="A23" s="1230"/>
      <c r="B23" s="1231"/>
      <c r="C23" s="1236"/>
      <c r="D23" s="1237"/>
      <c r="E23" s="1236"/>
      <c r="F23" s="1238"/>
      <c r="G23" s="1236"/>
      <c r="H23" s="1238"/>
      <c r="I23" s="1236"/>
      <c r="J23" s="1238"/>
      <c r="K23" s="1236"/>
      <c r="L23" s="1238"/>
      <c r="M23" s="1239"/>
      <c r="N23" s="1238"/>
    </row>
    <row r="24" customFormat="false" ht="12" hidden="false" customHeight="false" outlineLevel="0" collapsed="false">
      <c r="A24" s="558"/>
    </row>
    <row r="25" customFormat="false" ht="12" hidden="false" customHeight="false" outlineLevel="0" collapsed="false">
      <c r="A25" s="558"/>
    </row>
    <row r="26" customFormat="false" ht="12" hidden="false" customHeight="false" outlineLevel="0" collapsed="false">
      <c r="A26" s="558"/>
    </row>
  </sheetData>
  <mergeCells count="14">
    <mergeCell ref="A6:N6"/>
    <mergeCell ref="A7:N7"/>
    <mergeCell ref="A9:A11"/>
    <mergeCell ref="B9:B11"/>
    <mergeCell ref="C9:D10"/>
    <mergeCell ref="E9:F10"/>
    <mergeCell ref="G9:H10"/>
    <mergeCell ref="I9:J10"/>
    <mergeCell ref="K9:L10"/>
    <mergeCell ref="M9:N10"/>
    <mergeCell ref="A20:A21"/>
    <mergeCell ref="B20:B21"/>
    <mergeCell ref="A22:A23"/>
    <mergeCell ref="B22:B23"/>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H4" activeCellId="0" sqref="H4:H5"/>
    </sheetView>
  </sheetViews>
  <sheetFormatPr defaultColWidth="10.8125" defaultRowHeight="12" zeroHeight="false" outlineLevelRow="0" outlineLevelCol="0"/>
  <cols>
    <col collapsed="false" customWidth="true" hidden="false" outlineLevel="0" max="1" min="1" style="209" width="44.44"/>
    <col collapsed="false" customWidth="false" hidden="false" outlineLevel="0" max="257" min="2" style="209" width="10.81"/>
  </cols>
  <sheetData>
    <row r="1" customFormat="false" ht="12" hidden="false" customHeight="false" outlineLevel="0" collapsed="false">
      <c r="A1" s="558"/>
    </row>
    <row r="2" customFormat="false" ht="12" hidden="false" customHeight="false" outlineLevel="0" collapsed="false">
      <c r="A2" s="558"/>
    </row>
    <row r="3" customFormat="false" ht="12" hidden="false" customHeight="false" outlineLevel="0" collapsed="false">
      <c r="A3" s="540"/>
      <c r="C3" s="540"/>
    </row>
    <row r="4" customFormat="false" ht="14.5" hidden="false" customHeight="false" outlineLevel="0" collapsed="false">
      <c r="A4" s="359" t="s">
        <v>1024</v>
      </c>
      <c r="B4" s="0"/>
      <c r="C4" s="0"/>
      <c r="F4" s="217" t="s">
        <v>199</v>
      </c>
      <c r="G4" s="425"/>
      <c r="H4" s="203"/>
    </row>
    <row r="5" customFormat="false" ht="14.5" hidden="false" customHeight="false" outlineLevel="0" collapsed="false">
      <c r="A5" s="360" t="s">
        <v>620</v>
      </c>
      <c r="B5" s="0"/>
      <c r="C5" s="0"/>
      <c r="F5" s="217" t="s">
        <v>101</v>
      </c>
      <c r="G5" s="425"/>
      <c r="H5" s="207"/>
    </row>
    <row r="6" customFormat="false" ht="15" hidden="false" customHeight="true" outlineLevel="0" collapsed="false">
      <c r="A6" s="812" t="s">
        <v>1420</v>
      </c>
      <c r="B6" s="812"/>
      <c r="C6" s="812"/>
      <c r="D6" s="812"/>
      <c r="E6" s="812"/>
      <c r="F6" s="812"/>
      <c r="G6" s="812"/>
      <c r="H6" s="812"/>
      <c r="I6" s="812"/>
    </row>
    <row r="7" customFormat="false" ht="14" hidden="false" customHeight="false" outlineLevel="0" collapsed="false">
      <c r="A7" s="1240" t="s">
        <v>1421</v>
      </c>
      <c r="B7" s="1240"/>
      <c r="C7" s="1240"/>
      <c r="D7" s="1240"/>
      <c r="E7" s="1240"/>
      <c r="F7" s="1240"/>
      <c r="G7" s="1240"/>
      <c r="H7" s="1240"/>
      <c r="I7" s="1240"/>
    </row>
    <row r="8" customFormat="false" ht="12.5" hidden="false" customHeight="false" outlineLevel="0" collapsed="false">
      <c r="A8" s="540"/>
    </row>
    <row r="9" customFormat="false" ht="17.25" hidden="false" customHeight="true" outlineLevel="0" collapsed="false">
      <c r="A9" s="1207" t="s">
        <v>1422</v>
      </c>
      <c r="B9" s="1241" t="s">
        <v>1410</v>
      </c>
      <c r="C9" s="1208" t="s">
        <v>1423</v>
      </c>
      <c r="D9" s="1208"/>
      <c r="E9" s="1208"/>
      <c r="F9" s="1208"/>
      <c r="G9" s="1208"/>
      <c r="H9" s="1208"/>
      <c r="I9" s="1209"/>
    </row>
    <row r="10" customFormat="false" ht="26.25" hidden="false" customHeight="true" outlineLevel="0" collapsed="false">
      <c r="A10" s="1207"/>
      <c r="B10" s="1241"/>
      <c r="C10" s="1242" t="s">
        <v>1424</v>
      </c>
      <c r="D10" s="1242"/>
      <c r="E10" s="1243" t="s">
        <v>1425</v>
      </c>
      <c r="F10" s="1243"/>
      <c r="G10" s="1243"/>
      <c r="H10" s="1243"/>
      <c r="I10" s="1244" t="s">
        <v>1426</v>
      </c>
    </row>
    <row r="11" customFormat="false" ht="18.75" hidden="false" customHeight="true" outlineLevel="0" collapsed="false">
      <c r="A11" s="1207"/>
      <c r="B11" s="1241"/>
      <c r="C11" s="1242"/>
      <c r="D11" s="1242"/>
      <c r="E11" s="1245" t="s">
        <v>1427</v>
      </c>
      <c r="F11" s="1245"/>
      <c r="G11" s="1243" t="s">
        <v>1428</v>
      </c>
      <c r="H11" s="1243"/>
      <c r="I11" s="1246"/>
    </row>
    <row r="12" customFormat="false" ht="12.5" hidden="false" customHeight="false" outlineLevel="0" collapsed="false">
      <c r="A12" s="1207"/>
      <c r="B12" s="1241"/>
      <c r="C12" s="1247" t="s">
        <v>1417</v>
      </c>
      <c r="D12" s="1248" t="s">
        <v>1418</v>
      </c>
      <c r="E12" s="1248" t="s">
        <v>1417</v>
      </c>
      <c r="F12" s="1248" t="s">
        <v>1418</v>
      </c>
      <c r="G12" s="1248" t="s">
        <v>1417</v>
      </c>
      <c r="H12" s="1249" t="s">
        <v>1418</v>
      </c>
      <c r="I12" s="1250" t="s">
        <v>1429</v>
      </c>
    </row>
    <row r="13" customFormat="false" ht="20.15" hidden="false" customHeight="true" outlineLevel="0" collapsed="false">
      <c r="A13" s="373"/>
      <c r="B13" s="1251"/>
      <c r="C13" s="694"/>
      <c r="D13" s="822"/>
      <c r="E13" s="822"/>
      <c r="F13" s="822"/>
      <c r="G13" s="822"/>
      <c r="H13" s="913"/>
      <c r="I13" s="1252"/>
    </row>
    <row r="14" customFormat="false" ht="20.15" hidden="false" customHeight="true" outlineLevel="0" collapsed="false">
      <c r="A14" s="293"/>
      <c r="B14" s="1253"/>
      <c r="C14" s="697"/>
      <c r="D14" s="824"/>
      <c r="E14" s="824"/>
      <c r="F14" s="824"/>
      <c r="G14" s="824"/>
      <c r="H14" s="973"/>
      <c r="I14" s="231"/>
    </row>
    <row r="15" customFormat="false" ht="20.15" hidden="false" customHeight="true" outlineLevel="0" collapsed="false">
      <c r="A15" s="293"/>
      <c r="B15" s="1253"/>
      <c r="C15" s="697"/>
      <c r="D15" s="824"/>
      <c r="E15" s="824"/>
      <c r="F15" s="824"/>
      <c r="G15" s="824"/>
      <c r="H15" s="973"/>
      <c r="I15" s="231"/>
    </row>
    <row r="16" customFormat="false" ht="20.15" hidden="false" customHeight="true" outlineLevel="0" collapsed="false">
      <c r="A16" s="293"/>
      <c r="B16" s="1253"/>
      <c r="C16" s="697"/>
      <c r="D16" s="824"/>
      <c r="E16" s="824"/>
      <c r="F16" s="824"/>
      <c r="G16" s="824"/>
      <c r="H16" s="973"/>
      <c r="I16" s="231"/>
    </row>
    <row r="17" customFormat="false" ht="20.15" hidden="false" customHeight="true" outlineLevel="0" collapsed="false">
      <c r="A17" s="293"/>
      <c r="B17" s="1253"/>
      <c r="C17" s="697"/>
      <c r="D17" s="824"/>
      <c r="E17" s="824"/>
      <c r="F17" s="824"/>
      <c r="G17" s="824"/>
      <c r="H17" s="973"/>
      <c r="I17" s="231"/>
    </row>
    <row r="18" customFormat="false" ht="20.15" hidden="false" customHeight="true" outlineLevel="0" collapsed="false">
      <c r="A18" s="293"/>
      <c r="B18" s="1253"/>
      <c r="C18" s="697"/>
      <c r="D18" s="824"/>
      <c r="E18" s="824"/>
      <c r="F18" s="824"/>
      <c r="G18" s="824"/>
      <c r="H18" s="973"/>
      <c r="I18" s="231"/>
    </row>
    <row r="19" customFormat="false" ht="20.15" hidden="false" customHeight="true" outlineLevel="0" collapsed="false">
      <c r="A19" s="293"/>
      <c r="B19" s="1253"/>
      <c r="C19" s="697"/>
      <c r="D19" s="824"/>
      <c r="E19" s="824"/>
      <c r="F19" s="824"/>
      <c r="G19" s="824"/>
      <c r="H19" s="973"/>
      <c r="I19" s="231"/>
    </row>
    <row r="20" customFormat="false" ht="20.15" hidden="false" customHeight="true" outlineLevel="0" collapsed="false">
      <c r="A20" s="293"/>
      <c r="B20" s="1253"/>
      <c r="C20" s="697"/>
      <c r="D20" s="824"/>
      <c r="E20" s="824"/>
      <c r="F20" s="824"/>
      <c r="G20" s="824"/>
      <c r="H20" s="973"/>
      <c r="I20" s="231"/>
    </row>
    <row r="21" customFormat="false" ht="20.15" hidden="false" customHeight="true" outlineLevel="0" collapsed="false">
      <c r="A21" s="293"/>
      <c r="B21" s="1253"/>
      <c r="C21" s="697"/>
      <c r="D21" s="824"/>
      <c r="E21" s="824"/>
      <c r="F21" s="824"/>
      <c r="G21" s="824"/>
      <c r="H21" s="973"/>
      <c r="I21" s="231"/>
    </row>
    <row r="22" customFormat="false" ht="20.15" hidden="false" customHeight="true" outlineLevel="0" collapsed="false">
      <c r="A22" s="1254" t="s">
        <v>1430</v>
      </c>
      <c r="B22" s="1255"/>
      <c r="C22" s="697"/>
      <c r="D22" s="824"/>
      <c r="E22" s="824"/>
      <c r="F22" s="824"/>
      <c r="G22" s="824"/>
      <c r="H22" s="973"/>
      <c r="I22" s="231"/>
    </row>
    <row r="23" customFormat="false" ht="20.15" hidden="false" customHeight="true" outlineLevel="0" collapsed="false">
      <c r="A23" s="1254"/>
      <c r="B23" s="1255"/>
      <c r="C23" s="700"/>
      <c r="D23" s="974"/>
      <c r="E23" s="974"/>
      <c r="F23" s="974"/>
      <c r="G23" s="974"/>
      <c r="H23" s="975"/>
      <c r="I23" s="781"/>
    </row>
    <row r="24" customFormat="false" ht="20.15" hidden="false" customHeight="true" outlineLevel="0" collapsed="false">
      <c r="A24" s="1256" t="s">
        <v>915</v>
      </c>
      <c r="B24" s="1257"/>
      <c r="C24" s="1258"/>
      <c r="D24" s="1259"/>
      <c r="E24" s="1259"/>
      <c r="F24" s="1259"/>
      <c r="G24" s="1259"/>
      <c r="H24" s="1260"/>
      <c r="I24" s="1261"/>
    </row>
    <row r="25" customFormat="false" ht="20.15" hidden="false" customHeight="true" outlineLevel="0" collapsed="false">
      <c r="A25" s="1256"/>
      <c r="B25" s="1257"/>
      <c r="C25" s="1236"/>
      <c r="D25" s="1262"/>
      <c r="E25" s="1262"/>
      <c r="F25" s="1262"/>
      <c r="G25" s="1262"/>
      <c r="H25" s="1238"/>
      <c r="I25" s="1263"/>
    </row>
  </sheetData>
  <mergeCells count="13">
    <mergeCell ref="A6:I6"/>
    <mergeCell ref="A7:I7"/>
    <mergeCell ref="A9:A12"/>
    <mergeCell ref="B9:B12"/>
    <mergeCell ref="C9:H9"/>
    <mergeCell ref="C10:D11"/>
    <mergeCell ref="E10:H10"/>
    <mergeCell ref="E11:F11"/>
    <mergeCell ref="G11:H11"/>
    <mergeCell ref="A22:A23"/>
    <mergeCell ref="B22:B23"/>
    <mergeCell ref="A24:A25"/>
    <mergeCell ref="B24:B25"/>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6"/>
  <sheetViews>
    <sheetView showFormulas="false" showGridLines="true" showRowColHeaders="true" showZeros="true" rightToLeft="false" tabSelected="false" showOutlineSymbols="true" defaultGridColor="true" view="normal" topLeftCell="A55" colorId="64" zoomScale="100" zoomScaleNormal="100" zoomScalePageLayoutView="100" workbookViewId="0">
      <selection pane="topLeft" activeCell="D74" activeCellId="0" sqref="D74"/>
    </sheetView>
  </sheetViews>
  <sheetFormatPr defaultColWidth="10.90234375" defaultRowHeight="14.5" zeroHeight="false" outlineLevelRow="0" outlineLevelCol="0"/>
  <cols>
    <col collapsed="false" customWidth="true" hidden="false" outlineLevel="0" max="1" min="1" style="0" width="21.44"/>
    <col collapsed="false" customWidth="true" hidden="false" outlineLevel="0" max="2" min="2" style="0" width="52.44"/>
    <col collapsed="false" customWidth="true" hidden="false" outlineLevel="0" max="3" min="3" style="0" width="14.26"/>
    <col collapsed="false" customWidth="true" hidden="false" outlineLevel="0" max="4" min="4" style="0" width="13.81"/>
    <col collapsed="false" customWidth="true" hidden="false" outlineLevel="0" max="5" min="5" style="0" width="13.72"/>
    <col collapsed="false" customWidth="true" hidden="false" outlineLevel="0" max="7" min="7" style="0" width="12.72"/>
  </cols>
  <sheetData>
    <row r="1" customFormat="false" ht="25" hidden="false" customHeight="false" outlineLevel="0" collapsed="false">
      <c r="A1" s="1264" t="s">
        <v>95</v>
      </c>
      <c r="B1" s="1265" t="s">
        <v>1431</v>
      </c>
    </row>
    <row r="2" customFormat="false" ht="21" hidden="false" customHeight="true" outlineLevel="0" collapsed="false">
      <c r="A2" s="200" t="s">
        <v>51</v>
      </c>
      <c r="B2" s="264"/>
      <c r="C2" s="217" t="s">
        <v>199</v>
      </c>
      <c r="D2" s="425"/>
      <c r="E2" s="203"/>
    </row>
    <row r="3" customFormat="false" ht="14.5" hidden="false" customHeight="false" outlineLevel="0" collapsed="false">
      <c r="A3" s="204" t="s">
        <v>620</v>
      </c>
      <c r="B3" s="264"/>
      <c r="C3" s="217" t="s">
        <v>101</v>
      </c>
      <c r="D3" s="425"/>
      <c r="E3" s="207"/>
    </row>
    <row r="4" customFormat="false" ht="14.5" hidden="false" customHeight="false" outlineLevel="0" collapsed="false">
      <c r="A4" s="592" t="s">
        <v>1432</v>
      </c>
      <c r="B4" s="592"/>
      <c r="C4" s="592"/>
      <c r="D4" s="592"/>
      <c r="E4" s="592"/>
    </row>
    <row r="5" customFormat="false" ht="15" hidden="false" customHeight="false" outlineLevel="0" collapsed="false">
      <c r="A5" s="448" t="s">
        <v>1433</v>
      </c>
      <c r="B5" s="448"/>
      <c r="C5" s="448"/>
      <c r="D5" s="448"/>
      <c r="E5" s="448"/>
    </row>
    <row r="6" customFormat="false" ht="15" hidden="false" customHeight="true" outlineLevel="0" collapsed="false">
      <c r="A6" s="1266" t="s">
        <v>1434</v>
      </c>
      <c r="B6" s="1266"/>
      <c r="C6" s="1266" t="s">
        <v>763</v>
      </c>
      <c r="D6" s="1266" t="s">
        <v>1435</v>
      </c>
      <c r="E6" s="1266" t="s">
        <v>690</v>
      </c>
    </row>
    <row r="7" customFormat="false" ht="15" hidden="false" customHeight="true" outlineLevel="0" collapsed="false">
      <c r="A7" s="1266"/>
      <c r="B7" s="1266"/>
      <c r="C7" s="1266"/>
      <c r="D7" s="1266"/>
      <c r="E7" s="1266"/>
    </row>
    <row r="8" customFormat="false" ht="15" hidden="false" customHeight="true" outlineLevel="0" collapsed="false">
      <c r="A8" s="1267" t="s">
        <v>1436</v>
      </c>
      <c r="B8" s="1267"/>
      <c r="C8" s="1267"/>
      <c r="D8" s="1268"/>
      <c r="E8" s="1269"/>
    </row>
    <row r="9" customFormat="false" ht="15" hidden="false" customHeight="true" outlineLevel="0" collapsed="false">
      <c r="A9" s="1270" t="s">
        <v>1437</v>
      </c>
      <c r="B9" s="1270"/>
      <c r="C9" s="1271"/>
      <c r="D9" s="1271"/>
      <c r="E9" s="1271"/>
    </row>
    <row r="10" customFormat="false" ht="15" hidden="false" customHeight="true" outlineLevel="0" collapsed="false">
      <c r="A10" s="1272" t="s">
        <v>1438</v>
      </c>
      <c r="B10" s="1272"/>
      <c r="C10" s="1273" t="n">
        <v>0</v>
      </c>
      <c r="D10" s="1273" t="n">
        <v>0</v>
      </c>
      <c r="E10" s="1274" t="e">
        <f aca="false">(C10-D10)/D10</f>
        <v>#DIV/0!</v>
      </c>
    </row>
    <row r="11" customFormat="false" ht="15" hidden="false" customHeight="true" outlineLevel="0" collapsed="false">
      <c r="A11" s="1275" t="s">
        <v>1439</v>
      </c>
      <c r="B11" s="1275"/>
      <c r="C11" s="1273" t="n">
        <v>0</v>
      </c>
      <c r="D11" s="1273" t="n">
        <v>0</v>
      </c>
      <c r="E11" s="1274" t="e">
        <f aca="false">(C11-D11)/D11</f>
        <v>#DIV/0!</v>
      </c>
    </row>
    <row r="12" customFormat="false" ht="15" hidden="false" customHeight="true" outlineLevel="0" collapsed="false">
      <c r="A12" s="1275" t="s">
        <v>1440</v>
      </c>
      <c r="B12" s="1275"/>
      <c r="C12" s="1273" t="n">
        <v>0</v>
      </c>
      <c r="D12" s="1273" t="n">
        <v>0</v>
      </c>
      <c r="E12" s="1276" t="e">
        <f aca="false">(C12-D12)/D12</f>
        <v>#DIV/0!</v>
      </c>
    </row>
    <row r="13" customFormat="false" ht="15" hidden="false" customHeight="true" outlineLevel="0" collapsed="false">
      <c r="A13" s="1275" t="s">
        <v>1441</v>
      </c>
      <c r="B13" s="1275"/>
      <c r="C13" s="1273" t="n">
        <v>0</v>
      </c>
      <c r="D13" s="1273" t="n">
        <v>0</v>
      </c>
      <c r="E13" s="1276" t="e">
        <f aca="false">(C13-D13)/D13</f>
        <v>#DIV/0!</v>
      </c>
    </row>
    <row r="14" customFormat="false" ht="15" hidden="false" customHeight="true" outlineLevel="0" collapsed="false">
      <c r="A14" s="1275" t="s">
        <v>1442</v>
      </c>
      <c r="B14" s="1275"/>
      <c r="C14" s="1273" t="n">
        <v>0</v>
      </c>
      <c r="D14" s="1273" t="n">
        <v>0</v>
      </c>
      <c r="E14" s="1276" t="e">
        <f aca="false">(C14-D14)/D14</f>
        <v>#DIV/0!</v>
      </c>
    </row>
    <row r="15" customFormat="false" ht="15" hidden="false" customHeight="true" outlineLevel="0" collapsed="false">
      <c r="A15" s="1275" t="s">
        <v>1443</v>
      </c>
      <c r="B15" s="1275"/>
      <c r="C15" s="1273" t="n">
        <v>0</v>
      </c>
      <c r="D15" s="1273" t="n">
        <v>0</v>
      </c>
      <c r="E15" s="1276" t="e">
        <f aca="false">(C15-D15)/D15</f>
        <v>#DIV/0!</v>
      </c>
    </row>
    <row r="16" customFormat="false" ht="15" hidden="false" customHeight="true" outlineLevel="0" collapsed="false">
      <c r="A16" s="1275" t="s">
        <v>1444</v>
      </c>
      <c r="B16" s="1275"/>
      <c r="C16" s="1273" t="n">
        <v>0</v>
      </c>
      <c r="D16" s="1273" t="n">
        <v>0</v>
      </c>
      <c r="E16" s="1276" t="e">
        <f aca="false">(C16-D16)/D16</f>
        <v>#DIV/0!</v>
      </c>
    </row>
    <row r="17" customFormat="false" ht="15" hidden="false" customHeight="true" outlineLevel="0" collapsed="false">
      <c r="A17" s="1275" t="s">
        <v>1445</v>
      </c>
      <c r="B17" s="1275"/>
      <c r="C17" s="1273" t="n">
        <f aca="false">'Compte de Résultat'!E47</f>
        <v>0</v>
      </c>
      <c r="D17" s="1273" t="n">
        <f aca="false">'Compte de Résultat'!F47</f>
        <v>0</v>
      </c>
      <c r="E17" s="1276"/>
    </row>
    <row r="18" customFormat="false" ht="15" hidden="false" customHeight="true" outlineLevel="0" collapsed="false">
      <c r="A18" s="1277" t="s">
        <v>1446</v>
      </c>
      <c r="B18" s="1277"/>
      <c r="C18" s="1273" t="n">
        <v>0</v>
      </c>
      <c r="D18" s="1273" t="n">
        <v>0</v>
      </c>
      <c r="E18" s="1276" t="e">
        <f aca="false">(C18-D18)/D18</f>
        <v>#DIV/0!</v>
      </c>
    </row>
    <row r="19" customFormat="false" ht="15" hidden="false" customHeight="true" outlineLevel="0" collapsed="false">
      <c r="A19" s="1270" t="s">
        <v>1447</v>
      </c>
      <c r="B19" s="1270"/>
      <c r="C19" s="1278"/>
      <c r="D19" s="1278"/>
      <c r="E19" s="1279"/>
    </row>
    <row r="20" customFormat="false" ht="15" hidden="false" customHeight="true" outlineLevel="0" collapsed="false">
      <c r="A20" s="1280" t="s">
        <v>1448</v>
      </c>
      <c r="B20" s="1280"/>
      <c r="C20" s="1273" t="n">
        <f aca="false">C13</f>
        <v>0</v>
      </c>
      <c r="D20" s="1273" t="n">
        <f aca="false">D13</f>
        <v>0</v>
      </c>
      <c r="E20" s="1279"/>
    </row>
    <row r="21" customFormat="false" ht="15" hidden="false" customHeight="true" outlineLevel="0" collapsed="false">
      <c r="A21" s="1275" t="s">
        <v>1449</v>
      </c>
      <c r="B21" s="1275"/>
      <c r="C21" s="1273" t="n">
        <v>0</v>
      </c>
      <c r="D21" s="1273" t="n">
        <v>0</v>
      </c>
      <c r="E21" s="1279"/>
    </row>
    <row r="22" customFormat="false" ht="15" hidden="false" customHeight="true" outlineLevel="0" collapsed="false">
      <c r="A22" s="1281" t="s">
        <v>1450</v>
      </c>
      <c r="B22" s="1281"/>
      <c r="C22" s="1273" t="n">
        <v>0</v>
      </c>
      <c r="D22" s="1273" t="n">
        <v>0</v>
      </c>
      <c r="E22" s="1279"/>
    </row>
    <row r="23" customFormat="false" ht="19.5" hidden="false" customHeight="true" outlineLevel="0" collapsed="false">
      <c r="A23" s="1282" t="s">
        <v>1451</v>
      </c>
      <c r="B23" s="1282"/>
      <c r="C23" s="1283" t="n">
        <f aca="false">C20+C21-C22</f>
        <v>0</v>
      </c>
      <c r="D23" s="1283" t="n">
        <f aca="false">D20+D21-D22</f>
        <v>0</v>
      </c>
      <c r="E23" s="1284" t="s">
        <v>215</v>
      </c>
    </row>
    <row r="24" customFormat="false" ht="15" hidden="false" customHeight="true" outlineLevel="0" collapsed="false">
      <c r="A24" s="1275" t="s">
        <v>1452</v>
      </c>
      <c r="B24" s="1275"/>
      <c r="C24" s="1273" t="n">
        <v>0</v>
      </c>
      <c r="D24" s="1273" t="n">
        <v>0</v>
      </c>
      <c r="E24" s="1279"/>
    </row>
    <row r="25" customFormat="false" ht="15" hidden="false" customHeight="true" outlineLevel="0" collapsed="false">
      <c r="A25" s="1275" t="s">
        <v>1453</v>
      </c>
      <c r="B25" s="1275"/>
      <c r="C25" s="1273" t="n">
        <v>0</v>
      </c>
      <c r="D25" s="1273" t="n">
        <v>0</v>
      </c>
      <c r="E25" s="1279"/>
    </row>
    <row r="26" customFormat="false" ht="15" hidden="false" customHeight="true" outlineLevel="0" collapsed="false">
      <c r="A26" s="1275" t="s">
        <v>1454</v>
      </c>
      <c r="B26" s="1275"/>
      <c r="C26" s="1273" t="n">
        <v>0</v>
      </c>
      <c r="D26" s="1273" t="n">
        <v>0</v>
      </c>
      <c r="E26" s="1279"/>
    </row>
    <row r="27" customFormat="false" ht="15" hidden="false" customHeight="true" outlineLevel="0" collapsed="false">
      <c r="A27" s="1275" t="s">
        <v>1455</v>
      </c>
      <c r="B27" s="1275"/>
      <c r="C27" s="1273" t="n">
        <v>0</v>
      </c>
      <c r="D27" s="1273"/>
      <c r="E27" s="1279"/>
    </row>
    <row r="28" customFormat="false" ht="15" hidden="false" customHeight="true" outlineLevel="0" collapsed="false">
      <c r="A28" s="1275" t="s">
        <v>1456</v>
      </c>
      <c r="B28" s="1275"/>
      <c r="C28" s="1273" t="n">
        <v>0</v>
      </c>
      <c r="D28" s="1273" t="n">
        <v>0</v>
      </c>
      <c r="E28" s="1279"/>
    </row>
    <row r="29" customFormat="false" ht="15" hidden="false" customHeight="true" outlineLevel="0" collapsed="false">
      <c r="A29" s="1285" t="s">
        <v>1457</v>
      </c>
      <c r="B29" s="1285"/>
      <c r="C29" s="1273" t="n">
        <v>0</v>
      </c>
      <c r="D29" s="1273" t="n">
        <v>0</v>
      </c>
      <c r="E29" s="1279"/>
    </row>
    <row r="30" customFormat="false" ht="15" hidden="false" customHeight="true" outlineLevel="0" collapsed="false">
      <c r="A30" s="1285" t="s">
        <v>1458</v>
      </c>
      <c r="B30" s="1285"/>
      <c r="C30" s="1273"/>
      <c r="D30" s="1273" t="n">
        <v>0</v>
      </c>
      <c r="E30" s="1279"/>
    </row>
    <row r="31" customFormat="false" ht="15" hidden="false" customHeight="true" outlineLevel="0" collapsed="false">
      <c r="A31" s="1285" t="s">
        <v>1459</v>
      </c>
      <c r="B31" s="1285"/>
      <c r="C31" s="1273" t="n">
        <v>0</v>
      </c>
      <c r="D31" s="1273" t="n">
        <v>0</v>
      </c>
      <c r="E31" s="1279"/>
    </row>
    <row r="32" customFormat="false" ht="15" hidden="false" customHeight="true" outlineLevel="0" collapsed="false">
      <c r="A32" s="1286" t="s">
        <v>1460</v>
      </c>
      <c r="B32" s="1286"/>
      <c r="C32" s="1273" t="n">
        <v>0</v>
      </c>
      <c r="D32" s="1273" t="n">
        <v>0</v>
      </c>
      <c r="E32" s="1279"/>
    </row>
    <row r="33" customFormat="false" ht="15" hidden="false" customHeight="true" outlineLevel="0" collapsed="false">
      <c r="A33" s="1287" t="s">
        <v>1461</v>
      </c>
      <c r="B33" s="1287"/>
      <c r="C33" s="1288" t="n">
        <f aca="false">C23+C24+C25+C26+C27+C28-C29-C30-C31-C32</f>
        <v>0</v>
      </c>
      <c r="D33" s="1288" t="n">
        <f aca="false">D23+D24+D25+D26+D27+D28-D29-D30-D31-D32</f>
        <v>0</v>
      </c>
      <c r="E33" s="1289"/>
    </row>
    <row r="34" customFormat="false" ht="15" hidden="false" customHeight="true" outlineLevel="0" collapsed="false">
      <c r="A34" s="1281" t="s">
        <v>1462</v>
      </c>
      <c r="B34" s="1281"/>
      <c r="C34" s="1290" t="n">
        <v>0</v>
      </c>
      <c r="D34" s="1290" t="n">
        <v>0</v>
      </c>
      <c r="E34" s="1290" t="n">
        <v>0</v>
      </c>
    </row>
    <row r="35" customFormat="false" ht="15" hidden="false" customHeight="true" outlineLevel="0" collapsed="false">
      <c r="A35" s="1291" t="s">
        <v>1463</v>
      </c>
      <c r="B35" s="1291"/>
      <c r="C35" s="1292" t="n">
        <f aca="false">C33-C34</f>
        <v>0</v>
      </c>
      <c r="D35" s="1292" t="n">
        <f aca="false">D33-D34</f>
        <v>0</v>
      </c>
      <c r="E35" s="1293" t="e">
        <f aca="false">(C35-D35)/D35</f>
        <v>#DIV/0!</v>
      </c>
    </row>
    <row r="36" customFormat="false" ht="15" hidden="false" customHeight="true" outlineLevel="0" collapsed="false">
      <c r="A36" s="1294" t="s">
        <v>1464</v>
      </c>
      <c r="B36" s="1294"/>
      <c r="C36" s="1294"/>
      <c r="D36" s="1294"/>
      <c r="E36" s="1294"/>
    </row>
    <row r="37" customFormat="false" ht="15" hidden="false" customHeight="true" outlineLevel="0" collapsed="false">
      <c r="A37" s="1295" t="s">
        <v>1465</v>
      </c>
      <c r="B37" s="1295"/>
      <c r="C37" s="1296" t="e">
        <f aca="false">'Compte de Résultat'!E32/(PASSIF!D20+PASSIF!D21)</f>
        <v>#DIV/0!</v>
      </c>
      <c r="D37" s="1296" t="e">
        <f aca="false">'Compte de Résultat'!F32/(PASSIF!E20+PASSIF!E21)</f>
        <v>#DIV/0!</v>
      </c>
      <c r="E37" s="1276" t="e">
        <f aca="false">(C37-D37)/D37</f>
        <v>#DIV/0!</v>
      </c>
    </row>
    <row r="38" customFormat="false" ht="15" hidden="false" customHeight="true" outlineLevel="0" collapsed="false">
      <c r="A38" s="1297" t="s">
        <v>1466</v>
      </c>
      <c r="B38" s="1297"/>
      <c r="C38" s="1296" t="e">
        <f aca="false">'Compte de Résultat'!E50/PASSIF!D20</f>
        <v>#DIV/0!</v>
      </c>
      <c r="D38" s="1296" t="e">
        <f aca="false">'Compte de Résultat'!F50/PASSIF!E20</f>
        <v>#DIV/0!</v>
      </c>
      <c r="E38" s="1276" t="e">
        <f aca="false">(C38-D38)/D38</f>
        <v>#DIV/0!</v>
      </c>
    </row>
    <row r="39" customFormat="false" ht="15" hidden="false" customHeight="true" outlineLevel="0" collapsed="false">
      <c r="A39" s="1294" t="s">
        <v>1467</v>
      </c>
      <c r="B39" s="1294"/>
      <c r="C39" s="1294"/>
      <c r="D39" s="1294"/>
      <c r="E39" s="1294"/>
    </row>
    <row r="40" customFormat="false" ht="15" hidden="false" customHeight="true" outlineLevel="0" collapsed="false">
      <c r="A40" s="1272" t="s">
        <v>1468</v>
      </c>
      <c r="B40" s="1272"/>
      <c r="C40" s="1273" t="n">
        <f aca="false">PASSIF!D20</f>
        <v>0</v>
      </c>
      <c r="D40" s="1273" t="n">
        <f aca="false">PASSIF!E20</f>
        <v>0</v>
      </c>
      <c r="E40" s="1274" t="e">
        <f aca="false">(C40-D40)/D40</f>
        <v>#DIV/0!</v>
      </c>
    </row>
    <row r="41" customFormat="false" ht="15" hidden="false" customHeight="true" outlineLevel="0" collapsed="false">
      <c r="A41" s="1275" t="s">
        <v>1469</v>
      </c>
      <c r="B41" s="1275"/>
      <c r="C41" s="1273" t="n">
        <f aca="false">PASSIF!D24</f>
        <v>0</v>
      </c>
      <c r="D41" s="1273" t="n">
        <f aca="false">PASSIF!E24</f>
        <v>0</v>
      </c>
      <c r="E41" s="1274" t="e">
        <f aca="false">(C41-D41)/D41</f>
        <v>#DIV/0!</v>
      </c>
    </row>
    <row r="42" customFormat="false" ht="15" hidden="false" customHeight="true" outlineLevel="0" collapsed="false">
      <c r="A42" s="1298" t="s">
        <v>1470</v>
      </c>
      <c r="B42" s="1298"/>
      <c r="C42" s="1299" t="n">
        <f aca="false">C40+C41</f>
        <v>0</v>
      </c>
      <c r="D42" s="1299" t="n">
        <f aca="false">D40+D41</f>
        <v>0</v>
      </c>
      <c r="E42" s="1300" t="e">
        <f aca="false">E40+E41</f>
        <v>#DIV/0!</v>
      </c>
    </row>
    <row r="43" customFormat="false" ht="15" hidden="false" customHeight="true" outlineLevel="0" collapsed="false">
      <c r="A43" s="1301" t="s">
        <v>1471</v>
      </c>
      <c r="B43" s="1301"/>
      <c r="C43" s="1273" t="n">
        <f aca="false">ACTIF!F27</f>
        <v>0</v>
      </c>
      <c r="D43" s="1273" t="n">
        <f aca="false">ACTIF!G27</f>
        <v>0</v>
      </c>
      <c r="E43" s="1274" t="e">
        <f aca="false">(C43-D43)/D43</f>
        <v>#DIV/0!</v>
      </c>
    </row>
    <row r="44" customFormat="false" ht="15" hidden="false" customHeight="true" outlineLevel="0" collapsed="false">
      <c r="A44" s="1302" t="s">
        <v>1472</v>
      </c>
      <c r="B44" s="1302"/>
      <c r="C44" s="1303" t="n">
        <f aca="false">C42-C43</f>
        <v>0</v>
      </c>
      <c r="D44" s="1303" t="n">
        <f aca="false">D42-D43</f>
        <v>0</v>
      </c>
      <c r="E44" s="1304" t="e">
        <f aca="false">(C44-D44)/D44</f>
        <v>#DIV/0!</v>
      </c>
    </row>
    <row r="45" customFormat="false" ht="15" hidden="false" customHeight="true" outlineLevel="0" collapsed="false">
      <c r="A45" s="1275" t="s">
        <v>1473</v>
      </c>
      <c r="B45" s="1275"/>
      <c r="C45" s="1305" t="n">
        <f aca="false">ACTIF!F29+ACTIF!F30</f>
        <v>0</v>
      </c>
      <c r="D45" s="1305" t="n">
        <f aca="false">ACTIF!G29+ACTIF!G30</f>
        <v>0</v>
      </c>
      <c r="E45" s="1306" t="e">
        <f aca="false">(C45-D45)/D45</f>
        <v>#DIV/0!</v>
      </c>
    </row>
    <row r="46" customFormat="false" ht="15" hidden="false" customHeight="true" outlineLevel="0" collapsed="false">
      <c r="A46" s="1285" t="s">
        <v>1474</v>
      </c>
      <c r="B46" s="1285"/>
      <c r="C46" s="1305" t="n">
        <f aca="false">PASSIF!D32-PASSIF!D26</f>
        <v>0</v>
      </c>
      <c r="D46" s="1305" t="n">
        <f aca="false">PASSIF!E32-PASSIF!E26</f>
        <v>0</v>
      </c>
      <c r="E46" s="1306" t="e">
        <f aca="false">(C46-D46)/D46</f>
        <v>#DIV/0!</v>
      </c>
    </row>
    <row r="47" customFormat="false" ht="15" hidden="false" customHeight="true" outlineLevel="0" collapsed="false">
      <c r="A47" s="1298" t="s">
        <v>1475</v>
      </c>
      <c r="B47" s="1298"/>
      <c r="C47" s="1299" t="n">
        <f aca="false">C45-C46</f>
        <v>0</v>
      </c>
      <c r="D47" s="1299" t="n">
        <f aca="false">D45-D46</f>
        <v>0</v>
      </c>
      <c r="E47" s="1307" t="e">
        <f aca="false">(C47-D47)/D47</f>
        <v>#DIV/0!</v>
      </c>
    </row>
    <row r="48" customFormat="false" ht="15" hidden="false" customHeight="true" outlineLevel="0" collapsed="false">
      <c r="A48" s="1275" t="s">
        <v>1476</v>
      </c>
      <c r="B48" s="1275"/>
      <c r="C48" s="1273" t="n">
        <f aca="false">ACTIF!F28</f>
        <v>0</v>
      </c>
      <c r="D48" s="1273" t="n">
        <f aca="false">ACTIF!G28</f>
        <v>0</v>
      </c>
      <c r="E48" s="1307"/>
    </row>
    <row r="49" customFormat="false" ht="15" hidden="false" customHeight="true" outlineLevel="0" collapsed="false">
      <c r="A49" s="1285" t="s">
        <v>1477</v>
      </c>
      <c r="B49" s="1285"/>
      <c r="C49" s="1273" t="n">
        <f aca="false">PASSIF!D26</f>
        <v>0</v>
      </c>
      <c r="D49" s="1273" t="n">
        <f aca="false">PASSIF!E26</f>
        <v>0</v>
      </c>
      <c r="E49" s="1307"/>
    </row>
    <row r="50" customFormat="false" ht="15" hidden="false" customHeight="true" outlineLevel="0" collapsed="false">
      <c r="A50" s="1301" t="s">
        <v>1478</v>
      </c>
      <c r="B50" s="1301"/>
      <c r="C50" s="1273" t="n">
        <f aca="false">C48-C49</f>
        <v>0</v>
      </c>
      <c r="D50" s="1273" t="n">
        <f aca="false">D48-D49</f>
        <v>0</v>
      </c>
      <c r="E50" s="1307"/>
    </row>
    <row r="51" customFormat="false" ht="15" hidden="false" customHeight="true" outlineLevel="0" collapsed="false">
      <c r="A51" s="1302" t="s">
        <v>1479</v>
      </c>
      <c r="B51" s="1302"/>
      <c r="C51" s="1303" t="n">
        <f aca="false">C47+C50</f>
        <v>0</v>
      </c>
      <c r="D51" s="1303" t="n">
        <f aca="false">D47+D50</f>
        <v>0</v>
      </c>
      <c r="E51" s="1304" t="e">
        <f aca="false">(C51-D51)/D51</f>
        <v>#DIV/0!</v>
      </c>
    </row>
    <row r="52" customFormat="false" ht="6.75" hidden="false" customHeight="true" outlineLevel="0" collapsed="false">
      <c r="A52" s="1308" t="s">
        <v>215</v>
      </c>
      <c r="B52" s="1308"/>
      <c r="C52" s="1309"/>
      <c r="D52" s="1309"/>
      <c r="E52" s="1310"/>
    </row>
    <row r="53" customFormat="false" ht="15" hidden="false" customHeight="true" outlineLevel="0" collapsed="false">
      <c r="A53" s="1311" t="s">
        <v>1480</v>
      </c>
      <c r="B53" s="1311"/>
      <c r="C53" s="1312" t="n">
        <f aca="false">C44-C51</f>
        <v>0</v>
      </c>
      <c r="D53" s="1312" t="n">
        <f aca="false">D44-D51</f>
        <v>0</v>
      </c>
      <c r="E53" s="1313" t="e">
        <f aca="false">(C53-D53)/D53</f>
        <v>#DIV/0!</v>
      </c>
    </row>
    <row r="54" customFormat="false" ht="15" hidden="false" customHeight="true" outlineLevel="0" collapsed="false">
      <c r="A54" s="1277" t="s">
        <v>1481</v>
      </c>
      <c r="B54" s="1277"/>
      <c r="C54" s="1273" t="n">
        <f aca="false">ACTIF!F38-PASSIF!D35</f>
        <v>0</v>
      </c>
      <c r="D54" s="1273" t="n">
        <f aca="false">ACTIF!G38-PASSIF!E35</f>
        <v>0</v>
      </c>
      <c r="E54" s="1276" t="e">
        <f aca="false">(C54-D54)/D54</f>
        <v>#DIV/0!</v>
      </c>
    </row>
    <row r="55" customFormat="false" ht="15" hidden="false" customHeight="true" outlineLevel="0" collapsed="false">
      <c r="A55" s="1294" t="s">
        <v>1482</v>
      </c>
      <c r="B55" s="1294"/>
      <c r="C55" s="1294"/>
      <c r="D55" s="1294"/>
      <c r="E55" s="1294"/>
    </row>
    <row r="56" customFormat="false" ht="15" hidden="false" customHeight="true" outlineLevel="0" collapsed="false">
      <c r="A56" s="1280" t="s">
        <v>1483</v>
      </c>
      <c r="B56" s="1280"/>
      <c r="C56" s="1273" t="n">
        <f aca="false">TFT!H20</f>
        <v>0</v>
      </c>
      <c r="D56" s="1273" t="n">
        <f aca="false">TFT!I20</f>
        <v>0</v>
      </c>
      <c r="E56" s="1276" t="e">
        <f aca="false">(C56-D56)/D56</f>
        <v>#DIV/0!</v>
      </c>
    </row>
    <row r="57" customFormat="false" ht="15" hidden="false" customHeight="true" outlineLevel="0" collapsed="false">
      <c r="A57" s="1298" t="s">
        <v>1484</v>
      </c>
      <c r="B57" s="1298"/>
      <c r="C57" s="1273" t="n">
        <f aca="false">TFT!H27</f>
        <v>0</v>
      </c>
      <c r="D57" s="1273" t="n">
        <f aca="false">TFT!I27</f>
        <v>0</v>
      </c>
      <c r="E57" s="1276" t="e">
        <f aca="false">(C57-D57)/D57</f>
        <v>#DIV/0!</v>
      </c>
    </row>
    <row r="58" customFormat="false" ht="15" hidden="false" customHeight="true" outlineLevel="0" collapsed="false">
      <c r="A58" s="1301" t="s">
        <v>1485</v>
      </c>
      <c r="B58" s="1301"/>
      <c r="C58" s="1273" t="n">
        <f aca="false">TFT!H39</f>
        <v>0</v>
      </c>
      <c r="D58" s="1273" t="n">
        <f aca="false">TFT!I39</f>
        <v>0</v>
      </c>
      <c r="E58" s="1276" t="e">
        <f aca="false">(C58-D58)/D58</f>
        <v>#DIV/0!</v>
      </c>
    </row>
    <row r="59" customFormat="false" ht="15" hidden="false" customHeight="true" outlineLevel="0" collapsed="false">
      <c r="A59" s="1314" t="s">
        <v>1486</v>
      </c>
      <c r="B59" s="1314"/>
      <c r="C59" s="1303" t="n">
        <f aca="false">C56+C57+C58</f>
        <v>0</v>
      </c>
      <c r="D59" s="1303" t="n">
        <f aca="false">D56+D57+D58</f>
        <v>0</v>
      </c>
      <c r="E59" s="1315"/>
    </row>
    <row r="60" customFormat="false" ht="15" hidden="false" customHeight="true" outlineLevel="0" collapsed="false">
      <c r="A60" s="1294" t="s">
        <v>1487</v>
      </c>
      <c r="B60" s="1294"/>
      <c r="C60" s="1294"/>
      <c r="D60" s="1294"/>
      <c r="E60" s="1294"/>
    </row>
    <row r="61" customFormat="false" ht="15" hidden="false" customHeight="true" outlineLevel="0" collapsed="false">
      <c r="A61" s="1272" t="s">
        <v>1488</v>
      </c>
      <c r="B61" s="1272"/>
      <c r="C61" s="1273" t="n">
        <f aca="false">PASSIF!D24+PASSIF!D35</f>
        <v>0</v>
      </c>
      <c r="D61" s="1273" t="n">
        <f aca="false">PASSIF!E24+PASSIF!E35</f>
        <v>0</v>
      </c>
      <c r="E61" s="1276" t="e">
        <f aca="false">(C61-D61)/D61</f>
        <v>#DIV/0!</v>
      </c>
      <c r="G61" s="282"/>
    </row>
    <row r="62" customFormat="false" ht="15" hidden="false" customHeight="true" outlineLevel="0" collapsed="false">
      <c r="A62" s="1281" t="s">
        <v>1489</v>
      </c>
      <c r="B62" s="1281"/>
      <c r="C62" s="1273" t="n">
        <f aca="false">ACTIF!F38</f>
        <v>0</v>
      </c>
      <c r="D62" s="1273" t="n">
        <f aca="false">ACTIF!G38</f>
        <v>0</v>
      </c>
      <c r="E62" s="1276" t="e">
        <f aca="false">(C62-D62)/D62</f>
        <v>#DIV/0!</v>
      </c>
    </row>
    <row r="63" customFormat="false" ht="15" hidden="false" customHeight="true" outlineLevel="0" collapsed="false">
      <c r="A63" s="1316" t="s">
        <v>1490</v>
      </c>
      <c r="B63" s="1316"/>
      <c r="C63" s="1303" t="n">
        <f aca="false">C61-C62</f>
        <v>0</v>
      </c>
      <c r="D63" s="1303" t="n">
        <f aca="false">D61-D62</f>
        <v>0</v>
      </c>
      <c r="E63" s="1304" t="e">
        <f aca="false">(C63-D63)/D63</f>
        <v>#DIV/0!</v>
      </c>
    </row>
    <row r="64" s="214" customFormat="true" ht="14.5" hidden="false" customHeight="false" outlineLevel="0" collapsed="false">
      <c r="A64" s="831" t="s">
        <v>1491</v>
      </c>
    </row>
    <row r="65" s="214" customFormat="true" ht="14.25" hidden="false" customHeight="true" outlineLevel="0" collapsed="false">
      <c r="A65" s="959" t="s">
        <v>1492</v>
      </c>
      <c r="B65" s="959"/>
      <c r="C65" s="959"/>
      <c r="D65" s="959"/>
      <c r="E65" s="959"/>
    </row>
    <row r="66" customFormat="false" ht="14.5" hidden="false" customHeight="false" outlineLevel="0" collapsed="false">
      <c r="A66" s="1317" t="s">
        <v>1493</v>
      </c>
      <c r="B66" s="1317"/>
      <c r="C66" s="1317"/>
      <c r="D66" s="1317"/>
      <c r="E66" s="1317"/>
    </row>
  </sheetData>
  <mergeCells count="64">
    <mergeCell ref="A4:E4"/>
    <mergeCell ref="A5:E5"/>
    <mergeCell ref="A6:B7"/>
    <mergeCell ref="C6:C7"/>
    <mergeCell ref="D6:D7"/>
    <mergeCell ref="E6:E7"/>
    <mergeCell ref="A8:C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E36"/>
    <mergeCell ref="A37:B37"/>
    <mergeCell ref="A38:B38"/>
    <mergeCell ref="A39:E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E55"/>
    <mergeCell ref="A56:B56"/>
    <mergeCell ref="A57:B57"/>
    <mergeCell ref="A58:B58"/>
    <mergeCell ref="A59:B59"/>
    <mergeCell ref="A60:E60"/>
    <mergeCell ref="A61:B61"/>
    <mergeCell ref="A62:B62"/>
    <mergeCell ref="A63:B63"/>
    <mergeCell ref="A65:E65"/>
    <mergeCell ref="A66:E66"/>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7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1"/>
  <sheetViews>
    <sheetView showFormulas="false" showGridLines="true" showRowColHeaders="true" showZeros="true" rightToLeft="false" tabSelected="false" showOutlineSymbols="true" defaultGridColor="true" view="normal" topLeftCell="A43" colorId="64" zoomScale="100" zoomScaleNormal="100" zoomScalePageLayoutView="100" workbookViewId="0">
      <selection pane="topLeft" activeCell="E13" activeCellId="0" sqref="E13"/>
    </sheetView>
  </sheetViews>
  <sheetFormatPr defaultColWidth="10.90234375" defaultRowHeight="14.5" zeroHeight="false" outlineLevelRow="0" outlineLevelCol="0"/>
  <cols>
    <col collapsed="false" customWidth="true" hidden="false" outlineLevel="0" max="1" min="1" style="0" width="115.44"/>
  </cols>
  <sheetData>
    <row r="1" customFormat="false" ht="14.5" hidden="false" customHeight="false" outlineLevel="0" collapsed="false">
      <c r="A1" s="214"/>
    </row>
    <row r="2" customFormat="false" ht="15" hidden="false" customHeight="false" outlineLevel="0" collapsed="false">
      <c r="A2" s="1318" t="s">
        <v>1494</v>
      </c>
    </row>
    <row r="3" customFormat="false" ht="6.75" hidden="false" customHeight="true" outlineLevel="0" collapsed="false">
      <c r="A3" s="601" t="s">
        <v>95</v>
      </c>
    </row>
    <row r="4" customFormat="false" ht="14.5" hidden="false" customHeight="false" outlineLevel="0" collapsed="false">
      <c r="A4" s="359" t="s">
        <v>1495</v>
      </c>
    </row>
    <row r="5" customFormat="false" ht="14.5" hidden="false" customHeight="false" outlineLevel="0" collapsed="false">
      <c r="A5" s="360" t="s">
        <v>1496</v>
      </c>
    </row>
    <row r="6" customFormat="false" ht="15" hidden="false" customHeight="false" outlineLevel="0" collapsed="false">
      <c r="A6" s="1319" t="s">
        <v>1497</v>
      </c>
    </row>
    <row r="7" customFormat="false" ht="20.15" hidden="false" customHeight="true" outlineLevel="0" collapsed="false">
      <c r="A7" s="1207" t="s">
        <v>1498</v>
      </c>
    </row>
    <row r="8" customFormat="false" ht="20.15" hidden="false" customHeight="true" outlineLevel="0" collapsed="false">
      <c r="A8" s="769" t="s">
        <v>1499</v>
      </c>
    </row>
    <row r="9" customFormat="false" ht="20.15" hidden="false" customHeight="true" outlineLevel="0" collapsed="false">
      <c r="A9" s="595" t="s">
        <v>1500</v>
      </c>
    </row>
    <row r="10" customFormat="false" ht="20.15" hidden="false" customHeight="true" outlineLevel="0" collapsed="false">
      <c r="A10" s="1320" t="s">
        <v>1501</v>
      </c>
    </row>
    <row r="11" customFormat="false" ht="20.15" hidden="false" customHeight="true" outlineLevel="0" collapsed="false">
      <c r="A11" s="1285" t="s">
        <v>1502</v>
      </c>
    </row>
    <row r="12" customFormat="false" ht="20.15" hidden="false" customHeight="true" outlineLevel="0" collapsed="false">
      <c r="A12" s="1321" t="s">
        <v>1503</v>
      </c>
    </row>
    <row r="13" customFormat="false" ht="20.15" hidden="false" customHeight="true" outlineLevel="0" collapsed="false">
      <c r="A13" s="595" t="s">
        <v>1504</v>
      </c>
    </row>
    <row r="14" customFormat="false" ht="20.15" hidden="false" customHeight="true" outlineLevel="0" collapsed="false">
      <c r="A14" s="1322" t="s">
        <v>1505</v>
      </c>
    </row>
    <row r="15" customFormat="false" ht="20.15" hidden="false" customHeight="true" outlineLevel="0" collapsed="false">
      <c r="A15" s="1323" t="s">
        <v>1506</v>
      </c>
    </row>
    <row r="16" customFormat="false" ht="20.15" hidden="false" customHeight="true" outlineLevel="0" collapsed="false">
      <c r="A16" s="595" t="s">
        <v>1507</v>
      </c>
    </row>
    <row r="17" customFormat="false" ht="15" hidden="false" customHeight="false" outlineLevel="0" collapsed="false">
      <c r="A17" s="550" t="s">
        <v>1508</v>
      </c>
    </row>
    <row r="18" customFormat="false" ht="20.15" hidden="false" customHeight="true" outlineLevel="0" collapsed="false">
      <c r="A18" s="595" t="s">
        <v>1509</v>
      </c>
    </row>
    <row r="19" customFormat="false" ht="20.15" hidden="false" customHeight="true" outlineLevel="0" collapsed="false">
      <c r="A19" s="1322" t="s">
        <v>1510</v>
      </c>
    </row>
    <row r="20" customFormat="false" ht="20.15" hidden="false" customHeight="true" outlineLevel="0" collapsed="false">
      <c r="A20" s="1323" t="s">
        <v>1511</v>
      </c>
    </row>
    <row r="21" customFormat="false" ht="20.15" hidden="false" customHeight="true" outlineLevel="0" collapsed="false">
      <c r="A21" s="595" t="s">
        <v>1512</v>
      </c>
    </row>
    <row r="22" customFormat="false" ht="20.15" hidden="false" customHeight="true" outlineLevel="0" collapsed="false">
      <c r="A22" s="1322" t="s">
        <v>1513</v>
      </c>
    </row>
    <row r="23" customFormat="false" ht="20.15" hidden="false" customHeight="true" outlineLevel="0" collapsed="false">
      <c r="A23" s="1323" t="s">
        <v>1514</v>
      </c>
    </row>
    <row r="24" customFormat="false" ht="20.15" hidden="false" customHeight="true" outlineLevel="0" collapsed="false">
      <c r="A24" s="769" t="s">
        <v>1515</v>
      </c>
    </row>
    <row r="25" customFormat="false" ht="20.15" hidden="false" customHeight="true" outlineLevel="0" collapsed="false">
      <c r="A25" s="595" t="s">
        <v>1516</v>
      </c>
    </row>
    <row r="26" customFormat="false" ht="20.15" hidden="false" customHeight="true" outlineLevel="0" collapsed="false">
      <c r="A26" s="1320" t="s">
        <v>1517</v>
      </c>
    </row>
    <row r="27" customFormat="false" ht="20.15" hidden="false" customHeight="true" outlineLevel="0" collapsed="false">
      <c r="A27" s="1320" t="s">
        <v>1518</v>
      </c>
    </row>
    <row r="28" customFormat="false" ht="20.15" hidden="false" customHeight="true" outlineLevel="0" collapsed="false">
      <c r="A28" s="1324" t="s">
        <v>1519</v>
      </c>
    </row>
    <row r="29" customFormat="false" ht="20.15" hidden="false" customHeight="true" outlineLevel="0" collapsed="false">
      <c r="A29" s="595" t="s">
        <v>1520</v>
      </c>
    </row>
    <row r="30" customFormat="false" ht="20.15" hidden="false" customHeight="true" outlineLevel="0" collapsed="false">
      <c r="A30" s="1325" t="s">
        <v>1521</v>
      </c>
    </row>
    <row r="31" customFormat="false" ht="20.15" hidden="false" customHeight="true" outlineLevel="0" collapsed="false">
      <c r="A31" s="1325" t="s">
        <v>1522</v>
      </c>
    </row>
    <row r="32" customFormat="false" ht="20.15" hidden="false" customHeight="true" outlineLevel="0" collapsed="false">
      <c r="A32" s="1326" t="s">
        <v>1523</v>
      </c>
    </row>
    <row r="33" customFormat="false" ht="20.15" hidden="false" customHeight="true" outlineLevel="0" collapsed="false">
      <c r="A33" s="595" t="s">
        <v>1524</v>
      </c>
    </row>
    <row r="34" customFormat="false" ht="20.15" hidden="false" customHeight="true" outlineLevel="0" collapsed="false">
      <c r="A34" s="1285" t="s">
        <v>1525</v>
      </c>
    </row>
    <row r="35" customFormat="false" ht="20.15" hidden="false" customHeight="true" outlineLevel="0" collapsed="false">
      <c r="A35" s="1285" t="s">
        <v>1526</v>
      </c>
    </row>
    <row r="36" customFormat="false" ht="20.15" hidden="false" customHeight="true" outlineLevel="0" collapsed="false">
      <c r="A36" s="1321" t="s">
        <v>1527</v>
      </c>
    </row>
    <row r="37" customFormat="false" ht="20.15" hidden="false" customHeight="true" outlineLevel="0" collapsed="false">
      <c r="A37" s="595" t="s">
        <v>1528</v>
      </c>
    </row>
    <row r="38" customFormat="false" ht="20.15" hidden="false" customHeight="true" outlineLevel="0" collapsed="false">
      <c r="A38" s="550" t="s">
        <v>1529</v>
      </c>
    </row>
    <row r="39" customFormat="false" ht="20.15" hidden="false" customHeight="true" outlineLevel="0" collapsed="false">
      <c r="A39" s="595" t="s">
        <v>1530</v>
      </c>
    </row>
    <row r="40" customFormat="false" ht="20.15" hidden="false" customHeight="true" outlineLevel="0" collapsed="false">
      <c r="A40" s="550" t="s">
        <v>1531</v>
      </c>
    </row>
    <row r="41" customFormat="false" ht="20.15" hidden="false" customHeight="true" outlineLevel="0" collapsed="false">
      <c r="A41" s="1327" t="s">
        <v>1532</v>
      </c>
    </row>
    <row r="42" customFormat="false" ht="20.15" hidden="false" customHeight="true" outlineLevel="0" collapsed="false">
      <c r="A42" s="769" t="s">
        <v>1533</v>
      </c>
    </row>
    <row r="43" customFormat="false" ht="20.15" hidden="false" customHeight="true" outlineLevel="0" collapsed="false">
      <c r="A43" s="595" t="s">
        <v>1534</v>
      </c>
    </row>
    <row r="44" customFormat="false" ht="20.15" hidden="false" customHeight="true" outlineLevel="0" collapsed="false">
      <c r="A44" s="1322" t="s">
        <v>1535</v>
      </c>
    </row>
    <row r="45" customFormat="false" ht="20.15" hidden="false" customHeight="true" outlineLevel="0" collapsed="false">
      <c r="A45" s="1323" t="s">
        <v>1536</v>
      </c>
    </row>
    <row r="46" customFormat="false" ht="21.75" hidden="false" customHeight="true" outlineLevel="0" collapsed="false">
      <c r="A46" s="595" t="s">
        <v>1537</v>
      </c>
    </row>
    <row r="47" customFormat="false" ht="20.15" hidden="false" customHeight="true" outlineLevel="0" collapsed="false">
      <c r="A47" s="1322" t="s">
        <v>1538</v>
      </c>
    </row>
    <row r="48" customFormat="false" ht="20.15" hidden="false" customHeight="true" outlineLevel="0" collapsed="false">
      <c r="A48" s="1323" t="s">
        <v>1539</v>
      </c>
    </row>
    <row r="49" customFormat="false" ht="20.15" hidden="false" customHeight="true" outlineLevel="0" collapsed="false">
      <c r="A49" s="595" t="s">
        <v>1540</v>
      </c>
    </row>
    <row r="50" customFormat="false" ht="20.15" hidden="false" customHeight="true" outlineLevel="0" collapsed="false">
      <c r="A50" s="550" t="s">
        <v>1541</v>
      </c>
    </row>
    <row r="51" customFormat="false" ht="14.5" hidden="false" customHeight="false" outlineLevel="0" collapsed="false">
      <c r="A51" s="1328" t="s">
        <v>95</v>
      </c>
    </row>
  </sheetData>
  <printOptions headings="false" gridLines="false" gridLinesSet="true" horizontalCentered="false" verticalCentered="false"/>
  <pageMargins left="0.708333333333333" right="0.708333333333333" top="0.747916666666667" bottom="0.747916666666667" header="0.511811023622047" footer="0.511811023622047"/>
  <pageSetup paperSize="9" scale="7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8" activeCellId="0" sqref="D8"/>
    </sheetView>
  </sheetViews>
  <sheetFormatPr defaultColWidth="10.90234375" defaultRowHeight="14.5" zeroHeight="false" outlineLevelRow="0" outlineLevelCol="0"/>
  <cols>
    <col collapsed="false" customWidth="true" hidden="false" outlineLevel="0" max="1" min="1" style="0" width="40.26"/>
    <col collapsed="false" customWidth="true" hidden="false" outlineLevel="0" max="2" min="2" style="0" width="3.81"/>
    <col collapsed="false" customWidth="true" hidden="false" outlineLevel="0" max="3" min="3" style="0" width="3.72"/>
    <col collapsed="false" customWidth="true" hidden="false" outlineLevel="0" max="4" min="4" style="0" width="30.17"/>
    <col collapsed="false" customWidth="true" hidden="false" outlineLevel="0" max="5" min="5" style="0" width="3.44"/>
    <col collapsed="false" customWidth="true" hidden="false" outlineLevel="0" max="6" min="6" style="0" width="4.26"/>
  </cols>
  <sheetData>
    <row r="1" customFormat="false" ht="14.5" hidden="false" customHeight="false" outlineLevel="0" collapsed="false">
      <c r="A1" s="1141"/>
    </row>
    <row r="2" customFormat="false" ht="14.5" hidden="false" customHeight="false" outlineLevel="0" collapsed="false">
      <c r="A2" s="1141"/>
    </row>
    <row r="3" customFormat="false" ht="14.5" hidden="false" customHeight="false" outlineLevel="0" collapsed="false">
      <c r="A3" s="1141"/>
    </row>
    <row r="4" customFormat="false" ht="15" hidden="false" customHeight="false" outlineLevel="0" collapsed="false">
      <c r="A4" s="1329" t="s">
        <v>1542</v>
      </c>
      <c r="B4" s="1330"/>
      <c r="C4" s="1330"/>
      <c r="D4" s="1330" t="s">
        <v>1543</v>
      </c>
      <c r="E4" s="861"/>
      <c r="F4" s="1331"/>
    </row>
    <row r="5" customFormat="false" ht="17.15" hidden="false" customHeight="true" outlineLevel="0" collapsed="false">
      <c r="A5" s="860"/>
      <c r="B5" s="861"/>
      <c r="C5" s="861"/>
      <c r="D5" s="1332"/>
      <c r="E5" s="861"/>
      <c r="F5" s="1331"/>
    </row>
    <row r="6" customFormat="false" ht="17.15" hidden="false" customHeight="true" outlineLevel="0" collapsed="false">
      <c r="A6" s="860" t="s">
        <v>1544</v>
      </c>
      <c r="B6" s="861" t="n">
        <v>0</v>
      </c>
      <c r="C6" s="861" t="n">
        <v>0</v>
      </c>
      <c r="D6" s="1332"/>
      <c r="E6" s="861"/>
      <c r="F6" s="1331"/>
    </row>
    <row r="7" customFormat="false" ht="17.15" hidden="false" customHeight="true" outlineLevel="0" collapsed="false">
      <c r="A7" s="860"/>
      <c r="B7" s="861"/>
      <c r="C7" s="861"/>
      <c r="D7" s="1332" t="s">
        <v>1545</v>
      </c>
      <c r="E7" s="861"/>
      <c r="F7" s="1331"/>
    </row>
    <row r="8" customFormat="false" ht="17.15" hidden="false" customHeight="true" outlineLevel="0" collapsed="false">
      <c r="A8" s="860" t="s">
        <v>1546</v>
      </c>
      <c r="B8" s="861" t="n">
        <v>0</v>
      </c>
      <c r="C8" s="861" t="n">
        <v>1</v>
      </c>
      <c r="D8" s="1332"/>
      <c r="E8" s="861"/>
      <c r="F8" s="1331"/>
    </row>
    <row r="9" customFormat="false" ht="17.15" hidden="false" customHeight="true" outlineLevel="0" collapsed="false">
      <c r="A9" s="860"/>
      <c r="B9" s="861"/>
      <c r="C9" s="861"/>
      <c r="D9" s="1332" t="s">
        <v>1547</v>
      </c>
      <c r="E9" s="861" t="n">
        <v>2</v>
      </c>
      <c r="F9" s="1331" t="n">
        <v>1</v>
      </c>
    </row>
    <row r="10" customFormat="false" ht="17.15" hidden="false" customHeight="true" outlineLevel="0" collapsed="false">
      <c r="A10" s="860" t="s">
        <v>1548</v>
      </c>
      <c r="B10" s="861" t="n">
        <v>0</v>
      </c>
      <c r="C10" s="861" t="n">
        <v>2</v>
      </c>
      <c r="D10" s="1332"/>
      <c r="E10" s="861"/>
      <c r="F10" s="1331"/>
    </row>
    <row r="11" customFormat="false" ht="17.15" hidden="false" customHeight="true" outlineLevel="0" collapsed="false">
      <c r="A11" s="860"/>
      <c r="B11" s="861"/>
      <c r="C11" s="861"/>
      <c r="D11" s="1332" t="s">
        <v>1549</v>
      </c>
      <c r="E11" s="861" t="n">
        <v>2</v>
      </c>
      <c r="F11" s="1331" t="n">
        <v>3</v>
      </c>
    </row>
    <row r="12" customFormat="false" ht="17.15" hidden="false" customHeight="true" outlineLevel="0" collapsed="false">
      <c r="A12" s="860" t="s">
        <v>1550</v>
      </c>
      <c r="B12" s="861" t="n">
        <v>0</v>
      </c>
      <c r="C12" s="861" t="n">
        <v>3</v>
      </c>
      <c r="D12" s="1332"/>
      <c r="E12" s="861"/>
      <c r="F12" s="1331"/>
    </row>
    <row r="13" customFormat="false" ht="17.15" hidden="false" customHeight="true" outlineLevel="0" collapsed="false">
      <c r="A13" s="860"/>
      <c r="B13" s="861"/>
      <c r="C13" s="861"/>
      <c r="D13" s="1332" t="s">
        <v>1551</v>
      </c>
      <c r="E13" s="861" t="n">
        <v>3</v>
      </c>
      <c r="F13" s="1331" t="n">
        <v>9</v>
      </c>
    </row>
    <row r="14" customFormat="false" ht="17.15" hidden="false" customHeight="true" outlineLevel="0" collapsed="false">
      <c r="A14" s="860" t="s">
        <v>1552</v>
      </c>
      <c r="B14" s="861" t="n">
        <v>0</v>
      </c>
      <c r="C14" s="861" t="n">
        <v>4</v>
      </c>
      <c r="D14" s="1332"/>
      <c r="E14" s="861"/>
      <c r="F14" s="1331"/>
    </row>
    <row r="15" customFormat="false" ht="17.15" hidden="false" customHeight="true" outlineLevel="0" collapsed="false">
      <c r="A15" s="860"/>
      <c r="B15" s="861"/>
      <c r="C15" s="861"/>
      <c r="D15" s="1332" t="s">
        <v>1553</v>
      </c>
      <c r="E15" s="861" t="n">
        <v>4</v>
      </c>
      <c r="F15" s="1331" t="n">
        <v>0</v>
      </c>
    </row>
    <row r="16" customFormat="false" ht="17.15" hidden="false" customHeight="true" outlineLevel="0" collapsed="false">
      <c r="A16" s="860" t="s">
        <v>1554</v>
      </c>
      <c r="B16" s="861" t="n">
        <v>0</v>
      </c>
      <c r="C16" s="861" t="n">
        <v>5</v>
      </c>
      <c r="D16" s="1332"/>
      <c r="E16" s="861"/>
      <c r="F16" s="1331"/>
    </row>
    <row r="17" customFormat="false" ht="17.15" hidden="false" customHeight="true" outlineLevel="0" collapsed="false">
      <c r="A17" s="860"/>
      <c r="B17" s="861"/>
      <c r="C17" s="861"/>
      <c r="D17" s="1332" t="s">
        <v>1555</v>
      </c>
      <c r="E17" s="861" t="n">
        <v>4</v>
      </c>
      <c r="F17" s="1331" t="n">
        <v>1</v>
      </c>
    </row>
    <row r="18" customFormat="false" ht="17.15" hidden="false" customHeight="true" outlineLevel="0" collapsed="false">
      <c r="A18" s="860" t="s">
        <v>1556</v>
      </c>
      <c r="B18" s="861" t="n">
        <v>0</v>
      </c>
      <c r="C18" s="861" t="n">
        <v>6</v>
      </c>
      <c r="D18" s="1332"/>
      <c r="E18" s="861"/>
      <c r="F18" s="1331"/>
    </row>
    <row r="19" customFormat="false" ht="17.15" hidden="false" customHeight="true" outlineLevel="0" collapsed="false">
      <c r="A19" s="860"/>
      <c r="B19" s="861"/>
      <c r="C19" s="861"/>
      <c r="D19" s="1332" t="s">
        <v>1557</v>
      </c>
      <c r="E19" s="861" t="n">
        <v>4</v>
      </c>
      <c r="F19" s="1331" t="n">
        <v>9</v>
      </c>
    </row>
    <row r="20" customFormat="false" ht="17.15" hidden="false" customHeight="true" outlineLevel="0" collapsed="false">
      <c r="A20" s="860" t="s">
        <v>1558</v>
      </c>
      <c r="B20" s="861" t="n">
        <v>0</v>
      </c>
      <c r="C20" s="861" t="n">
        <v>7</v>
      </c>
      <c r="D20" s="1332"/>
      <c r="E20" s="861"/>
      <c r="F20" s="1331"/>
    </row>
    <row r="21" customFormat="false" ht="17.15" hidden="false" customHeight="true" outlineLevel="0" collapsed="false">
      <c r="A21" s="860"/>
      <c r="B21" s="861"/>
      <c r="C21" s="861"/>
      <c r="D21" s="1332" t="s">
        <v>1559</v>
      </c>
      <c r="E21" s="861" t="n">
        <v>5</v>
      </c>
      <c r="F21" s="1331" t="n">
        <v>0</v>
      </c>
    </row>
    <row r="22" customFormat="false" ht="17.15" hidden="false" customHeight="true" outlineLevel="0" collapsed="false">
      <c r="A22" s="860" t="s">
        <v>1560</v>
      </c>
      <c r="B22" s="861" t="n">
        <v>0</v>
      </c>
      <c r="C22" s="861" t="n">
        <v>8</v>
      </c>
      <c r="D22" s="1332"/>
      <c r="E22" s="861"/>
      <c r="F22" s="1331"/>
    </row>
    <row r="23" customFormat="false" ht="17.15" hidden="false" customHeight="true" outlineLevel="0" collapsed="false">
      <c r="A23" s="860"/>
      <c r="B23" s="861"/>
      <c r="C23" s="861"/>
      <c r="D23" s="1332" t="s">
        <v>1561</v>
      </c>
      <c r="E23" s="861" t="n">
        <v>9</v>
      </c>
      <c r="F23" s="1331" t="n">
        <v>9</v>
      </c>
    </row>
    <row r="24" customFormat="false" ht="17.15" hidden="false" customHeight="true" outlineLevel="0" collapsed="false">
      <c r="A24" s="860" t="s">
        <v>1562</v>
      </c>
      <c r="B24" s="861" t="n">
        <v>0</v>
      </c>
      <c r="C24" s="861" t="n">
        <v>9</v>
      </c>
      <c r="D24" s="1332"/>
      <c r="E24" s="861"/>
      <c r="F24" s="1331"/>
    </row>
    <row r="25" customFormat="false" ht="17.15" hidden="false" customHeight="true" outlineLevel="0" collapsed="false">
      <c r="A25" s="860"/>
      <c r="B25" s="861"/>
      <c r="C25" s="861"/>
      <c r="D25" s="1332"/>
      <c r="E25" s="861"/>
      <c r="F25" s="1331"/>
    </row>
    <row r="26" customFormat="false" ht="17.15" hidden="false" customHeight="true" outlineLevel="0" collapsed="false">
      <c r="A26" s="860"/>
      <c r="B26" s="861"/>
      <c r="C26" s="861"/>
      <c r="D26" s="1332"/>
      <c r="E26" s="861"/>
      <c r="F26" s="1331"/>
    </row>
    <row r="27" customFormat="false" ht="17.15" hidden="false" customHeight="true" outlineLevel="0" collapsed="false">
      <c r="A27" s="860" t="s">
        <v>1563</v>
      </c>
      <c r="B27" s="861"/>
      <c r="C27" s="861"/>
      <c r="D27" s="1332"/>
      <c r="E27" s="861"/>
      <c r="F27" s="1331"/>
    </row>
    <row r="28" customFormat="false" ht="17.15" hidden="false" customHeight="true" outlineLevel="0" collapsed="false">
      <c r="A28" s="860"/>
      <c r="B28" s="861"/>
      <c r="C28" s="861"/>
      <c r="D28" s="1332"/>
      <c r="E28" s="861"/>
      <c r="F28" s="1331"/>
    </row>
    <row r="29" customFormat="false" ht="17.15" hidden="false" customHeight="true" outlineLevel="0" collapsed="false">
      <c r="A29" s="860" t="s">
        <v>1564</v>
      </c>
      <c r="B29" s="861"/>
      <c r="C29" s="861" t="n">
        <v>1</v>
      </c>
      <c r="D29" s="1332"/>
      <c r="E29" s="861"/>
      <c r="F29" s="1331"/>
    </row>
    <row r="30" customFormat="false" ht="17.15" hidden="false" customHeight="true" outlineLevel="0" collapsed="false">
      <c r="A30" s="860"/>
      <c r="B30" s="861"/>
      <c r="C30" s="861"/>
      <c r="D30" s="1332"/>
      <c r="E30" s="861"/>
      <c r="F30" s="1331"/>
    </row>
    <row r="31" customFormat="false" ht="17.15" hidden="false" customHeight="true" outlineLevel="0" collapsed="false">
      <c r="A31" s="860" t="s">
        <v>1565</v>
      </c>
      <c r="B31" s="861"/>
      <c r="C31" s="861" t="n">
        <v>2</v>
      </c>
      <c r="D31" s="1332"/>
      <c r="E31" s="861"/>
      <c r="F31" s="1331"/>
    </row>
    <row r="32" customFormat="false" ht="17.15" hidden="false" customHeight="true" outlineLevel="0" collapsed="false">
      <c r="A32" s="860"/>
      <c r="B32" s="861"/>
      <c r="C32" s="861"/>
      <c r="D32" s="1332"/>
      <c r="E32" s="861"/>
      <c r="F32" s="1331"/>
    </row>
    <row r="33" customFormat="false" ht="17.15" hidden="false" customHeight="true" outlineLevel="0" collapsed="false">
      <c r="A33" s="860" t="s">
        <v>1566</v>
      </c>
      <c r="B33" s="861"/>
      <c r="C33" s="861" t="n">
        <v>3</v>
      </c>
      <c r="D33" s="1332"/>
      <c r="E33" s="861"/>
      <c r="F33" s="1331"/>
    </row>
    <row r="34" customFormat="false" ht="17.15" hidden="false" customHeight="true" outlineLevel="0" collapsed="false">
      <c r="A34" s="860"/>
      <c r="B34" s="861"/>
      <c r="C34" s="861"/>
      <c r="D34" s="1332"/>
      <c r="E34" s="861"/>
      <c r="F34" s="1331"/>
    </row>
    <row r="35" customFormat="false" ht="17.15" hidden="false" customHeight="true" outlineLevel="0" collapsed="false">
      <c r="A35" s="860" t="s">
        <v>1567</v>
      </c>
      <c r="B35" s="861"/>
      <c r="C35" s="861"/>
      <c r="D35" s="1332"/>
      <c r="E35" s="861"/>
      <c r="F35" s="1331"/>
    </row>
    <row r="36" customFormat="false" ht="17.15" hidden="false" customHeight="true" outlineLevel="0" collapsed="false">
      <c r="A36" s="860"/>
      <c r="B36" s="861"/>
      <c r="C36" s="861"/>
      <c r="D36" s="1332"/>
      <c r="E36" s="861"/>
      <c r="F36" s="1331"/>
    </row>
    <row r="37" customFormat="false" ht="17.15" hidden="false" customHeight="true" outlineLevel="0" collapsed="false">
      <c r="A37" s="1199"/>
      <c r="B37" s="1333"/>
      <c r="C37" s="1333"/>
      <c r="D37" s="1334"/>
      <c r="E37" s="1333"/>
      <c r="F37" s="1335"/>
    </row>
    <row r="38" customFormat="false" ht="14.5" hidden="false" customHeight="false" outlineLevel="0" collapsed="false">
      <c r="A38" s="1336"/>
    </row>
    <row r="39" customFormat="false" ht="15.75" hidden="false" customHeight="true" outlineLevel="0" collapsed="false">
      <c r="A39" s="903" t="s">
        <v>1568</v>
      </c>
      <c r="B39" s="903"/>
      <c r="C39" s="903"/>
      <c r="D39" s="903"/>
      <c r="E39" s="903"/>
      <c r="F39" s="903"/>
    </row>
    <row r="40" customFormat="false" ht="46.5" hidden="false" customHeight="true" outlineLevel="0" collapsed="false">
      <c r="A40" s="903" t="s">
        <v>1569</v>
      </c>
      <c r="B40" s="903"/>
      <c r="C40" s="903"/>
      <c r="D40" s="903"/>
      <c r="E40" s="903"/>
      <c r="F40" s="903"/>
    </row>
    <row r="42" customFormat="false" ht="15" hidden="false" customHeight="false" outlineLevel="0" collapsed="false">
      <c r="A42" s="1337"/>
    </row>
  </sheetData>
  <mergeCells count="2">
    <mergeCell ref="A39:F39"/>
    <mergeCell ref="A40:F4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6"/>
  <sheetViews>
    <sheetView showFormulas="false" showGridLines="true" showRowColHeaders="true" showZeros="true" rightToLeft="false" tabSelected="false" showOutlineSymbols="true" defaultGridColor="true" view="normal" topLeftCell="A145" colorId="64" zoomScale="100" zoomScaleNormal="100" zoomScalePageLayoutView="100" workbookViewId="0">
      <selection pane="topLeft" activeCell="C208" activeCellId="0" sqref="C208"/>
    </sheetView>
  </sheetViews>
  <sheetFormatPr defaultColWidth="10.90234375" defaultRowHeight="14.5" zeroHeight="false" outlineLevelRow="0" outlineLevelCol="0"/>
  <cols>
    <col collapsed="false" customWidth="true" hidden="false" outlineLevel="0" max="1" min="1" style="0" width="54.17"/>
    <col collapsed="false" customWidth="true" hidden="false" outlineLevel="0" max="2" min="2" style="0" width="7.26"/>
    <col collapsed="false" customWidth="true" hidden="false" outlineLevel="0" max="3" min="3" style="0" width="68.72"/>
  </cols>
  <sheetData>
    <row r="1" customFormat="false" ht="15.5" hidden="false" customHeight="false" outlineLevel="0" collapsed="false">
      <c r="A1" s="1338" t="s">
        <v>1570</v>
      </c>
      <c r="B1" s="1338"/>
      <c r="C1" s="1338"/>
      <c r="D1" s="1339"/>
    </row>
    <row r="2" s="214" customFormat="true" ht="14.15" hidden="false" customHeight="true" outlineLevel="0" collapsed="false">
      <c r="A2" s="1340" t="s">
        <v>1571</v>
      </c>
      <c r="B2" s="1341"/>
      <c r="C2" s="1342" t="s">
        <v>1572</v>
      </c>
    </row>
    <row r="3" s="214" customFormat="true" ht="14.15" hidden="false" customHeight="true" outlineLevel="0" collapsed="false">
      <c r="A3" s="1343" t="s">
        <v>1573</v>
      </c>
      <c r="B3" s="1344"/>
      <c r="C3" s="1345" t="s">
        <v>1574</v>
      </c>
    </row>
    <row r="4" s="214" customFormat="true" ht="14.15" hidden="false" customHeight="true" outlineLevel="0" collapsed="false">
      <c r="A4" s="1343" t="s">
        <v>1575</v>
      </c>
      <c r="B4" s="1344"/>
      <c r="C4" s="1345" t="s">
        <v>1576</v>
      </c>
    </row>
    <row r="5" s="214" customFormat="true" ht="14.15" hidden="false" customHeight="true" outlineLevel="0" collapsed="false">
      <c r="A5" s="1343" t="s">
        <v>1577</v>
      </c>
      <c r="B5" s="1344"/>
      <c r="C5" s="1345" t="s">
        <v>1578</v>
      </c>
    </row>
    <row r="6" s="214" customFormat="true" ht="14.15" hidden="false" customHeight="true" outlineLevel="0" collapsed="false">
      <c r="A6" s="1343" t="s">
        <v>1579</v>
      </c>
      <c r="B6" s="1344"/>
      <c r="C6" s="1346" t="s">
        <v>1580</v>
      </c>
    </row>
    <row r="7" s="214" customFormat="true" ht="14.15" hidden="false" customHeight="true" outlineLevel="0" collapsed="false">
      <c r="A7" s="1343" t="s">
        <v>1581</v>
      </c>
      <c r="B7" s="1344"/>
      <c r="C7" s="1345" t="s">
        <v>1582</v>
      </c>
    </row>
    <row r="8" s="214" customFormat="true" ht="14.15" hidden="false" customHeight="true" outlineLevel="0" collapsed="false">
      <c r="A8" s="1343" t="s">
        <v>1583</v>
      </c>
      <c r="B8" s="1344"/>
      <c r="C8" s="1345" t="s">
        <v>1584</v>
      </c>
    </row>
    <row r="9" s="214" customFormat="true" ht="14.15" hidden="false" customHeight="true" outlineLevel="0" collapsed="false">
      <c r="A9" s="1347" t="s">
        <v>1585</v>
      </c>
      <c r="B9" s="1344"/>
      <c r="C9" s="1345" t="s">
        <v>1586</v>
      </c>
    </row>
    <row r="10" s="214" customFormat="true" ht="14.15" hidden="false" customHeight="true" outlineLevel="0" collapsed="false">
      <c r="A10" s="1343" t="s">
        <v>1587</v>
      </c>
      <c r="B10" s="1344"/>
      <c r="C10" s="1346" t="s">
        <v>1588</v>
      </c>
    </row>
    <row r="11" s="214" customFormat="true" ht="14.15" hidden="false" customHeight="true" outlineLevel="0" collapsed="false">
      <c r="A11" s="1343" t="s">
        <v>1589</v>
      </c>
      <c r="B11" s="1344"/>
      <c r="C11" s="1345" t="s">
        <v>1590</v>
      </c>
    </row>
    <row r="12" s="214" customFormat="true" ht="14.15" hidden="false" customHeight="true" outlineLevel="0" collapsed="false">
      <c r="A12" s="1343" t="s">
        <v>1591</v>
      </c>
      <c r="B12" s="1344"/>
      <c r="C12" s="1345" t="s">
        <v>1592</v>
      </c>
    </row>
    <row r="13" s="214" customFormat="true" ht="14.15" hidden="false" customHeight="true" outlineLevel="0" collapsed="false">
      <c r="A13" s="1343" t="s">
        <v>1593</v>
      </c>
      <c r="B13" s="1344"/>
      <c r="C13" s="1346" t="s">
        <v>1594</v>
      </c>
    </row>
    <row r="14" s="214" customFormat="true" ht="14.15" hidden="false" customHeight="true" outlineLevel="0" collapsed="false">
      <c r="A14" s="1343" t="s">
        <v>1595</v>
      </c>
      <c r="B14" s="1344"/>
      <c r="C14" s="1345" t="s">
        <v>1596</v>
      </c>
    </row>
    <row r="15" s="214" customFormat="true" ht="14.15" hidden="false" customHeight="true" outlineLevel="0" collapsed="false">
      <c r="A15" s="1343" t="s">
        <v>1597</v>
      </c>
      <c r="B15" s="1344"/>
      <c r="C15" s="1345" t="s">
        <v>1598</v>
      </c>
    </row>
    <row r="16" s="214" customFormat="true" ht="14.15" hidden="false" customHeight="true" outlineLevel="0" collapsed="false">
      <c r="A16" s="1343" t="s">
        <v>1599</v>
      </c>
      <c r="B16" s="1344"/>
      <c r="C16" s="1345" t="s">
        <v>1600</v>
      </c>
    </row>
    <row r="17" s="214" customFormat="true" ht="19.5" hidden="false" customHeight="true" outlineLevel="0" collapsed="false">
      <c r="A17" s="1343" t="s">
        <v>1601</v>
      </c>
      <c r="B17" s="1344"/>
      <c r="C17" s="1346" t="s">
        <v>1602</v>
      </c>
    </row>
    <row r="18" s="214" customFormat="true" ht="14.15" hidden="false" customHeight="true" outlineLevel="0" collapsed="false">
      <c r="A18" s="1343" t="s">
        <v>1603</v>
      </c>
      <c r="B18" s="1344"/>
      <c r="C18" s="1345" t="s">
        <v>1604</v>
      </c>
    </row>
    <row r="19" s="214" customFormat="true" ht="14.15" hidden="false" customHeight="true" outlineLevel="0" collapsed="false">
      <c r="A19" s="1343" t="s">
        <v>1605</v>
      </c>
      <c r="B19" s="1344"/>
      <c r="C19" s="1345" t="s">
        <v>1606</v>
      </c>
    </row>
    <row r="20" s="214" customFormat="true" ht="14.15" hidden="false" customHeight="true" outlineLevel="0" collapsed="false">
      <c r="A20" s="1343" t="s">
        <v>1607</v>
      </c>
      <c r="B20" s="1344"/>
      <c r="C20" s="1346" t="s">
        <v>1608</v>
      </c>
    </row>
    <row r="21" s="214" customFormat="true" ht="14.15" hidden="false" customHeight="true" outlineLevel="0" collapsed="false">
      <c r="A21" s="1347" t="s">
        <v>1609</v>
      </c>
      <c r="B21" s="1344"/>
      <c r="C21" s="1345" t="s">
        <v>1610</v>
      </c>
    </row>
    <row r="22" s="214" customFormat="true" ht="14.15" hidden="false" customHeight="true" outlineLevel="0" collapsed="false">
      <c r="A22" s="1343" t="s">
        <v>1611</v>
      </c>
      <c r="B22" s="1344"/>
      <c r="C22" s="1345" t="s">
        <v>1612</v>
      </c>
    </row>
    <row r="23" s="214" customFormat="true" ht="14.15" hidden="false" customHeight="true" outlineLevel="0" collapsed="false">
      <c r="A23" s="1343" t="s">
        <v>1613</v>
      </c>
      <c r="B23" s="1344"/>
      <c r="C23" s="1346" t="s">
        <v>1614</v>
      </c>
    </row>
    <row r="24" s="214" customFormat="true" ht="14.15" hidden="false" customHeight="true" outlineLevel="0" collapsed="false">
      <c r="A24" s="1343" t="s">
        <v>1615</v>
      </c>
      <c r="B24" s="1344"/>
      <c r="C24" s="1345" t="s">
        <v>1616</v>
      </c>
    </row>
    <row r="25" s="214" customFormat="true" ht="14.15" hidden="false" customHeight="true" outlineLevel="0" collapsed="false">
      <c r="A25" s="1343" t="s">
        <v>1617</v>
      </c>
      <c r="B25" s="1344"/>
      <c r="C25" s="1345" t="s">
        <v>1618</v>
      </c>
    </row>
    <row r="26" s="214" customFormat="true" ht="14.15" hidden="false" customHeight="true" outlineLevel="0" collapsed="false">
      <c r="A26" s="1343" t="s">
        <v>1619</v>
      </c>
      <c r="B26" s="1344"/>
      <c r="C26" s="1346" t="s">
        <v>1620</v>
      </c>
    </row>
    <row r="27" s="214" customFormat="true" ht="14.15" hidden="false" customHeight="true" outlineLevel="0" collapsed="false">
      <c r="A27" s="1347" t="s">
        <v>1621</v>
      </c>
      <c r="B27" s="1344"/>
      <c r="C27" s="1345" t="s">
        <v>1622</v>
      </c>
    </row>
    <row r="28" s="214" customFormat="true" ht="14.15" hidden="false" customHeight="true" outlineLevel="0" collapsed="false">
      <c r="A28" s="1343" t="s">
        <v>1623</v>
      </c>
      <c r="B28" s="1344"/>
      <c r="C28" s="1345" t="s">
        <v>1624</v>
      </c>
    </row>
    <row r="29" s="214" customFormat="true" ht="14.15" hidden="false" customHeight="true" outlineLevel="0" collapsed="false">
      <c r="A29" s="1343" t="s">
        <v>1625</v>
      </c>
      <c r="B29" s="1344"/>
      <c r="C29" s="1345" t="s">
        <v>1626</v>
      </c>
    </row>
    <row r="30" s="214" customFormat="true" ht="14.15" hidden="false" customHeight="true" outlineLevel="0" collapsed="false">
      <c r="A30" s="1347" t="s">
        <v>1627</v>
      </c>
      <c r="B30" s="1344"/>
      <c r="C30" s="1346" t="s">
        <v>1628</v>
      </c>
    </row>
    <row r="31" s="214" customFormat="true" ht="14.15" hidden="false" customHeight="true" outlineLevel="0" collapsed="false">
      <c r="A31" s="1343" t="s">
        <v>1629</v>
      </c>
      <c r="B31" s="1344"/>
      <c r="C31" s="1345" t="s">
        <v>1630</v>
      </c>
    </row>
    <row r="32" s="214" customFormat="true" ht="14.15" hidden="false" customHeight="true" outlineLevel="0" collapsed="false">
      <c r="A32" s="1343" t="s">
        <v>1631</v>
      </c>
      <c r="B32" s="1344"/>
      <c r="C32" s="1345" t="s">
        <v>1632</v>
      </c>
    </row>
    <row r="33" s="214" customFormat="true" ht="14.15" hidden="false" customHeight="true" outlineLevel="0" collapsed="false">
      <c r="A33" s="1347" t="s">
        <v>1633</v>
      </c>
      <c r="B33" s="1344"/>
      <c r="C33" s="1346" t="s">
        <v>1634</v>
      </c>
    </row>
    <row r="34" s="214" customFormat="true" ht="14.15" hidden="false" customHeight="true" outlineLevel="0" collapsed="false">
      <c r="A34" s="1343" t="s">
        <v>1635</v>
      </c>
      <c r="B34" s="1344"/>
      <c r="C34" s="1345" t="s">
        <v>1636</v>
      </c>
    </row>
    <row r="35" s="214" customFormat="true" ht="14.15" hidden="false" customHeight="true" outlineLevel="0" collapsed="false">
      <c r="A35" s="1343" t="s">
        <v>1637</v>
      </c>
      <c r="B35" s="1344"/>
      <c r="C35" s="1345" t="s">
        <v>1638</v>
      </c>
    </row>
    <row r="36" s="214" customFormat="true" ht="14.15" hidden="false" customHeight="true" outlineLevel="0" collapsed="false">
      <c r="A36" s="1347" t="s">
        <v>1639</v>
      </c>
      <c r="B36" s="1344"/>
      <c r="C36" s="1345" t="s">
        <v>1640</v>
      </c>
    </row>
    <row r="37" s="214" customFormat="true" ht="14.15" hidden="false" customHeight="true" outlineLevel="0" collapsed="false">
      <c r="A37" s="1343" t="s">
        <v>1641</v>
      </c>
      <c r="B37" s="1344"/>
      <c r="C37" s="1346" t="s">
        <v>1642</v>
      </c>
    </row>
    <row r="38" s="214" customFormat="true" ht="14.15" hidden="false" customHeight="true" outlineLevel="0" collapsed="false">
      <c r="A38" s="1343" t="s">
        <v>1643</v>
      </c>
      <c r="B38" s="1344"/>
      <c r="C38" s="1345" t="s">
        <v>1644</v>
      </c>
    </row>
    <row r="39" s="214" customFormat="true" ht="14.15" hidden="false" customHeight="true" outlineLevel="0" collapsed="false">
      <c r="A39" s="1347" t="s">
        <v>1645</v>
      </c>
      <c r="B39" s="1344"/>
      <c r="C39" s="1345" t="s">
        <v>1646</v>
      </c>
    </row>
    <row r="40" s="214" customFormat="true" ht="14.15" hidden="false" customHeight="true" outlineLevel="0" collapsed="false">
      <c r="A40" s="1343" t="s">
        <v>1647</v>
      </c>
      <c r="B40" s="1344"/>
      <c r="C40" s="1346" t="s">
        <v>1648</v>
      </c>
    </row>
    <row r="41" s="214" customFormat="true" ht="14.15" hidden="false" customHeight="true" outlineLevel="0" collapsed="false">
      <c r="A41" s="1347" t="s">
        <v>1649</v>
      </c>
      <c r="B41" s="1344"/>
      <c r="C41" s="1345" t="s">
        <v>1650</v>
      </c>
    </row>
    <row r="42" s="214" customFormat="true" ht="14.15" hidden="false" customHeight="true" outlineLevel="0" collapsed="false">
      <c r="A42" s="1343" t="s">
        <v>1651</v>
      </c>
      <c r="B42" s="1344"/>
      <c r="C42" s="1345" t="s">
        <v>1652</v>
      </c>
    </row>
    <row r="43" s="214" customFormat="true" ht="14.15" hidden="false" customHeight="true" outlineLevel="0" collapsed="false">
      <c r="A43" s="1343" t="s">
        <v>1653</v>
      </c>
      <c r="B43" s="1344"/>
      <c r="C43" s="1346" t="s">
        <v>1654</v>
      </c>
    </row>
    <row r="44" s="214" customFormat="true" ht="14.15" hidden="false" customHeight="true" outlineLevel="0" collapsed="false">
      <c r="A44" s="1347" t="s">
        <v>1655</v>
      </c>
      <c r="B44" s="1344"/>
      <c r="C44" s="1345" t="s">
        <v>1656</v>
      </c>
    </row>
    <row r="45" s="214" customFormat="true" ht="14.15" hidden="false" customHeight="true" outlineLevel="0" collapsed="false">
      <c r="A45" s="1343" t="s">
        <v>1657</v>
      </c>
      <c r="B45" s="1344"/>
      <c r="C45" s="1345" t="s">
        <v>1658</v>
      </c>
    </row>
    <row r="46" s="214" customFormat="true" ht="14.15" hidden="false" customHeight="true" outlineLevel="0" collapsed="false">
      <c r="A46" s="1343" t="s">
        <v>1659</v>
      </c>
      <c r="B46" s="1344"/>
      <c r="C46" s="1345" t="s">
        <v>1660</v>
      </c>
    </row>
    <row r="47" s="214" customFormat="true" ht="14.15" hidden="false" customHeight="true" outlineLevel="0" collapsed="false">
      <c r="A47" s="1347" t="s">
        <v>1661</v>
      </c>
      <c r="B47" s="1344"/>
      <c r="C47" s="1345" t="s">
        <v>1662</v>
      </c>
    </row>
    <row r="48" s="214" customFormat="true" ht="14.15" hidden="false" customHeight="true" outlineLevel="0" collapsed="false">
      <c r="A48" s="1343" t="s">
        <v>1663</v>
      </c>
      <c r="B48" s="1344"/>
      <c r="C48" s="1345" t="s">
        <v>1664</v>
      </c>
    </row>
    <row r="49" s="214" customFormat="true" ht="14.15" hidden="false" customHeight="true" outlineLevel="0" collapsed="false">
      <c r="A49" s="1343" t="s">
        <v>1665</v>
      </c>
      <c r="B49" s="1344"/>
      <c r="C49" s="1346" t="s">
        <v>1666</v>
      </c>
    </row>
    <row r="50" s="214" customFormat="true" ht="14.15" hidden="false" customHeight="true" outlineLevel="0" collapsed="false">
      <c r="A50" s="1347" t="s">
        <v>1667</v>
      </c>
      <c r="B50" s="1344"/>
      <c r="C50" s="1345" t="s">
        <v>1668</v>
      </c>
    </row>
    <row r="51" s="214" customFormat="true" ht="14.15" hidden="false" customHeight="true" outlineLevel="0" collapsed="false">
      <c r="A51" s="1343" t="s">
        <v>1669</v>
      </c>
      <c r="B51" s="1344"/>
      <c r="C51" s="1345" t="s">
        <v>1670</v>
      </c>
    </row>
    <row r="52" s="214" customFormat="true" ht="14.15" hidden="false" customHeight="true" outlineLevel="0" collapsed="false">
      <c r="A52" s="1347" t="s">
        <v>1671</v>
      </c>
      <c r="B52" s="1344"/>
      <c r="C52" s="1346" t="s">
        <v>1672</v>
      </c>
    </row>
    <row r="53" s="214" customFormat="true" ht="14.15" hidden="false" customHeight="true" outlineLevel="0" collapsed="false">
      <c r="A53" s="1343" t="s">
        <v>1673</v>
      </c>
      <c r="B53" s="1344"/>
      <c r="C53" s="1345" t="s">
        <v>1674</v>
      </c>
    </row>
    <row r="54" s="214" customFormat="true" ht="14.15" hidden="false" customHeight="true" outlineLevel="0" collapsed="false">
      <c r="A54" s="1343" t="s">
        <v>1675</v>
      </c>
      <c r="B54" s="1344"/>
      <c r="C54" s="1345" t="s">
        <v>1676</v>
      </c>
    </row>
    <row r="55" s="214" customFormat="true" ht="14.15" hidden="false" customHeight="true" outlineLevel="0" collapsed="false">
      <c r="A55" s="1343" t="s">
        <v>1677</v>
      </c>
      <c r="B55" s="1344"/>
      <c r="C55" s="1345" t="s">
        <v>1678</v>
      </c>
    </row>
    <row r="56" s="214" customFormat="true" ht="14.15" hidden="false" customHeight="true" outlineLevel="0" collapsed="false">
      <c r="A56" s="1347" t="s">
        <v>1679</v>
      </c>
      <c r="B56" s="1344"/>
      <c r="C56" s="1346" t="s">
        <v>1680</v>
      </c>
    </row>
    <row r="57" s="214" customFormat="true" ht="14.15" hidden="false" customHeight="true" outlineLevel="0" collapsed="false">
      <c r="A57" s="1343" t="s">
        <v>1681</v>
      </c>
      <c r="B57" s="1344"/>
      <c r="C57" s="1345" t="s">
        <v>1682</v>
      </c>
    </row>
    <row r="58" s="214" customFormat="true" ht="14.15" hidden="false" customHeight="true" outlineLevel="0" collapsed="false">
      <c r="A58" s="1343" t="s">
        <v>1683</v>
      </c>
      <c r="B58" s="1344"/>
      <c r="C58" s="1345" t="s">
        <v>1684</v>
      </c>
    </row>
    <row r="59" s="214" customFormat="true" ht="14.15" hidden="false" customHeight="true" outlineLevel="0" collapsed="false">
      <c r="A59" s="1343" t="s">
        <v>1685</v>
      </c>
      <c r="B59" s="1344"/>
      <c r="C59" s="1346" t="s">
        <v>1686</v>
      </c>
    </row>
    <row r="60" s="214" customFormat="true" ht="14.15" hidden="false" customHeight="true" outlineLevel="0" collapsed="false">
      <c r="A60" s="1347" t="s">
        <v>1687</v>
      </c>
      <c r="B60" s="1344"/>
      <c r="C60" s="1345" t="s">
        <v>1688</v>
      </c>
    </row>
    <row r="61" s="214" customFormat="true" ht="14.15" hidden="false" customHeight="true" outlineLevel="0" collapsed="false">
      <c r="A61" s="1343" t="s">
        <v>1689</v>
      </c>
      <c r="B61" s="1344"/>
      <c r="C61" s="1345" t="s">
        <v>1690</v>
      </c>
    </row>
    <row r="62" s="214" customFormat="true" ht="14.15" hidden="false" customHeight="true" outlineLevel="0" collapsed="false">
      <c r="A62" s="1347" t="s">
        <v>1691</v>
      </c>
      <c r="B62" s="1344"/>
      <c r="C62" s="1345" t="s">
        <v>1692</v>
      </c>
    </row>
    <row r="63" s="214" customFormat="true" ht="14.15" hidden="false" customHeight="true" outlineLevel="0" collapsed="false">
      <c r="A63" s="1343" t="s">
        <v>1693</v>
      </c>
      <c r="B63" s="1344"/>
      <c r="C63" s="1346" t="s">
        <v>1694</v>
      </c>
    </row>
    <row r="64" s="214" customFormat="true" ht="14.15" hidden="false" customHeight="true" outlineLevel="0" collapsed="false">
      <c r="A64" s="1343" t="s">
        <v>1695</v>
      </c>
      <c r="B64" s="1344"/>
      <c r="C64" s="1345" t="s">
        <v>1696</v>
      </c>
    </row>
    <row r="65" s="214" customFormat="true" ht="14.15" hidden="false" customHeight="true" outlineLevel="0" collapsed="false">
      <c r="A65" s="1347" t="s">
        <v>1697</v>
      </c>
      <c r="B65" s="1344"/>
      <c r="C65" s="1345" t="s">
        <v>1698</v>
      </c>
    </row>
    <row r="66" s="214" customFormat="true" ht="14.15" hidden="false" customHeight="true" outlineLevel="0" collapsed="false">
      <c r="A66" s="1343" t="s">
        <v>1699</v>
      </c>
      <c r="B66" s="1344"/>
      <c r="C66" s="1345" t="s">
        <v>1700</v>
      </c>
    </row>
    <row r="67" s="214" customFormat="true" ht="14.15" hidden="false" customHeight="true" outlineLevel="0" collapsed="false">
      <c r="A67" s="1343" t="s">
        <v>1701</v>
      </c>
      <c r="B67" s="1344"/>
      <c r="C67" s="1346" t="s">
        <v>1702</v>
      </c>
    </row>
    <row r="68" s="214" customFormat="true" ht="14.15" hidden="false" customHeight="true" outlineLevel="0" collapsed="false">
      <c r="A68" s="1347" t="s">
        <v>1703</v>
      </c>
      <c r="B68" s="1344"/>
      <c r="C68" s="1345" t="s">
        <v>1704</v>
      </c>
    </row>
    <row r="69" s="214" customFormat="true" ht="14.15" hidden="false" customHeight="true" outlineLevel="0" collapsed="false">
      <c r="A69" s="1343" t="s">
        <v>1705</v>
      </c>
      <c r="B69" s="1344"/>
      <c r="C69" s="1346" t="s">
        <v>1706</v>
      </c>
    </row>
    <row r="70" s="214" customFormat="true" ht="14.15" hidden="false" customHeight="true" outlineLevel="0" collapsed="false">
      <c r="A70" s="1343" t="s">
        <v>1707</v>
      </c>
      <c r="B70" s="1344"/>
      <c r="C70" s="1345" t="s">
        <v>1708</v>
      </c>
    </row>
    <row r="71" s="214" customFormat="true" ht="14.15" hidden="false" customHeight="true" outlineLevel="0" collapsed="false">
      <c r="A71" s="1343" t="s">
        <v>1709</v>
      </c>
      <c r="B71" s="1344"/>
      <c r="C71" s="1345" t="s">
        <v>1710</v>
      </c>
    </row>
    <row r="72" s="214" customFormat="true" ht="14.15" hidden="false" customHeight="true" outlineLevel="0" collapsed="false">
      <c r="A72" s="1347" t="s">
        <v>1711</v>
      </c>
      <c r="B72" s="1344"/>
      <c r="C72" s="1345" t="s">
        <v>1712</v>
      </c>
    </row>
    <row r="73" s="214" customFormat="true" ht="14.15" hidden="false" customHeight="true" outlineLevel="0" collapsed="false">
      <c r="A73" s="1343" t="s">
        <v>1713</v>
      </c>
      <c r="B73" s="1344"/>
      <c r="C73" s="1346" t="s">
        <v>1714</v>
      </c>
    </row>
    <row r="74" s="214" customFormat="true" ht="14.15" hidden="false" customHeight="true" outlineLevel="0" collapsed="false">
      <c r="A74" s="1343" t="s">
        <v>1715</v>
      </c>
      <c r="B74" s="1344"/>
      <c r="C74" s="1345" t="s">
        <v>1716</v>
      </c>
    </row>
    <row r="75" s="214" customFormat="true" ht="14.15" hidden="false" customHeight="true" outlineLevel="0" collapsed="false">
      <c r="A75" s="1347" t="s">
        <v>1717</v>
      </c>
      <c r="B75" s="1344"/>
      <c r="C75" s="1345" t="s">
        <v>1718</v>
      </c>
    </row>
    <row r="76" s="214" customFormat="true" ht="14.15" hidden="false" customHeight="true" outlineLevel="0" collapsed="false">
      <c r="A76" s="1343" t="s">
        <v>1719</v>
      </c>
      <c r="B76" s="1344"/>
      <c r="C76" s="1345" t="s">
        <v>1720</v>
      </c>
    </row>
    <row r="77" s="214" customFormat="true" ht="14.15" hidden="false" customHeight="true" outlineLevel="0" collapsed="false">
      <c r="A77" s="1347" t="s">
        <v>1721</v>
      </c>
      <c r="B77" s="1344"/>
      <c r="C77" s="1345" t="s">
        <v>1722</v>
      </c>
    </row>
    <row r="78" s="214" customFormat="true" ht="14.15" hidden="false" customHeight="true" outlineLevel="0" collapsed="false">
      <c r="A78" s="1343" t="s">
        <v>1723</v>
      </c>
      <c r="B78" s="1344"/>
      <c r="C78" s="1345" t="s">
        <v>1724</v>
      </c>
    </row>
    <row r="79" s="214" customFormat="true" ht="14.15" hidden="false" customHeight="true" outlineLevel="0" collapsed="false">
      <c r="A79" s="1343" t="s">
        <v>1725</v>
      </c>
      <c r="B79" s="1344"/>
      <c r="C79" s="1346" t="s">
        <v>1726</v>
      </c>
    </row>
    <row r="80" s="214" customFormat="true" ht="14.15" hidden="false" customHeight="true" outlineLevel="0" collapsed="false">
      <c r="A80" s="1343" t="s">
        <v>1727</v>
      </c>
      <c r="B80" s="1344"/>
      <c r="C80" s="1345" t="s">
        <v>1728</v>
      </c>
    </row>
    <row r="81" s="214" customFormat="true" ht="14.15" hidden="false" customHeight="true" outlineLevel="0" collapsed="false">
      <c r="A81" s="1343" t="s">
        <v>1729</v>
      </c>
      <c r="B81" s="1344"/>
      <c r="C81" s="1346" t="s">
        <v>1730</v>
      </c>
    </row>
    <row r="82" s="214" customFormat="true" ht="14.15" hidden="false" customHeight="true" outlineLevel="0" collapsed="false">
      <c r="A82" s="1348" t="s">
        <v>1731</v>
      </c>
      <c r="B82" s="1349"/>
      <c r="C82" s="1350" t="s">
        <v>1732</v>
      </c>
    </row>
    <row r="83" s="214" customFormat="true" ht="14.5" hidden="false" customHeight="false" outlineLevel="0" collapsed="false">
      <c r="A83" s="1351"/>
      <c r="B83" s="1351"/>
      <c r="C83" s="1351"/>
    </row>
    <row r="84" customFormat="false" ht="14.5" hidden="false" customHeight="false" outlineLevel="0" collapsed="false">
      <c r="A84" s="1351"/>
      <c r="B84" s="1352"/>
      <c r="C84" s="1352"/>
    </row>
    <row r="85" customFormat="false" ht="14.5" hidden="false" customHeight="false" outlineLevel="0" collapsed="false">
      <c r="A85" s="1352"/>
      <c r="B85" s="1352"/>
      <c r="C85" s="1352"/>
    </row>
    <row r="86" customFormat="false" ht="14.5" hidden="false" customHeight="false" outlineLevel="0" collapsed="false">
      <c r="A86" s="1352"/>
      <c r="B86" s="1352"/>
      <c r="C86" s="1352"/>
    </row>
  </sheetData>
  <mergeCells count="1">
    <mergeCell ref="A1:C1"/>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65"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2017-10-25T12:04:05Z</dcterms:created>
  <dc:creator>user</dc:creator>
  <dc:description/>
  <dc:language>en-US</dc:language>
  <cp:lastModifiedBy>USER</cp:lastModifiedBy>
  <cp:lastPrinted>2019-04-13T18:10:01Z</cp:lastPrinted>
  <dcterms:modified xsi:type="dcterms:W3CDTF">2024-09-17T08:44:00Z</dcterms:modified>
  <cp:revision>0</cp:revision>
  <dc:subject/>
  <dc:title/>
</cp:coreProperties>
</file>