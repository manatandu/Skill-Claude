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JOURNAUX DE SUIVI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5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4" fillId="0" borderId="0" pivotButton="0" quotePrefix="0" xfId="0"/>
    <xf numFmtId="164" fontId="2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103</t>
        </is>
      </c>
      <c r="B2" s="4" t="inlineStr">
        <is>
          <t>Capital personnel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2000000</v>
      </c>
    </row>
    <row r="3">
      <c r="A3" s="4" t="inlineStr">
        <is>
          <t>162</t>
        </is>
      </c>
      <c r="B3" s="4" t="inlineStr">
        <is>
          <t>Emprunt établissement de crédit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1500000</v>
      </c>
    </row>
    <row r="4">
      <c r="A4" s="4" t="inlineStr">
        <is>
          <t>2441</t>
        </is>
      </c>
      <c r="B4" s="4" t="inlineStr">
        <is>
          <t>Matériel et mobilier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3000000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1200000</v>
      </c>
    </row>
    <row r="6">
      <c r="A6" s="4" t="inlineStr">
        <is>
          <t>33</t>
        </is>
      </c>
      <c r="B6" s="4" t="inlineStr">
        <is>
          <t>Stocks d'autres approvisionnements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800000</v>
      </c>
      <c r="H6" s="5" t="n">
        <v>0</v>
      </c>
    </row>
    <row r="7">
      <c r="A7" s="4" t="inlineStr">
        <is>
          <t>401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400000</v>
      </c>
    </row>
    <row r="8">
      <c r="A8" s="4" t="inlineStr">
        <is>
          <t>521</t>
        </is>
      </c>
      <c r="B8" s="4" t="inlineStr">
        <is>
          <t>Banque locale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2500000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500000</v>
      </c>
      <c r="H9" s="5" t="n">
        <v>0</v>
      </c>
    </row>
    <row r="10">
      <c r="A10" s="4" t="inlineStr">
        <is>
          <t>601</t>
        </is>
      </c>
      <c r="B10" s="4" t="inlineStr">
        <is>
          <t>Achats de marchandises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5200000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250000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1200000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1800000</v>
      </c>
      <c r="H14" s="5" t="n">
        <v>0</v>
      </c>
    </row>
    <row r="15">
      <c r="A15" s="4" t="inlineStr">
        <is>
          <t>671</t>
        </is>
      </c>
      <c r="B15" s="4" t="inlineStr">
        <is>
          <t>Charges d'intérêts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150000</v>
      </c>
      <c r="H15" s="5" t="n">
        <v>0</v>
      </c>
    </row>
    <row r="16">
      <c r="A16" s="4" t="inlineStr">
        <is>
          <t>681</t>
        </is>
      </c>
      <c r="B16" s="4" t="inlineStr">
        <is>
          <t>Dotations aux amortissements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600000</v>
      </c>
      <c r="H16" s="5" t="n">
        <v>0</v>
      </c>
    </row>
    <row r="17">
      <c r="A17" s="4" t="inlineStr">
        <is>
          <t>701</t>
        </is>
      </c>
      <c r="B17" s="4" t="inlineStr">
        <is>
          <t>Ventes de marchandises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10200000</v>
      </c>
    </row>
    <row r="18">
      <c r="A18" s="4" t="inlineStr">
        <is>
          <t>707</t>
        </is>
      </c>
      <c r="B18" s="4" t="inlineStr">
        <is>
          <t>Produits accessoires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1000000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ETS EXEMPLE COMMERCE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OHADA (SYSCOHADA REVISE - AUDCIF)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Entités relevant du Système minimal de trésorerie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ETS EXEMPLE COMMERCE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RCCM-2022-A-567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4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Journaux de suivi (créances impayées, dettes à payer)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SYSCOHADA révisé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ETS EXEMPLE COMMERCE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DIRIGEANTS ET RESPONSABLES DE L'ENTITE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SYSCOHADA - SMT
PAGE 1/1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SA1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SP1</t>
        </is>
      </c>
      <c r="G10" s="4" t="inlineStr">
        <is>
          <t>Compte exploitant</t>
        </is>
      </c>
      <c r="H10" s="4" t="inlineStr">
        <is>
          <t>1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SA2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SP2</t>
        </is>
      </c>
      <c r="G11" s="4" t="inlineStr">
        <is>
          <t>Résultat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SA3</t>
        </is>
      </c>
      <c r="B12" s="4" t="inlineStr">
        <is>
          <t>Clients et débiteurs divers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SP3</t>
        </is>
      </c>
      <c r="G12" s="4" t="inlineStr">
        <is>
          <t>Emprunt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SA4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SP4</t>
        </is>
      </c>
      <c r="G13" s="4" t="inlineStr">
        <is>
          <t>Fournisseurs et créditeurs divers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SA5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SPZ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SAZ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SYSCOHADA - SMT
PAGE 1/2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SA1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SA2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SA3</t>
        </is>
      </c>
      <c r="B11" s="4" t="inlineStr">
        <is>
          <t>Clients et débiteurs divers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N'!$A$2:$A$50,"591*",'BALANCE N'!$H$2:$H$50)+SUMIF('BALANCE N'!$A$2:$A$50,"590*",'BALANCE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SA4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SA5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N'!$A$2:$A$50,"56*",'BALANCE N'!$G$2:$G$50)-SUMIF('BALANCE N'!$A$2:$A$50,"56*",'BALANCE N'!$H$2:$H$50)+SUMIF('BALANCE N'!$A$2:$A$50,"58*",'BALANCE N'!$G$2:$G$50)-SUMIF('BALANCE N'!$A$2:$A$50,"58*",'BALANCE N'!$H$2:$H$50)+SUMIF('BALANCE N'!$A$2:$A$50,"55*",'BALANCE N'!$G$2:$G$50)-SUMIF('BALANCE N'!$A$2:$A$50,"55*",'BALANCE N'!$H$2:$H$50)+SUMIF('BALANCE N'!$A$2:$A$50,"54*",'BALANCE N'!$G$2:$G$50)-SUMIF('BALANCE N'!$A$2:$A$50,"54*",'BALANCE N'!$H$2:$H$50)+SUMIF('BALANCE N'!$A$2:$A$50,"52*",'BALANCE N'!$G$2:$G$50)-SUMIF('BALANCE N'!$A$2:$A$50,"52*",'BALANCE N'!$H$2:$H$50)+SUMIF('BALANCE N'!$A$2:$A$50,"53*",'BALANCE N'!$G$2:$G$50)-SUMIF('BALANCE N'!$A$2:$A$50,"53*",'BALANCE N'!$H$2:$H$50)-(SUMIF('BALANCE N'!$A$2:$A$50,"594*",'BALANCE N'!$H$2:$H$50)+SUMIF('BALANCE N'!$A$2:$A$50,"593*",'BALANCE N'!$H$2:$H$50)+SUMIF('BALANCE N'!$A$2:$A$50,"592*",'BALANCE N'!$H$2:$H$50))</f>
        <v/>
      </c>
      <c r="E13" s="77" t="n"/>
    </row>
    <row r="14" ht="22" customHeight="1">
      <c r="A14" s="78" t="inlineStr">
        <is>
          <t>SAZ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à l'actif si montants significatifs (AUDCIF Titre X). Registre des immobilisations : NOTE 1.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SYSCOHADA - SMT
PAGE 2/2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SP1</t>
        </is>
      </c>
      <c r="B9" s="4" t="inlineStr">
        <is>
          <t>Compte exploitant</t>
        </is>
      </c>
      <c r="C9" s="4" t="inlineStr">
        <is>
          <t>1</t>
        </is>
      </c>
      <c r="D9" s="5">
        <f>SUMIF('BALANCE N'!$A$2:$A$50,"11*",'BALANCE N'!$H$2:$H$50)-SUMIF('BALANCE N'!$A$2:$A$50,"11*",'BALANCE N'!$G$2:$G$50)+SUMIF('BALANCE N'!$A$2:$A$50,"15*",'BALANCE N'!$H$2:$H$50)-SUMIF('BALANCE N'!$A$2:$A$50,"15*",'BALANCE N'!$G$2:$G$50)+SUMIF('BALANCE N'!$A$2:$A$50,"12*",'BALANCE N'!$H$2:$H$50)-SUMIF('BALANCE N'!$A$2:$A$50,"12*",'BALANCE N'!$G$2:$G$50)+SUMIF('BALANCE N'!$A$2:$A$50,"10*",'BALANCE N'!$H$2:$H$50)-SUMIF('BALANCE N'!$A$2:$A$50,"10*",'BALANCE N'!$G$2:$G$50)+SUMIF('BALANCE N'!$A$2:$A$50,"14*",'BALANCE N'!$H$2:$H$50)-SUMIF('BALANCE N'!$A$2:$A$50,"14*",'BALANCE N'!$G$2:$G$50)</f>
        <v/>
      </c>
      <c r="E9" s="77" t="n"/>
    </row>
    <row r="10" ht="22" customHeight="1">
      <c r="A10" s="76" t="inlineStr">
        <is>
          <t>SP2</t>
        </is>
      </c>
      <c r="B10" s="4" t="inlineStr">
        <is>
          <t>Résultat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SP3</t>
        </is>
      </c>
      <c r="B11" s="4" t="inlineStr">
        <is>
          <t>Emprunt</t>
        </is>
      </c>
      <c r="C11" s="4" t="inlineStr"/>
      <c r="D11" s="5">
        <f>SUMIF('BALANCE N'!$A$2:$A$50,"17*",'BALANCE N'!$H$2:$H$50)-SUMIF('BALANCE N'!$A$2:$A$50,"17*",'BALANCE N'!$G$2:$G$50)+SUMIF('BALANCE N'!$A$2:$A$50,"18*",'BALANCE N'!$H$2:$H$50)-SUMIF('BALANCE N'!$A$2:$A$50,"18*",'BALANCE N'!$G$2:$G$50)+SUMIF('BALANCE N'!$A$2:$A$50,"19*",'BALANCE N'!$H$2:$H$50)-SUMIF('BALANCE N'!$A$2:$A$50,"19*",'BALANCE N'!$G$2:$G$50)+SUMIF('BALANCE N'!$A$2:$A$50,"16*",'BALANCE N'!$H$2:$H$50)-SUMIF('BALANCE N'!$A$2:$A$50,"16*",'BALANCE N'!$G$2:$G$50)</f>
        <v/>
      </c>
      <c r="E11" s="77" t="n"/>
    </row>
    <row r="12" ht="22" customHeight="1">
      <c r="A12" s="76" t="inlineStr">
        <is>
          <t>SP4</t>
        </is>
      </c>
      <c r="B12" s="4" t="inlineStr">
        <is>
          <t>Fournisseurs et créditeurs divers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SPZ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Le compte exploitant regroupe apports, prélèvements et réserves de l'exploitant (comptes 10, 11, 12, 14, 15).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RUBRIQUES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Recettes sur ventes ou prestations de services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N'!$A$2:$A$50,"82*",'BALANCE N'!$H$2:$H$50)-SUMIF('BALANCE N'!$A$2:$A$50,"82*",'BALANCE N'!$G$2:$G$50)+SUMIF('BALANCE N'!$A$2:$A$50,"86*",'BALANCE N'!$H$2:$H$50)-SUMIF('BALANCE N'!$A$2:$A$50,"86*",'BALANCE N'!$G$2:$G$50)+SUMIF('BALANCE N'!$A$2:$A$50,"79*",'BALANCE N'!$H$2:$H$50)-SUMIF('BALANCE N'!$A$2:$A$50,"79*",'BALANCE N'!$G$2:$G$50)+SUMIF('BALANCE N'!$A$2:$A$50,"71*",'BALANCE N'!$H$2:$H$50)-SUMIF('BALANCE N'!$A$2:$A$50,"71*",'BALANCE N'!$G$2:$G$50)+SUMIF('BALANCE N'!$A$2:$A$50,"84*",'BALANCE N'!$H$2:$H$50)-SUMIF('BALANCE N'!$A$2:$A$50,"84*",'BALANCE N'!$G$2:$G$50)+SUMIF('BALANCE N'!$A$2:$A$50,"72*",'BALANCE N'!$H$2:$H$50)-SUMIF('BALANCE N'!$A$2:$A$50,"72*",'BALANCE N'!$G$2:$G$50)+SUMIF('BALANCE N'!$A$2:$A$50,"88*",'BALANCE N'!$H$2:$H$50)-SUMIF('BALANCE N'!$A$2:$A$50,"88*",'BALANCE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RECETTES SUR PRODUITS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N'!$A$2:$A$50,"89*",'BALANCE N'!$G$2:$G$50)-SUMIF('BALANCE N'!$A$2:$A$50,"89*",'BALANCE N'!$H$2:$H$50)+SUMIF('BALANCE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/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N'!$A$2:$A$50,"65*",'BALANCE N'!$G$2:$G$50)+SUMIF('BALANCE N'!$A$2:$A$50,"65*",'BALANCE N'!$H$2:$H$50)-SUMIF('BALANCE N'!$A$2:$A$50,"81*",'BALANCE N'!$G$2:$G$50)+SUMIF('BALANCE N'!$A$2:$A$50,"81*",'BALANCE N'!$H$2:$H$50)-SUMIF('BALANCE N'!$A$2:$A$50,"83*",'BALANCE N'!$G$2:$G$50)+SUMIF('BALANCE N'!$A$2:$A$50,"83*",'BALANCE N'!$H$2:$H$50)-SUMIF('BALANCE N'!$A$2:$A$50,"63*",'BALANCE N'!$G$2:$G$50)+SUMIF('BALANCE N'!$A$2:$A$50,"63*",'BALANCE N'!$H$2:$H$50)-SUMIF('BALANCE N'!$A$2:$A$50,"87*",'BALANCE N'!$G$2:$G$50)+SUMIF('BALANCE N'!$A$2:$A$50,"87*",'BALANCE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Variation des stocks [N - (N-1)] (D)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Variation des créances [N - (N-1)] (D)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Variation des dettes d'exploitation [N - (N-1)] (E)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 (F)</t>
        </is>
      </c>
      <c r="C23" s="4" t="inlineStr"/>
      <c r="D23" s="5">
        <f>SUMIF('BALANCE N'!$A$2:$A$50,"68*",'BALANCE N'!$G$2:$G$50)-SUMIF('BALANCE N'!$A$2:$A$50,"68*",'BALANCE N'!$H$2:$H$50)+SUMIF('BALANCE N'!$A$2:$A$50,"85*",'BALANCE N'!$G$2:$G$50)-SUMIF('BALANCE N'!$A$2:$A$50,"85*",'BALANCE N'!$H$2:$H$50)+SUMIF('BALANCE N'!$A$2:$A$50,"69*",'BALANCE N'!$G$2:$G$50)-SUMIF('BALANCE N'!$A$2:$A$50,"69*",'BALANCE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DE L'EXERCICE (G = C + D stocks + D créances - E dettes - F)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SMT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90" t="inlineStr">
        <is>
          <t>Partie 2 : Notes sur le compte de résultat et pièces de tenue</t>
        </is>
      </c>
      <c r="B13" s="91" t="n"/>
      <c r="C13" s="91" t="n"/>
      <c r="D13" s="91" t="n"/>
      <c r="E13" s="91" t="n"/>
      <c r="F13" s="91" t="n"/>
      <c r="G13" s="91" t="n"/>
      <c r="H13" s="91" t="n"/>
      <c r="I13" s="91" t="n"/>
      <c r="J13" s="91" t="n"/>
    </row>
    <row r="14">
      <c r="A14" s="92" t="inlineStr">
        <is>
          <t>NOTE 4</t>
        </is>
      </c>
      <c r="B14" s="93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92" t="inlineStr"/>
      <c r="B15" s="93" t="inlineStr">
        <is>
          <t>Journal de suivi des créances impayées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92" t="inlineStr"/>
      <c r="B16" s="93" t="inlineStr">
        <is>
          <t>Journal de suivi des dettes à payer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/>
    <row r="18" ht="30" customHeight="1">
      <c r="A18" s="94" t="inlineStr">
        <is>
          <t>(1) A : applicable ; N/A : non applicable. Ne pas joindre les notes non documentées ; supprimer les lignes non chiffrées avant remise.</t>
        </is>
      </c>
    </row>
    <row r="19">
      <c r="A19" s="94" t="inlineStr">
        <is>
          <t>(2) A : applicable ; N/A : non applicable. Cocher la colonne correspondante pour chaque note.</t>
        </is>
      </c>
    </row>
  </sheetData>
  <mergeCells count="14">
    <mergeCell ref="B8:H8"/>
    <mergeCell ref="B14:H14"/>
    <mergeCell ref="A9:J9"/>
    <mergeCell ref="I2:J2"/>
    <mergeCell ref="A18:J18"/>
    <mergeCell ref="B12:H12"/>
    <mergeCell ref="B4:G4"/>
    <mergeCell ref="A7:J7"/>
    <mergeCell ref="B16:H16"/>
    <mergeCell ref="B15:H15"/>
    <mergeCell ref="B10:H10"/>
    <mergeCell ref="B11:H11"/>
    <mergeCell ref="A19:J19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SYSCOHADA - SMT</t>
        </is>
      </c>
      <c r="G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RCCM-2022-A-567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SMT DE SUIVI DU MATERIEL, DU MOBILIER ET DES CAUTIONS</t>
        </is>
      </c>
    </row>
    <row r="8">
      <c r="A8" s="1" t="inlineStr">
        <is>
          <t>Compte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5" t="inlineStr">
        <is>
          <t>2441</t>
        </is>
      </c>
      <c r="B9" s="95" t="inlineStr">
        <is>
          <t>Matériel et mobilier</t>
        </is>
      </c>
      <c r="C9" s="96">
        <f>SUMIF('BALANCE N'!$A$2:$A$50,"2441*",'BALANCE N'!$G$2:$G$50)-SUMIF('BALANCE N'!$A$2:$A$50,"2441*",'BALANCE N'!$H$2:$H$50)</f>
        <v/>
      </c>
      <c r="D9" s="95" t="n"/>
      <c r="E9" s="95" t="n"/>
      <c r="F9" s="95" t="n"/>
      <c r="G9" s="96" t="n"/>
    </row>
    <row r="10">
      <c r="A10" s="95" t="n"/>
      <c r="B10" s="95" t="inlineStr">
        <is>
          <t>TOTAL IMMOBILISATIONS BRUTES</t>
        </is>
      </c>
      <c r="C10" s="96">
        <f>SUM(C9:C9)</f>
        <v/>
      </c>
      <c r="D10" s="95" t="n"/>
      <c r="E10" s="95" t="n"/>
      <c r="F10" s="95" t="n"/>
      <c r="G10" s="96" t="n"/>
    </row>
    <row r="11">
      <c r="A11" s="95" t="n"/>
      <c r="B11" s="95" t="inlineStr">
        <is>
          <t>Amortissements et dépréciations cumulés (28/29)</t>
        </is>
      </c>
      <c r="C11" s="96">
        <f>SUMIF('BALANCE N'!$A$2:$A$50,"28*",'BALANCE N'!$H$2:$H$50)-SUMIF('BALANCE N'!$A$2:$A$50,"28*",'BALANCE N'!$G$2:$G$50)+SUMIF('BALANCE N'!$A$2:$A$50,"29*",'BALANCE N'!$H$2:$H$50)-SUMIF('BALANCE N'!$A$2:$A$50,"29*",'BALANCE N'!$G$2:$G$50)</f>
        <v/>
      </c>
      <c r="D11" s="95" t="n"/>
      <c r="E11" s="95" t="n"/>
      <c r="F11" s="95" t="n"/>
      <c r="G11" s="96" t="n"/>
    </row>
    <row r="12">
      <c r="A12" s="8" t="n"/>
      <c r="B12" s="8" t="inlineStr">
        <is>
          <t>VALEUR NETTE (= poste Immobilisations du bilan)</t>
        </is>
      </c>
      <c r="C12" s="9">
        <f>C10-C11</f>
        <v/>
      </c>
      <c r="D12" s="8" t="n"/>
      <c r="E12" s="8" t="n"/>
      <c r="F12" s="8" t="n"/>
      <c r="G12" s="97" t="n"/>
    </row>
    <row r="13"/>
    <row r="14">
      <c r="A14" s="98" t="inlineStr">
        <is>
          <t>Compléter dates, durées et sorties depuis le registre : la balance ne porte que les montants.</t>
        </is>
      </c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5" t="inlineStr">
        <is>
          <t>33</t>
        </is>
      </c>
      <c r="B9" s="95" t="inlineStr">
        <is>
          <t>Stocks d'autres approvisionnements</t>
        </is>
      </c>
      <c r="C9" s="95" t="n"/>
      <c r="D9" s="95" t="n"/>
      <c r="E9" s="96">
        <f>SUMIF('BALANCE N'!$A$2:$A$50,"33*",'BALANCE N'!$G$2:$G$50)-SUMIF('BALANCE N'!$A$2:$A$50,"33*",'BALANCE N'!$H$2:$H$50)</f>
        <v/>
      </c>
    </row>
    <row r="10">
      <c r="A10" s="95" t="n"/>
      <c r="B10" s="95" t="n"/>
      <c r="C10" s="95" t="n"/>
      <c r="D10" s="95" t="n"/>
      <c r="E10" s="96" t="n"/>
    </row>
    <row r="11">
      <c r="A11" s="95" t="n"/>
      <c r="B11" s="95" t="n"/>
      <c r="C11" s="95" t="n"/>
      <c r="D11" s="95" t="n"/>
      <c r="E11" s="96" t="n"/>
    </row>
    <row r="12">
      <c r="A12" s="95" t="n"/>
      <c r="B12" s="95" t="n"/>
      <c r="C12" s="95" t="n"/>
      <c r="D12" s="95" t="n"/>
      <c r="E12" s="96" t="n"/>
    </row>
    <row r="13">
      <c r="A13" s="8" t="n"/>
      <c r="B13" s="8" t="inlineStr">
        <is>
          <t>VALEUR DU STOCK FINAL</t>
        </is>
      </c>
      <c r="C13" s="8" t="n"/>
      <c r="D13" s="8" t="n"/>
      <c r="E13" s="9">
        <f>SUMIF('BALANCE N'!$A$2:$A$50,"3*",'BALANCE N'!$G$2:$G$50)-SUMIF('BALANCE N'!$A$2:$A$50,"3*",'BALANCE N'!$H$2:$H$50)</f>
        <v/>
      </c>
    </row>
    <row r="14">
      <c r="A14" s="8" t="n"/>
      <c r="B14" s="8" t="inlineStr">
        <is>
          <t>VALEUR DU STOCK INITIAL</t>
        </is>
      </c>
      <c r="C14" s="8" t="n"/>
      <c r="D14" s="8" t="n"/>
      <c r="E14" s="9" t="n">
        <v>0</v>
      </c>
    </row>
    <row r="15">
      <c r="A15" s="8" t="n"/>
      <c r="B15" s="8" t="inlineStr">
        <is>
          <t>VARIATION DES STOCKS [final - initial]</t>
        </is>
      </c>
      <c r="C15" s="8" t="n"/>
      <c r="D15" s="8" t="n"/>
      <c r="E15" s="9">
        <f>E13-E14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SYSCOHADA - SMT</t>
        </is>
      </c>
      <c r="F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5" t="n"/>
      <c r="B10" s="95" t="n"/>
      <c r="C10" s="96" t="n"/>
      <c r="D10" s="96" t="n"/>
      <c r="E10" s="96">
        <f>C10-D10</f>
        <v/>
      </c>
      <c r="F10" s="95">
        <f>IF(D10=0,"",(C10-D10)/D10)</f>
        <v/>
      </c>
    </row>
    <row r="11">
      <c r="A11" s="95" t="n"/>
      <c r="B11" s="95" t="n"/>
      <c r="C11" s="96" t="n"/>
      <c r="D11" s="96" t="n"/>
      <c r="E11" s="96">
        <f>C11-D11</f>
        <v/>
      </c>
      <c r="F11" s="95">
        <f>IF(D11=0,"",(C11-D11)/D11)</f>
        <v/>
      </c>
    </row>
    <row r="12">
      <c r="A12" s="95" t="n"/>
      <c r="B12" s="95" t="n"/>
      <c r="C12" s="96" t="n"/>
      <c r="D12" s="96" t="n"/>
      <c r="E12" s="96">
        <f>C12-D12</f>
        <v/>
      </c>
      <c r="F12" s="95">
        <f>IF(D12=0,"",(C12-D12)/D12)</f>
        <v/>
      </c>
    </row>
    <row r="13">
      <c r="A13" s="95" t="n"/>
      <c r="B13" s="95" t="n"/>
      <c r="C13" s="96" t="n"/>
      <c r="D13" s="96" t="n"/>
      <c r="E13" s="96">
        <f>C13-D13</f>
        <v/>
      </c>
      <c r="F13" s="95">
        <f>IF(D13=0,"",(C13-D13)/D13)</f>
        <v/>
      </c>
    </row>
    <row r="14">
      <c r="A14" s="95" t="n"/>
      <c r="B14" s="95" t="n"/>
      <c r="C14" s="96" t="n"/>
      <c r="D14" s="96" t="n"/>
      <c r="E14" s="96">
        <f>C14-D14</f>
        <v/>
      </c>
      <c r="F14" s="95">
        <f>IF(D14=0,"",(C14-D14)/D14)</f>
        <v/>
      </c>
    </row>
    <row r="15">
      <c r="A15" s="95" t="n"/>
      <c r="B15" s="95" t="n"/>
      <c r="C15" s="96" t="n"/>
      <c r="D15" s="96" t="n"/>
      <c r="E15" s="96">
        <f>C15-D15</f>
        <v/>
      </c>
      <c r="F15" s="95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8" t="inlineStr">
        <is>
          <t>Rappel balance (classe 4, soldes débiteurs) - contrôle</t>
        </is>
      </c>
      <c r="C17" s="99">
        <f>SUMIF('BALANCE N'!$A$2:$A$50,"4*",'BALANCE N'!$G$2:$G$50)</f>
        <v/>
      </c>
      <c r="D17" s="99">
        <f>0</f>
        <v/>
      </c>
    </row>
    <row r="18"/>
    <row r="19"/>
    <row r="20">
      <c r="A20" s="47" t="inlineStr">
        <is>
          <t>DETTES -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5" t="n"/>
      <c r="B22" s="95" t="n"/>
      <c r="C22" s="96" t="n"/>
      <c r="D22" s="96" t="n"/>
      <c r="E22" s="96">
        <f>C22-D22</f>
        <v/>
      </c>
      <c r="F22" s="95">
        <f>IF(D22=0,"",(C22-D22)/D22)</f>
        <v/>
      </c>
    </row>
    <row r="23">
      <c r="A23" s="95" t="n"/>
      <c r="B23" s="95" t="n"/>
      <c r="C23" s="96" t="n"/>
      <c r="D23" s="96" t="n"/>
      <c r="E23" s="96">
        <f>C23-D23</f>
        <v/>
      </c>
      <c r="F23" s="95">
        <f>IF(D23=0,"",(C23-D23)/D23)</f>
        <v/>
      </c>
    </row>
    <row r="24">
      <c r="A24" s="95" t="n"/>
      <c r="B24" s="95" t="n"/>
      <c r="C24" s="96" t="n"/>
      <c r="D24" s="96" t="n"/>
      <c r="E24" s="96">
        <f>C24-D24</f>
        <v/>
      </c>
      <c r="F24" s="95">
        <f>IF(D24=0,"",(C24-D24)/D24)</f>
        <v/>
      </c>
    </row>
    <row r="25">
      <c r="A25" s="95" t="n"/>
      <c r="B25" s="95" t="n"/>
      <c r="C25" s="96" t="n"/>
      <c r="D25" s="96" t="n"/>
      <c r="E25" s="96">
        <f>C25-D25</f>
        <v/>
      </c>
      <c r="F25" s="95">
        <f>IF(D25=0,"",(C25-D25)/D25)</f>
        <v/>
      </c>
    </row>
    <row r="26">
      <c r="A26" s="95" t="n"/>
      <c r="B26" s="95" t="n"/>
      <c r="C26" s="96" t="n"/>
      <c r="D26" s="96" t="n"/>
      <c r="E26" s="96">
        <f>C26-D26</f>
        <v/>
      </c>
      <c r="F26" s="95">
        <f>IF(D26=0,"",(C26-D26)/D26)</f>
        <v/>
      </c>
    </row>
    <row r="27">
      <c r="A27" s="95" t="n"/>
      <c r="B27" s="95" t="n"/>
      <c r="C27" s="96" t="n"/>
      <c r="D27" s="96" t="n"/>
      <c r="E27" s="96">
        <f>C27-D27</f>
        <v/>
      </c>
      <c r="F27" s="95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8" t="inlineStr">
        <is>
          <t>Rappel balance (classe 4, soldes créditeurs) - contrôle</t>
        </is>
      </c>
      <c r="C29" s="99">
        <f>SUMIF('BALANCE N'!$A$2:$A$50,"4*",'BALANCE N'!$H$2:$H$50)</f>
        <v/>
      </c>
      <c r="D29" s="99">
        <f>0</f>
        <v/>
      </c>
    </row>
    <row r="30"/>
    <row r="31"/>
    <row r="32">
      <c r="A32" s="98" t="inlineStr">
        <is>
          <t>Reporter la variation des créances en VB et celle des dettes en VC du compte de résultat.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SYSCOHADA - SMT</t>
        </is>
      </c>
      <c r="K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RCCM-2022-A-567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DE TRESORERIE SMT</t>
        </is>
      </c>
    </row>
    <row r="8">
      <c r="A8" s="1" t="inlineStr">
        <is>
          <t>Date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Ventes</t>
        </is>
      </c>
      <c r="G8" s="2" t="inlineStr">
        <is>
          <t>Autres</t>
        </is>
      </c>
      <c r="H8" s="2" t="inlineStr">
        <is>
          <t>Matériel et mobilier</t>
        </is>
      </c>
      <c r="I8" s="2" t="inlineStr">
        <is>
          <t>Vent. dépenses : Achats</t>
        </is>
      </c>
      <c r="J8" s="2" t="inlineStr">
        <is>
          <t>Loyers / Salaires / Impôts</t>
        </is>
      </c>
      <c r="K8" s="3" t="inlineStr">
        <is>
          <t>Autres</t>
        </is>
      </c>
    </row>
    <row r="9">
      <c r="A9" s="95" t="n"/>
      <c r="B9" s="95" t="inlineStr">
        <is>
          <t>Report à nouveau</t>
        </is>
      </c>
      <c r="C9" s="96" t="n"/>
      <c r="D9" s="96" t="n"/>
      <c r="E9" s="96" t="n"/>
      <c r="F9" s="96" t="n"/>
      <c r="G9" s="96" t="n"/>
      <c r="H9" s="96" t="n"/>
      <c r="I9" s="96" t="n"/>
      <c r="J9" s="96" t="n"/>
      <c r="K9" s="96" t="n"/>
    </row>
    <row r="10">
      <c r="A10" s="95" t="n"/>
      <c r="B10" s="95" t="n"/>
      <c r="C10" s="96" t="n"/>
      <c r="D10" s="96" t="n"/>
      <c r="E10" s="96">
        <f>E9+C10-D10</f>
        <v/>
      </c>
      <c r="F10" s="96" t="n"/>
      <c r="G10" s="96" t="n"/>
      <c r="H10" s="96" t="n"/>
      <c r="I10" s="96" t="n"/>
      <c r="J10" s="96" t="n"/>
      <c r="K10" s="96" t="n"/>
    </row>
    <row r="11">
      <c r="A11" s="95" t="n"/>
      <c r="B11" s="95" t="n"/>
      <c r="C11" s="96" t="n"/>
      <c r="D11" s="96" t="n"/>
      <c r="E11" s="96">
        <f>E10+C11-D11</f>
        <v/>
      </c>
      <c r="F11" s="96" t="n"/>
      <c r="G11" s="96" t="n"/>
      <c r="H11" s="96" t="n"/>
      <c r="I11" s="96" t="n"/>
      <c r="J11" s="96" t="n"/>
      <c r="K11" s="96" t="n"/>
    </row>
    <row r="12">
      <c r="A12" s="95" t="n"/>
      <c r="B12" s="95" t="n"/>
      <c r="C12" s="96" t="n"/>
      <c r="D12" s="96" t="n"/>
      <c r="E12" s="96">
        <f>E11+C12-D12</f>
        <v/>
      </c>
      <c r="F12" s="96" t="n"/>
      <c r="G12" s="96" t="n"/>
      <c r="H12" s="96" t="n"/>
      <c r="I12" s="96" t="n"/>
      <c r="J12" s="96" t="n"/>
      <c r="K12" s="96" t="n"/>
    </row>
    <row r="13">
      <c r="A13" s="95" t="n"/>
      <c r="B13" s="95" t="n"/>
      <c r="C13" s="96" t="n"/>
      <c r="D13" s="96" t="n"/>
      <c r="E13" s="96">
        <f>E12+C13-D13</f>
        <v/>
      </c>
      <c r="F13" s="96" t="n"/>
      <c r="G13" s="96" t="n"/>
      <c r="H13" s="96" t="n"/>
      <c r="I13" s="96" t="n"/>
      <c r="J13" s="96" t="n"/>
      <c r="K13" s="96" t="n"/>
    </row>
    <row r="14">
      <c r="A14" s="95" t="n"/>
      <c r="B14" s="95" t="n"/>
      <c r="C14" s="96" t="n"/>
      <c r="D14" s="96" t="n"/>
      <c r="E14" s="96">
        <f>E13+C14-D14</f>
        <v/>
      </c>
      <c r="F14" s="96" t="n"/>
      <c r="G14" s="96" t="n"/>
      <c r="H14" s="96" t="n"/>
      <c r="I14" s="96" t="n"/>
      <c r="J14" s="96" t="n"/>
      <c r="K14" s="96" t="n"/>
    </row>
    <row r="15">
      <c r="A15" s="95" t="n"/>
      <c r="B15" s="95" t="n"/>
      <c r="C15" s="96" t="n"/>
      <c r="D15" s="96" t="n"/>
      <c r="E15" s="96">
        <f>E14+C15-D15</f>
        <v/>
      </c>
      <c r="F15" s="96" t="n"/>
      <c r="G15" s="96" t="n"/>
      <c r="H15" s="96" t="n"/>
      <c r="I15" s="96" t="n"/>
      <c r="J15" s="96" t="n"/>
      <c r="K15" s="96" t="n"/>
    </row>
    <row r="16">
      <c r="A16" s="95" t="n"/>
      <c r="B16" s="95" t="n"/>
      <c r="C16" s="96" t="n"/>
      <c r="D16" s="96" t="n"/>
      <c r="E16" s="96">
        <f>E15+C16-D16</f>
        <v/>
      </c>
      <c r="F16" s="96" t="n"/>
      <c r="G16" s="96" t="n"/>
      <c r="H16" s="96" t="n"/>
      <c r="I16" s="96" t="n"/>
      <c r="J16" s="96" t="n"/>
      <c r="K16" s="96" t="n"/>
    </row>
    <row r="17">
      <c r="A17" s="95" t="n"/>
      <c r="B17" s="95" t="n"/>
      <c r="C17" s="96" t="n"/>
      <c r="D17" s="96" t="n"/>
      <c r="E17" s="96">
        <f>E16+C17-D17</f>
        <v/>
      </c>
      <c r="F17" s="96" t="n"/>
      <c r="G17" s="96" t="n"/>
      <c r="H17" s="96" t="n"/>
      <c r="I17" s="96" t="n"/>
      <c r="J17" s="96" t="n"/>
      <c r="K17" s="96" t="n"/>
    </row>
    <row r="18">
      <c r="A18" s="95" t="n"/>
      <c r="B18" s="95" t="n"/>
      <c r="C18" s="96" t="n"/>
      <c r="D18" s="96" t="n"/>
      <c r="E18" s="96">
        <f>E17+C18-D18</f>
        <v/>
      </c>
      <c r="F18" s="96" t="n"/>
      <c r="G18" s="96" t="n"/>
      <c r="H18" s="96" t="n"/>
      <c r="I18" s="96" t="n"/>
      <c r="J18" s="96" t="n"/>
      <c r="K18" s="96" t="n"/>
    </row>
    <row r="19">
      <c r="A19" s="95" t="n"/>
      <c r="B19" s="95" t="n"/>
      <c r="C19" s="96" t="n"/>
      <c r="D19" s="96" t="n"/>
      <c r="E19" s="96">
        <f>E18+C19-D19</f>
        <v/>
      </c>
      <c r="F19" s="96" t="n"/>
      <c r="G19" s="96" t="n"/>
      <c r="H19" s="96" t="n"/>
      <c r="I19" s="96" t="n"/>
      <c r="J19" s="96" t="n"/>
      <c r="K19" s="96" t="n"/>
    </row>
    <row r="20">
      <c r="A20" s="95" t="n"/>
      <c r="B20" s="95" t="n"/>
      <c r="C20" s="96" t="n"/>
      <c r="D20" s="96" t="n"/>
      <c r="E20" s="96">
        <f>E19+C20-D20</f>
        <v/>
      </c>
      <c r="F20" s="96" t="n"/>
      <c r="G20" s="96" t="n"/>
      <c r="H20" s="96" t="n"/>
      <c r="I20" s="96" t="n"/>
      <c r="J20" s="96" t="n"/>
      <c r="K20" s="96" t="n"/>
    </row>
    <row r="21">
      <c r="A21" s="95" t="n"/>
      <c r="B21" s="95" t="n"/>
      <c r="C21" s="96" t="n"/>
      <c r="D21" s="96" t="n"/>
      <c r="E21" s="96">
        <f>E20+C21-D21</f>
        <v/>
      </c>
      <c r="F21" s="96" t="n"/>
      <c r="G21" s="96" t="n"/>
      <c r="H21" s="96" t="n"/>
      <c r="I21" s="96" t="n"/>
      <c r="J21" s="96" t="n"/>
      <c r="K21" s="96" t="n"/>
    </row>
    <row r="22">
      <c r="A22" s="95" t="n"/>
      <c r="B22" s="95" t="n"/>
      <c r="C22" s="96" t="n"/>
      <c r="D22" s="96" t="n"/>
      <c r="E22" s="96">
        <f>E21+C22-D22</f>
        <v/>
      </c>
      <c r="F22" s="96" t="n"/>
      <c r="G22" s="96" t="n"/>
      <c r="H22" s="96" t="n"/>
      <c r="I22" s="96" t="n"/>
      <c r="J22" s="96" t="n"/>
      <c r="K22" s="96" t="n"/>
    </row>
    <row r="23">
      <c r="A23" s="95" t="n"/>
      <c r="B23" s="95" t="n"/>
      <c r="C23" s="96" t="n"/>
      <c r="D23" s="96" t="n"/>
      <c r="E23" s="96">
        <f>E22+C23-D23</f>
        <v/>
      </c>
      <c r="F23" s="96" t="n"/>
      <c r="G23" s="96" t="n"/>
      <c r="H23" s="96" t="n"/>
      <c r="I23" s="96" t="n"/>
      <c r="J23" s="96" t="n"/>
      <c r="K23" s="96" t="n"/>
    </row>
    <row r="24">
      <c r="A24" s="8" t="n"/>
      <c r="B24" s="8" t="inlineStr">
        <is>
          <t>Solde à reporter</t>
        </is>
      </c>
      <c r="C24" s="97" t="n"/>
      <c r="D24" s="97" t="n"/>
      <c r="E24" s="9">
        <f>E23</f>
        <v/>
      </c>
      <c r="F24" s="97" t="n"/>
      <c r="G24" s="97" t="n"/>
      <c r="H24" s="97" t="n"/>
      <c r="I24" s="97" t="n"/>
      <c r="J24" s="97" t="n"/>
      <c r="K24" s="97" t="n"/>
    </row>
  </sheetData>
  <mergeCells count="3">
    <mergeCell ref="B4:H4"/>
    <mergeCell ref="J2:K2"/>
    <mergeCell ref="A7:K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JOURNAUX DE SUIVI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JOURNAUX DE SUIVI SMT : CREANCES IMPAYEES ET DETTES A PAYER</t>
        </is>
      </c>
    </row>
    <row r="8">
      <c r="A8" s="47" t="inlineStr">
        <is>
          <t>JOURNAL DE SUIVI DES CRÉANCES IMPAYÉES</t>
        </is>
      </c>
    </row>
    <row r="9">
      <c r="A9" s="1" t="inlineStr">
        <is>
          <t>Date</t>
        </is>
      </c>
      <c r="B9" s="2" t="inlineStr">
        <is>
          <t>N° facture</t>
        </is>
      </c>
      <c r="C9" s="2" t="inlineStr">
        <is>
          <t>Nom du client</t>
        </is>
      </c>
      <c r="D9" s="2" t="inlineStr">
        <is>
          <t>Montant</t>
        </is>
      </c>
      <c r="E9" s="3" t="inlineStr">
        <is>
          <t>Date de paiement</t>
        </is>
      </c>
    </row>
    <row r="10">
      <c r="A10" s="95" t="n"/>
      <c r="B10" s="95" t="n"/>
      <c r="C10" s="95" t="n"/>
      <c r="D10" s="96" t="n"/>
      <c r="E10" s="95" t="n"/>
    </row>
    <row r="11">
      <c r="A11" s="95" t="n"/>
      <c r="B11" s="95" t="n"/>
      <c r="C11" s="95" t="n"/>
      <c r="D11" s="96" t="n"/>
      <c r="E11" s="95" t="n"/>
    </row>
    <row r="12">
      <c r="A12" s="95" t="n"/>
      <c r="B12" s="95" t="n"/>
      <c r="C12" s="95" t="n"/>
      <c r="D12" s="96" t="n"/>
      <c r="E12" s="95" t="n"/>
    </row>
    <row r="13">
      <c r="A13" s="95" t="n"/>
      <c r="B13" s="95" t="n"/>
      <c r="C13" s="95" t="n"/>
      <c r="D13" s="96" t="n"/>
      <c r="E13" s="95" t="n"/>
    </row>
    <row r="14">
      <c r="A14" s="95" t="n"/>
      <c r="B14" s="95" t="n"/>
      <c r="C14" s="95" t="n"/>
      <c r="D14" s="96" t="n"/>
      <c r="E14" s="95" t="n"/>
    </row>
    <row r="15">
      <c r="A15" s="95" t="n"/>
      <c r="B15" s="95" t="n"/>
      <c r="C15" s="95" t="n"/>
      <c r="D15" s="96" t="n"/>
      <c r="E15" s="95" t="n"/>
    </row>
    <row r="16">
      <c r="A16" s="95" t="n"/>
      <c r="B16" s="95" t="n"/>
      <c r="C16" s="95" t="n"/>
      <c r="D16" s="96" t="n"/>
      <c r="E16" s="95" t="n"/>
    </row>
    <row r="17">
      <c r="A17" s="8" t="n"/>
      <c r="B17" s="8" t="n"/>
      <c r="C17" s="8" t="inlineStr">
        <is>
          <t>TOTAL</t>
        </is>
      </c>
      <c r="D17" s="9">
        <f>SUM(D10:D16)</f>
        <v/>
      </c>
      <c r="E17" s="8" t="n"/>
    </row>
    <row r="18"/>
    <row r="19"/>
    <row r="20">
      <c r="A20" s="47" t="inlineStr">
        <is>
          <t>JOURNAL DE SUIVI DES DETTES À PAYER</t>
        </is>
      </c>
    </row>
    <row r="21">
      <c r="A21" s="1" t="inlineStr">
        <is>
          <t>Date</t>
        </is>
      </c>
      <c r="B21" s="2" t="inlineStr">
        <is>
          <t>N° facture</t>
        </is>
      </c>
      <c r="C21" s="2" t="inlineStr">
        <is>
          <t>Nom du fournisseur</t>
        </is>
      </c>
      <c r="D21" s="2" t="inlineStr">
        <is>
          <t>Montant</t>
        </is>
      </c>
      <c r="E21" s="3" t="inlineStr">
        <is>
          <t>Date de paiement</t>
        </is>
      </c>
    </row>
    <row r="22">
      <c r="A22" s="95" t="n"/>
      <c r="B22" s="95" t="n"/>
      <c r="C22" s="95" t="n"/>
      <c r="D22" s="96" t="n"/>
      <c r="E22" s="95" t="n"/>
    </row>
    <row r="23">
      <c r="A23" s="95" t="n"/>
      <c r="B23" s="95" t="n"/>
      <c r="C23" s="95" t="n"/>
      <c r="D23" s="96" t="n"/>
      <c r="E23" s="95" t="n"/>
    </row>
    <row r="24">
      <c r="A24" s="95" t="n"/>
      <c r="B24" s="95" t="n"/>
      <c r="C24" s="95" t="n"/>
      <c r="D24" s="96" t="n"/>
      <c r="E24" s="95" t="n"/>
    </row>
    <row r="25">
      <c r="A25" s="95" t="n"/>
      <c r="B25" s="95" t="n"/>
      <c r="C25" s="95" t="n"/>
      <c r="D25" s="96" t="n"/>
      <c r="E25" s="95" t="n"/>
    </row>
    <row r="26">
      <c r="A26" s="95" t="n"/>
      <c r="B26" s="95" t="n"/>
      <c r="C26" s="95" t="n"/>
      <c r="D26" s="96" t="n"/>
      <c r="E26" s="95" t="n"/>
    </row>
    <row r="27">
      <c r="A27" s="95" t="n"/>
      <c r="B27" s="95" t="n"/>
      <c r="C27" s="95" t="n"/>
      <c r="D27" s="96" t="n"/>
      <c r="E27" s="95" t="n"/>
    </row>
    <row r="28">
      <c r="A28" s="95" t="n"/>
      <c r="B28" s="95" t="n"/>
      <c r="C28" s="95" t="n"/>
      <c r="D28" s="96" t="n"/>
      <c r="E28" s="95" t="n"/>
    </row>
    <row r="29">
      <c r="A29" s="8" t="n"/>
      <c r="B29" s="8" t="n"/>
      <c r="C29" s="8" t="inlineStr">
        <is>
          <t>TOTAL</t>
        </is>
      </c>
      <c r="D29" s="9">
        <f>SUM(D22:D28)</f>
        <v/>
      </c>
      <c r="E29" s="8" t="n"/>
    </row>
  </sheetData>
  <mergeCells count="2">
    <mergeCell ref="A7:E7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0" t="inlineStr">
        <is>
          <t>COMMENTAIRES
PAGE 1/2</t>
        </is>
      </c>
      <c r="H1" s="54" t="n"/>
    </row>
    <row r="2">
      <c r="A2" s="67" t="inlineStr">
        <is>
          <t>Dénomination sociale : ETS EXEMPLE COMMERCE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RCCM-2022-A-567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1" t="inlineStr">
        <is>
          <t>Partie 1 : Notes sur le bilan</t>
        </is>
      </c>
      <c r="B6" s="102" t="n"/>
      <c r="C6" s="102" t="n"/>
      <c r="D6" s="102" t="n"/>
      <c r="E6" s="102" t="n"/>
      <c r="F6" s="102" t="n"/>
      <c r="G6" s="102" t="n"/>
      <c r="H6" s="102" t="n"/>
    </row>
    <row r="7" ht="16" customHeight="1">
      <c r="A7" s="103" t="inlineStr">
        <is>
          <t>NOTE 1</t>
        </is>
      </c>
      <c r="B7" s="104" t="inlineStr">
        <is>
          <t>Tableau SMT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5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3" t="inlineStr">
        <is>
          <t>NOTE 2</t>
        </is>
      </c>
      <c r="B9" s="104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5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3" t="inlineStr">
        <is>
          <t>NOTE 3</t>
        </is>
      </c>
      <c r="B11" s="104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5" t="n"/>
      <c r="B12" s="49" t="n"/>
      <c r="C12" s="49" t="n"/>
      <c r="D12" s="49" t="n"/>
      <c r="E12" s="49" t="n"/>
      <c r="F12" s="49" t="n"/>
      <c r="G12" s="49" t="n"/>
      <c r="H12" s="49" t="n"/>
    </row>
    <row r="13" ht="17" customHeight="1">
      <c r="A13" s="101" t="inlineStr">
        <is>
          <t>Partie 2 : Notes sur le compte de résultat et pièces de tenue</t>
        </is>
      </c>
      <c r="B13" s="102" t="n"/>
      <c r="C13" s="102" t="n"/>
      <c r="D13" s="102" t="n"/>
      <c r="E13" s="102" t="n"/>
      <c r="F13" s="102" t="n"/>
      <c r="G13" s="102" t="n"/>
      <c r="H13" s="102" t="n"/>
    </row>
    <row r="14" ht="16" customHeight="1">
      <c r="A14" s="103" t="inlineStr">
        <is>
          <t>NOTE 4</t>
        </is>
      </c>
      <c r="B14" s="104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</row>
    <row r="15" ht="110" customHeight="1">
      <c r="A15" s="105" t="n"/>
      <c r="B15" s="49" t="n"/>
      <c r="C15" s="49" t="n"/>
      <c r="D15" s="49" t="n"/>
      <c r="E15" s="49" t="n"/>
      <c r="F15" s="49" t="n"/>
      <c r="G15" s="49" t="n"/>
      <c r="H15" s="49" t="n"/>
    </row>
    <row r="16" ht="26" customHeight="1">
      <c r="A16" s="57" t="inlineStr">
        <is>
          <t>TABLE DES COMMENTAIRES</t>
        </is>
      </c>
      <c r="G16" s="100" t="inlineStr">
        <is>
          <t>COMMENTAIRES
PAGE 2/2</t>
        </is>
      </c>
      <c r="H16" s="54" t="n"/>
    </row>
    <row r="17">
      <c r="A17" s="67" t="inlineStr">
        <is>
          <t>Dénomination sociale : ETS EXEMPLE COMMERCE</t>
        </is>
      </c>
    </row>
    <row r="18">
      <c r="A18" s="67" t="inlineStr">
        <is>
          <t xml:space="preserve">Adresse : </t>
        </is>
      </c>
      <c r="F18" s="67" t="inlineStr">
        <is>
          <t xml:space="preserve">Sigle usuel : </t>
        </is>
      </c>
    </row>
    <row r="19">
      <c r="A19" s="67" t="inlineStr">
        <is>
          <t>N° de compte contribuable (NCC) : RCCM-2022-A-567</t>
        </is>
      </c>
      <c r="E19" s="67" t="inlineStr">
        <is>
          <t>Exercice clos le 31-12-2025</t>
        </is>
      </c>
      <c r="G19" s="67" t="inlineStr">
        <is>
          <t>Durée (en mois) : 12</t>
        </is>
      </c>
    </row>
    <row r="20">
      <c r="A20" s="67" t="inlineStr">
        <is>
          <t xml:space="preserve">N° de télédéclarant (NTD) : </t>
        </is>
      </c>
    </row>
    <row r="21" ht="16" customHeight="1">
      <c r="A21" s="103" t="inlineStr"/>
      <c r="B21" s="104" t="inlineStr">
        <is>
          <t>Journal de suivi des créances impayées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5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03" t="inlineStr"/>
      <c r="B23" s="104" t="inlineStr">
        <is>
          <t>Journal de suivi des dettes à payer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05" t="n"/>
      <c r="B24" s="49" t="n"/>
      <c r="C24" s="49" t="n"/>
      <c r="D24" s="49" t="n"/>
      <c r="E24" s="49" t="n"/>
      <c r="F24" s="49" t="n"/>
      <c r="G24" s="49" t="n"/>
      <c r="H24" s="49" t="n"/>
    </row>
  </sheetData>
  <mergeCells count="18">
    <mergeCell ref="A12:H12"/>
    <mergeCell ref="A16:F16"/>
    <mergeCell ref="B14:H14"/>
    <mergeCell ref="B9:H9"/>
    <mergeCell ref="A15:H15"/>
    <mergeCell ref="G16:H16"/>
    <mergeCell ref="G1:H1"/>
    <mergeCell ref="A1:F1"/>
    <mergeCell ref="B21:H21"/>
    <mergeCell ref="A24:H24"/>
    <mergeCell ref="A10:H10"/>
    <mergeCell ref="A13:H13"/>
    <mergeCell ref="B7:H7"/>
    <mergeCell ref="B11:H11"/>
    <mergeCell ref="A8:H8"/>
    <mergeCell ref="A6:H6"/>
    <mergeCell ref="A22:H22"/>
    <mergeCell ref="B23:H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5" t="inlineStr">
        <is>
          <t>Total solde de clôture débit balance</t>
        </is>
      </c>
      <c r="B2" s="96">
        <f>SUM('BALANCE N'!G2:G18)</f>
        <v/>
      </c>
      <c r="C2" s="95" t="inlineStr"/>
    </row>
    <row r="3">
      <c r="A3" s="95" t="inlineStr">
        <is>
          <t>Total solde de clôture crédit balance</t>
        </is>
      </c>
      <c r="B3" s="96">
        <f>SUM('BALANCE N'!H2:H18)</f>
        <v/>
      </c>
      <c r="C3" s="95" t="inlineStr"/>
    </row>
    <row r="4">
      <c r="A4" s="95" t="inlineStr">
        <is>
          <t>Écart balance (doit être 0)</t>
        </is>
      </c>
      <c r="B4" s="96">
        <f>B2-B3</f>
        <v/>
      </c>
      <c r="C4" s="95" t="n">
        <v>0</v>
      </c>
    </row>
    <row r="5">
      <c r="A5" s="95" t="inlineStr">
        <is>
          <t>Total actif</t>
        </is>
      </c>
      <c r="B5" s="96">
        <f>'Bilan-Actif'!D14</f>
        <v/>
      </c>
      <c r="C5" s="95" t="inlineStr"/>
    </row>
    <row r="6">
      <c r="A6" s="95" t="inlineStr">
        <is>
          <t>Total passif</t>
        </is>
      </c>
      <c r="B6" s="96">
        <f>'Bilan-Passif'!D13</f>
        <v/>
      </c>
      <c r="C6" s="95" t="inlineStr"/>
    </row>
    <row r="7">
      <c r="A7" s="95" t="inlineStr">
        <is>
          <t>Écart actif - passif (doit être 0)</t>
        </is>
      </c>
      <c r="B7" s="96">
        <f>B5-B6</f>
        <v/>
      </c>
      <c r="C7" s="95" t="n">
        <v>0</v>
      </c>
    </row>
    <row r="8">
      <c r="A8" s="95" t="inlineStr">
        <is>
          <t>Résultat (compte de résultat, G)</t>
        </is>
      </c>
      <c r="B8" s="96">
        <f>'Résultat'!D24</f>
        <v/>
      </c>
      <c r="C8" s="95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5" t="inlineStr">
        <is>
          <t>INFO</t>
        </is>
      </c>
      <c r="B2" s="95" t="inlineStr"/>
      <c r="C2" s="95" t="inlineStr">
        <is>
          <t>Classe 4</t>
        </is>
      </c>
      <c r="D2" s="95" t="inlineStr">
        <is>
          <t>La balance porte des comptes de tiers : recettes et dépenses incluent alors des montants non encaissés/décaissés (base engagement).</t>
        </is>
      </c>
      <c r="E2" s="95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95" t="inlineStr">
        <is>
          <t>INFO</t>
        </is>
      </c>
      <c r="B3" s="95" t="inlineStr"/>
      <c r="C3" s="95" t="inlineStr">
        <is>
          <t>SMT - seuils</t>
        </is>
      </c>
      <c r="D3" s="95" t="inlineStr">
        <is>
          <t>Vérifier l'assujettissement au SMT : CA HT ≤ 60 M FCFA (négoce), 40 M (artisanat), 30 M (services) - AUDCIF art. 13.</t>
        </is>
      </c>
      <c r="E3" s="95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2026-09-01T02:03:47Z</dcterms:created>
  <dcterms:modified xsi:type="dcterms:W3CDTF">2026-09-01T02:03:47Z</dcterms:modified>
</cp:coreProperties>
</file>