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DE" sheetId="1" state="visible" r:id="rId1"/>
    <sheet name="BILAN ACTIF" sheetId="2" state="visible" r:id="rId2"/>
    <sheet name="BILAN PASSIF" sheetId="3" state="visible" r:id="rId3"/>
    <sheet name="COMPTE DE RESULTAT" sheetId="4" state="visible" r:id="rId4"/>
    <sheet name="NOTE 1 IMMOBILISATIONS" sheetId="5" state="visible" r:id="rId5"/>
    <sheet name="NOTE 2 STOCKS" sheetId="6" state="visible" r:id="rId6"/>
    <sheet name="NOTE 3 CREANCES-DETTES" sheetId="7" state="visible" r:id="rId7"/>
    <sheet name="NOTE 4 JOURNAL TRESORERIE" sheetId="8" state="visible" r:id="rId8"/>
    <sheet name="JOURNAUX DE SUIVI" sheetId="9" state="visible" r:id="rId9"/>
    <sheet name="BALANCE" sheetId="10" state="visible" r:id="rId10"/>
    <sheet name="CONTROLES" sheetId="11" state="visible" r:id="rId11"/>
    <sheet name="ANOMAL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5F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164" fontId="5" fillId="5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26" customWidth="1" min="4" max="4"/>
    <col width="14" customWidth="1" min="5" max="5"/>
    <col width="14" customWidth="1" min="6" max="6"/>
  </cols>
  <sheetData>
    <row r="2">
      <c r="B2" s="1" t="inlineStr">
        <is>
          <t>ÉTATS FINANCIERS ANNUELS — SYSCOHADA</t>
        </is>
      </c>
    </row>
    <row r="3"/>
    <row r="4">
      <c r="B4" s="2" t="inlineStr">
        <is>
          <t>SYSTÈME MINIMAL DE TRÉSORERIE (AUDCIF, Titre X)</t>
        </is>
      </c>
    </row>
    <row r="6">
      <c r="B6" s="3" t="inlineStr">
        <is>
          <t>Désignation de l'entité</t>
        </is>
      </c>
      <c r="D6" t="inlineStr">
        <is>
          <t>ETS KAPINGA</t>
        </is>
      </c>
    </row>
    <row r="7">
      <c r="B7" s="3" t="inlineStr">
        <is>
          <t>Numéro d'identification</t>
        </is>
      </c>
      <c r="D7" t="inlineStr">
        <is>
          <t>IDNAT 01-234-N56789K</t>
        </is>
      </c>
    </row>
    <row r="8">
      <c r="B8" s="3" t="inlineStr">
        <is>
          <t>Exercice clos le</t>
        </is>
      </c>
      <c r="D8" t="inlineStr">
        <is>
          <t>31/12/2025</t>
        </is>
      </c>
    </row>
    <row r="9">
      <c r="B9" s="3" t="inlineStr">
        <is>
          <t>Durée de l'exercice (mois)</t>
        </is>
      </c>
      <c r="D9" t="inlineStr">
        <is>
          <t>12</t>
        </is>
      </c>
    </row>
    <row r="10">
      <c r="B10" s="3" t="inlineStr">
        <is>
          <t>Balance N-1 fournie</t>
        </is>
      </c>
      <c r="D10" t="inlineStr">
        <is>
          <t>Non</t>
        </is>
      </c>
    </row>
    <row r="12">
      <c r="B12" s="4" t="inlineStr">
        <is>
          <t>Composition du jeu d'états (AUDCIF Titre X)</t>
        </is>
      </c>
    </row>
    <row r="13">
      <c r="B13" t="inlineStr">
        <is>
          <t>• Bilan (actif et passif, une feuille chacun)</t>
        </is>
      </c>
    </row>
    <row r="14">
      <c r="B14" t="inlineStr">
        <is>
          <t>• Compte de résultat (recettes/dépenses corrigées)</t>
        </is>
      </c>
    </row>
    <row r="15">
      <c r="B15" t="inlineStr">
        <is>
          <t>• Notes annexes 1 à 4 + journaux de suivi</t>
        </is>
      </c>
    </row>
    <row r="16">
      <c r="B16" t="inlineStr">
        <is>
          <t>• Feuilles d'audit : BALANCE, BALANCE_N1, CONTROLES, ANOMALIES</t>
        </is>
      </c>
    </row>
    <row r="18">
      <c r="B18" t="inlineStr">
        <is>
          <t>Chaque montant porte une formule Excel pointant vers la feuille BALANCE : tout chiffre est retraçable jusqu'au compte qui l'alimente.</t>
        </is>
      </c>
    </row>
    <row r="19"/>
  </sheetData>
  <mergeCells count="3">
    <mergeCell ref="B4:F4"/>
    <mergeCell ref="B2:F3"/>
    <mergeCell ref="B18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BILAN SMT — ACTIF</t>
        </is>
      </c>
    </row>
    <row r="2">
      <c r="A2" s="2" t="inlineStr">
        <is>
          <t>Système minimal de trésorerie (AUDCIF, Titre X)</t>
        </is>
      </c>
    </row>
    <row r="4">
      <c r="A4" s="3" t="inlineStr">
        <is>
          <t>Désignation entité : ETS KAPINGA</t>
        </is>
      </c>
      <c r="D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D5" t="inlineStr">
        <is>
          <t>Durée (en mois) : 12</t>
        </is>
      </c>
    </row>
    <row r="7">
      <c r="A7" s="5" t="inlineStr">
        <is>
          <t>REF</t>
        </is>
      </c>
      <c r="B7" s="5" t="inlineStr">
        <is>
          <t>ACTIF</t>
        </is>
      </c>
      <c r="C7" s="5" t="inlineStr">
        <is>
          <t>Note</t>
        </is>
      </c>
      <c r="D7" s="5" t="inlineStr">
        <is>
          <t>Exercice N</t>
        </is>
      </c>
      <c r="E7" s="5" t="inlineStr">
        <is>
          <t>Exercice N-1</t>
        </is>
      </c>
    </row>
    <row r="8">
      <c r="A8" s="6" t="inlineStr">
        <is>
          <t>SA1</t>
        </is>
      </c>
      <c r="B8" s="6" t="inlineStr">
        <is>
          <t>Immobilisations (1)</t>
        </is>
      </c>
      <c r="C8" s="6" t="inlineStr">
        <is>
          <t>1</t>
        </is>
      </c>
      <c r="D8" s="7">
        <f>SUMIF(BALANCE!$A$2:$A$50,"2*",BALANCE!$F$2:$F$50)-SUMIF(BALANCE!$A$2:$A$50,"2*",BALANCE!$G$2:$G$50)</f>
        <v/>
      </c>
      <c r="E8" s="7" t="n"/>
    </row>
    <row r="9">
      <c r="A9" s="8" t="inlineStr">
        <is>
          <t>SA2</t>
        </is>
      </c>
      <c r="B9" s="8" t="inlineStr">
        <is>
          <t>Stocks</t>
        </is>
      </c>
      <c r="C9" s="8" t="inlineStr">
        <is>
          <t>2</t>
        </is>
      </c>
      <c r="D9" s="9">
        <f>SUMIF(BALANCE!$A$2:$A$50,"3*",BALANCE!$F$2:$F$50)-SUMIF(BALANCE!$A$2:$A$50,"3*",BALANCE!$G$2:$G$50)</f>
        <v/>
      </c>
      <c r="E9" s="9" t="n"/>
    </row>
    <row r="10">
      <c r="A10" s="6" t="inlineStr">
        <is>
          <t>SA3</t>
        </is>
      </c>
      <c r="B10" s="6" t="inlineStr">
        <is>
          <t>Clients et débiteurs divers</t>
        </is>
      </c>
      <c r="C10" s="6" t="inlineStr">
        <is>
          <t>3</t>
        </is>
      </c>
      <c r="D10" s="7">
        <f>SUMIF(BALANCE!$A$2:$A$50,"4*",BALANCE!$F$2:$F$50)-(SUMIF(BALANCE!$A$2:$A$50,"49*",BALANCE!$G$2:$G$50)+SUMIF(BALANCE!$A$2:$A$50,"591*",BALANCE!$G$2:$G$50)+SUMIF(BALANCE!$A$2:$A$50,"590*",BALANCE!$G$2:$G$50))+(SUMIF(BALANCE!$A$2:$A$50,"50*",BALANCE!$F$2:$F$50)-SUMIF(BALANCE!$A$2:$A$50,"50*",BALANCE!$G$2:$G$50)+SUMIF(BALANCE!$A$2:$A$50,"51*",BALANCE!$F$2:$F$50)-SUMIF(BALANCE!$A$2:$A$50,"51*",BALANCE!$G$2:$G$50))</f>
        <v/>
      </c>
      <c r="E10" s="7" t="n"/>
    </row>
    <row r="11">
      <c r="A11" s="8" t="inlineStr">
        <is>
          <t>SA4</t>
        </is>
      </c>
      <c r="B11" s="8" t="inlineStr">
        <is>
          <t>Caisse</t>
        </is>
      </c>
      <c r="C11" s="8" t="inlineStr">
        <is>
          <t>4</t>
        </is>
      </c>
      <c r="D11" s="9">
        <f>SUMIF(BALANCE!$A$2:$A$50,"57*",BALANCE!$F$2:$F$50)-SUMIF(BALANCE!$A$2:$A$50,"57*",BALANCE!$G$2:$G$50)</f>
        <v/>
      </c>
      <c r="E11" s="9" t="n"/>
    </row>
    <row r="12">
      <c r="A12" s="6" t="inlineStr">
        <is>
          <t>SA5</t>
        </is>
      </c>
      <c r="B12" s="6" t="inlineStr">
        <is>
          <t>Banque (en + ou en -)</t>
        </is>
      </c>
      <c r="C12" s="6" t="inlineStr">
        <is>
          <t>4</t>
        </is>
      </c>
      <c r="D12" s="7">
        <f>SUMIF(BALANCE!$A$2:$A$50,"52*",BALANCE!$F$2:$F$50)-SUMIF(BALANCE!$A$2:$A$50,"52*",BALANCE!$G$2:$G$50)+SUMIF(BALANCE!$A$2:$A$50,"54*",BALANCE!$F$2:$F$50)-SUMIF(BALANCE!$A$2:$A$50,"54*",BALANCE!$G$2:$G$50)+SUMIF(BALANCE!$A$2:$A$50,"56*",BALANCE!$F$2:$F$50)-SUMIF(BALANCE!$A$2:$A$50,"56*",BALANCE!$G$2:$G$50)+SUMIF(BALANCE!$A$2:$A$50,"55*",BALANCE!$F$2:$F$50)-SUMIF(BALANCE!$A$2:$A$50,"55*",BALANCE!$G$2:$G$50)+SUMIF(BALANCE!$A$2:$A$50,"58*",BALANCE!$F$2:$F$50)-SUMIF(BALANCE!$A$2:$A$50,"58*",BALANCE!$G$2:$G$50)+SUMIF(BALANCE!$A$2:$A$50,"53*",BALANCE!$F$2:$F$50)-SUMIF(BALANCE!$A$2:$A$50,"53*",BALANCE!$G$2:$G$50)-(SUMIF(BALANCE!$A$2:$A$50,"592*",BALANCE!$G$2:$G$50)+SUMIF(BALANCE!$A$2:$A$50,"594*",BALANCE!$G$2:$G$50)+SUMIF(BALANCE!$A$2:$A$50,"593*",BALANCE!$G$2:$G$50))</f>
        <v/>
      </c>
      <c r="E12" s="7" t="n"/>
    </row>
    <row r="13">
      <c r="A13" s="10" t="inlineStr">
        <is>
          <t>SAZ</t>
        </is>
      </c>
      <c r="B13" s="10" t="inlineStr">
        <is>
          <t>TOTAL ACTIF</t>
        </is>
      </c>
      <c r="C13" s="10" t="n"/>
      <c r="D13" s="11">
        <f>SUM(D8:D12)</f>
        <v/>
      </c>
      <c r="E13" s="11" t="n"/>
    </row>
    <row r="15">
      <c r="A15" s="12" t="inlineStr">
        <is>
          <t>(1) À faire figurer à l'actif si montants significatifs (AUDCIF Titre X). Registre des immobilisations : NOTE 1.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BILAN SMT — PASSIF</t>
        </is>
      </c>
    </row>
    <row r="2">
      <c r="A2" s="2" t="inlineStr">
        <is>
          <t>Système minimal de trésorerie (AUDCIF, Titre X)</t>
        </is>
      </c>
    </row>
    <row r="4">
      <c r="A4" s="3" t="inlineStr">
        <is>
          <t>Désignation entité : ETS KAPINGA</t>
        </is>
      </c>
      <c r="D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D5" t="inlineStr">
        <is>
          <t>Durée (en mois) : 12</t>
        </is>
      </c>
    </row>
    <row r="7">
      <c r="A7" s="5" t="inlineStr">
        <is>
          <t>REF</t>
        </is>
      </c>
      <c r="B7" s="5" t="inlineStr">
        <is>
          <t>PASSIF</t>
        </is>
      </c>
      <c r="C7" s="5" t="inlineStr">
        <is>
          <t>Note</t>
        </is>
      </c>
      <c r="D7" s="5" t="inlineStr">
        <is>
          <t>Exercice N</t>
        </is>
      </c>
      <c r="E7" s="5" t="inlineStr">
        <is>
          <t>Exercice N-1</t>
        </is>
      </c>
    </row>
    <row r="8">
      <c r="A8" s="6" t="inlineStr">
        <is>
          <t>SP1</t>
        </is>
      </c>
      <c r="B8" s="6" t="inlineStr">
        <is>
          <t>Compte exploitant</t>
        </is>
      </c>
      <c r="C8" s="6" t="inlineStr">
        <is>
          <t>1</t>
        </is>
      </c>
      <c r="D8" s="7">
        <f>SUMIF(BALANCE!$A$2:$A$50,"10*",BALANCE!$G$2:$G$50)-SUMIF(BALANCE!$A$2:$A$50,"10*",BALANCE!$F$2:$F$50)+SUMIF(BALANCE!$A$2:$A$50,"14*",BALANCE!$G$2:$G$50)-SUMIF(BALANCE!$A$2:$A$50,"14*",BALANCE!$F$2:$F$50)+SUMIF(BALANCE!$A$2:$A$50,"11*",BALANCE!$G$2:$G$50)-SUMIF(BALANCE!$A$2:$A$50,"11*",BALANCE!$F$2:$F$50)+SUMIF(BALANCE!$A$2:$A$50,"12*",BALANCE!$G$2:$G$50)-SUMIF(BALANCE!$A$2:$A$50,"12*",BALANCE!$F$2:$F$50)+SUMIF(BALANCE!$A$2:$A$50,"15*",BALANCE!$G$2:$G$50)-SUMIF(BALANCE!$A$2:$A$50,"15*",BALANCE!$F$2:$F$50)</f>
        <v/>
      </c>
      <c r="E8" s="7" t="n"/>
    </row>
    <row r="9">
      <c r="A9" s="8" t="inlineStr">
        <is>
          <t>SP2</t>
        </is>
      </c>
      <c r="B9" s="8" t="inlineStr">
        <is>
          <t>Résultat de l'exercice (en + ou en -)</t>
        </is>
      </c>
      <c r="C9" s="8" t="inlineStr"/>
      <c r="D9" s="9">
        <f>'COMPTE DE RESULTAT'!D23+(SUMIF(BALANCE!$A$2:$A$50,"13*",BALANCE!$G$2:$G$50)-SUMIF(BALANCE!$A$2:$A$50,"13*",BALANCE!$F$2:$F$50))</f>
        <v/>
      </c>
      <c r="E9" s="9" t="n"/>
    </row>
    <row r="10">
      <c r="A10" s="6" t="inlineStr">
        <is>
          <t>SP3</t>
        </is>
      </c>
      <c r="B10" s="6" t="inlineStr">
        <is>
          <t>Emprunt</t>
        </is>
      </c>
      <c r="C10" s="6" t="inlineStr"/>
      <c r="D10" s="7">
        <f>SUMIF(BALANCE!$A$2:$A$50,"16*",BALANCE!$G$2:$G$50)-SUMIF(BALANCE!$A$2:$A$50,"16*",BALANCE!$F$2:$F$50)+SUMIF(BALANCE!$A$2:$A$50,"19*",BALANCE!$G$2:$G$50)-SUMIF(BALANCE!$A$2:$A$50,"19*",BALANCE!$F$2:$F$50)+SUMIF(BALANCE!$A$2:$A$50,"17*",BALANCE!$G$2:$G$50)-SUMIF(BALANCE!$A$2:$A$50,"17*",BALANCE!$F$2:$F$50)+SUMIF(BALANCE!$A$2:$A$50,"18*",BALANCE!$G$2:$G$50)-SUMIF(BALANCE!$A$2:$A$50,"18*",BALANCE!$F$2:$F$50)</f>
        <v/>
      </c>
      <c r="E10" s="7" t="n"/>
    </row>
    <row r="11">
      <c r="A11" s="8" t="inlineStr">
        <is>
          <t>SP4</t>
        </is>
      </c>
      <c r="B11" s="8" t="inlineStr">
        <is>
          <t>Fournisseurs et créditeurs divers</t>
        </is>
      </c>
      <c r="C11" s="8" t="inlineStr">
        <is>
          <t>3</t>
        </is>
      </c>
      <c r="D11" s="9">
        <f>SUMIF(BALANCE!$A$2:$A$50,"4*",BALANCE!$G$2:$G$50)-SUMIF(BALANCE!$A$2:$A$50,"49*",BALANCE!$G$2:$G$50)+(SUMIF(BALANCE!$A$2:$A$50,"599*",BALANCE!$G$2:$G$50)-SUMIF(BALANCE!$A$2:$A$50,"599*",BALANCE!$F$2:$F$50))</f>
        <v/>
      </c>
      <c r="E11" s="9" t="n"/>
    </row>
    <row r="12">
      <c r="A12" s="10" t="inlineStr">
        <is>
          <t>SPZ</t>
        </is>
      </c>
      <c r="B12" s="10" t="inlineStr">
        <is>
          <t>TOTAL PASSIF</t>
        </is>
      </c>
      <c r="C12" s="10" t="n"/>
      <c r="D12" s="11">
        <f>SUM(D8:D11)</f>
        <v/>
      </c>
      <c r="E12" s="11" t="n"/>
    </row>
    <row r="14">
      <c r="A14" s="12" t="inlineStr">
        <is>
          <t>Le compte exploitant regroupe apports, prélèvements et réserves de l'exploitant (comptes 10, 11, 12, 14, 15).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COMPTE DE RÉSULTAT SMT</t>
        </is>
      </c>
    </row>
    <row r="2">
      <c r="A2" s="2" t="inlineStr">
        <is>
          <t>Recettes et dépenses corrigées des variations d'inventaire et des amortissements</t>
        </is>
      </c>
    </row>
    <row r="4">
      <c r="A4" s="3" t="inlineStr">
        <is>
          <t>Désignation entité : ETS KAPINGA</t>
        </is>
      </c>
      <c r="D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D5" t="inlineStr">
        <is>
          <t>Durée (en mois) : 12</t>
        </is>
      </c>
    </row>
    <row r="7">
      <c r="A7" s="5" t="inlineStr">
        <is>
          <t>REF</t>
        </is>
      </c>
      <c r="B7" s="5" t="inlineStr">
        <is>
          <t>RUBRIQUES</t>
        </is>
      </c>
      <c r="C7" s="5" t="inlineStr">
        <is>
          <t>Note</t>
        </is>
      </c>
      <c r="D7" s="5" t="inlineStr">
        <is>
          <t>Exercice N</t>
        </is>
      </c>
      <c r="E7" s="5" t="inlineStr">
        <is>
          <t>Exercice N-1</t>
        </is>
      </c>
    </row>
    <row r="8">
      <c r="A8" s="6" t="inlineStr">
        <is>
          <t>KA</t>
        </is>
      </c>
      <c r="B8" s="6" t="inlineStr">
        <is>
          <t>Recettes sur ventes ou prestations de services</t>
        </is>
      </c>
      <c r="C8" s="6" t="inlineStr">
        <is>
          <t>4</t>
        </is>
      </c>
      <c r="D8" s="7">
        <f>SUMIF(BALANCE!$A$2:$A$50,"70*",BALANCE!$G$2:$G$50)-SUMIF(BALANCE!$A$2:$A$50,"70*",BALANCE!$F$2:$F$50)</f>
        <v/>
      </c>
      <c r="E8" s="7" t="n"/>
    </row>
    <row r="9">
      <c r="A9" s="8" t="inlineStr">
        <is>
          <t>KB</t>
        </is>
      </c>
      <c r="B9" s="8" t="inlineStr">
        <is>
          <t>Autres recettes sur activités</t>
        </is>
      </c>
      <c r="C9" s="8" t="inlineStr">
        <is>
          <t>4</t>
        </is>
      </c>
      <c r="D9" s="9">
        <f>SUMIF(BALANCE!$A$2:$A$50,"84*",BALANCE!$G$2:$G$50)-SUMIF(BALANCE!$A$2:$A$50,"84*",BALANCE!$F$2:$F$50)+SUMIF(BALANCE!$A$2:$A$50,"86*",BALANCE!$G$2:$G$50)-SUMIF(BALANCE!$A$2:$A$50,"86*",BALANCE!$F$2:$F$50)+SUMIF(BALANCE!$A$2:$A$50,"82*",BALANCE!$G$2:$G$50)-SUMIF(BALANCE!$A$2:$A$50,"82*",BALANCE!$F$2:$F$50)+SUMIF(BALANCE!$A$2:$A$50,"71*",BALANCE!$G$2:$G$50)-SUMIF(BALANCE!$A$2:$A$50,"71*",BALANCE!$F$2:$F$50)+SUMIF(BALANCE!$A$2:$A$50,"79*",BALANCE!$G$2:$G$50)-SUMIF(BALANCE!$A$2:$A$50,"79*",BALANCE!$F$2:$F$50)+SUMIF(BALANCE!$A$2:$A$50,"88*",BALANCE!$G$2:$G$50)-SUMIF(BALANCE!$A$2:$A$50,"88*",BALANCE!$F$2:$F$50)+SUMIF(BALANCE!$A$2:$A$50,"72*",BALANCE!$G$2:$G$50)-SUMIF(BALANCE!$A$2:$A$50,"72*",BALANCE!$F$2:$F$50)+SUMIF(BALANCE!$A$2:$A$50,"75*",BALANCE!$G$2:$G$50)-SUMIF(BALANCE!$A$2:$A$50,"75*",BALANCE!$F$2:$F$50)+SUMIF(BALANCE!$A$2:$A$50,"78*",BALANCE!$G$2:$G$50)-SUMIF(BALANCE!$A$2:$A$50,"78*",BALANCE!$F$2:$F$50)+SUMIF(BALANCE!$A$2:$A$50,"77*",BALANCE!$G$2:$G$50)-SUMIF(BALANCE!$A$2:$A$50,"77*",BALANCE!$F$2:$F$50)</f>
        <v/>
      </c>
      <c r="E9" s="9" t="n"/>
    </row>
    <row r="10">
      <c r="A10" s="10" t="inlineStr">
        <is>
          <t>KX</t>
        </is>
      </c>
      <c r="B10" s="10" t="inlineStr">
        <is>
          <t>TOTAL DES RECETTES SUR PRODUITS (A)</t>
        </is>
      </c>
      <c r="C10" s="10" t="inlineStr"/>
      <c r="D10" s="11">
        <f>D8+D9</f>
        <v/>
      </c>
      <c r="E10" s="11" t="n"/>
    </row>
    <row r="11">
      <c r="A11" s="8" t="inlineStr">
        <is>
          <t>JA</t>
        </is>
      </c>
      <c r="B11" s="8" t="inlineStr">
        <is>
          <t>Dépenses sur achats</t>
        </is>
      </c>
      <c r="C11" s="8" t="inlineStr">
        <is>
          <t>4</t>
        </is>
      </c>
      <c r="D11" s="9">
        <f>SUMIF(BALANCE!$A$2:$A$50,"60*",BALANCE!$F$2:$F$50)-SUMIF(BALANCE!$A$2:$A$50,"60*",BALANCE!$G$2:$G$50)-SUMIF(BALANCE!$A$2:$A$50,"603*",BALANCE!$F$2:$F$50)+SUMIF(BALANCE!$A$2:$A$50,"603*",BALANCE!$G$2:$G$50)</f>
        <v/>
      </c>
      <c r="E11" s="9" t="n"/>
    </row>
    <row r="12">
      <c r="A12" s="6" t="inlineStr">
        <is>
          <t>JB</t>
        </is>
      </c>
      <c r="B12" s="6" t="inlineStr">
        <is>
          <t>Dépenses sur loyers</t>
        </is>
      </c>
      <c r="C12" s="6" t="inlineStr">
        <is>
          <t>4</t>
        </is>
      </c>
      <c r="D12" s="7">
        <f>SUMIF(BALANCE!$A$2:$A$50,"622*",BALANCE!$F$2:$F$50)-SUMIF(BALANCE!$A$2:$A$50,"622*",BALANCE!$G$2:$G$50)</f>
        <v/>
      </c>
      <c r="E12" s="7" t="n"/>
    </row>
    <row r="13">
      <c r="A13" s="8" t="inlineStr">
        <is>
          <t>JC</t>
        </is>
      </c>
      <c r="B13" s="8" t="inlineStr">
        <is>
          <t>Dépenses sur salaires</t>
        </is>
      </c>
      <c r="C13" s="8" t="inlineStr">
        <is>
          <t>4</t>
        </is>
      </c>
      <c r="D13" s="9">
        <f>SUMIF(BALANCE!$A$2:$A$50,"66*",BALANCE!$F$2:$F$50)-SUMIF(BALANCE!$A$2:$A$50,"66*",BALANCE!$G$2:$G$50)</f>
        <v/>
      </c>
      <c r="E13" s="9" t="n"/>
    </row>
    <row r="14">
      <c r="A14" s="6" t="inlineStr">
        <is>
          <t>JD</t>
        </is>
      </c>
      <c r="B14" s="6" t="inlineStr">
        <is>
          <t>Dépenses sur impôts et taxes</t>
        </is>
      </c>
      <c r="C14" s="6" t="inlineStr">
        <is>
          <t>4</t>
        </is>
      </c>
      <c r="D14" s="7">
        <f>SUMIF(BALANCE!$A$2:$A$50,"89*",BALANCE!$F$2:$F$50)-SUMIF(BALANCE!$A$2:$A$50,"89*",BALANCE!$G$2:$G$50)+SUMIF(BALANCE!$A$2:$A$50,"64*",BALANCE!$F$2:$F$50)-SUMIF(BALANCE!$A$2:$A$50,"64*",BALANCE!$G$2:$G$50)</f>
        <v/>
      </c>
      <c r="E14" s="7" t="n"/>
    </row>
    <row r="15">
      <c r="A15" s="8" t="inlineStr">
        <is>
          <t>JE</t>
        </is>
      </c>
      <c r="B15" s="8" t="inlineStr">
        <is>
          <t>Charges d'intérêts</t>
        </is>
      </c>
      <c r="C15" s="8" t="inlineStr"/>
      <c r="D15" s="9">
        <f>SUMIF(BALANCE!$A$2:$A$50,"67*",BALANCE!$F$2:$F$50)-SUMIF(BALANCE!$A$2:$A$50,"67*",BALANCE!$G$2:$G$50)</f>
        <v/>
      </c>
      <c r="E15" s="9" t="n"/>
    </row>
    <row r="16">
      <c r="A16" s="6" t="inlineStr">
        <is>
          <t>JF</t>
        </is>
      </c>
      <c r="B16" s="6" t="inlineStr">
        <is>
          <t>Autres dépenses sur activités</t>
        </is>
      </c>
      <c r="C16" s="6" t="inlineStr">
        <is>
          <t>4</t>
        </is>
      </c>
      <c r="D16" s="7">
        <f>SUMIF(BALANCE!$A$2:$A$50,"62*",BALANCE!$F$2:$F$50)-SUMIF(BALANCE!$A$2:$A$50,"62*",BALANCE!$G$2:$G$50)+SUMIF(BALANCE!$A$2:$A$50,"61*",BALANCE!$F$2:$F$50)-SUMIF(BALANCE!$A$2:$A$50,"61*",BALANCE!$G$2:$G$50)-SUMIF(BALANCE!$A$2:$A$50,"87*",BALANCE!$F$2:$F$50)+SUMIF(BALANCE!$A$2:$A$50,"87*",BALANCE!$G$2:$G$50)-SUMIF(BALANCE!$A$2:$A$50,"83*",BALANCE!$F$2:$F$50)+SUMIF(BALANCE!$A$2:$A$50,"83*",BALANCE!$G$2:$G$50)-SUMIF(BALANCE!$A$2:$A$50,"63*",BALANCE!$F$2:$F$50)+SUMIF(BALANCE!$A$2:$A$50,"63*",BALANCE!$G$2:$G$50)-SUMIF(BALANCE!$A$2:$A$50,"65*",BALANCE!$F$2:$F$50)+SUMIF(BALANCE!$A$2:$A$50,"65*",BALANCE!$G$2:$G$50)-SUMIF(BALANCE!$A$2:$A$50,"81*",BALANCE!$F$2:$F$50)+SUMIF(BALANCE!$A$2:$A$50,"81*",BALANCE!$G$2:$G$50)-SUMIF(BALANCE!$A$2:$A$50,"622*",BALANCE!$F$2:$F$50)+SUMIF(BALANCE!$A$2:$A$50,"622*",BALANCE!$G$2:$G$50)</f>
        <v/>
      </c>
      <c r="E16" s="7" t="n"/>
    </row>
    <row r="17">
      <c r="A17" s="10" t="inlineStr">
        <is>
          <t>JX</t>
        </is>
      </c>
      <c r="B17" s="10" t="inlineStr">
        <is>
          <t>TOTAL DÉPENSES SUR CHARGES (B)</t>
        </is>
      </c>
      <c r="C17" s="10" t="inlineStr"/>
      <c r="D17" s="11">
        <f>D11+D12+D13+D14+D15+D16</f>
        <v/>
      </c>
      <c r="E17" s="11" t="n"/>
    </row>
    <row r="18">
      <c r="A18" s="10" t="inlineStr">
        <is>
          <t>KZ</t>
        </is>
      </c>
      <c r="B18" s="10" t="inlineStr">
        <is>
          <t>SOLDE : Excédent (+) ou insuffisance (-) de recettes (C = A - B)</t>
        </is>
      </c>
      <c r="C18" s="10" t="inlineStr"/>
      <c r="D18" s="11">
        <f>D10-D17</f>
        <v/>
      </c>
      <c r="E18" s="11" t="n"/>
    </row>
    <row r="19">
      <c r="A19" s="8" t="inlineStr">
        <is>
          <t>VA</t>
        </is>
      </c>
      <c r="B19" s="8" t="inlineStr">
        <is>
          <t>Variation des stocks [N - (N-1)] (D)</t>
        </is>
      </c>
      <c r="C19" s="8" t="inlineStr">
        <is>
          <t>2</t>
        </is>
      </c>
      <c r="D19" s="9">
        <f>(SUMIF(BALANCE!$A$2:$A$50,"603*",BALANCE!$G$2:$G$50)-SUMIF(BALANCE!$A$2:$A$50,"603*",BALANCE!$F$2:$F$50))+(SUMIF(BALANCE!$A$2:$A$50,"73*",BALANCE!$G$2:$G$50)-SUMIF(BALANCE!$A$2:$A$50,"73*",BALANCE!$F$2:$F$50))</f>
        <v/>
      </c>
      <c r="E19" s="9" t="n"/>
    </row>
    <row r="20">
      <c r="A20" s="6" t="inlineStr">
        <is>
          <t>VB</t>
        </is>
      </c>
      <c r="B20" s="6" t="inlineStr">
        <is>
          <t>Variation des créances [N - (N-1)] (D) — à saisir depuis la NOTE 3</t>
        </is>
      </c>
      <c r="C20" s="6" t="inlineStr">
        <is>
          <t>3</t>
        </is>
      </c>
      <c r="D20" s="7" t="n">
        <v>0</v>
      </c>
      <c r="E20" s="7" t="n"/>
    </row>
    <row r="21">
      <c r="A21" s="8" t="inlineStr">
        <is>
          <t>VC</t>
        </is>
      </c>
      <c r="B21" s="8" t="inlineStr">
        <is>
          <t>Variation des dettes d'exploitation [N - (N-1)] (E) — à saisir depuis la NOTE 3</t>
        </is>
      </c>
      <c r="C21" s="8" t="inlineStr">
        <is>
          <t>3</t>
        </is>
      </c>
      <c r="D21" s="9" t="n">
        <v>0</v>
      </c>
      <c r="E21" s="9" t="n"/>
    </row>
    <row r="22">
      <c r="A22" s="6" t="inlineStr">
        <is>
          <t>JG</t>
        </is>
      </c>
      <c r="B22" s="6" t="inlineStr">
        <is>
          <t>DOTATIONS AUX AMORTISSEMENTS (F)</t>
        </is>
      </c>
      <c r="C22" s="6" t="inlineStr"/>
      <c r="D22" s="7">
        <f>SUMIF(BALANCE!$A$2:$A$50,"69*",BALANCE!$F$2:$F$50)-SUMIF(BALANCE!$A$2:$A$50,"69*",BALANCE!$G$2:$G$50)+SUMIF(BALANCE!$A$2:$A$50,"85*",BALANCE!$F$2:$F$50)-SUMIF(BALANCE!$A$2:$A$50,"85*",BALANCE!$G$2:$G$50)+SUMIF(BALANCE!$A$2:$A$50,"68*",BALANCE!$F$2:$F$50)-SUMIF(BALANCE!$A$2:$A$50,"68*",BALANCE!$G$2:$G$50)</f>
        <v/>
      </c>
      <c r="E22" s="7" t="n"/>
    </row>
    <row r="23">
      <c r="A23" s="10" t="inlineStr">
        <is>
          <t>KZC</t>
        </is>
      </c>
      <c r="B23" s="10" t="inlineStr">
        <is>
          <t>RÉSULTAT DE L'EXERCICE (G = C + D stocks + D créances - E dettes - F)</t>
        </is>
      </c>
      <c r="C23" s="10" t="inlineStr"/>
      <c r="D23" s="11">
        <f>D18+D19+D20-D21-D22</f>
        <v/>
      </c>
      <c r="E23" s="11" t="n"/>
    </row>
    <row r="25">
      <c r="A25" t="inlineStr">
        <is>
          <t>Lecture (AUDCIF Titre X) : G = C - D + E - F. Les variations sont ici affichées en N - (N-1) : une hausse des stocks ou des créances augmente le résultat, une hausse des dettes le diminue. VB et VC se saisissent depuis la NOTE 3 (inventaire extra-comptable).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NOTE 1 — TABLEAU SMT DE SUIVI DU MATÉRIEL, DU MOBILIER ET DES CAUTIONS</t>
        </is>
      </c>
    </row>
    <row r="2">
      <c r="A2" s="2" t="inlineStr">
        <is>
          <t>Registre des immobilisations — amortissement linéaire sans prorata temporis</t>
        </is>
      </c>
    </row>
    <row r="4">
      <c r="A4" s="3" t="inlineStr">
        <is>
          <t>Désignation entité : ETS KAPINGA</t>
        </is>
      </c>
      <c r="F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F5" t="inlineStr">
        <is>
          <t>Durée (en mois) : 12</t>
        </is>
      </c>
    </row>
    <row r="7">
      <c r="A7" s="5" t="inlineStr">
        <is>
          <t>Compte</t>
        </is>
      </c>
      <c r="B7" s="5" t="inlineStr">
        <is>
          <t>Désignation</t>
        </is>
      </c>
      <c r="C7" s="5" t="inlineStr">
        <is>
          <t>Montant</t>
        </is>
      </c>
      <c r="D7" s="5" t="inlineStr">
        <is>
          <t>Date d'acquisition</t>
        </is>
      </c>
      <c r="E7" s="5" t="inlineStr">
        <is>
          <t>Durée d'utilité</t>
        </is>
      </c>
      <c r="F7" s="5" t="inlineStr">
        <is>
          <t>Date de sortie</t>
        </is>
      </c>
      <c r="G7" s="5" t="inlineStr">
        <is>
          <t>Prix de cession</t>
        </is>
      </c>
    </row>
    <row r="8">
      <c r="A8" s="6" t="inlineStr">
        <is>
          <t>2441</t>
        </is>
      </c>
      <c r="B8" s="6" t="inlineStr">
        <is>
          <t>Matériel et mobilier</t>
        </is>
      </c>
      <c r="C8" s="7">
        <f>SUMIF(BALANCE!$A$2:$A$50,"2441*",BALANCE!$F$2:$F$50)-SUMIF(BALANCE!$A$2:$A$50,"2441*",BALANCE!$G$2:$G$50)</f>
        <v/>
      </c>
      <c r="D8" s="6" t="n"/>
      <c r="E8" s="6" t="n"/>
      <c r="F8" s="6" t="n"/>
      <c r="G8" s="7" t="n"/>
    </row>
    <row r="9">
      <c r="A9" s="8" t="n"/>
      <c r="B9" s="8" t="inlineStr">
        <is>
          <t>TOTAL IMMOBILISATIONS BRUTES</t>
        </is>
      </c>
      <c r="C9" s="9">
        <f>SUM(C8:C8)</f>
        <v/>
      </c>
      <c r="D9" s="8" t="n"/>
      <c r="E9" s="8" t="n"/>
      <c r="F9" s="8" t="n"/>
      <c r="G9" s="9" t="n"/>
    </row>
    <row r="10">
      <c r="A10" s="6" t="n"/>
      <c r="B10" s="6" t="inlineStr">
        <is>
          <t>Amortissements et dépréciations cumulés (28/29)</t>
        </is>
      </c>
      <c r="C10" s="7">
        <f>SUMIF(BALANCE!$A$2:$A$50,"29*",BALANCE!$G$2:$G$50)-SUMIF(BALANCE!$A$2:$A$50,"29*",BALANCE!$F$2:$F$50)+SUMIF(BALANCE!$A$2:$A$50,"28*",BALANCE!$G$2:$G$50)-SUMIF(BALANCE!$A$2:$A$50,"28*",BALANCE!$F$2:$F$50)</f>
        <v/>
      </c>
      <c r="D10" s="6" t="n"/>
      <c r="E10" s="6" t="n"/>
      <c r="F10" s="6" t="n"/>
      <c r="G10" s="7" t="n"/>
    </row>
    <row r="11">
      <c r="A11" s="10" t="n"/>
      <c r="B11" s="10" t="inlineStr">
        <is>
          <t>VALEUR NETTE (= poste Immobilisations du bilan)</t>
        </is>
      </c>
      <c r="C11" s="11">
        <f>C9-C10</f>
        <v/>
      </c>
      <c r="D11" s="10" t="n"/>
      <c r="E11" s="10" t="n"/>
      <c r="F11" s="10" t="n"/>
      <c r="G11" s="11" t="n"/>
    </row>
    <row r="13">
      <c r="A13" t="inlineStr">
        <is>
          <t>Compléter dates, durées et sorties depuis le registre : la balance ne porte que les montants.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NOTE 2 — ÉTAT DES STOCKS</t>
        </is>
      </c>
    </row>
    <row r="2">
      <c r="A2" s="2" t="inlineStr">
        <is>
          <t>Inventaire extra-comptable au 31 décembre</t>
        </is>
      </c>
    </row>
    <row r="4">
      <c r="A4" s="3" t="inlineStr">
        <is>
          <t>Désignation entité : ETS KAPINGA</t>
        </is>
      </c>
      <c r="D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D5" t="inlineStr">
        <is>
          <t>Durée (en mois) : 12</t>
        </is>
      </c>
    </row>
    <row r="7">
      <c r="A7" s="5" t="inlineStr">
        <is>
          <t>Référence</t>
        </is>
      </c>
      <c r="B7" s="5" t="inlineStr">
        <is>
          <t>Désignation</t>
        </is>
      </c>
      <c r="C7" s="5" t="inlineStr">
        <is>
          <t>Quantité</t>
        </is>
      </c>
      <c r="D7" s="5" t="inlineStr">
        <is>
          <t>Prix unitaire</t>
        </is>
      </c>
      <c r="E7" s="5" t="inlineStr">
        <is>
          <t>Montant</t>
        </is>
      </c>
    </row>
    <row r="8">
      <c r="A8" s="6" t="inlineStr">
        <is>
          <t>33</t>
        </is>
      </c>
      <c r="B8" s="6" t="inlineStr">
        <is>
          <t>Stocks d'autres approvisionnements</t>
        </is>
      </c>
      <c r="C8" s="6" t="n"/>
      <c r="D8" s="6" t="n"/>
      <c r="E8" s="7">
        <f>SUMIF(BALANCE!$A$2:$A$50,"33*",BALANCE!$F$2:$F$50)-SUMIF(BALANCE!$A$2:$A$50,"33*",BALANCE!$G$2:$G$50)</f>
        <v/>
      </c>
    </row>
    <row r="9">
      <c r="A9" s="8" t="n"/>
      <c r="B9" s="8" t="n"/>
      <c r="C9" s="8" t="n"/>
      <c r="D9" s="8" t="n"/>
      <c r="E9" s="9" t="n"/>
    </row>
    <row r="10">
      <c r="A10" s="6" t="n"/>
      <c r="B10" s="6" t="n"/>
      <c r="C10" s="6" t="n"/>
      <c r="D10" s="6" t="n"/>
      <c r="E10" s="7" t="n"/>
    </row>
    <row r="11">
      <c r="A11" s="8" t="n"/>
      <c r="B11" s="8" t="n"/>
      <c r="C11" s="8" t="n"/>
      <c r="D11" s="8" t="n"/>
      <c r="E11" s="9" t="n"/>
    </row>
    <row r="12">
      <c r="A12" s="10" t="n"/>
      <c r="B12" s="10" t="inlineStr">
        <is>
          <t>VALEUR DU STOCK FINAL</t>
        </is>
      </c>
      <c r="C12" s="10" t="n"/>
      <c r="D12" s="10" t="n"/>
      <c r="E12" s="11">
        <f>SUMIF(BALANCE!$A$2:$A$50,"3*",BALANCE!$F$2:$F$50)-SUMIF(BALANCE!$A$2:$A$50,"3*",BALANCE!$G$2:$G$50)</f>
        <v/>
      </c>
    </row>
    <row r="13">
      <c r="A13" s="10" t="n"/>
      <c r="B13" s="10" t="inlineStr">
        <is>
          <t>VALEUR DU STOCK INITIAL</t>
        </is>
      </c>
      <c r="C13" s="10" t="n"/>
      <c r="D13" s="10" t="n"/>
      <c r="E13" s="11" t="n">
        <v>0</v>
      </c>
    </row>
    <row r="14">
      <c r="A14" s="10" t="n"/>
      <c r="B14" s="10" t="inlineStr">
        <is>
          <t>VARIATION DES STOCKS [final - initial]</t>
        </is>
      </c>
      <c r="C14" s="10" t="n"/>
      <c r="D14" s="10" t="n"/>
      <c r="E14" s="11">
        <f>E12-E13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NOTE 3 — ÉTAT DES CRÉANCES ET DES DETTES NON ÉCHUES</t>
        </is>
      </c>
    </row>
    <row r="2">
      <c r="A2" s="2" t="inlineStr">
        <is>
          <t>Inventaire extra-comptable au 31 décembre</t>
        </is>
      </c>
    </row>
    <row r="4">
      <c r="A4" s="3" t="inlineStr">
        <is>
          <t>Désignation entité : ETS KAPINGA</t>
        </is>
      </c>
      <c r="E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E5" t="inlineStr">
        <is>
          <t>Durée (en mois) : 12</t>
        </is>
      </c>
    </row>
    <row r="7">
      <c r="A7" s="4" t="inlineStr">
        <is>
          <t>CRÉANCES — clients-usagers et autres débiteurs</t>
        </is>
      </c>
    </row>
    <row r="8">
      <c r="A8" s="5" t="inlineStr">
        <is>
          <t>Date</t>
        </is>
      </c>
      <c r="B8" s="5" t="inlineStr">
        <is>
          <t>Nom</t>
        </is>
      </c>
      <c r="C8" s="5" t="inlineStr">
        <is>
          <t>Montant au 31/12/N</t>
        </is>
      </c>
      <c r="D8" s="5" t="inlineStr">
        <is>
          <t>Montant au 01/01/N</t>
        </is>
      </c>
      <c r="E8" s="5" t="inlineStr">
        <is>
          <t>Variation en valeur</t>
        </is>
      </c>
      <c r="F8" s="5" t="inlineStr">
        <is>
          <t>Variation en %</t>
        </is>
      </c>
    </row>
    <row r="9">
      <c r="A9" s="8" t="n"/>
      <c r="B9" s="8" t="n"/>
      <c r="C9" s="9" t="n"/>
      <c r="D9" s="9" t="n"/>
      <c r="E9" s="9">
        <f>C9-D9</f>
        <v/>
      </c>
      <c r="F9" s="8">
        <f>IF(D9=0,"",(C9-D9)/D9)</f>
        <v/>
      </c>
    </row>
    <row r="10">
      <c r="A10" s="6" t="n"/>
      <c r="B10" s="6" t="n"/>
      <c r="C10" s="7" t="n"/>
      <c r="D10" s="7" t="n"/>
      <c r="E10" s="7">
        <f>C10-D10</f>
        <v/>
      </c>
      <c r="F10" s="6">
        <f>IF(D10=0,"",(C10-D10)/D10)</f>
        <v/>
      </c>
    </row>
    <row r="11">
      <c r="A11" s="8" t="n"/>
      <c r="B11" s="8" t="n"/>
      <c r="C11" s="9" t="n"/>
      <c r="D11" s="9" t="n"/>
      <c r="E11" s="9">
        <f>C11-D11</f>
        <v/>
      </c>
      <c r="F11" s="8">
        <f>IF(D11=0,"",(C11-D11)/D11)</f>
        <v/>
      </c>
    </row>
    <row r="12">
      <c r="A12" s="6" t="n"/>
      <c r="B12" s="6" t="n"/>
      <c r="C12" s="7" t="n"/>
      <c r="D12" s="7" t="n"/>
      <c r="E12" s="7">
        <f>C12-D12</f>
        <v/>
      </c>
      <c r="F12" s="6">
        <f>IF(D12=0,"",(C12-D12)/D12)</f>
        <v/>
      </c>
    </row>
    <row r="13">
      <c r="A13" s="8" t="n"/>
      <c r="B13" s="8" t="n"/>
      <c r="C13" s="9" t="n"/>
      <c r="D13" s="9" t="n"/>
      <c r="E13" s="9">
        <f>C13-D13</f>
        <v/>
      </c>
      <c r="F13" s="8">
        <f>IF(D13=0,"",(C13-D13)/D13)</f>
        <v/>
      </c>
    </row>
    <row r="14">
      <c r="A14" s="6" t="n"/>
      <c r="B14" s="6" t="n"/>
      <c r="C14" s="7" t="n"/>
      <c r="D14" s="7" t="n"/>
      <c r="E14" s="7">
        <f>C14-D14</f>
        <v/>
      </c>
      <c r="F14" s="6">
        <f>IF(D14=0,"",(C14-D14)/D14)</f>
        <v/>
      </c>
    </row>
    <row r="15">
      <c r="A15" s="10" t="n"/>
      <c r="B15" s="10" t="inlineStr">
        <is>
          <t>TOTAL DES CRÉANCES</t>
        </is>
      </c>
      <c r="C15" s="11">
        <f>SUM(C9:C14)</f>
        <v/>
      </c>
      <c r="D15" s="11">
        <f>SUM(D9:D14)</f>
        <v/>
      </c>
      <c r="E15" s="11">
        <f>SUM(E9:E14)</f>
        <v/>
      </c>
      <c r="F15" s="10" t="n"/>
    </row>
    <row r="16">
      <c r="B16" t="inlineStr">
        <is>
          <t>Rappel balance (classe 4, soldes débiteurs) — contrôle</t>
        </is>
      </c>
      <c r="C16" s="13">
        <f>SUMIF(BALANCE!$A$2:$A$50,"4*",BALANCE!$F$2:$F$50)</f>
        <v/>
      </c>
      <c r="D16" s="13">
        <f>0</f>
        <v/>
      </c>
    </row>
    <row r="19">
      <c r="A19" s="4" t="inlineStr">
        <is>
          <t>DETTES — fournisseurs et autres créditeurs</t>
        </is>
      </c>
    </row>
    <row r="20">
      <c r="A20" s="5" t="inlineStr">
        <is>
          <t>Date</t>
        </is>
      </c>
      <c r="B20" s="5" t="inlineStr">
        <is>
          <t>Nom</t>
        </is>
      </c>
      <c r="C20" s="5" t="inlineStr">
        <is>
          <t>Montant au 31/12/N</t>
        </is>
      </c>
      <c r="D20" s="5" t="inlineStr">
        <is>
          <t>Montant au 01/01/N</t>
        </is>
      </c>
      <c r="E20" s="5" t="inlineStr">
        <is>
          <t>Variation en valeur</t>
        </is>
      </c>
      <c r="F20" s="5" t="inlineStr">
        <is>
          <t>Variation en %</t>
        </is>
      </c>
    </row>
    <row r="21">
      <c r="A21" s="8" t="n"/>
      <c r="B21" s="8" t="n"/>
      <c r="C21" s="9" t="n"/>
      <c r="D21" s="9" t="n"/>
      <c r="E21" s="9">
        <f>C21-D21</f>
        <v/>
      </c>
      <c r="F21" s="8">
        <f>IF(D21=0,"",(C21-D21)/D21)</f>
        <v/>
      </c>
    </row>
    <row r="22">
      <c r="A22" s="6" t="n"/>
      <c r="B22" s="6" t="n"/>
      <c r="C22" s="7" t="n"/>
      <c r="D22" s="7" t="n"/>
      <c r="E22" s="7">
        <f>C22-D22</f>
        <v/>
      </c>
      <c r="F22" s="6">
        <f>IF(D22=0,"",(C22-D22)/D22)</f>
        <v/>
      </c>
    </row>
    <row r="23">
      <c r="A23" s="8" t="n"/>
      <c r="B23" s="8" t="n"/>
      <c r="C23" s="9" t="n"/>
      <c r="D23" s="9" t="n"/>
      <c r="E23" s="9">
        <f>C23-D23</f>
        <v/>
      </c>
      <c r="F23" s="8">
        <f>IF(D23=0,"",(C23-D23)/D23)</f>
        <v/>
      </c>
    </row>
    <row r="24">
      <c r="A24" s="6" t="n"/>
      <c r="B24" s="6" t="n"/>
      <c r="C24" s="7" t="n"/>
      <c r="D24" s="7" t="n"/>
      <c r="E24" s="7">
        <f>C24-D24</f>
        <v/>
      </c>
      <c r="F24" s="6">
        <f>IF(D24=0,"",(C24-D24)/D24)</f>
        <v/>
      </c>
    </row>
    <row r="25">
      <c r="A25" s="8" t="n"/>
      <c r="B25" s="8" t="n"/>
      <c r="C25" s="9" t="n"/>
      <c r="D25" s="9" t="n"/>
      <c r="E25" s="9">
        <f>C25-D25</f>
        <v/>
      </c>
      <c r="F25" s="8">
        <f>IF(D25=0,"",(C25-D25)/D25)</f>
        <v/>
      </c>
    </row>
    <row r="26">
      <c r="A26" s="6" t="n"/>
      <c r="B26" s="6" t="n"/>
      <c r="C26" s="7" t="n"/>
      <c r="D26" s="7" t="n"/>
      <c r="E26" s="7">
        <f>C26-D26</f>
        <v/>
      </c>
      <c r="F26" s="6">
        <f>IF(D26=0,"",(C26-D26)/D26)</f>
        <v/>
      </c>
    </row>
    <row r="27">
      <c r="A27" s="10" t="n"/>
      <c r="B27" s="10" t="inlineStr">
        <is>
          <t>TOTAL DES DETTES</t>
        </is>
      </c>
      <c r="C27" s="11">
        <f>SUM(C21:C26)</f>
        <v/>
      </c>
      <c r="D27" s="11">
        <f>SUM(D21:D26)</f>
        <v/>
      </c>
      <c r="E27" s="11">
        <f>SUM(E21:E26)</f>
        <v/>
      </c>
      <c r="F27" s="10" t="n"/>
    </row>
    <row r="28">
      <c r="B28" t="inlineStr">
        <is>
          <t>Rappel balance (classe 4, soldes créditeurs) — contrôle</t>
        </is>
      </c>
      <c r="C28" s="13">
        <f>SUMIF(BALANCE!$A$2:$A$50,"4*",BALANCE!$G$2:$G$50)</f>
        <v/>
      </c>
      <c r="D28" s="13">
        <f>0</f>
        <v/>
      </c>
    </row>
    <row r="31">
      <c r="A31" t="inlineStr">
        <is>
          <t>Reporter la variation des créances en VB et celle des dettes en VC du compte de résultat.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1" customWidth="1" min="7" max="7"/>
    <col width="15" customWidth="1" min="8" max="8"/>
    <col width="13" customWidth="1" min="9" max="9"/>
    <col width="22" customWidth="1" min="10" max="10"/>
    <col width="11" customWidth="1" min="11" max="11"/>
  </cols>
  <sheetData>
    <row r="1">
      <c r="A1" s="1" t="inlineStr">
        <is>
          <t>NOTE 4 — JOURNAL DE TRÉSORERIE SMT</t>
        </is>
      </c>
    </row>
    <row r="2">
      <c r="A2" s="2" t="inlineStr">
        <is>
          <t>Un journal par banque et un journal pour la caisse (AUDCIF Titre X, ch. 3)</t>
        </is>
      </c>
    </row>
    <row r="4">
      <c r="A4" s="3" t="inlineStr">
        <is>
          <t>Désignation entité : ETS KAPINGA</t>
        </is>
      </c>
      <c r="J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J5" t="inlineStr">
        <is>
          <t>Durée (en mois) : 12</t>
        </is>
      </c>
    </row>
    <row r="7">
      <c r="A7" s="5" t="inlineStr">
        <is>
          <t>Date</t>
        </is>
      </c>
      <c r="B7" s="5" t="inlineStr">
        <is>
          <t>Libellés</t>
        </is>
      </c>
      <c r="C7" s="5" t="inlineStr">
        <is>
          <t>Recettes</t>
        </is>
      </c>
      <c r="D7" s="5" t="inlineStr">
        <is>
          <t>Dépenses</t>
        </is>
      </c>
      <c r="E7" s="5" t="inlineStr">
        <is>
          <t>Solde</t>
        </is>
      </c>
      <c r="F7" s="5" t="inlineStr">
        <is>
          <t>Vent. recettes : Ventes</t>
        </is>
      </c>
      <c r="G7" s="5" t="inlineStr">
        <is>
          <t>Autres</t>
        </is>
      </c>
      <c r="H7" s="5" t="inlineStr">
        <is>
          <t>Matériel et mobilier</t>
        </is>
      </c>
      <c r="I7" s="5" t="inlineStr">
        <is>
          <t>Vent. dépenses : Achats</t>
        </is>
      </c>
      <c r="J7" s="5" t="inlineStr">
        <is>
          <t>Loyers / Salaires / Impôts</t>
        </is>
      </c>
      <c r="K7" s="5" t="inlineStr">
        <is>
          <t>Autres</t>
        </is>
      </c>
    </row>
    <row r="8">
      <c r="A8" s="6" t="n"/>
      <c r="B8" s="6" t="inlineStr">
        <is>
          <t>Report à nouveau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8" t="n"/>
      <c r="B9" s="8" t="n"/>
      <c r="C9" s="9" t="n"/>
      <c r="D9" s="9" t="n"/>
      <c r="E9" s="9">
        <f>E8+C9-D9</f>
        <v/>
      </c>
      <c r="F9" s="9" t="n"/>
      <c r="G9" s="9" t="n"/>
      <c r="H9" s="9" t="n"/>
      <c r="I9" s="9" t="n"/>
      <c r="J9" s="9" t="n"/>
      <c r="K9" s="9" t="n"/>
    </row>
    <row r="10">
      <c r="A10" s="6" t="n"/>
      <c r="B10" s="6" t="n"/>
      <c r="C10" s="7" t="n"/>
      <c r="D10" s="7" t="n"/>
      <c r="E10" s="7">
        <f>E9+C10-D10</f>
        <v/>
      </c>
      <c r="F10" s="7" t="n"/>
      <c r="G10" s="7" t="n"/>
      <c r="H10" s="7" t="n"/>
      <c r="I10" s="7" t="n"/>
      <c r="J10" s="7" t="n"/>
      <c r="K10" s="7" t="n"/>
    </row>
    <row r="11">
      <c r="A11" s="8" t="n"/>
      <c r="B11" s="8" t="n"/>
      <c r="C11" s="9" t="n"/>
      <c r="D11" s="9" t="n"/>
      <c r="E11" s="9">
        <f>E10+C11-D11</f>
        <v/>
      </c>
      <c r="F11" s="9" t="n"/>
      <c r="G11" s="9" t="n"/>
      <c r="H11" s="9" t="n"/>
      <c r="I11" s="9" t="n"/>
      <c r="J11" s="9" t="n"/>
      <c r="K11" s="9" t="n"/>
    </row>
    <row r="12">
      <c r="A12" s="6" t="n"/>
      <c r="B12" s="6" t="n"/>
      <c r="C12" s="7" t="n"/>
      <c r="D12" s="7" t="n"/>
      <c r="E12" s="7">
        <f>E11+C12-D12</f>
        <v/>
      </c>
      <c r="F12" s="7" t="n"/>
      <c r="G12" s="7" t="n"/>
      <c r="H12" s="7" t="n"/>
      <c r="I12" s="7" t="n"/>
      <c r="J12" s="7" t="n"/>
      <c r="K12" s="7" t="n"/>
    </row>
    <row r="13">
      <c r="A13" s="8" t="n"/>
      <c r="B13" s="8" t="n"/>
      <c r="C13" s="9" t="n"/>
      <c r="D13" s="9" t="n"/>
      <c r="E13" s="9">
        <f>E12+C13-D13</f>
        <v/>
      </c>
      <c r="F13" s="9" t="n"/>
      <c r="G13" s="9" t="n"/>
      <c r="H13" s="9" t="n"/>
      <c r="I13" s="9" t="n"/>
      <c r="J13" s="9" t="n"/>
      <c r="K13" s="9" t="n"/>
    </row>
    <row r="14">
      <c r="A14" s="6" t="n"/>
      <c r="B14" s="6" t="n"/>
      <c r="C14" s="7" t="n"/>
      <c r="D14" s="7" t="n"/>
      <c r="E14" s="7">
        <f>E13+C14-D14</f>
        <v/>
      </c>
      <c r="F14" s="7" t="n"/>
      <c r="G14" s="7" t="n"/>
      <c r="H14" s="7" t="n"/>
      <c r="I14" s="7" t="n"/>
      <c r="J14" s="7" t="n"/>
      <c r="K14" s="7" t="n"/>
    </row>
    <row r="15">
      <c r="A15" s="8" t="n"/>
      <c r="B15" s="8" t="n"/>
      <c r="C15" s="9" t="n"/>
      <c r="D15" s="9" t="n"/>
      <c r="E15" s="9">
        <f>E14+C15-D15</f>
        <v/>
      </c>
      <c r="F15" s="9" t="n"/>
      <c r="G15" s="9" t="n"/>
      <c r="H15" s="9" t="n"/>
      <c r="I15" s="9" t="n"/>
      <c r="J15" s="9" t="n"/>
      <c r="K15" s="9" t="n"/>
    </row>
    <row r="16">
      <c r="A16" s="6" t="n"/>
      <c r="B16" s="6" t="n"/>
      <c r="C16" s="7" t="n"/>
      <c r="D16" s="7" t="n"/>
      <c r="E16" s="7">
        <f>E15+C16-D16</f>
        <v/>
      </c>
      <c r="F16" s="7" t="n"/>
      <c r="G16" s="7" t="n"/>
      <c r="H16" s="7" t="n"/>
      <c r="I16" s="7" t="n"/>
      <c r="J16" s="7" t="n"/>
      <c r="K16" s="7" t="n"/>
    </row>
    <row r="17">
      <c r="A17" s="8" t="n"/>
      <c r="B17" s="8" t="n"/>
      <c r="C17" s="9" t="n"/>
      <c r="D17" s="9" t="n"/>
      <c r="E17" s="9">
        <f>E16+C17-D17</f>
        <v/>
      </c>
      <c r="F17" s="9" t="n"/>
      <c r="G17" s="9" t="n"/>
      <c r="H17" s="9" t="n"/>
      <c r="I17" s="9" t="n"/>
      <c r="J17" s="9" t="n"/>
      <c r="K17" s="9" t="n"/>
    </row>
    <row r="18">
      <c r="A18" s="6" t="n"/>
      <c r="B18" s="6" t="n"/>
      <c r="C18" s="7" t="n"/>
      <c r="D18" s="7" t="n"/>
      <c r="E18" s="7">
        <f>E17+C18-D18</f>
        <v/>
      </c>
      <c r="F18" s="7" t="n"/>
      <c r="G18" s="7" t="n"/>
      <c r="H18" s="7" t="n"/>
      <c r="I18" s="7" t="n"/>
      <c r="J18" s="7" t="n"/>
      <c r="K18" s="7" t="n"/>
    </row>
    <row r="19">
      <c r="A19" s="8" t="n"/>
      <c r="B19" s="8" t="n"/>
      <c r="C19" s="9" t="n"/>
      <c r="D19" s="9" t="n"/>
      <c r="E19" s="9">
        <f>E18+C19-D19</f>
        <v/>
      </c>
      <c r="F19" s="9" t="n"/>
      <c r="G19" s="9" t="n"/>
      <c r="H19" s="9" t="n"/>
      <c r="I19" s="9" t="n"/>
      <c r="J19" s="9" t="n"/>
      <c r="K19" s="9" t="n"/>
    </row>
    <row r="20">
      <c r="A20" s="6" t="n"/>
      <c r="B20" s="6" t="n"/>
      <c r="C20" s="7" t="n"/>
      <c r="D20" s="7" t="n"/>
      <c r="E20" s="7">
        <f>E19+C20-D20</f>
        <v/>
      </c>
      <c r="F20" s="7" t="n"/>
      <c r="G20" s="7" t="n"/>
      <c r="H20" s="7" t="n"/>
      <c r="I20" s="7" t="n"/>
      <c r="J20" s="7" t="n"/>
      <c r="K20" s="7" t="n"/>
    </row>
    <row r="21">
      <c r="A21" s="8" t="n"/>
      <c r="B21" s="8" t="n"/>
      <c r="C21" s="9" t="n"/>
      <c r="D21" s="9" t="n"/>
      <c r="E21" s="9">
        <f>E20+C21-D21</f>
        <v/>
      </c>
      <c r="F21" s="9" t="n"/>
      <c r="G21" s="9" t="n"/>
      <c r="H21" s="9" t="n"/>
      <c r="I21" s="9" t="n"/>
      <c r="J21" s="9" t="n"/>
      <c r="K21" s="9" t="n"/>
    </row>
    <row r="22">
      <c r="A22" s="6" t="n"/>
      <c r="B22" s="6" t="n"/>
      <c r="C22" s="7" t="n"/>
      <c r="D22" s="7" t="n"/>
      <c r="E22" s="7">
        <f>E21+C22-D22</f>
        <v/>
      </c>
      <c r="F22" s="7" t="n"/>
      <c r="G22" s="7" t="n"/>
      <c r="H22" s="7" t="n"/>
      <c r="I22" s="7" t="n"/>
      <c r="J22" s="7" t="n"/>
      <c r="K22" s="7" t="n"/>
    </row>
    <row r="23">
      <c r="A23" s="10" t="n"/>
      <c r="B23" s="10" t="inlineStr">
        <is>
          <t>Solde à reporter</t>
        </is>
      </c>
      <c r="C23" s="11" t="n"/>
      <c r="D23" s="11" t="n"/>
      <c r="E23" s="11">
        <f>E22</f>
        <v/>
      </c>
      <c r="F23" s="11" t="n"/>
      <c r="G23" s="11" t="n"/>
      <c r="H23" s="11" t="n"/>
      <c r="I23" s="11" t="n"/>
      <c r="J23" s="11" t="n"/>
      <c r="K23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JOURNAUX DE SUIVI SMT</t>
        </is>
      </c>
    </row>
    <row r="2">
      <c r="A2" s="2" t="inlineStr">
        <is>
          <t>Créances impayées et dettes à payer — pièces de base de la fiabilité du SMT (Titre X, ch. 1)</t>
        </is>
      </c>
    </row>
    <row r="4">
      <c r="A4" s="3" t="inlineStr">
        <is>
          <t>Désignation entité : ETS KAPINGA</t>
        </is>
      </c>
      <c r="D4" t="inlineStr">
        <is>
          <t>Exercice clos le : 31/12/2025</t>
        </is>
      </c>
    </row>
    <row r="5">
      <c r="A5" s="3" t="inlineStr">
        <is>
          <t>Numéro d'identification : IDNAT 01-234-N56789K</t>
        </is>
      </c>
      <c r="D5" t="inlineStr">
        <is>
          <t>Durée (en mois) : 12</t>
        </is>
      </c>
    </row>
    <row r="7">
      <c r="A7" s="4" t="inlineStr">
        <is>
          <t>JOURNAL DE SUIVI DES CRÉANCES IMPAYÉES</t>
        </is>
      </c>
    </row>
    <row r="8">
      <c r="A8" s="5" t="inlineStr">
        <is>
          <t>Date</t>
        </is>
      </c>
      <c r="B8" s="5" t="inlineStr">
        <is>
          <t>N° facture</t>
        </is>
      </c>
      <c r="C8" s="5" t="inlineStr">
        <is>
          <t>Nom du client</t>
        </is>
      </c>
      <c r="D8" s="5" t="inlineStr">
        <is>
          <t>Montant</t>
        </is>
      </c>
      <c r="E8" s="5" t="inlineStr">
        <is>
          <t>Date de paiement</t>
        </is>
      </c>
    </row>
    <row r="9">
      <c r="A9" s="8" t="n"/>
      <c r="B9" s="8" t="n"/>
      <c r="C9" s="8" t="n"/>
      <c r="D9" s="9" t="n"/>
      <c r="E9" s="8" t="n"/>
    </row>
    <row r="10">
      <c r="A10" s="6" t="n"/>
      <c r="B10" s="6" t="n"/>
      <c r="C10" s="6" t="n"/>
      <c r="D10" s="7" t="n"/>
      <c r="E10" s="6" t="n"/>
    </row>
    <row r="11">
      <c r="A11" s="8" t="n"/>
      <c r="B11" s="8" t="n"/>
      <c r="C11" s="8" t="n"/>
      <c r="D11" s="9" t="n"/>
      <c r="E11" s="8" t="n"/>
    </row>
    <row r="12">
      <c r="A12" s="6" t="n"/>
      <c r="B12" s="6" t="n"/>
      <c r="C12" s="6" t="n"/>
      <c r="D12" s="7" t="n"/>
      <c r="E12" s="6" t="n"/>
    </row>
    <row r="13">
      <c r="A13" s="8" t="n"/>
      <c r="B13" s="8" t="n"/>
      <c r="C13" s="8" t="n"/>
      <c r="D13" s="9" t="n"/>
      <c r="E13" s="8" t="n"/>
    </row>
    <row r="14">
      <c r="A14" s="6" t="n"/>
      <c r="B14" s="6" t="n"/>
      <c r="C14" s="6" t="n"/>
      <c r="D14" s="7" t="n"/>
      <c r="E14" s="6" t="n"/>
    </row>
    <row r="15">
      <c r="A15" s="8" t="n"/>
      <c r="B15" s="8" t="n"/>
      <c r="C15" s="8" t="n"/>
      <c r="D15" s="9" t="n"/>
      <c r="E15" s="8" t="n"/>
    </row>
    <row r="16">
      <c r="A16" s="10" t="n"/>
      <c r="B16" s="10" t="n"/>
      <c r="C16" s="10" t="inlineStr">
        <is>
          <t>TOTAL</t>
        </is>
      </c>
      <c r="D16" s="11">
        <f>SUM(D9:D15)</f>
        <v/>
      </c>
      <c r="E16" s="10" t="n"/>
    </row>
    <row r="19">
      <c r="A19" s="4" t="inlineStr">
        <is>
          <t>JOURNAL DE SUIVI DES DETTES À PAYER</t>
        </is>
      </c>
    </row>
    <row r="20">
      <c r="A20" s="5" t="inlineStr">
        <is>
          <t>Date</t>
        </is>
      </c>
      <c r="B20" s="5" t="inlineStr">
        <is>
          <t>N° facture</t>
        </is>
      </c>
      <c r="C20" s="5" t="inlineStr">
        <is>
          <t>Nom du fournisseur</t>
        </is>
      </c>
      <c r="D20" s="5" t="inlineStr">
        <is>
          <t>Montant</t>
        </is>
      </c>
      <c r="E20" s="5" t="inlineStr">
        <is>
          <t>Date de paiement</t>
        </is>
      </c>
    </row>
    <row r="21">
      <c r="A21" s="8" t="n"/>
      <c r="B21" s="8" t="n"/>
      <c r="C21" s="8" t="n"/>
      <c r="D21" s="9" t="n"/>
      <c r="E21" s="8" t="n"/>
    </row>
    <row r="22">
      <c r="A22" s="6" t="n"/>
      <c r="B22" s="6" t="n"/>
      <c r="C22" s="6" t="n"/>
      <c r="D22" s="7" t="n"/>
      <c r="E22" s="6" t="n"/>
    </row>
    <row r="23">
      <c r="A23" s="8" t="n"/>
      <c r="B23" s="8" t="n"/>
      <c r="C23" s="8" t="n"/>
      <c r="D23" s="9" t="n"/>
      <c r="E23" s="8" t="n"/>
    </row>
    <row r="24">
      <c r="A24" s="6" t="n"/>
      <c r="B24" s="6" t="n"/>
      <c r="C24" s="6" t="n"/>
      <c r="D24" s="7" t="n"/>
      <c r="E24" s="6" t="n"/>
    </row>
    <row r="25">
      <c r="A25" s="8" t="n"/>
      <c r="B25" s="8" t="n"/>
      <c r="C25" s="8" t="n"/>
      <c r="D25" s="9" t="n"/>
      <c r="E25" s="8" t="n"/>
    </row>
    <row r="26">
      <c r="A26" s="6" t="n"/>
      <c r="B26" s="6" t="n"/>
      <c r="C26" s="6" t="n"/>
      <c r="D26" s="7" t="n"/>
      <c r="E26" s="6" t="n"/>
    </row>
    <row r="27">
      <c r="A27" s="8" t="n"/>
      <c r="B27" s="8" t="n"/>
      <c r="C27" s="8" t="n"/>
      <c r="D27" s="9" t="n"/>
      <c r="E27" s="8" t="n"/>
    </row>
    <row r="28">
      <c r="A28" s="10" t="n"/>
      <c r="B28" s="10" t="n"/>
      <c r="C28" s="10" t="inlineStr">
        <is>
          <t>TOTAL</t>
        </is>
      </c>
      <c r="D28" s="11">
        <f>SUM(D21:D27)</f>
        <v/>
      </c>
      <c r="E28" s="10" t="n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Compte</t>
        </is>
      </c>
      <c r="B1" s="5" t="inlineStr">
        <is>
          <t>Intitulé</t>
        </is>
      </c>
      <c r="C1" s="5" t="inlineStr">
        <is>
          <t>Préfixe 2</t>
        </is>
      </c>
      <c r="D1" s="5" t="inlineStr">
        <is>
          <t>Préfixe 3</t>
        </is>
      </c>
      <c r="E1" s="5" t="inlineStr">
        <is>
          <t>Préfixe 4</t>
        </is>
      </c>
      <c r="F1" s="5" t="inlineStr">
        <is>
          <t>Solde final débit</t>
        </is>
      </c>
      <c r="G1" s="5" t="inlineStr">
        <is>
          <t>Solde final crédit</t>
        </is>
      </c>
      <c r="H1" s="5" t="inlineStr">
        <is>
          <t>Mouvement débit</t>
        </is>
      </c>
      <c r="I1" s="5" t="inlineStr">
        <is>
          <t>Mouvement crédit</t>
        </is>
      </c>
    </row>
    <row r="2">
      <c r="A2" s="6" t="inlineStr">
        <is>
          <t>2441</t>
        </is>
      </c>
      <c r="B2" s="6" t="inlineStr">
        <is>
          <t>Matériel et mobilier</t>
        </is>
      </c>
      <c r="C2" s="6" t="inlineStr">
        <is>
          <t>24</t>
        </is>
      </c>
      <c r="D2" s="6" t="inlineStr">
        <is>
          <t>244</t>
        </is>
      </c>
      <c r="E2" s="6" t="inlineStr">
        <is>
          <t>2441</t>
        </is>
      </c>
      <c r="F2" s="7" t="n">
        <v>3000000</v>
      </c>
      <c r="G2" s="7" t="n">
        <v>0</v>
      </c>
      <c r="H2" s="7" t="n">
        <v>0</v>
      </c>
      <c r="I2" s="7" t="n">
        <v>0</v>
      </c>
    </row>
    <row r="3">
      <c r="A3" s="8" t="inlineStr">
        <is>
          <t>2844</t>
        </is>
      </c>
      <c r="B3" s="8" t="inlineStr">
        <is>
          <t>Amortissements du matériel et mobilier</t>
        </is>
      </c>
      <c r="C3" s="8" t="inlineStr">
        <is>
          <t>28</t>
        </is>
      </c>
      <c r="D3" s="8" t="inlineStr">
        <is>
          <t>284</t>
        </is>
      </c>
      <c r="E3" s="8" t="inlineStr">
        <is>
          <t>2844</t>
        </is>
      </c>
      <c r="F3" s="9" t="n">
        <v>0</v>
      </c>
      <c r="G3" s="9" t="n">
        <v>1200000</v>
      </c>
      <c r="H3" s="9" t="n">
        <v>0</v>
      </c>
      <c r="I3" s="9" t="n">
        <v>0</v>
      </c>
    </row>
    <row r="4">
      <c r="A4" s="6" t="inlineStr">
        <is>
          <t>33</t>
        </is>
      </c>
      <c r="B4" s="6" t="inlineStr">
        <is>
          <t>Stocks d'autres approvisionnements</t>
        </is>
      </c>
      <c r="C4" s="6" t="inlineStr">
        <is>
          <t>33</t>
        </is>
      </c>
      <c r="D4" s="6" t="inlineStr">
        <is>
          <t>33</t>
        </is>
      </c>
      <c r="E4" s="6" t="inlineStr">
        <is>
          <t>33</t>
        </is>
      </c>
      <c r="F4" s="7" t="n">
        <v>800000</v>
      </c>
      <c r="G4" s="7" t="n">
        <v>0</v>
      </c>
      <c r="H4" s="7" t="n">
        <v>0</v>
      </c>
      <c r="I4" s="7" t="n">
        <v>0</v>
      </c>
    </row>
    <row r="5">
      <c r="A5" s="8" t="inlineStr">
        <is>
          <t>521</t>
        </is>
      </c>
      <c r="B5" s="8" t="inlineStr">
        <is>
          <t>Banque locale</t>
        </is>
      </c>
      <c r="C5" s="8" t="inlineStr">
        <is>
          <t>52</t>
        </is>
      </c>
      <c r="D5" s="8" t="inlineStr">
        <is>
          <t>521</t>
        </is>
      </c>
      <c r="E5" s="8" t="inlineStr">
        <is>
          <t>521</t>
        </is>
      </c>
      <c r="F5" s="9" t="n">
        <v>2500000</v>
      </c>
      <c r="G5" s="9" t="n">
        <v>0</v>
      </c>
      <c r="H5" s="9" t="n">
        <v>0</v>
      </c>
      <c r="I5" s="9" t="n">
        <v>0</v>
      </c>
    </row>
    <row r="6">
      <c r="A6" s="6" t="inlineStr">
        <is>
          <t>571</t>
        </is>
      </c>
      <c r="B6" s="6" t="inlineStr">
        <is>
          <t>Caisse</t>
        </is>
      </c>
      <c r="C6" s="6" t="inlineStr">
        <is>
          <t>57</t>
        </is>
      </c>
      <c r="D6" s="6" t="inlineStr">
        <is>
          <t>571</t>
        </is>
      </c>
      <c r="E6" s="6" t="inlineStr">
        <is>
          <t>571</t>
        </is>
      </c>
      <c r="F6" s="7" t="n">
        <v>500000</v>
      </c>
      <c r="G6" s="7" t="n">
        <v>0</v>
      </c>
      <c r="H6" s="7" t="n">
        <v>0</v>
      </c>
      <c r="I6" s="7" t="n">
        <v>0</v>
      </c>
    </row>
    <row r="7">
      <c r="A7" s="8" t="inlineStr">
        <is>
          <t>103</t>
        </is>
      </c>
      <c r="B7" s="8" t="inlineStr">
        <is>
          <t>Capital personnel</t>
        </is>
      </c>
      <c r="C7" s="8" t="inlineStr">
        <is>
          <t>10</t>
        </is>
      </c>
      <c r="D7" s="8" t="inlineStr">
        <is>
          <t>103</t>
        </is>
      </c>
      <c r="E7" s="8" t="inlineStr">
        <is>
          <t>103</t>
        </is>
      </c>
      <c r="F7" s="9" t="n">
        <v>0</v>
      </c>
      <c r="G7" s="9" t="n">
        <v>2000000</v>
      </c>
      <c r="H7" s="9" t="n">
        <v>0</v>
      </c>
      <c r="I7" s="9" t="n">
        <v>0</v>
      </c>
    </row>
    <row r="8">
      <c r="A8" s="6" t="inlineStr">
        <is>
          <t>162</t>
        </is>
      </c>
      <c r="B8" s="6" t="inlineStr">
        <is>
          <t>Emprunt établissement de crédit</t>
        </is>
      </c>
      <c r="C8" s="6" t="inlineStr">
        <is>
          <t>16</t>
        </is>
      </c>
      <c r="D8" s="6" t="inlineStr">
        <is>
          <t>162</t>
        </is>
      </c>
      <c r="E8" s="6" t="inlineStr">
        <is>
          <t>162</t>
        </is>
      </c>
      <c r="F8" s="7" t="n">
        <v>0</v>
      </c>
      <c r="G8" s="7" t="n">
        <v>1500000</v>
      </c>
      <c r="H8" s="7" t="n">
        <v>0</v>
      </c>
      <c r="I8" s="7" t="n">
        <v>0</v>
      </c>
    </row>
    <row r="9">
      <c r="A9" s="8" t="inlineStr">
        <is>
          <t>401</t>
        </is>
      </c>
      <c r="B9" s="8" t="inlineStr">
        <is>
          <t>Fournisseurs</t>
        </is>
      </c>
      <c r="C9" s="8" t="inlineStr">
        <is>
          <t>40</t>
        </is>
      </c>
      <c r="D9" s="8" t="inlineStr">
        <is>
          <t>401</t>
        </is>
      </c>
      <c r="E9" s="8" t="inlineStr">
        <is>
          <t>401</t>
        </is>
      </c>
      <c r="F9" s="9" t="n">
        <v>0</v>
      </c>
      <c r="G9" s="9" t="n">
        <v>400000</v>
      </c>
      <c r="H9" s="9" t="n">
        <v>0</v>
      </c>
      <c r="I9" s="9" t="n">
        <v>0</v>
      </c>
    </row>
    <row r="10">
      <c r="A10" s="6" t="inlineStr">
        <is>
          <t>601</t>
        </is>
      </c>
      <c r="B10" s="6" t="inlineStr">
        <is>
          <t>Achats de marchandises</t>
        </is>
      </c>
      <c r="C10" s="6" t="inlineStr">
        <is>
          <t>60</t>
        </is>
      </c>
      <c r="D10" s="6" t="inlineStr">
        <is>
          <t>601</t>
        </is>
      </c>
      <c r="E10" s="6" t="inlineStr">
        <is>
          <t>601</t>
        </is>
      </c>
      <c r="F10" s="7" t="n">
        <v>5200000</v>
      </c>
      <c r="G10" s="7" t="n">
        <v>0</v>
      </c>
      <c r="H10" s="7" t="n">
        <v>0</v>
      </c>
      <c r="I10" s="7" t="n">
        <v>0</v>
      </c>
    </row>
    <row r="11">
      <c r="A11" s="8" t="inlineStr">
        <is>
          <t>622</t>
        </is>
      </c>
      <c r="B11" s="8" t="inlineStr">
        <is>
          <t>Locations et charges locatives</t>
        </is>
      </c>
      <c r="C11" s="8" t="inlineStr">
        <is>
          <t>62</t>
        </is>
      </c>
      <c r="D11" s="8" t="inlineStr">
        <is>
          <t>622</t>
        </is>
      </c>
      <c r="E11" s="8" t="inlineStr">
        <is>
          <t>622</t>
        </is>
      </c>
      <c r="F11" s="9" t="n">
        <v>1200000</v>
      </c>
      <c r="G11" s="9" t="n">
        <v>0</v>
      </c>
      <c r="H11" s="9" t="n">
        <v>0</v>
      </c>
      <c r="I11" s="9" t="n">
        <v>0</v>
      </c>
    </row>
    <row r="12">
      <c r="A12" s="6" t="inlineStr">
        <is>
          <t>661</t>
        </is>
      </c>
      <c r="B12" s="6" t="inlineStr">
        <is>
          <t>Salaires</t>
        </is>
      </c>
      <c r="C12" s="6" t="inlineStr">
        <is>
          <t>66</t>
        </is>
      </c>
      <c r="D12" s="6" t="inlineStr">
        <is>
          <t>661</t>
        </is>
      </c>
      <c r="E12" s="6" t="inlineStr">
        <is>
          <t>661</t>
        </is>
      </c>
      <c r="F12" s="7" t="n">
        <v>1800000</v>
      </c>
      <c r="G12" s="7" t="n">
        <v>0</v>
      </c>
      <c r="H12" s="7" t="n">
        <v>0</v>
      </c>
      <c r="I12" s="7" t="n">
        <v>0</v>
      </c>
    </row>
    <row r="13">
      <c r="A13" s="8" t="inlineStr">
        <is>
          <t>641</t>
        </is>
      </c>
      <c r="B13" s="8" t="inlineStr">
        <is>
          <t>Impôts et taxes directs</t>
        </is>
      </c>
      <c r="C13" s="8" t="inlineStr">
        <is>
          <t>64</t>
        </is>
      </c>
      <c r="D13" s="8" t="inlineStr">
        <is>
          <t>641</t>
        </is>
      </c>
      <c r="E13" s="8" t="inlineStr">
        <is>
          <t>641</t>
        </is>
      </c>
      <c r="F13" s="9" t="n">
        <v>300000</v>
      </c>
      <c r="G13" s="9" t="n">
        <v>0</v>
      </c>
      <c r="H13" s="9" t="n">
        <v>0</v>
      </c>
      <c r="I13" s="9" t="n">
        <v>0</v>
      </c>
    </row>
    <row r="14">
      <c r="A14" s="6" t="inlineStr">
        <is>
          <t>671</t>
        </is>
      </c>
      <c r="B14" s="6" t="inlineStr">
        <is>
          <t>Charges d'intérêts</t>
        </is>
      </c>
      <c r="C14" s="6" t="inlineStr">
        <is>
          <t>67</t>
        </is>
      </c>
      <c r="D14" s="6" t="inlineStr">
        <is>
          <t>671</t>
        </is>
      </c>
      <c r="E14" s="6" t="inlineStr">
        <is>
          <t>671</t>
        </is>
      </c>
      <c r="F14" s="7" t="n">
        <v>150000</v>
      </c>
      <c r="G14" s="7" t="n">
        <v>0</v>
      </c>
      <c r="H14" s="7" t="n">
        <v>0</v>
      </c>
      <c r="I14" s="7" t="n">
        <v>0</v>
      </c>
    </row>
    <row r="15">
      <c r="A15" s="8" t="inlineStr">
        <is>
          <t>616</t>
        </is>
      </c>
      <c r="B15" s="8" t="inlineStr">
        <is>
          <t>Transports de plis</t>
        </is>
      </c>
      <c r="C15" s="8" t="inlineStr">
        <is>
          <t>61</t>
        </is>
      </c>
      <c r="D15" s="8" t="inlineStr">
        <is>
          <t>616</t>
        </is>
      </c>
      <c r="E15" s="8" t="inlineStr">
        <is>
          <t>616</t>
        </is>
      </c>
      <c r="F15" s="9" t="n">
        <v>250000</v>
      </c>
      <c r="G15" s="9" t="n">
        <v>0</v>
      </c>
      <c r="H15" s="9" t="n">
        <v>0</v>
      </c>
      <c r="I15" s="9" t="n">
        <v>0</v>
      </c>
    </row>
    <row r="16">
      <c r="A16" s="6" t="inlineStr">
        <is>
          <t>681</t>
        </is>
      </c>
      <c r="B16" s="6" t="inlineStr">
        <is>
          <t>Dotations aux amortissements</t>
        </is>
      </c>
      <c r="C16" s="6" t="inlineStr">
        <is>
          <t>68</t>
        </is>
      </c>
      <c r="D16" s="6" t="inlineStr">
        <is>
          <t>681</t>
        </is>
      </c>
      <c r="E16" s="6" t="inlineStr">
        <is>
          <t>681</t>
        </is>
      </c>
      <c r="F16" s="7" t="n">
        <v>600000</v>
      </c>
      <c r="G16" s="7" t="n">
        <v>0</v>
      </c>
      <c r="H16" s="7" t="n">
        <v>0</v>
      </c>
      <c r="I16" s="7" t="n">
        <v>0</v>
      </c>
    </row>
    <row r="17">
      <c r="A17" s="8" t="inlineStr">
        <is>
          <t>701</t>
        </is>
      </c>
      <c r="B17" s="8" t="inlineStr">
        <is>
          <t>Ventes de marchandises</t>
        </is>
      </c>
      <c r="C17" s="8" t="inlineStr">
        <is>
          <t>70</t>
        </is>
      </c>
      <c r="D17" s="8" t="inlineStr">
        <is>
          <t>701</t>
        </is>
      </c>
      <c r="E17" s="8" t="inlineStr">
        <is>
          <t>701</t>
        </is>
      </c>
      <c r="F17" s="9" t="n">
        <v>0</v>
      </c>
      <c r="G17" s="9" t="n">
        <v>10200000</v>
      </c>
      <c r="H17" s="9" t="n">
        <v>0</v>
      </c>
      <c r="I17" s="9" t="n">
        <v>0</v>
      </c>
    </row>
    <row r="18">
      <c r="A18" s="6" t="inlineStr">
        <is>
          <t>707</t>
        </is>
      </c>
      <c r="B18" s="6" t="inlineStr">
        <is>
          <t>Produits accessoires</t>
        </is>
      </c>
      <c r="C18" s="6" t="inlineStr">
        <is>
          <t>70</t>
        </is>
      </c>
      <c r="D18" s="6" t="inlineStr">
        <is>
          <t>707</t>
        </is>
      </c>
      <c r="E18" s="6" t="inlineStr">
        <is>
          <t>707</t>
        </is>
      </c>
      <c r="F18" s="7" t="n">
        <v>0</v>
      </c>
      <c r="G18" s="7" t="n">
        <v>1000000</v>
      </c>
      <c r="H18" s="7" t="n">
        <v>0</v>
      </c>
      <c r="I18" s="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0" customWidth="1" min="3" max="3"/>
  </cols>
  <sheetData>
    <row r="1">
      <c r="A1" s="5" t="inlineStr">
        <is>
          <t>Contrôle</t>
        </is>
      </c>
      <c r="B1" s="5" t="inlineStr">
        <is>
          <t>Valeur</t>
        </is>
      </c>
      <c r="C1" s="5" t="inlineStr">
        <is>
          <t>Attendu</t>
        </is>
      </c>
    </row>
    <row r="2">
      <c r="A2" s="6" t="inlineStr">
        <is>
          <t>Total solde débit balance</t>
        </is>
      </c>
      <c r="B2" s="7">
        <f>SUM(BALANCE!F2:F18)</f>
        <v/>
      </c>
      <c r="C2" s="6" t="inlineStr"/>
    </row>
    <row r="3">
      <c r="A3" s="8" t="inlineStr">
        <is>
          <t>Total solde crédit balance</t>
        </is>
      </c>
      <c r="B3" s="9">
        <f>SUM(BALANCE!G2:G18)</f>
        <v/>
      </c>
      <c r="C3" s="8" t="inlineStr"/>
    </row>
    <row r="4">
      <c r="A4" s="6" t="inlineStr">
        <is>
          <t>Écart balance (doit être 0)</t>
        </is>
      </c>
      <c r="B4" s="7">
        <f>B2-B3</f>
        <v/>
      </c>
      <c r="C4" s="6" t="n">
        <v>0</v>
      </c>
    </row>
    <row r="5">
      <c r="A5" s="8" t="inlineStr">
        <is>
          <t>Total actif</t>
        </is>
      </c>
      <c r="B5" s="9">
        <f>'BILAN ACTIF'!D13</f>
        <v/>
      </c>
      <c r="C5" s="8" t="inlineStr"/>
    </row>
    <row r="6">
      <c r="A6" s="6" t="inlineStr">
        <is>
          <t>Total passif</t>
        </is>
      </c>
      <c r="B6" s="7">
        <f>'BILAN PASSIF'!D12</f>
        <v/>
      </c>
      <c r="C6" s="6" t="inlineStr"/>
    </row>
    <row r="7">
      <c r="A7" s="8" t="inlineStr">
        <is>
          <t>Écart actif - passif (doit être 0)</t>
        </is>
      </c>
      <c r="B7" s="9">
        <f>B5-B6</f>
        <v/>
      </c>
      <c r="C7" s="8" t="n">
        <v>0</v>
      </c>
    </row>
    <row r="8">
      <c r="A8" s="6" t="inlineStr">
        <is>
          <t>Résultat (compte de résultat, G)</t>
        </is>
      </c>
      <c r="B8" s="7">
        <f>'COMPTE DE RESULTAT'!D23</f>
        <v/>
      </c>
      <c r="C8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62" customWidth="1" min="4" max="4"/>
    <col width="62" customWidth="1" min="5" max="5"/>
  </cols>
  <sheetData>
    <row r="1">
      <c r="A1" s="5" t="inlineStr">
        <is>
          <t>Gravité</t>
        </is>
      </c>
      <c r="B1" s="5" t="inlineStr">
        <is>
          <t>Compte</t>
        </is>
      </c>
      <c r="C1" s="5" t="inlineStr">
        <is>
          <t>Intitulé</t>
        </is>
      </c>
      <c r="D1" s="5" t="inlineStr">
        <is>
          <t>Problème</t>
        </is>
      </c>
      <c r="E1" s="5" t="inlineStr">
        <is>
          <t>Solution proposée</t>
        </is>
      </c>
    </row>
    <row r="2">
      <c r="A2" s="6" t="inlineStr">
        <is>
          <t>INFO</t>
        </is>
      </c>
      <c r="B2" s="6" t="inlineStr"/>
      <c r="C2" s="6" t="inlineStr">
        <is>
          <t>Classe 4</t>
        </is>
      </c>
      <c r="D2" s="6" t="inlineStr">
        <is>
          <t>La balance porte des comptes de tiers : recettes et dépenses incluent alors des montants non encaissés/décaissés (base engagement).</t>
        </is>
      </c>
      <c r="E2" s="6" t="inlineStr">
        <is>
          <t>Dans ce cas, laisser VB et VC à zéro : le résultat est déjà en base engagement. Ne les servir que pour une balance de trésorerie pure, depuis l'inventaire extra-comptable (NOTE 3).</t>
        </is>
      </c>
    </row>
    <row r="3">
      <c r="A3" s="8" t="inlineStr">
        <is>
          <t>INFO</t>
        </is>
      </c>
      <c r="B3" s="8" t="inlineStr"/>
      <c r="C3" s="8" t="inlineStr">
        <is>
          <t>SMT — seuils</t>
        </is>
      </c>
      <c r="D3" s="8" t="inlineStr">
        <is>
          <t>Vérifier l'assujettissement au SMT : CA HT ≤ 60 M FCFA (négoce), 40 M (artisanat), 30 M (services) — AUDCIF art. 13.</t>
        </is>
      </c>
      <c r="E3" s="8" t="inlineStr">
        <is>
          <t>Au-delà des seuils, monter la liasse du Système normal (monter_liasse.py).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2026-09-01T00:07:58Z</dcterms:created>
  <dcterms:modified xsi:type="dcterms:W3CDTF">2026-09-01T00:07:58Z</dcterms:modified>
</cp:coreProperties>
</file>