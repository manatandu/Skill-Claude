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5" fillId="0" borderId="0" pivotButton="0" quotePrefix="0" xfId="0"/>
    <xf numFmtId="164" fontId="25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103</t>
        </is>
      </c>
      <c r="B2" s="4" t="inlineStr">
        <is>
          <t>Capital personnel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2000000</v>
      </c>
    </row>
    <row r="3">
      <c r="A3" s="4" t="inlineStr">
        <is>
          <t>162</t>
        </is>
      </c>
      <c r="B3" s="4" t="inlineStr">
        <is>
          <t>Emprunt établissement de crédit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1500000</v>
      </c>
    </row>
    <row r="4">
      <c r="A4" s="4" t="inlineStr">
        <is>
          <t>2441</t>
        </is>
      </c>
      <c r="B4" s="4" t="inlineStr">
        <is>
          <t>Matériel et mobilier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3000000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1200000</v>
      </c>
    </row>
    <row r="6">
      <c r="A6" s="4" t="inlineStr">
        <is>
          <t>33</t>
        </is>
      </c>
      <c r="B6" s="4" t="inlineStr">
        <is>
          <t>Stocks d'autres approvisionnements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800000</v>
      </c>
      <c r="H6" s="5" t="n">
        <v>0</v>
      </c>
    </row>
    <row r="7">
      <c r="A7" s="4" t="inlineStr">
        <is>
          <t>401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400000</v>
      </c>
    </row>
    <row r="8">
      <c r="A8" s="4" t="inlineStr">
        <is>
          <t>521</t>
        </is>
      </c>
      <c r="B8" s="4" t="inlineStr">
        <is>
          <t>Banque locale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2500000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500000</v>
      </c>
      <c r="H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5200000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250000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1200000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1800000</v>
      </c>
      <c r="H14" s="5" t="n">
        <v>0</v>
      </c>
    </row>
    <row r="15">
      <c r="A15" s="4" t="inlineStr">
        <is>
          <t>671</t>
        </is>
      </c>
      <c r="B15" s="4" t="inlineStr">
        <is>
          <t>Charges d'intérêts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150000</v>
      </c>
      <c r="H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600000</v>
      </c>
      <c r="H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10200000</v>
      </c>
    </row>
    <row r="18">
      <c r="A18" s="4" t="inlineStr">
        <is>
          <t>707</t>
        </is>
      </c>
      <c r="B18" s="4" t="inlineStr">
        <is>
          <t>Produits accessoires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1000000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ETS EXEMPLE COMMERCE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OHADA (SYSCOHADA REVISE - AUDCIF)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Entités relevant du Système minimal de trésorerie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ETS EXEMPLE COMMERCE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RCCM-2022-A-567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4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Journaux de suivi (créances impayées, dettes à payer)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SYSCOHADA révisé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01-01-2025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ETS EXEMPLE COMMERCE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SYSCOHADA - SMT
PAGE 1/1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SA1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SP1</t>
        </is>
      </c>
      <c r="G10" s="4" t="inlineStr">
        <is>
          <t>Compte exploitant</t>
        </is>
      </c>
      <c r="H10" s="4" t="inlineStr">
        <is>
          <t>1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SA2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SP2</t>
        </is>
      </c>
      <c r="G11" s="4" t="inlineStr">
        <is>
          <t>Résultat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SA3</t>
        </is>
      </c>
      <c r="B12" s="4" t="inlineStr">
        <is>
          <t>Clients et débiteurs divers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SP3</t>
        </is>
      </c>
      <c r="G12" s="4" t="inlineStr">
        <is>
          <t>Emprunt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SA4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SP4</t>
        </is>
      </c>
      <c r="G13" s="4" t="inlineStr">
        <is>
          <t>Fournisseurs et créditeurs divers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SA5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SPZ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SAZ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SYSCOHADA - SMT
PAGE 1/2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SA1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SA2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SA3</t>
        </is>
      </c>
      <c r="B11" s="4" t="inlineStr">
        <is>
          <t>Clients et débiteurs divers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N'!$A$2:$A$50,"590*",'BALANCE N'!$H$2:$H$50)+SUMIF('BALANCE N'!$A$2:$A$50,"591*",'BALANCE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SA4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SA5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N'!$A$2:$A$50,"55*",'BALANCE N'!$G$2:$G$50)-SUMIF('BALANCE N'!$A$2:$A$50,"55*",'BALANCE N'!$H$2:$H$50)+SUMIF('BALANCE N'!$A$2:$A$50,"54*",'BALANCE N'!$G$2:$G$50)-SUMIF('BALANCE N'!$A$2:$A$50,"54*",'BALANCE N'!$H$2:$H$50)+SUMIF('BALANCE N'!$A$2:$A$50,"53*",'BALANCE N'!$G$2:$G$50)-SUMIF('BALANCE N'!$A$2:$A$50,"53*",'BALANCE N'!$H$2:$H$50)+SUMIF('BALANCE N'!$A$2:$A$50,"58*",'BALANCE N'!$G$2:$G$50)-SUMIF('BALANCE N'!$A$2:$A$50,"58*",'BALANCE N'!$H$2:$H$50)+SUMIF('BALANCE N'!$A$2:$A$50,"52*",'BALANCE N'!$G$2:$G$50)-SUMIF('BALANCE N'!$A$2:$A$50,"52*",'BALANCE N'!$H$2:$H$50)+SUMIF('BALANCE N'!$A$2:$A$50,"56*",'BALANCE N'!$G$2:$G$50)-SUMIF('BALANCE N'!$A$2:$A$50,"56*",'BALANCE N'!$H$2:$H$50)-(SUMIF('BALANCE N'!$A$2:$A$50,"594*",'BALANCE N'!$H$2:$H$50)+SUMIF('BALANCE N'!$A$2:$A$50,"593*",'BALANCE N'!$H$2:$H$50)+SUMIF('BALANCE N'!$A$2:$A$50,"592*",'BALANCE N'!$H$2:$H$50))</f>
        <v/>
      </c>
      <c r="E13" s="77" t="n"/>
    </row>
    <row r="14" ht="22" customHeight="1">
      <c r="A14" s="78" t="inlineStr">
        <is>
          <t>SAZ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SYSCOHADA - SMT
PAGE 2/2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SP1</t>
        </is>
      </c>
      <c r="B9" s="4" t="inlineStr">
        <is>
          <t>Compte exploitant</t>
        </is>
      </c>
      <c r="C9" s="4" t="inlineStr">
        <is>
          <t>1</t>
        </is>
      </c>
      <c r="D9" s="5">
        <f>SUMIF('BALANCE N'!$A$2:$A$50,"11*",'BALANCE N'!$H$2:$H$50)-SUMIF('BALANCE N'!$A$2:$A$50,"11*",'BALANCE N'!$G$2:$G$50)+SUMIF('BALANCE N'!$A$2:$A$50,"12*",'BALANCE N'!$H$2:$H$50)-SUMIF('BALANCE N'!$A$2:$A$50,"12*",'BALANCE N'!$G$2:$G$50)+SUMIF('BALANCE N'!$A$2:$A$50,"15*",'BALANCE N'!$H$2:$H$50)-SUMIF('BALANCE N'!$A$2:$A$50,"15*",'BALANCE N'!$G$2:$G$50)+SUMIF('BALANCE N'!$A$2:$A$50,"10*",'BALANCE N'!$H$2:$H$50)-SUMIF('BALANCE N'!$A$2:$A$50,"10*",'BALANCE N'!$G$2:$G$50)+SUMIF('BALANCE N'!$A$2:$A$50,"14*",'BALANCE N'!$H$2:$H$50)-SUMIF('BALANCE N'!$A$2:$A$50,"14*",'BALANCE N'!$G$2:$G$50)</f>
        <v/>
      </c>
      <c r="E9" s="77" t="n"/>
    </row>
    <row r="10" ht="22" customHeight="1">
      <c r="A10" s="76" t="inlineStr">
        <is>
          <t>SP2</t>
        </is>
      </c>
      <c r="B10" s="4" t="inlineStr">
        <is>
          <t>Résultat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SP3</t>
        </is>
      </c>
      <c r="B11" s="4" t="inlineStr">
        <is>
          <t>Emprunt</t>
        </is>
      </c>
      <c r="C11" s="4" t="inlineStr"/>
      <c r="D11" s="5">
        <f>SUMIF('BALANCE N'!$A$2:$A$50,"19*",'BALANCE N'!$H$2:$H$50)-SUMIF('BALANCE N'!$A$2:$A$50,"19*",'BALANCE N'!$G$2:$G$50)+SUMIF('BALANCE N'!$A$2:$A$50,"16*",'BALANCE N'!$H$2:$H$50)-SUMIF('BALANCE N'!$A$2:$A$50,"16*",'BALANCE N'!$G$2:$G$50)+SUMIF('BALANCE N'!$A$2:$A$50,"18*",'BALANCE N'!$H$2:$H$50)-SUMIF('BALANCE N'!$A$2:$A$50,"18*",'BALANCE N'!$G$2:$G$50)+SUMIF('BALANCE N'!$A$2:$A$50,"17*",'BALANCE N'!$H$2:$H$50)-SUMIF('BALANCE N'!$A$2:$A$50,"17*",'BALANCE N'!$G$2:$G$50)</f>
        <v/>
      </c>
      <c r="E11" s="77" t="n"/>
    </row>
    <row r="12" ht="22" customHeight="1">
      <c r="A12" s="76" t="inlineStr">
        <is>
          <t>SP4</t>
        </is>
      </c>
      <c r="B12" s="4" t="inlineStr">
        <is>
          <t>Fournisseurs et créditeurs divers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SPZ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Recettes sur ventes ou prestations de services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N'!$A$2:$A$50,"77*",'BALANCE N'!$H$2:$H$50)-SUMIF('BALANCE N'!$A$2:$A$50,"77*",'BALANCE N'!$G$2:$G$50)+SUMIF('BALANCE N'!$A$2:$A$50,"72*",'BALANCE N'!$H$2:$H$50)-SUMIF('BALANCE N'!$A$2:$A$50,"72*",'BALANCE N'!$G$2:$G$50)+SUMIF('BALANCE N'!$A$2:$A$50,"71*",'BALANCE N'!$H$2:$H$50)-SUMIF('BALANCE N'!$A$2:$A$50,"71*",'BALANCE N'!$G$2:$G$50)+SUMIF('BALANCE N'!$A$2:$A$50,"75*",'BALANCE N'!$H$2:$H$50)-SUMIF('BALANCE N'!$A$2:$A$50,"75*",'BALANCE N'!$G$2:$G$50)+SUMIF('BALANCE N'!$A$2:$A$50,"79*",'BALANCE N'!$H$2:$H$50)-SUMIF('BALANCE N'!$A$2:$A$50,"79*",'BALANCE N'!$G$2:$G$50)+SUMIF('BALANCE N'!$A$2:$A$50,"88*",'BALANCE N'!$H$2:$H$50)-SUMIF('BALANCE N'!$A$2:$A$50,"88*",'BALANCE N'!$G$2:$G$50)+SUMIF('BALANCE N'!$A$2:$A$50,"78*",'BALANCE N'!$H$2:$H$50)-SUMIF('BALANCE N'!$A$2:$A$50,"78*",'BALANCE N'!$G$2:$G$50)+SUMIF('BALANCE N'!$A$2:$A$50,"86*",'BALANCE N'!$H$2:$H$50)-SUMIF('BALANCE N'!$A$2:$A$50,"86*",'BALANCE N'!$G$2:$G$50)+SUMIF('BALANCE N'!$A$2:$A$50,"82*",'BALANCE N'!$H$2:$H$50)-SUMIF('BALANCE N'!$A$2:$A$50,"82*",'BALANCE N'!$G$2:$G$50)+SUMIF('BALANCE N'!$A$2:$A$50,"84*",'BALANCE N'!$H$2:$H$50)-SUMIF('BALANCE N'!$A$2:$A$50,"84*",'BALANCE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N'!$H$2:$H$50)+SUMIF('BALANCE N'!$A$2:$A$50,"89*",'BALANCE N'!$G$2:$G$50)-SUMIF('BALANCE N'!$A$2:$A$50,"89*",'BALANCE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/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N'!$A$2:$A$50,"87*",'BALANCE N'!$G$2:$G$50)+SUMIF('BALANCE N'!$A$2:$A$50,"87*",'BALANCE N'!$H$2:$H$50)-SUMIF('BALANCE N'!$A$2:$A$50,"83*",'BALANCE N'!$G$2:$G$50)+SUMIF('BALANCE N'!$A$2:$A$50,"83*",'BALANCE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Variation des stocks [N - (N-1)] (D)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Variation des créances [N - (N-1)] (D)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Variation des dettes d'exploitation [N - (N-1)] (E)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 (F)</t>
        </is>
      </c>
      <c r="C23" s="4" t="inlineStr"/>
      <c r="D23" s="5">
        <f>SUMIF('BALANCE N'!$A$2:$A$50,"69*",'BALANCE N'!$G$2:$G$50)-SUMIF('BALANCE N'!$A$2:$A$50,"69*",'BALANCE N'!$H$2:$H$50)+SUMIF('BALANCE N'!$A$2:$A$50,"85*",'BALANCE N'!$G$2:$G$50)-SUMIF('BALANCE N'!$A$2:$A$50,"85*",'BALANCE N'!$H$2:$H$50)+SUMIF('BALANCE N'!$A$2:$A$50,"68*",'BALANCE N'!$G$2:$G$50)-SUMIF('BALANCE N'!$A$2:$A$50,"68*",'BALANCE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DE L'EXERCICE (G = C + D stocks + D créances - E dettes - F)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SMT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90" t="inlineStr">
        <is>
          <t>Partie 2 : Notes sur le compte de résultat et pièces de tenue</t>
        </is>
      </c>
      <c r="B13" s="91" t="n"/>
      <c r="C13" s="91" t="n"/>
      <c r="D13" s="91" t="n"/>
      <c r="E13" s="91" t="n"/>
      <c r="F13" s="91" t="n"/>
      <c r="G13" s="91" t="n"/>
      <c r="H13" s="91" t="n"/>
      <c r="I13" s="91" t="n"/>
      <c r="J13" s="91" t="n"/>
    </row>
    <row r="14">
      <c r="A14" s="92" t="inlineStr">
        <is>
          <t>NOTE 4</t>
        </is>
      </c>
      <c r="B14" s="93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92" t="inlineStr"/>
      <c r="B15" s="93" t="inlineStr">
        <is>
          <t>Journal de suivi des créances impayées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92" t="inlineStr"/>
      <c r="B16" s="93" t="inlineStr">
        <is>
          <t>Journal de suivi des dettes à payer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/>
    <row r="18" ht="30" customHeight="1">
      <c r="A18" s="94" t="inlineStr">
        <is>
          <t>(1) A : applicable ; N/A : non applicable. Ne pas joindre les notes non documentées ; supprimer les lignes non chiffrées avant remise.</t>
        </is>
      </c>
    </row>
    <row r="19">
      <c r="A19" s="94" t="inlineStr">
        <is>
          <t>(2) A : applicable ; N/A : non applicable. Cocher la colonne correspondante pour chaque note.</t>
        </is>
      </c>
    </row>
    <row r="20"/>
    <row r="21" ht="26" customHeight="1">
      <c r="A21" s="95" t="inlineStr">
        <is>
          <t>NOTE À COMPLÉTER</t>
        </is>
      </c>
    </row>
    <row r="22" ht="26" customHeight="1"/>
    <row r="23" ht="26" customHeight="1"/>
  </sheetData>
  <mergeCells count="15">
    <mergeCell ref="B8:H8"/>
    <mergeCell ref="B14:H14"/>
    <mergeCell ref="A21:J23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SYSCOHADA - SMT</t>
        </is>
      </c>
      <c r="G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RCCM-2022-A-567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inlineStr">
        <is>
          <t>2441</t>
        </is>
      </c>
      <c r="B9" s="96" t="inlineStr">
        <is>
          <t>Matériel et mobilier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Immobilisations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>
      <c r="A14" s="99" t="inlineStr">
        <is>
          <t>Compléter dates, durées et sorties depuis le registre : la balance ne porte que les montants.</t>
        </is>
      </c>
    </row>
    <row r="15"/>
    <row r="16" ht="26" customHeight="1">
      <c r="A16" s="95">
        <f>IF(SUM(C9:C12,G9:G12)=0,"NÉANT - NOTE NON RENSEIGNÉE","")</f>
        <v/>
      </c>
    </row>
    <row r="17" ht="26" customHeight="1"/>
    <row r="18" ht="26" customHeight="1"/>
  </sheetData>
  <mergeCells count="4">
    <mergeCell ref="A16:G18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</t>
        </is>
      </c>
      <c r="B9" s="96" t="inlineStr">
        <is>
          <t>Stocks d'autres approvisionnements</t>
        </is>
      </c>
      <c r="C9" s="96" t="n"/>
      <c r="D9" s="96" t="n"/>
      <c r="E9" s="97">
        <f>SUMIF('BALANCE N'!$A$2:$A$50,"33*",'BALANCE N'!$G$2:$G$50)-SUMIF('BALANCE N'!$A$2:$A$50,"33*",'BALANCE N'!$H$2:$H$50)</f>
        <v/>
      </c>
    </row>
    <row r="10">
      <c r="A10" s="96" t="n"/>
      <c r="B10" s="96" t="n"/>
      <c r="C10" s="96" t="n"/>
      <c r="D10" s="96" t="n"/>
      <c r="E10" s="97" t="n"/>
    </row>
    <row r="11">
      <c r="A11" s="96" t="n"/>
      <c r="B11" s="96" t="n"/>
      <c r="C11" s="96" t="n"/>
      <c r="D11" s="96" t="n"/>
      <c r="E11" s="97" t="n"/>
    </row>
    <row r="12">
      <c r="A12" s="96" t="n"/>
      <c r="B12" s="96" t="n"/>
      <c r="C12" s="96" t="n"/>
      <c r="D12" s="96" t="n"/>
      <c r="E12" s="97" t="n"/>
    </row>
    <row r="13">
      <c r="A13" s="8" t="n"/>
      <c r="B13" s="8" t="inlineStr">
        <is>
          <t>VALEUR DU STOCK FINAL</t>
        </is>
      </c>
      <c r="C13" s="8" t="n"/>
      <c r="D13" s="8" t="n"/>
      <c r="E13" s="9">
        <f>SUMIF('BALANCE N'!$A$2:$A$50,"3*",'BALANCE N'!$G$2:$G$50)-SUMIF('BALANCE N'!$A$2:$A$50,"3*",'BALANCE N'!$H$2:$H$50)</f>
        <v/>
      </c>
    </row>
    <row r="14">
      <c r="A14" s="8" t="n"/>
      <c r="B14" s="8" t="inlineStr">
        <is>
          <t>VALEUR DU STOCK INITIAL</t>
        </is>
      </c>
      <c r="C14" s="8" t="n"/>
      <c r="D14" s="8" t="n"/>
      <c r="E14" s="9" t="n">
        <v>0</v>
      </c>
    </row>
    <row r="15">
      <c r="A15" s="8" t="n"/>
      <c r="B15" s="8" t="inlineStr">
        <is>
          <t>VARIATION DES STOCKS [final - initial]</t>
        </is>
      </c>
      <c r="C15" s="8" t="n"/>
      <c r="D15" s="8" t="n"/>
      <c r="E15" s="9">
        <f>E13-E14</f>
        <v/>
      </c>
    </row>
    <row r="16"/>
    <row r="17" ht="26" customHeight="1">
      <c r="A17" s="95">
        <f>IF(SUM(E9:E15)=0,"NÉANT - NOTE NON RENSEIGNÉE","")</f>
        <v/>
      </c>
    </row>
    <row r="18" ht="26" customHeight="1"/>
    <row r="19" ht="26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SYSCOHADA - SMT</t>
        </is>
      </c>
      <c r="F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9" t="inlineStr">
        <is>
          <t>Rappel balance (classe 4, soldes débiteurs) - contrôle</t>
        </is>
      </c>
      <c r="C17" s="100">
        <f>SUMIF('BALANCE N'!$A$2:$A$50,"4*",'BALANCE N'!$G$2:$G$50)</f>
        <v/>
      </c>
      <c r="D17" s="100">
        <f>0</f>
        <v/>
      </c>
    </row>
    <row r="18"/>
    <row r="19"/>
    <row r="20">
      <c r="A20" s="47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9" t="inlineStr">
        <is>
          <t>Rappel balance (classe 4, soldes créditeurs) - contrôle</t>
        </is>
      </c>
      <c r="C29" s="100">
        <f>SUMIF('BALANCE N'!$A$2:$A$50,"4*",'BALANCE N'!$H$2:$H$50)</f>
        <v/>
      </c>
      <c r="D29" s="100">
        <f>0</f>
        <v/>
      </c>
    </row>
    <row r="30"/>
    <row r="31"/>
    <row r="32">
      <c r="A32" s="99" t="inlineStr">
        <is>
          <t>Reporter la variation des créances en VB et celle des dettes en VC du compte de résultat.</t>
        </is>
      </c>
    </row>
    <row r="33"/>
    <row r="34" ht="26" customHeight="1">
      <c r="A34" s="95">
        <f>IF(SUM(C10:C29,D10:D29,E10:E28)=0,"NÉANT - NOTE NON RENSEIGNÉE","")</f>
        <v/>
      </c>
    </row>
    <row r="35" ht="26" customHeight="1"/>
    <row r="36" ht="26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SYSCOHADA - SMT</t>
        </is>
      </c>
      <c r="K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RCCM-2022-A-567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26" customHeight="1">
      <c r="A26" s="95">
        <f>IF(SUM(C9:C24,D9:D24,E9:E24,F9:F24,G9:G24,H9:H24,I9:I24,J9:J24,K9:K24)=0,"NÉANT - NOTE NON RENSEIGNÉE","")</f>
        <v/>
      </c>
    </row>
    <row r="27" ht="26" customHeight="1"/>
    <row r="28" ht="26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JOURNAUX DE SUIVI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JOURNAUX DE SUIVI SMT : CREANCES IMPAYEES ET DETTES A PAYER</t>
        </is>
      </c>
    </row>
    <row r="8">
      <c r="A8" s="47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96" t="n"/>
      <c r="B10" s="96" t="n"/>
      <c r="C10" s="96" t="n"/>
      <c r="D10" s="97" t="n"/>
      <c r="E10" s="96" t="n"/>
    </row>
    <row r="11">
      <c r="A11" s="96" t="n"/>
      <c r="B11" s="96" t="n"/>
      <c r="C11" s="96" t="n"/>
      <c r="D11" s="97" t="n"/>
      <c r="E11" s="96" t="n"/>
    </row>
    <row r="12">
      <c r="A12" s="96" t="n"/>
      <c r="B12" s="96" t="n"/>
      <c r="C12" s="96" t="n"/>
      <c r="D12" s="97" t="n"/>
      <c r="E12" s="96" t="n"/>
    </row>
    <row r="13">
      <c r="A13" s="96" t="n"/>
      <c r="B13" s="96" t="n"/>
      <c r="C13" s="96" t="n"/>
      <c r="D13" s="97" t="n"/>
      <c r="E13" s="96" t="n"/>
    </row>
    <row r="14">
      <c r="A14" s="96" t="n"/>
      <c r="B14" s="96" t="n"/>
      <c r="C14" s="96" t="n"/>
      <c r="D14" s="97" t="n"/>
      <c r="E14" s="96" t="n"/>
    </row>
    <row r="15">
      <c r="A15" s="96" t="n"/>
      <c r="B15" s="96" t="n"/>
      <c r="C15" s="96" t="n"/>
      <c r="D15" s="97" t="n"/>
      <c r="E15" s="96" t="n"/>
    </row>
    <row r="16">
      <c r="A16" s="96" t="n"/>
      <c r="B16" s="96" t="n"/>
      <c r="C16" s="96" t="n"/>
      <c r="D16" s="97" t="n"/>
      <c r="E16" s="96" t="n"/>
    </row>
    <row r="17">
      <c r="A17" s="8" t="n"/>
      <c r="B17" s="8" t="n"/>
      <c r="C17" s="8" t="inlineStr">
        <is>
          <t>TOTAL</t>
        </is>
      </c>
      <c r="D17" s="9">
        <f>SUM(D10:D16)</f>
        <v/>
      </c>
      <c r="E17" s="8" t="n"/>
    </row>
    <row r="18"/>
    <row r="19"/>
    <row r="20">
      <c r="A20" s="47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96" t="n"/>
      <c r="B22" s="96" t="n"/>
      <c r="C22" s="96" t="n"/>
      <c r="D22" s="97" t="n"/>
      <c r="E22" s="96" t="n"/>
    </row>
    <row r="23">
      <c r="A23" s="96" t="n"/>
      <c r="B23" s="96" t="n"/>
      <c r="C23" s="96" t="n"/>
      <c r="D23" s="97" t="n"/>
      <c r="E23" s="96" t="n"/>
    </row>
    <row r="24">
      <c r="A24" s="96" t="n"/>
      <c r="B24" s="96" t="n"/>
      <c r="C24" s="96" t="n"/>
      <c r="D24" s="97" t="n"/>
      <c r="E24" s="96" t="n"/>
    </row>
    <row r="25">
      <c r="A25" s="96" t="n"/>
      <c r="B25" s="96" t="n"/>
      <c r="C25" s="96" t="n"/>
      <c r="D25" s="97" t="n"/>
      <c r="E25" s="96" t="n"/>
    </row>
    <row r="26">
      <c r="A26" s="96" t="n"/>
      <c r="B26" s="96" t="n"/>
      <c r="C26" s="96" t="n"/>
      <c r="D26" s="97" t="n"/>
      <c r="E26" s="96" t="n"/>
    </row>
    <row r="27">
      <c r="A27" s="96" t="n"/>
      <c r="B27" s="96" t="n"/>
      <c r="C27" s="96" t="n"/>
      <c r="D27" s="97" t="n"/>
      <c r="E27" s="96" t="n"/>
    </row>
    <row r="28">
      <c r="A28" s="96" t="n"/>
      <c r="B28" s="96" t="n"/>
      <c r="C28" s="96" t="n"/>
      <c r="D28" s="97" t="n"/>
      <c r="E28" s="96" t="n"/>
    </row>
    <row r="29">
      <c r="A29" s="8" t="n"/>
      <c r="B29" s="8" t="n"/>
      <c r="C29" s="8" t="inlineStr">
        <is>
          <t>TOTAL</t>
        </is>
      </c>
      <c r="D29" s="9">
        <f>SUM(D22:D28)</f>
        <v/>
      </c>
      <c r="E29" s="8" t="n"/>
    </row>
    <row r="30"/>
    <row r="31" ht="26" customHeight="1">
      <c r="A31" s="95">
        <f>IF(SUM(D10:D29)=0,"NÉANT - NOTE NON RENSEIGNÉE","")</f>
        <v/>
      </c>
    </row>
    <row r="32" ht="26" customHeight="1"/>
    <row r="33" ht="26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1" t="inlineStr">
        <is>
          <t>COMMENTAIRES
PAGE 1/2</t>
        </is>
      </c>
      <c r="H1" s="54" t="n"/>
    </row>
    <row r="2">
      <c r="A2" s="67" t="inlineStr">
        <is>
          <t>Dénomination sociale : ETS EXEMPLE COMMERCE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RCCM-2022-A-567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2" t="inlineStr">
        <is>
          <t>Partie 1 : Notes sur le bilan</t>
        </is>
      </c>
      <c r="B6" s="103" t="n"/>
      <c r="C6" s="103" t="n"/>
      <c r="D6" s="103" t="n"/>
      <c r="E6" s="103" t="n"/>
      <c r="F6" s="103" t="n"/>
      <c r="G6" s="103" t="n"/>
      <c r="H6" s="103" t="n"/>
    </row>
    <row r="7" ht="16" customHeight="1">
      <c r="A7" s="104" t="inlineStr">
        <is>
          <t>NOTE 1</t>
        </is>
      </c>
      <c r="B7" s="105" t="inlineStr">
        <is>
          <t>Tableau SMT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6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4" t="inlineStr">
        <is>
          <t>NOTE 2</t>
        </is>
      </c>
      <c r="B9" s="105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6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4" t="inlineStr">
        <is>
          <t>NOTE 3</t>
        </is>
      </c>
      <c r="B11" s="105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6" t="n"/>
      <c r="B12" s="49" t="n"/>
      <c r="C12" s="49" t="n"/>
      <c r="D12" s="49" t="n"/>
      <c r="E12" s="49" t="n"/>
      <c r="F12" s="49" t="n"/>
      <c r="G12" s="49" t="n"/>
      <c r="H12" s="49" t="n"/>
    </row>
    <row r="13" ht="17" customHeight="1">
      <c r="A13" s="102" t="inlineStr">
        <is>
          <t>Partie 2 : Notes sur le compte de résultat et pièces de tenue</t>
        </is>
      </c>
      <c r="B13" s="103" t="n"/>
      <c r="C13" s="103" t="n"/>
      <c r="D13" s="103" t="n"/>
      <c r="E13" s="103" t="n"/>
      <c r="F13" s="103" t="n"/>
      <c r="G13" s="103" t="n"/>
      <c r="H13" s="103" t="n"/>
    </row>
    <row r="14" ht="16" customHeight="1">
      <c r="A14" s="104" t="inlineStr">
        <is>
          <t>NOTE 4</t>
        </is>
      </c>
      <c r="B14" s="105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</row>
    <row r="15" ht="110" customHeight="1">
      <c r="A15" s="106" t="n"/>
      <c r="B15" s="49" t="n"/>
      <c r="C15" s="49" t="n"/>
      <c r="D15" s="49" t="n"/>
      <c r="E15" s="49" t="n"/>
      <c r="F15" s="49" t="n"/>
      <c r="G15" s="49" t="n"/>
      <c r="H15" s="49" t="n"/>
    </row>
    <row r="16" ht="26" customHeight="1">
      <c r="A16" s="57" t="inlineStr">
        <is>
          <t>TABLE DES COMMENTAIRES</t>
        </is>
      </c>
      <c r="G16" s="101" t="inlineStr">
        <is>
          <t>COMMENTAIRES
PAGE 2/2</t>
        </is>
      </c>
      <c r="H16" s="54" t="n"/>
    </row>
    <row r="17">
      <c r="A17" s="67" t="inlineStr">
        <is>
          <t>Dénomination sociale : ETS EXEMPLE COMMERCE</t>
        </is>
      </c>
    </row>
    <row r="18">
      <c r="A18" s="67" t="inlineStr">
        <is>
          <t xml:space="preserve">Adresse : </t>
        </is>
      </c>
      <c r="F18" s="67" t="inlineStr">
        <is>
          <t xml:space="preserve">Sigle usuel : </t>
        </is>
      </c>
    </row>
    <row r="19">
      <c r="A19" s="67" t="inlineStr">
        <is>
          <t>N° de compte contribuable (NCC) : RCCM-2022-A-567</t>
        </is>
      </c>
      <c r="E19" s="67" t="inlineStr">
        <is>
          <t>Exercice clos le 31-12-2025</t>
        </is>
      </c>
      <c r="G19" s="67" t="inlineStr">
        <is>
          <t>Durée (en mois) : 12</t>
        </is>
      </c>
    </row>
    <row r="20">
      <c r="A20" s="67" t="inlineStr">
        <is>
          <t xml:space="preserve">N° de télédéclarant (NTD) : </t>
        </is>
      </c>
    </row>
    <row r="21" ht="16" customHeight="1">
      <c r="A21" s="104" t="inlineStr"/>
      <c r="B21" s="105" t="inlineStr">
        <is>
          <t>Journal de suivi des créances impayées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6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04" t="inlineStr"/>
      <c r="B23" s="105" t="inlineStr">
        <is>
          <t>Journal de suivi des dettes à payer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06" t="n"/>
      <c r="B24" s="49" t="n"/>
      <c r="C24" s="49" t="n"/>
      <c r="D24" s="49" t="n"/>
      <c r="E24" s="49" t="n"/>
      <c r="F24" s="49" t="n"/>
      <c r="G24" s="49" t="n"/>
      <c r="H24" s="49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</t>
        </is>
      </c>
      <c r="B5" s="97">
        <f>'Bilan-Actif'!D14</f>
        <v/>
      </c>
      <c r="C5" s="96" t="inlineStr"/>
    </row>
    <row r="6">
      <c r="A6" s="96" t="inlineStr">
        <is>
          <t>Total passif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(compte de résultat, G)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 et dépenses incluent alors des montants non encaissés/décaissés (base engagement).</t>
        </is>
      </c>
      <c r="E2" s="96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seuils</t>
        </is>
      </c>
      <c r="D3" s="96" t="inlineStr">
        <is>
          <t>Vérifier l'assujettissement au SMT : CA HT ≤ 60 M FCFA (négoce), 40 M (artisanat), 30 M (services) - AUDCIF art. 13.</t>
        </is>
      </c>
      <c r="E3" s="96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2026-09-02T15:36:03Z</dcterms:created>
  <dcterms:modified xsi:type="dcterms:W3CDTF">2026-09-02T15:36:04Z</dcterms:modified>
</cp:coreProperties>
</file>