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7">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lack"/>
      <b val="1"/>
      <color rgb="00D9D9D9"/>
      <sz val="48"/>
    </font>
    <font>
      <name val="Arial Black"/>
      <b val="1"/>
      <color rgb="00D9D9D9"/>
      <sz val="26"/>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7">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3" fillId="19" borderId="30" applyAlignment="1" pivotButton="0" quotePrefix="0" xfId="0">
      <alignment horizontal="center" vertical="center" wrapText="1"/>
    </xf>
    <xf numFmtId="0" fontId="194"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5"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5"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191" fillId="0" borderId="0" applyAlignment="1" pivotButton="0" quotePrefix="0" xfId="0">
      <alignment horizontal="center" vertical="center" textRotation="15"/>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92" fillId="0" borderId="0" applyAlignment="1" pivotButton="0" quotePrefix="0" xfId="0">
      <alignment horizontal="center" vertical="center" textRotation="15"/>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5"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5"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6"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5"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1800000</v>
      </c>
      <c r="E3" s="2761" t="n">
        <v>0</v>
      </c>
      <c r="F3" s="2761" t="n">
        <v>200000</v>
      </c>
      <c r="G3" s="2761" t="n">
        <v>0</v>
      </c>
      <c r="H3" s="2761" t="n">
        <v>2000000</v>
      </c>
    </row>
    <row r="4">
      <c r="A4" s="2760" t="inlineStr">
        <is>
          <t>121</t>
        </is>
      </c>
      <c r="B4" s="2760" t="inlineStr">
        <is>
          <t>Report à nouveau créditeur</t>
        </is>
      </c>
      <c r="C4" s="2761" t="n">
        <v>0</v>
      </c>
      <c r="D4" s="2761" t="n">
        <v>800000</v>
      </c>
      <c r="E4" s="2761" t="n">
        <v>0</v>
      </c>
      <c r="F4" s="2761" t="n">
        <v>200000</v>
      </c>
      <c r="G4" s="2761" t="n">
        <v>0</v>
      </c>
      <c r="H4" s="2761" t="n">
        <v>1000000</v>
      </c>
    </row>
    <row r="5">
      <c r="A5" s="2760" t="inlineStr">
        <is>
          <t>131</t>
        </is>
      </c>
      <c r="B5" s="2760" t="inlineStr">
        <is>
          <t>Résultat net : bénéfice</t>
        </is>
      </c>
      <c r="C5" s="2761" t="n">
        <v>0</v>
      </c>
      <c r="D5" s="2761" t="n">
        <v>1700000</v>
      </c>
      <c r="E5" s="2761" t="n">
        <v>1700000</v>
      </c>
      <c r="F5" s="2761" t="n">
        <v>0</v>
      </c>
      <c r="G5" s="2761" t="n">
        <v>0</v>
      </c>
      <c r="H5" s="2761" t="n">
        <v>0</v>
      </c>
    </row>
    <row r="6">
      <c r="A6" s="2760" t="inlineStr">
        <is>
          <t>1411</t>
        </is>
      </c>
      <c r="B6" s="2760" t="inlineStr">
        <is>
          <t>Subventions d'équipement - État</t>
        </is>
      </c>
      <c r="C6" s="2761" t="n">
        <v>0</v>
      </c>
      <c r="D6" s="2761" t="n">
        <v>3200000</v>
      </c>
      <c r="E6" s="2761" t="n">
        <v>200000</v>
      </c>
      <c r="F6" s="2761" t="n">
        <v>0</v>
      </c>
      <c r="G6" s="2761" t="n">
        <v>0</v>
      </c>
      <c r="H6" s="2761" t="n">
        <v>3000000</v>
      </c>
    </row>
    <row r="7">
      <c r="A7" s="2760" t="inlineStr">
        <is>
          <t>162</t>
        </is>
      </c>
      <c r="B7" s="2760" t="inlineStr">
        <is>
          <t>Emprunts et dettes auprès des établissements de crédit</t>
        </is>
      </c>
      <c r="C7" s="2761" t="n">
        <v>0</v>
      </c>
      <c r="D7" s="2761" t="n">
        <v>12000000</v>
      </c>
      <c r="E7" s="2761" t="n">
        <v>2000000</v>
      </c>
      <c r="F7" s="2761" t="n">
        <v>0</v>
      </c>
      <c r="G7" s="2761" t="n">
        <v>0</v>
      </c>
      <c r="H7" s="2761" t="n">
        <v>10000000</v>
      </c>
    </row>
    <row r="8">
      <c r="A8" s="2760" t="inlineStr">
        <is>
          <t>191</t>
        </is>
      </c>
      <c r="B8" s="2760" t="inlineStr">
        <is>
          <t>Provisions pour litiges</t>
        </is>
      </c>
      <c r="C8" s="2761" t="n">
        <v>0</v>
      </c>
      <c r="D8" s="2761" t="n">
        <v>700000</v>
      </c>
      <c r="E8" s="2761" t="n">
        <v>0</v>
      </c>
      <c r="F8" s="2761" t="n">
        <v>100000</v>
      </c>
      <c r="G8" s="2761" t="n">
        <v>0</v>
      </c>
      <c r="H8" s="2761" t="n">
        <v>800000</v>
      </c>
    </row>
    <row r="9">
      <c r="A9" s="2760" t="inlineStr">
        <is>
          <t>2131</t>
        </is>
      </c>
      <c r="B9" s="2760" t="inlineStr">
        <is>
          <t>Logiciels</t>
        </is>
      </c>
      <c r="C9" s="2761" t="n">
        <v>5000000</v>
      </c>
      <c r="D9" s="2761" t="n">
        <v>0</v>
      </c>
      <c r="E9" s="2761" t="n">
        <v>0</v>
      </c>
      <c r="F9" s="2761" t="n">
        <v>0</v>
      </c>
      <c r="G9" s="2761" t="n">
        <v>5000000</v>
      </c>
      <c r="H9" s="2761" t="n">
        <v>0</v>
      </c>
    </row>
    <row r="10">
      <c r="A10" s="2760" t="inlineStr">
        <is>
          <t>2411</t>
        </is>
      </c>
      <c r="B10" s="2760" t="inlineStr">
        <is>
          <t>Matériel et outillage</t>
        </is>
      </c>
      <c r="C10" s="2761" t="n">
        <v>18000000</v>
      </c>
      <c r="D10" s="2761" t="n">
        <v>0</v>
      </c>
      <c r="E10" s="2761" t="n">
        <v>2000000</v>
      </c>
      <c r="F10" s="2761" t="n">
        <v>0</v>
      </c>
      <c r="G10" s="2761" t="n">
        <v>20000000</v>
      </c>
      <c r="H10" s="2761" t="n">
        <v>0</v>
      </c>
    </row>
    <row r="11">
      <c r="A11" s="2760" t="inlineStr">
        <is>
          <t>2451</t>
        </is>
      </c>
      <c r="B11" s="2760" t="inlineStr">
        <is>
          <t>Matériel de transport</t>
        </is>
      </c>
      <c r="C11" s="2761" t="n">
        <v>15000000</v>
      </c>
      <c r="D11" s="2761" t="n">
        <v>0</v>
      </c>
      <c r="E11" s="2761" t="n">
        <v>3000000</v>
      </c>
      <c r="F11" s="2761" t="n">
        <v>3000000</v>
      </c>
      <c r="G11" s="2761" t="n">
        <v>15000000</v>
      </c>
      <c r="H11" s="2761" t="n">
        <v>0</v>
      </c>
    </row>
    <row r="12">
      <c r="A12" s="2760" t="inlineStr">
        <is>
          <t>2611</t>
        </is>
      </c>
      <c r="B12" s="2760" t="inlineStr">
        <is>
          <t>Titres de participation</t>
        </is>
      </c>
      <c r="C12" s="2761" t="n">
        <v>3000000</v>
      </c>
      <c r="D12" s="2761" t="n">
        <v>0</v>
      </c>
      <c r="E12" s="2761" t="n">
        <v>0</v>
      </c>
      <c r="F12" s="2761" t="n">
        <v>0</v>
      </c>
      <c r="G12" s="2761" t="n">
        <v>3000000</v>
      </c>
      <c r="H12" s="2761" t="n">
        <v>0</v>
      </c>
    </row>
    <row r="13">
      <c r="A13" s="2760" t="inlineStr">
        <is>
          <t>2751</t>
        </is>
      </c>
      <c r="B13" s="2760" t="inlineStr">
        <is>
          <t>Dépôts et cautionnements versés</t>
        </is>
      </c>
      <c r="C13" s="2761" t="n">
        <v>1000000</v>
      </c>
      <c r="D13" s="2761" t="n">
        <v>0</v>
      </c>
      <c r="E13" s="2761" t="n">
        <v>0</v>
      </c>
      <c r="F13" s="2761" t="n">
        <v>0</v>
      </c>
      <c r="G13" s="2761" t="n">
        <v>1000000</v>
      </c>
      <c r="H13" s="2761" t="n">
        <v>0</v>
      </c>
    </row>
    <row r="14">
      <c r="A14" s="2760" t="inlineStr">
        <is>
          <t>2813</t>
        </is>
      </c>
      <c r="B14" s="2760" t="inlineStr">
        <is>
          <t>Amortissements logiciels</t>
        </is>
      </c>
      <c r="C14" s="2761" t="n">
        <v>0</v>
      </c>
      <c r="D14" s="2761" t="n">
        <v>1500000</v>
      </c>
      <c r="E14" s="2761" t="n">
        <v>0</v>
      </c>
      <c r="F14" s="2761" t="n">
        <v>500000</v>
      </c>
      <c r="G14" s="2761" t="n">
        <v>0</v>
      </c>
      <c r="H14" s="2761" t="n">
        <v>2000000</v>
      </c>
    </row>
    <row r="15">
      <c r="A15" s="2760" t="inlineStr">
        <is>
          <t>2841</t>
        </is>
      </c>
      <c r="B15" s="2760" t="inlineStr">
        <is>
          <t>Amortissements matériel</t>
        </is>
      </c>
      <c r="C15" s="2761" t="n">
        <v>0</v>
      </c>
      <c r="D15" s="2761" t="n">
        <v>6000000</v>
      </c>
      <c r="E15" s="2761" t="n">
        <v>0</v>
      </c>
      <c r="F15" s="2761" t="n">
        <v>2000000</v>
      </c>
      <c r="G15" s="2761" t="n">
        <v>0</v>
      </c>
      <c r="H15" s="2761" t="n">
        <v>8000000</v>
      </c>
    </row>
    <row r="16">
      <c r="A16" s="2760" t="inlineStr">
        <is>
          <t>2845</t>
        </is>
      </c>
      <c r="B16" s="2760" t="inlineStr">
        <is>
          <t>Amortissements matériel de transport</t>
        </is>
      </c>
      <c r="C16" s="2761" t="n">
        <v>0</v>
      </c>
      <c r="D16" s="2761" t="n">
        <v>3500000</v>
      </c>
      <c r="E16" s="2761" t="n">
        <v>2000000</v>
      </c>
      <c r="F16" s="2761" t="n">
        <v>3500000</v>
      </c>
      <c r="G16" s="2761" t="n">
        <v>0</v>
      </c>
      <c r="H16" s="2761" t="n">
        <v>5000000</v>
      </c>
    </row>
    <row r="17">
      <c r="A17" s="2760" t="inlineStr">
        <is>
          <t>311</t>
        </is>
      </c>
      <c r="B17" s="2760" t="inlineStr">
        <is>
          <t>Marchandises</t>
        </is>
      </c>
      <c r="C17" s="2761" t="n">
        <v>8000000</v>
      </c>
      <c r="D17" s="2761" t="n">
        <v>0</v>
      </c>
      <c r="E17" s="2761" t="n">
        <v>0</v>
      </c>
      <c r="F17" s="2761" t="n">
        <v>1000000</v>
      </c>
      <c r="G17" s="2761" t="n">
        <v>7000000</v>
      </c>
      <c r="H17" s="2761" t="n">
        <v>0</v>
      </c>
    </row>
    <row r="18">
      <c r="A18" s="2760" t="inlineStr">
        <is>
          <t>391</t>
        </is>
      </c>
      <c r="B18" s="2760" t="inlineStr">
        <is>
          <t>Dépréciations des stocks de marchandises</t>
        </is>
      </c>
      <c r="C18" s="2761" t="n">
        <v>0</v>
      </c>
      <c r="D18" s="2761" t="n">
        <v>400000</v>
      </c>
      <c r="E18" s="2761" t="n">
        <v>0</v>
      </c>
      <c r="F18" s="2761" t="n">
        <v>100000</v>
      </c>
      <c r="G18" s="2761" t="n">
        <v>0</v>
      </c>
      <c r="H18" s="2761" t="n">
        <v>500000</v>
      </c>
    </row>
    <row r="19">
      <c r="A19" s="2760" t="inlineStr">
        <is>
          <t>401</t>
        </is>
      </c>
      <c r="B19" s="2760" t="inlineStr">
        <is>
          <t>Fournisseurs, dettes en compte</t>
        </is>
      </c>
      <c r="C19" s="2761" t="n">
        <v>0</v>
      </c>
      <c r="D19" s="2761" t="n">
        <v>4300000</v>
      </c>
      <c r="E19" s="2761" t="n">
        <v>0</v>
      </c>
      <c r="F19" s="2761" t="n">
        <v>1300000</v>
      </c>
      <c r="G19" s="2761" t="n">
        <v>0</v>
      </c>
      <c r="H19" s="2761" t="n">
        <v>5600000</v>
      </c>
    </row>
    <row r="20">
      <c r="A20" s="2760" t="inlineStr">
        <is>
          <t>4111</t>
        </is>
      </c>
      <c r="B20" s="2760" t="inlineStr">
        <is>
          <t>Clients</t>
        </is>
      </c>
      <c r="C20" s="2761" t="n">
        <v>7500000</v>
      </c>
      <c r="D20" s="2761" t="n">
        <v>0</v>
      </c>
      <c r="E20" s="2761" t="n">
        <v>1500000</v>
      </c>
      <c r="F20" s="2761" t="n">
        <v>0</v>
      </c>
      <c r="G20" s="2761" t="n">
        <v>9000000</v>
      </c>
      <c r="H20" s="2761" t="n">
        <v>0</v>
      </c>
    </row>
    <row r="21">
      <c r="A21" s="2760" t="inlineStr">
        <is>
          <t>4181</t>
        </is>
      </c>
      <c r="B21" s="2760" t="inlineStr">
        <is>
          <t>Clients, produits à recevoir</t>
        </is>
      </c>
      <c r="C21" s="2761" t="n">
        <v>0</v>
      </c>
      <c r="D21" s="2761" t="n">
        <v>0</v>
      </c>
      <c r="E21" s="2761" t="n">
        <v>400000</v>
      </c>
      <c r="F21" s="2761" t="n">
        <v>0</v>
      </c>
      <c r="G21" s="2761" t="n">
        <v>400000</v>
      </c>
      <c r="H21" s="2761" t="n">
        <v>0</v>
      </c>
    </row>
    <row r="22">
      <c r="A22" s="2760" t="inlineStr">
        <is>
          <t>422</t>
        </is>
      </c>
      <c r="B22" s="2760" t="inlineStr">
        <is>
          <t>Personnel, rémunérations dues</t>
        </is>
      </c>
      <c r="C22" s="2761" t="n">
        <v>0</v>
      </c>
      <c r="D22" s="2761" t="n">
        <v>800000</v>
      </c>
      <c r="E22" s="2761" t="n">
        <v>0</v>
      </c>
      <c r="F22" s="2761" t="n">
        <v>100000</v>
      </c>
      <c r="G22" s="2761" t="n">
        <v>0</v>
      </c>
      <c r="H22" s="2761" t="n">
        <v>900000</v>
      </c>
    </row>
    <row r="23">
      <c r="A23" s="2760" t="inlineStr">
        <is>
          <t>431</t>
        </is>
      </c>
      <c r="B23" s="2760" t="inlineStr">
        <is>
          <t>Sécurité sociale</t>
        </is>
      </c>
      <c r="C23" s="2761" t="n">
        <v>0</v>
      </c>
      <c r="D23" s="2761" t="n">
        <v>500000</v>
      </c>
      <c r="E23" s="2761" t="n">
        <v>0</v>
      </c>
      <c r="F23" s="2761" t="n">
        <v>100000</v>
      </c>
      <c r="G23" s="2761" t="n">
        <v>0</v>
      </c>
      <c r="H23" s="2761" t="n">
        <v>600000</v>
      </c>
    </row>
    <row r="24">
      <c r="A24" s="2760" t="inlineStr">
        <is>
          <t>441</t>
        </is>
      </c>
      <c r="B24" s="2760" t="inlineStr">
        <is>
          <t>État, impôt sur les bénéfices</t>
        </is>
      </c>
      <c r="C24" s="2761" t="n">
        <v>0</v>
      </c>
      <c r="D24" s="2761" t="n">
        <v>900000</v>
      </c>
      <c r="E24" s="2761" t="n">
        <v>0</v>
      </c>
      <c r="F24" s="2761" t="n">
        <v>400000</v>
      </c>
      <c r="G24" s="2761" t="n">
        <v>0</v>
      </c>
      <c r="H24" s="2761" t="n">
        <v>1300000</v>
      </c>
    </row>
    <row r="25">
      <c r="A25" s="2760" t="inlineStr">
        <is>
          <t>4441</t>
        </is>
      </c>
      <c r="B25" s="2760" t="inlineStr">
        <is>
          <t>État, TVA due</t>
        </is>
      </c>
      <c r="C25" s="2761" t="n">
        <v>0</v>
      </c>
      <c r="D25" s="2761" t="n">
        <v>600000</v>
      </c>
      <c r="E25" s="2761" t="n">
        <v>0</v>
      </c>
      <c r="F25" s="2761" t="n">
        <v>100000</v>
      </c>
      <c r="G25" s="2761" t="n">
        <v>0</v>
      </c>
      <c r="H25" s="2761" t="n">
        <v>700000</v>
      </c>
    </row>
    <row r="26">
      <c r="A26" s="2760" t="inlineStr">
        <is>
          <t>4452</t>
        </is>
      </c>
      <c r="B26" s="2760" t="inlineStr">
        <is>
          <t>TVA récupérable sur achats</t>
        </is>
      </c>
      <c r="C26" s="2761" t="n">
        <v>0</v>
      </c>
      <c r="D26" s="2761" t="n">
        <v>0</v>
      </c>
      <c r="E26" s="2761" t="n">
        <v>1200000</v>
      </c>
      <c r="F26" s="2761" t="n">
        <v>0</v>
      </c>
      <c r="G26" s="2761" t="n">
        <v>1200000</v>
      </c>
      <c r="H26" s="2761" t="n">
        <v>0</v>
      </c>
    </row>
    <row r="27">
      <c r="A27" s="2760" t="inlineStr">
        <is>
          <t>465</t>
        </is>
      </c>
      <c r="B27" s="2760" t="inlineStr">
        <is>
          <t>Associés, dividendes à payer</t>
        </is>
      </c>
      <c r="C27" s="2761" t="n">
        <v>0</v>
      </c>
      <c r="D27" s="2761" t="n">
        <v>0</v>
      </c>
      <c r="E27" s="2761" t="n">
        <v>1300000</v>
      </c>
      <c r="F27" s="2761" t="n">
        <v>1300000</v>
      </c>
      <c r="G27" s="2761" t="n">
        <v>0</v>
      </c>
      <c r="H27" s="2761" t="n">
        <v>0</v>
      </c>
    </row>
    <row r="28">
      <c r="A28" s="2760" t="inlineStr">
        <is>
          <t>491</t>
        </is>
      </c>
      <c r="B28" s="2760" t="inlineStr">
        <is>
          <t>Dépréciations des comptes clients</t>
        </is>
      </c>
      <c r="C28" s="2761" t="n">
        <v>0</v>
      </c>
      <c r="D28" s="2761" t="n">
        <v>600000</v>
      </c>
      <c r="E28" s="2761" t="n">
        <v>0</v>
      </c>
      <c r="F28" s="2761" t="n">
        <v>100000</v>
      </c>
      <c r="G28" s="2761" t="n">
        <v>0</v>
      </c>
      <c r="H28" s="2761" t="n">
        <v>700000</v>
      </c>
    </row>
    <row r="29">
      <c r="A29" s="2760" t="inlineStr">
        <is>
          <t>5021</t>
        </is>
      </c>
      <c r="B29" s="2760" t="inlineStr">
        <is>
          <t>Actions</t>
        </is>
      </c>
      <c r="C29" s="2761" t="n">
        <v>800000</v>
      </c>
      <c r="D29" s="2761" t="n">
        <v>0</v>
      </c>
      <c r="E29" s="2761" t="n">
        <v>0</v>
      </c>
      <c r="F29" s="2761" t="n">
        <v>0</v>
      </c>
      <c r="G29" s="2761" t="n">
        <v>800000</v>
      </c>
      <c r="H29" s="2761" t="n">
        <v>0</v>
      </c>
    </row>
    <row r="30">
      <c r="A30" s="2760" t="inlineStr">
        <is>
          <t>5211</t>
        </is>
      </c>
      <c r="B30" s="2760" t="inlineStr">
        <is>
          <t>Banque locale</t>
        </is>
      </c>
      <c r="C30" s="2761" t="n">
        <v>5000000</v>
      </c>
      <c r="D30" s="2761" t="n">
        <v>0</v>
      </c>
      <c r="E30" s="2761" t="n">
        <v>9300000</v>
      </c>
      <c r="F30" s="2761" t="n">
        <v>8300000</v>
      </c>
      <c r="G30" s="2761" t="n">
        <v>6000000</v>
      </c>
      <c r="H30" s="2761" t="n">
        <v>0</v>
      </c>
    </row>
    <row r="31">
      <c r="A31" s="2760" t="inlineStr">
        <is>
          <t>565</t>
        </is>
      </c>
      <c r="B31" s="2760" t="inlineStr">
        <is>
          <t>Escompte de crédits ordinaires</t>
        </is>
      </c>
      <c r="C31" s="2761" t="n">
        <v>0</v>
      </c>
      <c r="D31" s="2761" t="n">
        <v>0</v>
      </c>
      <c r="E31" s="2761" t="n">
        <v>0</v>
      </c>
      <c r="F31" s="2761" t="n">
        <v>400000</v>
      </c>
      <c r="G31" s="2761" t="n">
        <v>0</v>
      </c>
      <c r="H31" s="2761" t="n">
        <v>400000</v>
      </c>
    </row>
    <row r="32">
      <c r="A32" s="2760" t="inlineStr">
        <is>
          <t>5711</t>
        </is>
      </c>
      <c r="B32" s="2760" t="inlineStr">
        <is>
          <t>Caisse siège social</t>
        </is>
      </c>
      <c r="C32" s="2761" t="n">
        <v>1000000</v>
      </c>
      <c r="D32" s="2761" t="n">
        <v>0</v>
      </c>
      <c r="E32" s="2761" t="n">
        <v>500000</v>
      </c>
      <c r="F32" s="2761" t="n">
        <v>0</v>
      </c>
      <c r="G32" s="2761" t="n">
        <v>1500000</v>
      </c>
      <c r="H32" s="2761" t="n">
        <v>0</v>
      </c>
    </row>
    <row r="33">
      <c r="A33" s="2760" t="inlineStr">
        <is>
          <t>6011</t>
        </is>
      </c>
      <c r="B33" s="2760" t="inlineStr">
        <is>
          <t>Achats de marchandises dans la Région</t>
        </is>
      </c>
      <c r="C33" s="2761" t="n">
        <v>0</v>
      </c>
      <c r="D33" s="2761" t="n">
        <v>0</v>
      </c>
      <c r="E33" s="2761" t="n">
        <v>30000000</v>
      </c>
      <c r="F33" s="2761" t="n">
        <v>0</v>
      </c>
      <c r="G33" s="2761" t="n">
        <v>30000000</v>
      </c>
      <c r="H33" s="2761" t="n">
        <v>0</v>
      </c>
    </row>
    <row r="34">
      <c r="A34" s="2760" t="inlineStr">
        <is>
          <t>6031</t>
        </is>
      </c>
      <c r="B34" s="2760" t="inlineStr">
        <is>
          <t>Variation des stocks de marchandises</t>
        </is>
      </c>
      <c r="C34" s="2761" t="n">
        <v>0</v>
      </c>
      <c r="D34" s="2761" t="n">
        <v>0</v>
      </c>
      <c r="E34" s="2761" t="n">
        <v>1000000</v>
      </c>
      <c r="F34" s="2761" t="n">
        <v>0</v>
      </c>
      <c r="G34" s="2761" t="n">
        <v>1000000</v>
      </c>
      <c r="H34" s="2761" t="n">
        <v>0</v>
      </c>
    </row>
    <row r="35">
      <c r="A35" s="2760" t="inlineStr">
        <is>
          <t>6051</t>
        </is>
      </c>
      <c r="B35" s="2760" t="inlineStr">
        <is>
          <t>Eau</t>
        </is>
      </c>
      <c r="C35" s="2761" t="n">
        <v>0</v>
      </c>
      <c r="D35" s="2761" t="n">
        <v>0</v>
      </c>
      <c r="E35" s="2761" t="n">
        <v>450000</v>
      </c>
      <c r="F35" s="2761" t="n">
        <v>0</v>
      </c>
      <c r="G35" s="2761" t="n">
        <v>450000</v>
      </c>
      <c r="H35" s="2761" t="n">
        <v>0</v>
      </c>
    </row>
    <row r="36">
      <c r="A36" s="2760" t="inlineStr">
        <is>
          <t>6052</t>
        </is>
      </c>
      <c r="B36" s="2760" t="inlineStr">
        <is>
          <t>Électricité</t>
        </is>
      </c>
      <c r="C36" s="2761" t="n">
        <v>0</v>
      </c>
      <c r="D36" s="2761" t="n">
        <v>0</v>
      </c>
      <c r="E36" s="2761" t="n">
        <v>700000</v>
      </c>
      <c r="F36" s="2761" t="n">
        <v>0</v>
      </c>
      <c r="G36" s="2761" t="n">
        <v>700000</v>
      </c>
      <c r="H36" s="2761" t="n">
        <v>0</v>
      </c>
    </row>
    <row r="37">
      <c r="A37" s="2760" t="inlineStr">
        <is>
          <t>612</t>
        </is>
      </c>
      <c r="B37" s="2760" t="inlineStr">
        <is>
          <t>Transports sur ventes</t>
        </is>
      </c>
      <c r="C37" s="2761" t="n">
        <v>0</v>
      </c>
      <c r="D37" s="2761" t="n">
        <v>0</v>
      </c>
      <c r="E37" s="2761" t="n">
        <v>800000</v>
      </c>
      <c r="F37" s="2761" t="n">
        <v>0</v>
      </c>
      <c r="G37" s="2761" t="n">
        <v>800000</v>
      </c>
      <c r="H37" s="2761" t="n">
        <v>0</v>
      </c>
    </row>
    <row r="38">
      <c r="A38" s="2760" t="inlineStr">
        <is>
          <t>622</t>
        </is>
      </c>
      <c r="B38" s="2760" t="inlineStr">
        <is>
          <t>Locations et charges locatives</t>
        </is>
      </c>
      <c r="C38" s="2761" t="n">
        <v>0</v>
      </c>
      <c r="D38" s="2761" t="n">
        <v>0</v>
      </c>
      <c r="E38" s="2761" t="n">
        <v>2400000</v>
      </c>
      <c r="F38" s="2761" t="n">
        <v>0</v>
      </c>
      <c r="G38" s="2761" t="n">
        <v>2400000</v>
      </c>
      <c r="H38" s="2761" t="n">
        <v>0</v>
      </c>
    </row>
    <row r="39">
      <c r="A39" s="2760" t="inlineStr">
        <is>
          <t>6281</t>
        </is>
      </c>
      <c r="B39" s="2760" t="inlineStr">
        <is>
          <t>Frais de télécommunications</t>
        </is>
      </c>
      <c r="C39" s="2761" t="n">
        <v>0</v>
      </c>
      <c r="D39" s="2761" t="n">
        <v>0</v>
      </c>
      <c r="E39" s="2761" t="n">
        <v>600000</v>
      </c>
      <c r="F39" s="2761" t="n">
        <v>0</v>
      </c>
      <c r="G39" s="2761" t="n">
        <v>600000</v>
      </c>
      <c r="H39" s="2761" t="n">
        <v>0</v>
      </c>
    </row>
    <row r="40">
      <c r="A40" s="2760" t="inlineStr">
        <is>
          <t>641</t>
        </is>
      </c>
      <c r="B40" s="2760" t="inlineStr">
        <is>
          <t>Impôts et taxes directs</t>
        </is>
      </c>
      <c r="C40" s="2761" t="n">
        <v>0</v>
      </c>
      <c r="D40" s="2761" t="n">
        <v>0</v>
      </c>
      <c r="E40" s="2761" t="n">
        <v>500000</v>
      </c>
      <c r="F40" s="2761" t="n">
        <v>0</v>
      </c>
      <c r="G40" s="2761" t="n">
        <v>500000</v>
      </c>
      <c r="H40" s="2761" t="n">
        <v>0</v>
      </c>
    </row>
    <row r="41">
      <c r="A41" s="2760" t="inlineStr">
        <is>
          <t>6582</t>
        </is>
      </c>
      <c r="B41" s="2760" t="inlineStr">
        <is>
          <t>Dons</t>
        </is>
      </c>
      <c r="C41" s="2761" t="n">
        <v>0</v>
      </c>
      <c r="D41" s="2761" t="n">
        <v>0</v>
      </c>
      <c r="E41" s="2761" t="n">
        <v>200000</v>
      </c>
      <c r="F41" s="2761" t="n">
        <v>0</v>
      </c>
      <c r="G41" s="2761" t="n">
        <v>200000</v>
      </c>
      <c r="H41" s="2761" t="n">
        <v>0</v>
      </c>
    </row>
    <row r="42">
      <c r="A42" s="2760" t="inlineStr">
        <is>
          <t>661</t>
        </is>
      </c>
      <c r="B42" s="2760" t="inlineStr">
        <is>
          <t>Rémunérations directes versées au personnel national</t>
        </is>
      </c>
      <c r="C42" s="2761" t="n">
        <v>0</v>
      </c>
      <c r="D42" s="2761" t="n">
        <v>0</v>
      </c>
      <c r="E42" s="2761" t="n">
        <v>8000000</v>
      </c>
      <c r="F42" s="2761" t="n">
        <v>0</v>
      </c>
      <c r="G42" s="2761" t="n">
        <v>8000000</v>
      </c>
      <c r="H42" s="2761" t="n">
        <v>0</v>
      </c>
    </row>
    <row r="43">
      <c r="A43" s="2760" t="inlineStr">
        <is>
          <t>664</t>
        </is>
      </c>
      <c r="B43" s="2760" t="inlineStr">
        <is>
          <t>Charges sociales</t>
        </is>
      </c>
      <c r="C43" s="2761" t="n">
        <v>0</v>
      </c>
      <c r="D43" s="2761" t="n">
        <v>0</v>
      </c>
      <c r="E43" s="2761" t="n">
        <v>1200000</v>
      </c>
      <c r="F43" s="2761" t="n">
        <v>0</v>
      </c>
      <c r="G43" s="2761" t="n">
        <v>1200000</v>
      </c>
      <c r="H43" s="2761" t="n">
        <v>0</v>
      </c>
    </row>
    <row r="44">
      <c r="A44" s="2760" t="inlineStr">
        <is>
          <t>671</t>
        </is>
      </c>
      <c r="B44" s="2760" t="inlineStr">
        <is>
          <t>Intérêts des emprunts</t>
        </is>
      </c>
      <c r="C44" s="2761" t="n">
        <v>0</v>
      </c>
      <c r="D44" s="2761" t="n">
        <v>0</v>
      </c>
      <c r="E44" s="2761" t="n">
        <v>900000</v>
      </c>
      <c r="F44" s="2761" t="n">
        <v>0</v>
      </c>
      <c r="G44" s="2761" t="n">
        <v>900000</v>
      </c>
      <c r="H44" s="2761" t="n">
        <v>0</v>
      </c>
    </row>
    <row r="45">
      <c r="A45" s="2760" t="inlineStr">
        <is>
          <t>681</t>
        </is>
      </c>
      <c r="B45" s="2760" t="inlineStr">
        <is>
          <t>Dotations aux amortissements d'exploitation</t>
        </is>
      </c>
      <c r="C45" s="2761" t="n">
        <v>0</v>
      </c>
      <c r="D45" s="2761" t="n">
        <v>0</v>
      </c>
      <c r="E45" s="2761" t="n">
        <v>3500000</v>
      </c>
      <c r="F45" s="2761" t="n">
        <v>0</v>
      </c>
      <c r="G45" s="2761" t="n">
        <v>3500000</v>
      </c>
      <c r="H45" s="2761" t="n">
        <v>0</v>
      </c>
    </row>
    <row r="46">
      <c r="A46" s="2760" t="inlineStr">
        <is>
          <t>691</t>
        </is>
      </c>
      <c r="B46" s="2760" t="inlineStr">
        <is>
          <t>Dotations aux provisions et dépréciations d'exploitation</t>
        </is>
      </c>
      <c r="C46" s="2761" t="n">
        <v>0</v>
      </c>
      <c r="D46" s="2761" t="n">
        <v>0</v>
      </c>
      <c r="E46" s="2761" t="n">
        <v>300000</v>
      </c>
      <c r="F46" s="2761" t="n">
        <v>0</v>
      </c>
      <c r="G46" s="2761" t="n">
        <v>300000</v>
      </c>
      <c r="H46" s="2761" t="n">
        <v>0</v>
      </c>
    </row>
    <row r="47">
      <c r="A47" s="2760" t="inlineStr">
        <is>
          <t>7011</t>
        </is>
      </c>
      <c r="B47" s="2760" t="inlineStr">
        <is>
          <t>Ventes de marchandises dans la Région</t>
        </is>
      </c>
      <c r="C47" s="2761" t="n">
        <v>0</v>
      </c>
      <c r="D47" s="2761" t="n">
        <v>0</v>
      </c>
      <c r="E47" s="2761" t="n">
        <v>0</v>
      </c>
      <c r="F47" s="2761" t="n">
        <v>52000000</v>
      </c>
      <c r="G47" s="2761" t="n">
        <v>0</v>
      </c>
      <c r="H47" s="2761" t="n">
        <v>52000000</v>
      </c>
    </row>
    <row r="48">
      <c r="A48" s="2760" t="inlineStr">
        <is>
          <t>707</t>
        </is>
      </c>
      <c r="B48" s="2760" t="inlineStr">
        <is>
          <t>Produits accessoires</t>
        </is>
      </c>
      <c r="C48" s="2761" t="n">
        <v>0</v>
      </c>
      <c r="D48" s="2761" t="n">
        <v>0</v>
      </c>
      <c r="E48" s="2761" t="n">
        <v>0</v>
      </c>
      <c r="F48" s="2761" t="n">
        <v>1000000</v>
      </c>
      <c r="G48" s="2761" t="n">
        <v>0</v>
      </c>
      <c r="H48" s="2761" t="n">
        <v>1000000</v>
      </c>
    </row>
    <row r="49">
      <c r="A49" s="2760" t="inlineStr">
        <is>
          <t>771</t>
        </is>
      </c>
      <c r="B49" s="2760" t="inlineStr">
        <is>
          <t>Intérêts de prêts et créances diverses</t>
        </is>
      </c>
      <c r="C49" s="2761" t="n">
        <v>0</v>
      </c>
      <c r="D49" s="2761" t="n">
        <v>0</v>
      </c>
      <c r="E49" s="2761" t="n">
        <v>0</v>
      </c>
      <c r="F49" s="2761" t="n">
        <v>200000</v>
      </c>
      <c r="G49" s="2761" t="n">
        <v>0</v>
      </c>
      <c r="H49" s="2761" t="n">
        <v>200000</v>
      </c>
    </row>
    <row r="50">
      <c r="A50" s="2760" t="inlineStr">
        <is>
          <t>791</t>
        </is>
      </c>
      <c r="B50" s="2760" t="inlineStr">
        <is>
          <t>Reprises de provisions et dépréciations d'exploitation</t>
        </is>
      </c>
      <c r="C50" s="2761" t="n">
        <v>0</v>
      </c>
      <c r="D50" s="2761" t="n">
        <v>0</v>
      </c>
      <c r="E50" s="2761" t="n">
        <v>0</v>
      </c>
      <c r="F50" s="2761" t="n">
        <v>250000</v>
      </c>
      <c r="G50" s="2761" t="n">
        <v>0</v>
      </c>
      <c r="H50" s="2761" t="n">
        <v>250000</v>
      </c>
    </row>
    <row r="51">
      <c r="A51" s="2760" t="inlineStr">
        <is>
          <t>812</t>
        </is>
      </c>
      <c r="B51" s="2760" t="inlineStr">
        <is>
          <t>Valeurs comptables des cessions d'immobilisations corporelles</t>
        </is>
      </c>
      <c r="C51" s="2761" t="n">
        <v>0</v>
      </c>
      <c r="D51" s="2761" t="n">
        <v>0</v>
      </c>
      <c r="E51" s="2761" t="n">
        <v>1000000</v>
      </c>
      <c r="F51" s="2761" t="n">
        <v>0</v>
      </c>
      <c r="G51" s="2761" t="n">
        <v>1000000</v>
      </c>
      <c r="H51" s="2761" t="n">
        <v>0</v>
      </c>
    </row>
    <row r="52">
      <c r="A52" s="2760" t="inlineStr">
        <is>
          <t>822</t>
        </is>
      </c>
      <c r="B52" s="2760" t="inlineStr">
        <is>
          <t>Produits de cessions d'immobilisations corporelles</t>
        </is>
      </c>
      <c r="C52" s="2761" t="n">
        <v>0</v>
      </c>
      <c r="D52" s="2761" t="n">
        <v>0</v>
      </c>
      <c r="E52" s="2761" t="n">
        <v>0</v>
      </c>
      <c r="F52" s="2761" t="n">
        <v>1800000</v>
      </c>
      <c r="G52" s="2761" t="n">
        <v>0</v>
      </c>
      <c r="H52" s="2761" t="n">
        <v>1800000</v>
      </c>
    </row>
    <row r="53">
      <c r="A53" s="2760" t="inlineStr">
        <is>
          <t>891</t>
        </is>
      </c>
      <c r="B53" s="2760" t="inlineStr">
        <is>
          <t>Impôts sur les bénéfices de l'exercice</t>
        </is>
      </c>
      <c r="C53" s="2761" t="n">
        <v>0</v>
      </c>
      <c r="D53" s="2761" t="n">
        <v>0</v>
      </c>
      <c r="E53" s="2761" t="n">
        <v>1300000</v>
      </c>
      <c r="F53" s="2761" t="n">
        <v>0</v>
      </c>
      <c r="G53" s="2761" t="n">
        <v>1300000</v>
      </c>
      <c r="H53" s="2761" t="n">
        <v>0</v>
      </c>
    </row>
    <row r="54" ht="20" customHeight="1" s="1354">
      <c r="A54" s="2762" t="n"/>
      <c r="B54" s="2762" t="inlineStr">
        <is>
          <t>TOTAL GENERAL</t>
        </is>
      </c>
      <c r="C54" s="2763">
        <f>SUM(C2:C53)</f>
        <v/>
      </c>
      <c r="D54" s="2763">
        <f>SUM(D2:D53)</f>
        <v/>
      </c>
      <c r="E54" s="2763">
        <f>SUM(E2:E53)</f>
        <v/>
      </c>
      <c r="F54" s="2763">
        <f>SUM(F2:F53)</f>
        <v/>
      </c>
      <c r="G54" s="2763">
        <f>SUM(G2:G53)</f>
        <v/>
      </c>
      <c r="H54" s="2763">
        <f>SUM(H2:H53)</f>
        <v/>
      </c>
    </row>
    <row r="55">
      <c r="A55" s="2764" t="n"/>
      <c r="B55" s="2764" t="inlineStr">
        <is>
          <t>Contrôle d'équilibre par solde (débit - crédit, doit être 0)</t>
        </is>
      </c>
      <c r="C55" s="2765">
        <f>C54-D54</f>
        <v/>
      </c>
      <c r="D55" s="2765" t="n"/>
      <c r="E55" s="2765">
        <f>E54-F54</f>
        <v/>
      </c>
      <c r="F55" s="2765" t="n"/>
      <c r="G55" s="2765">
        <f>G54-H54</f>
        <v/>
      </c>
      <c r="H55"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1650000</v>
      </c>
      <c r="E3" s="2761" t="n">
        <v>0</v>
      </c>
      <c r="F3" s="2761" t="n">
        <v>150000</v>
      </c>
      <c r="G3" s="2761" t="n">
        <v>0</v>
      </c>
      <c r="H3" s="2761" t="n">
        <v>1800000</v>
      </c>
    </row>
    <row r="4">
      <c r="A4" s="2760" t="inlineStr">
        <is>
          <t>121</t>
        </is>
      </c>
      <c r="B4" s="2760" t="inlineStr">
        <is>
          <t>Report à nouveau créditeur</t>
        </is>
      </c>
      <c r="C4" s="2761" t="n">
        <v>0</v>
      </c>
      <c r="D4" s="2761" t="n">
        <v>600000</v>
      </c>
      <c r="E4" s="2761" t="n">
        <v>0</v>
      </c>
      <c r="F4" s="2761" t="n">
        <v>200000</v>
      </c>
      <c r="G4" s="2761" t="n">
        <v>0</v>
      </c>
      <c r="H4" s="2761" t="n">
        <v>800000</v>
      </c>
    </row>
    <row r="5">
      <c r="A5" s="2760" t="inlineStr">
        <is>
          <t>131</t>
        </is>
      </c>
      <c r="B5" s="2760" t="inlineStr">
        <is>
          <t>Résultat net : bénéfice</t>
        </is>
      </c>
      <c r="C5" s="2761" t="n">
        <v>0</v>
      </c>
      <c r="D5" s="2761" t="n">
        <v>1150000</v>
      </c>
      <c r="E5" s="2761" t="n">
        <v>1150000</v>
      </c>
      <c r="F5" s="2761" t="n">
        <v>0</v>
      </c>
      <c r="G5" s="2761" t="n">
        <v>0</v>
      </c>
      <c r="H5" s="2761" t="n">
        <v>0</v>
      </c>
    </row>
    <row r="6">
      <c r="A6" s="2760" t="inlineStr">
        <is>
          <t>1411</t>
        </is>
      </c>
      <c r="B6" s="2760" t="inlineStr">
        <is>
          <t>Subventions d'équipement - État</t>
        </is>
      </c>
      <c r="C6" s="2761" t="n">
        <v>0</v>
      </c>
      <c r="D6" s="2761" t="n">
        <v>3400000</v>
      </c>
      <c r="E6" s="2761" t="n">
        <v>200000</v>
      </c>
      <c r="F6" s="2761" t="n">
        <v>0</v>
      </c>
      <c r="G6" s="2761" t="n">
        <v>0</v>
      </c>
      <c r="H6" s="2761" t="n">
        <v>3200000</v>
      </c>
    </row>
    <row r="7">
      <c r="A7" s="2760" t="inlineStr">
        <is>
          <t>162</t>
        </is>
      </c>
      <c r="B7" s="2760" t="inlineStr">
        <is>
          <t>Emprunts et dettes auprès des établissements de crédit</t>
        </is>
      </c>
      <c r="C7" s="2761" t="n">
        <v>0</v>
      </c>
      <c r="D7" s="2761" t="n">
        <v>6850000</v>
      </c>
      <c r="E7" s="2761" t="n">
        <v>0</v>
      </c>
      <c r="F7" s="2761" t="n">
        <v>5150000</v>
      </c>
      <c r="G7" s="2761" t="n">
        <v>0</v>
      </c>
      <c r="H7" s="2761" t="n">
        <v>12000000</v>
      </c>
    </row>
    <row r="8">
      <c r="A8" s="2760" t="inlineStr">
        <is>
          <t>191</t>
        </is>
      </c>
      <c r="B8" s="2760" t="inlineStr">
        <is>
          <t>Provisions pour litiges</t>
        </is>
      </c>
      <c r="C8" s="2761" t="n">
        <v>0</v>
      </c>
      <c r="D8" s="2761" t="n">
        <v>600000</v>
      </c>
      <c r="E8" s="2761" t="n">
        <v>0</v>
      </c>
      <c r="F8" s="2761" t="n">
        <v>100000</v>
      </c>
      <c r="G8" s="2761" t="n">
        <v>0</v>
      </c>
      <c r="H8" s="2761" t="n">
        <v>700000</v>
      </c>
    </row>
    <row r="9">
      <c r="A9" s="2760" t="inlineStr">
        <is>
          <t>2131</t>
        </is>
      </c>
      <c r="B9" s="2760" t="inlineStr">
        <is>
          <t>Logiciels</t>
        </is>
      </c>
      <c r="C9" s="2761" t="n">
        <v>5000000</v>
      </c>
      <c r="D9" s="2761" t="n">
        <v>0</v>
      </c>
      <c r="E9" s="2761" t="n">
        <v>0</v>
      </c>
      <c r="F9" s="2761" t="n">
        <v>0</v>
      </c>
      <c r="G9" s="2761" t="n">
        <v>5000000</v>
      </c>
      <c r="H9" s="2761" t="n">
        <v>0</v>
      </c>
    </row>
    <row r="10">
      <c r="A10" s="2760" t="inlineStr">
        <is>
          <t>2411</t>
        </is>
      </c>
      <c r="B10" s="2760" t="inlineStr">
        <is>
          <t>Matériel et outillage</t>
        </is>
      </c>
      <c r="C10" s="2761" t="n">
        <v>15000000</v>
      </c>
      <c r="D10" s="2761" t="n">
        <v>0</v>
      </c>
      <c r="E10" s="2761" t="n">
        <v>3000000</v>
      </c>
      <c r="F10" s="2761" t="n">
        <v>0</v>
      </c>
      <c r="G10" s="2761" t="n">
        <v>18000000</v>
      </c>
      <c r="H10" s="2761" t="n">
        <v>0</v>
      </c>
    </row>
    <row r="11">
      <c r="A11" s="2760" t="inlineStr">
        <is>
          <t>2451</t>
        </is>
      </c>
      <c r="B11" s="2760" t="inlineStr">
        <is>
          <t>Matériel de transport</t>
        </is>
      </c>
      <c r="C11" s="2761" t="n">
        <v>12000000</v>
      </c>
      <c r="D11" s="2761" t="n">
        <v>0</v>
      </c>
      <c r="E11" s="2761" t="n">
        <v>3000000</v>
      </c>
      <c r="F11" s="2761" t="n">
        <v>0</v>
      </c>
      <c r="G11" s="2761" t="n">
        <v>15000000</v>
      </c>
      <c r="H11" s="2761" t="n">
        <v>0</v>
      </c>
    </row>
    <row r="12">
      <c r="A12" s="2760" t="inlineStr">
        <is>
          <t>2611</t>
        </is>
      </c>
      <c r="B12" s="2760" t="inlineStr">
        <is>
          <t>Titres de participation</t>
        </is>
      </c>
      <c r="C12" s="2761" t="n">
        <v>3000000</v>
      </c>
      <c r="D12" s="2761" t="n">
        <v>0</v>
      </c>
      <c r="E12" s="2761" t="n">
        <v>0</v>
      </c>
      <c r="F12" s="2761" t="n">
        <v>0</v>
      </c>
      <c r="G12" s="2761" t="n">
        <v>3000000</v>
      </c>
      <c r="H12" s="2761" t="n">
        <v>0</v>
      </c>
    </row>
    <row r="13">
      <c r="A13" s="2760" t="inlineStr">
        <is>
          <t>2751</t>
        </is>
      </c>
      <c r="B13" s="2760" t="inlineStr">
        <is>
          <t>Dépôts et cautionnements versés</t>
        </is>
      </c>
      <c r="C13" s="2761" t="n">
        <v>1000000</v>
      </c>
      <c r="D13" s="2761" t="n">
        <v>0</v>
      </c>
      <c r="E13" s="2761" t="n">
        <v>0</v>
      </c>
      <c r="F13" s="2761" t="n">
        <v>0</v>
      </c>
      <c r="G13" s="2761" t="n">
        <v>1000000</v>
      </c>
      <c r="H13" s="2761" t="n">
        <v>0</v>
      </c>
    </row>
    <row r="14">
      <c r="A14" s="2760" t="inlineStr">
        <is>
          <t>2813</t>
        </is>
      </c>
      <c r="B14" s="2760" t="inlineStr">
        <is>
          <t>Amortissements logiciels</t>
        </is>
      </c>
      <c r="C14" s="2761" t="n">
        <v>0</v>
      </c>
      <c r="D14" s="2761" t="n">
        <v>1000000</v>
      </c>
      <c r="E14" s="2761" t="n">
        <v>0</v>
      </c>
      <c r="F14" s="2761" t="n">
        <v>500000</v>
      </c>
      <c r="G14" s="2761" t="n">
        <v>0</v>
      </c>
      <c r="H14" s="2761" t="n">
        <v>1500000</v>
      </c>
    </row>
    <row r="15">
      <c r="A15" s="2760" t="inlineStr">
        <is>
          <t>2841</t>
        </is>
      </c>
      <c r="B15" s="2760" t="inlineStr">
        <is>
          <t>Amortissements matériel</t>
        </is>
      </c>
      <c r="C15" s="2761" t="n">
        <v>0</v>
      </c>
      <c r="D15" s="2761" t="n">
        <v>4500000</v>
      </c>
      <c r="E15" s="2761" t="n">
        <v>0</v>
      </c>
      <c r="F15" s="2761" t="n">
        <v>1500000</v>
      </c>
      <c r="G15" s="2761" t="n">
        <v>0</v>
      </c>
      <c r="H15" s="2761" t="n">
        <v>6000000</v>
      </c>
    </row>
    <row r="16">
      <c r="A16" s="2760" t="inlineStr">
        <is>
          <t>2845</t>
        </is>
      </c>
      <c r="B16" s="2760" t="inlineStr">
        <is>
          <t>Amortissements matériel de transport</t>
        </is>
      </c>
      <c r="C16" s="2761" t="n">
        <v>0</v>
      </c>
      <c r="D16" s="2761" t="n">
        <v>2000000</v>
      </c>
      <c r="E16" s="2761" t="n">
        <v>0</v>
      </c>
      <c r="F16" s="2761" t="n">
        <v>1500000</v>
      </c>
      <c r="G16" s="2761" t="n">
        <v>0</v>
      </c>
      <c r="H16" s="2761" t="n">
        <v>3500000</v>
      </c>
    </row>
    <row r="17">
      <c r="A17" s="2760" t="inlineStr">
        <is>
          <t>311</t>
        </is>
      </c>
      <c r="B17" s="2760" t="inlineStr">
        <is>
          <t>Marchandises</t>
        </is>
      </c>
      <c r="C17" s="2761" t="n">
        <v>6500000</v>
      </c>
      <c r="D17" s="2761" t="n">
        <v>0</v>
      </c>
      <c r="E17" s="2761" t="n">
        <v>1500000</v>
      </c>
      <c r="F17" s="2761" t="n">
        <v>0</v>
      </c>
      <c r="G17" s="2761" t="n">
        <v>8000000</v>
      </c>
      <c r="H17" s="2761" t="n">
        <v>0</v>
      </c>
    </row>
    <row r="18">
      <c r="A18" s="2760" t="inlineStr">
        <is>
          <t>391</t>
        </is>
      </c>
      <c r="B18" s="2760" t="inlineStr">
        <is>
          <t>Dépréciations des stocks de marchandises</t>
        </is>
      </c>
      <c r="C18" s="2761" t="n">
        <v>0</v>
      </c>
      <c r="D18" s="2761" t="n">
        <v>300000</v>
      </c>
      <c r="E18" s="2761" t="n">
        <v>0</v>
      </c>
      <c r="F18" s="2761" t="n">
        <v>100000</v>
      </c>
      <c r="G18" s="2761" t="n">
        <v>0</v>
      </c>
      <c r="H18" s="2761" t="n">
        <v>400000</v>
      </c>
    </row>
    <row r="19">
      <c r="A19" s="2760" t="inlineStr">
        <is>
          <t>401</t>
        </is>
      </c>
      <c r="B19" s="2760" t="inlineStr">
        <is>
          <t>Fournisseurs, dettes en compte</t>
        </is>
      </c>
      <c r="C19" s="2761" t="n">
        <v>0</v>
      </c>
      <c r="D19" s="2761" t="n">
        <v>3900000</v>
      </c>
      <c r="E19" s="2761" t="n">
        <v>0</v>
      </c>
      <c r="F19" s="2761" t="n">
        <v>400000</v>
      </c>
      <c r="G19" s="2761" t="n">
        <v>0</v>
      </c>
      <c r="H19" s="2761" t="n">
        <v>4300000</v>
      </c>
    </row>
    <row r="20">
      <c r="A20" s="2760" t="inlineStr">
        <is>
          <t>4111</t>
        </is>
      </c>
      <c r="B20" s="2760" t="inlineStr">
        <is>
          <t>Clients</t>
        </is>
      </c>
      <c r="C20" s="2761" t="n">
        <v>6000000</v>
      </c>
      <c r="D20" s="2761" t="n">
        <v>0</v>
      </c>
      <c r="E20" s="2761" t="n">
        <v>1500000</v>
      </c>
      <c r="F20" s="2761" t="n">
        <v>0</v>
      </c>
      <c r="G20" s="2761" t="n">
        <v>7500000</v>
      </c>
      <c r="H20" s="2761" t="n">
        <v>0</v>
      </c>
    </row>
    <row r="21">
      <c r="A21" s="2760" t="inlineStr">
        <is>
          <t>422</t>
        </is>
      </c>
      <c r="B21" s="2760" t="inlineStr">
        <is>
          <t>Personnel, rémunérations dues</t>
        </is>
      </c>
      <c r="C21" s="2761" t="n">
        <v>0</v>
      </c>
      <c r="D21" s="2761" t="n">
        <v>700000</v>
      </c>
      <c r="E21" s="2761" t="n">
        <v>0</v>
      </c>
      <c r="F21" s="2761" t="n">
        <v>100000</v>
      </c>
      <c r="G21" s="2761" t="n">
        <v>0</v>
      </c>
      <c r="H21" s="2761" t="n">
        <v>800000</v>
      </c>
    </row>
    <row r="22">
      <c r="A22" s="2760" t="inlineStr">
        <is>
          <t>431</t>
        </is>
      </c>
      <c r="B22" s="2760" t="inlineStr">
        <is>
          <t>Sécurité sociale</t>
        </is>
      </c>
      <c r="C22" s="2761" t="n">
        <v>0</v>
      </c>
      <c r="D22" s="2761" t="n">
        <v>450000</v>
      </c>
      <c r="E22" s="2761" t="n">
        <v>0</v>
      </c>
      <c r="F22" s="2761" t="n">
        <v>50000</v>
      </c>
      <c r="G22" s="2761" t="n">
        <v>0</v>
      </c>
      <c r="H22" s="2761" t="n">
        <v>500000</v>
      </c>
    </row>
    <row r="23">
      <c r="A23" s="2760" t="inlineStr">
        <is>
          <t>441</t>
        </is>
      </c>
      <c r="B23" s="2760" t="inlineStr">
        <is>
          <t>État, impôt sur les bénéfices</t>
        </is>
      </c>
      <c r="C23" s="2761" t="n">
        <v>0</v>
      </c>
      <c r="D23" s="2761" t="n">
        <v>750000</v>
      </c>
      <c r="E23" s="2761" t="n">
        <v>0</v>
      </c>
      <c r="F23" s="2761" t="n">
        <v>150000</v>
      </c>
      <c r="G23" s="2761" t="n">
        <v>0</v>
      </c>
      <c r="H23" s="2761" t="n">
        <v>900000</v>
      </c>
    </row>
    <row r="24">
      <c r="A24" s="2760" t="inlineStr">
        <is>
          <t>4441</t>
        </is>
      </c>
      <c r="B24" s="2760" t="inlineStr">
        <is>
          <t>État, TVA due</t>
        </is>
      </c>
      <c r="C24" s="2761" t="n">
        <v>0</v>
      </c>
      <c r="D24" s="2761" t="n">
        <v>500000</v>
      </c>
      <c r="E24" s="2761" t="n">
        <v>0</v>
      </c>
      <c r="F24" s="2761" t="n">
        <v>100000</v>
      </c>
      <c r="G24" s="2761" t="n">
        <v>0</v>
      </c>
      <c r="H24" s="2761" t="n">
        <v>600000</v>
      </c>
    </row>
    <row r="25">
      <c r="A25" s="2760" t="inlineStr">
        <is>
          <t>465</t>
        </is>
      </c>
      <c r="B25" s="2760" t="inlineStr">
        <is>
          <t>Associés, dividendes à payer</t>
        </is>
      </c>
      <c r="C25" s="2761" t="n">
        <v>0</v>
      </c>
      <c r="D25" s="2761" t="n">
        <v>0</v>
      </c>
      <c r="E25" s="2761" t="n">
        <v>800000</v>
      </c>
      <c r="F25" s="2761" t="n">
        <v>800000</v>
      </c>
      <c r="G25" s="2761" t="n">
        <v>0</v>
      </c>
      <c r="H25" s="2761" t="n">
        <v>0</v>
      </c>
    </row>
    <row r="26">
      <c r="A26" s="2760" t="inlineStr">
        <is>
          <t>491</t>
        </is>
      </c>
      <c r="B26" s="2760" t="inlineStr">
        <is>
          <t>Dépréciations des comptes clients</t>
        </is>
      </c>
      <c r="C26" s="2761" t="n">
        <v>0</v>
      </c>
      <c r="D26" s="2761" t="n">
        <v>450000</v>
      </c>
      <c r="E26" s="2761" t="n">
        <v>0</v>
      </c>
      <c r="F26" s="2761" t="n">
        <v>150000</v>
      </c>
      <c r="G26" s="2761" t="n">
        <v>0</v>
      </c>
      <c r="H26" s="2761" t="n">
        <v>600000</v>
      </c>
    </row>
    <row r="27">
      <c r="A27" s="2760" t="inlineStr">
        <is>
          <t>5021</t>
        </is>
      </c>
      <c r="B27" s="2760" t="inlineStr">
        <is>
          <t>Actions</t>
        </is>
      </c>
      <c r="C27" s="2761" t="n">
        <v>800000</v>
      </c>
      <c r="D27" s="2761" t="n">
        <v>0</v>
      </c>
      <c r="E27" s="2761" t="n">
        <v>0</v>
      </c>
      <c r="F27" s="2761" t="n">
        <v>0</v>
      </c>
      <c r="G27" s="2761" t="n">
        <v>800000</v>
      </c>
      <c r="H27" s="2761" t="n">
        <v>0</v>
      </c>
    </row>
    <row r="28">
      <c r="A28" s="2760" t="inlineStr">
        <is>
          <t>5211</t>
        </is>
      </c>
      <c r="B28" s="2760" t="inlineStr">
        <is>
          <t>Banque locale</t>
        </is>
      </c>
      <c r="C28" s="2761" t="n">
        <v>3800000</v>
      </c>
      <c r="D28" s="2761" t="n">
        <v>0</v>
      </c>
      <c r="E28" s="2761" t="n">
        <v>2000000</v>
      </c>
      <c r="F28" s="2761" t="n">
        <v>800000</v>
      </c>
      <c r="G28" s="2761" t="n">
        <v>5000000</v>
      </c>
      <c r="H28" s="2761" t="n">
        <v>0</v>
      </c>
    </row>
    <row r="29">
      <c r="A29" s="2760" t="inlineStr">
        <is>
          <t>5711</t>
        </is>
      </c>
      <c r="B29" s="2760" t="inlineStr">
        <is>
          <t>Caisse siège social</t>
        </is>
      </c>
      <c r="C29" s="2761" t="n">
        <v>700000</v>
      </c>
      <c r="D29" s="2761" t="n">
        <v>0</v>
      </c>
      <c r="E29" s="2761" t="n">
        <v>300000</v>
      </c>
      <c r="F29" s="2761" t="n">
        <v>0</v>
      </c>
      <c r="G29" s="2761" t="n">
        <v>1000000</v>
      </c>
      <c r="H29" s="2761" t="n">
        <v>0</v>
      </c>
    </row>
    <row r="30">
      <c r="A30" s="2760" t="inlineStr">
        <is>
          <t>6011</t>
        </is>
      </c>
      <c r="B30" s="2760" t="inlineStr">
        <is>
          <t>Achats de marchandises dans la région</t>
        </is>
      </c>
      <c r="C30" s="2761" t="n">
        <v>0</v>
      </c>
      <c r="D30" s="2761" t="n">
        <v>0</v>
      </c>
      <c r="E30" s="2761" t="n">
        <v>26000000</v>
      </c>
      <c r="F30" s="2761" t="n">
        <v>0</v>
      </c>
      <c r="G30" s="2761" t="n">
        <v>26000000</v>
      </c>
      <c r="H30" s="2761" t="n">
        <v>0</v>
      </c>
    </row>
    <row r="31">
      <c r="A31" s="2760" t="inlineStr">
        <is>
          <t>6031</t>
        </is>
      </c>
      <c r="B31" s="2760" t="inlineStr">
        <is>
          <t>Variation des stocks de marchandises</t>
        </is>
      </c>
      <c r="C31" s="2761" t="n">
        <v>0</v>
      </c>
      <c r="D31" s="2761" t="n">
        <v>0</v>
      </c>
      <c r="E31" s="2761" t="n">
        <v>0</v>
      </c>
      <c r="F31" s="2761" t="n">
        <v>1500000</v>
      </c>
      <c r="G31" s="2761" t="n">
        <v>0</v>
      </c>
      <c r="H31" s="2761" t="n">
        <v>1500000</v>
      </c>
    </row>
    <row r="32">
      <c r="A32" s="2760" t="inlineStr">
        <is>
          <t>6051</t>
        </is>
      </c>
      <c r="B32" s="2760" t="inlineStr">
        <is>
          <t>Eau</t>
        </is>
      </c>
      <c r="C32" s="2761" t="n">
        <v>0</v>
      </c>
      <c r="D32" s="2761" t="n">
        <v>0</v>
      </c>
      <c r="E32" s="2761" t="n">
        <v>400000</v>
      </c>
      <c r="F32" s="2761" t="n">
        <v>0</v>
      </c>
      <c r="G32" s="2761" t="n">
        <v>400000</v>
      </c>
      <c r="H32" s="2761" t="n">
        <v>0</v>
      </c>
    </row>
    <row r="33">
      <c r="A33" s="2760" t="inlineStr">
        <is>
          <t>6052</t>
        </is>
      </c>
      <c r="B33" s="2760" t="inlineStr">
        <is>
          <t>Électricité</t>
        </is>
      </c>
      <c r="C33" s="2761" t="n">
        <v>0</v>
      </c>
      <c r="D33" s="2761" t="n">
        <v>0</v>
      </c>
      <c r="E33" s="2761" t="n">
        <v>650000</v>
      </c>
      <c r="F33" s="2761" t="n">
        <v>0</v>
      </c>
      <c r="G33" s="2761" t="n">
        <v>650000</v>
      </c>
      <c r="H33" s="2761" t="n">
        <v>0</v>
      </c>
    </row>
    <row r="34">
      <c r="A34" s="2760" t="inlineStr">
        <is>
          <t>612</t>
        </is>
      </c>
      <c r="B34" s="2760" t="inlineStr">
        <is>
          <t>Transports sur ventes</t>
        </is>
      </c>
      <c r="C34" s="2761" t="n">
        <v>0</v>
      </c>
      <c r="D34" s="2761" t="n">
        <v>0</v>
      </c>
      <c r="E34" s="2761" t="n">
        <v>700000</v>
      </c>
      <c r="F34" s="2761" t="n">
        <v>0</v>
      </c>
      <c r="G34" s="2761" t="n">
        <v>700000</v>
      </c>
      <c r="H34" s="2761" t="n">
        <v>0</v>
      </c>
    </row>
    <row r="35">
      <c r="A35" s="2760" t="inlineStr">
        <is>
          <t>622</t>
        </is>
      </c>
      <c r="B35" s="2760" t="inlineStr">
        <is>
          <t>Locations et charges locatives</t>
        </is>
      </c>
      <c r="C35" s="2761" t="n">
        <v>0</v>
      </c>
      <c r="D35" s="2761" t="n">
        <v>0</v>
      </c>
      <c r="E35" s="2761" t="n">
        <v>2400000</v>
      </c>
      <c r="F35" s="2761" t="n">
        <v>0</v>
      </c>
      <c r="G35" s="2761" t="n">
        <v>2400000</v>
      </c>
      <c r="H35" s="2761" t="n">
        <v>0</v>
      </c>
    </row>
    <row r="36">
      <c r="A36" s="2760" t="inlineStr">
        <is>
          <t>6281</t>
        </is>
      </c>
      <c r="B36" s="2760" t="inlineStr">
        <is>
          <t>Frais de télécommunications</t>
        </is>
      </c>
      <c r="C36" s="2761" t="n">
        <v>0</v>
      </c>
      <c r="D36" s="2761" t="n">
        <v>0</v>
      </c>
      <c r="E36" s="2761" t="n">
        <v>550000</v>
      </c>
      <c r="F36" s="2761" t="n">
        <v>0</v>
      </c>
      <c r="G36" s="2761" t="n">
        <v>550000</v>
      </c>
      <c r="H36" s="2761" t="n">
        <v>0</v>
      </c>
    </row>
    <row r="37">
      <c r="A37" s="2760" t="inlineStr">
        <is>
          <t>641</t>
        </is>
      </c>
      <c r="B37" s="2760" t="inlineStr">
        <is>
          <t>Impôts et taxes directs</t>
        </is>
      </c>
      <c r="C37" s="2761" t="n">
        <v>0</v>
      </c>
      <c r="D37" s="2761" t="n">
        <v>0</v>
      </c>
      <c r="E37" s="2761" t="n">
        <v>450000</v>
      </c>
      <c r="F37" s="2761" t="n">
        <v>0</v>
      </c>
      <c r="G37" s="2761" t="n">
        <v>450000</v>
      </c>
      <c r="H37" s="2761" t="n">
        <v>0</v>
      </c>
    </row>
    <row r="38">
      <c r="A38" s="2760" t="inlineStr">
        <is>
          <t>661</t>
        </is>
      </c>
      <c r="B38" s="2760" t="inlineStr">
        <is>
          <t>Rémunérations directes versées au personnel national</t>
        </is>
      </c>
      <c r="C38" s="2761" t="n">
        <v>0</v>
      </c>
      <c r="D38" s="2761" t="n">
        <v>0</v>
      </c>
      <c r="E38" s="2761" t="n">
        <v>7000000</v>
      </c>
      <c r="F38" s="2761" t="n">
        <v>0</v>
      </c>
      <c r="G38" s="2761" t="n">
        <v>7000000</v>
      </c>
      <c r="H38" s="2761" t="n">
        <v>0</v>
      </c>
    </row>
    <row r="39">
      <c r="A39" s="2760" t="inlineStr">
        <is>
          <t>664</t>
        </is>
      </c>
      <c r="B39" s="2760" t="inlineStr">
        <is>
          <t>Charges sociales</t>
        </is>
      </c>
      <c r="C39" s="2761" t="n">
        <v>0</v>
      </c>
      <c r="D39" s="2761" t="n">
        <v>0</v>
      </c>
      <c r="E39" s="2761" t="n">
        <v>1050000</v>
      </c>
      <c r="F39" s="2761" t="n">
        <v>0</v>
      </c>
      <c r="G39" s="2761" t="n">
        <v>1050000</v>
      </c>
      <c r="H39" s="2761" t="n">
        <v>0</v>
      </c>
    </row>
    <row r="40">
      <c r="A40" s="2760" t="inlineStr">
        <is>
          <t>671</t>
        </is>
      </c>
      <c r="B40" s="2760" t="inlineStr">
        <is>
          <t>Intérêts des emprunts</t>
        </is>
      </c>
      <c r="C40" s="2761" t="n">
        <v>0</v>
      </c>
      <c r="D40" s="2761" t="n">
        <v>0</v>
      </c>
      <c r="E40" s="2761" t="n">
        <v>800000</v>
      </c>
      <c r="F40" s="2761" t="n">
        <v>0</v>
      </c>
      <c r="G40" s="2761" t="n">
        <v>800000</v>
      </c>
      <c r="H40" s="2761" t="n">
        <v>0</v>
      </c>
    </row>
    <row r="41">
      <c r="A41" s="2760" t="inlineStr">
        <is>
          <t>681</t>
        </is>
      </c>
      <c r="B41" s="2760" t="inlineStr">
        <is>
          <t>Dotations aux amortissements d'exploitation</t>
        </is>
      </c>
      <c r="C41" s="2761" t="n">
        <v>0</v>
      </c>
      <c r="D41" s="2761" t="n">
        <v>0</v>
      </c>
      <c r="E41" s="2761" t="n">
        <v>3500000</v>
      </c>
      <c r="F41" s="2761" t="n">
        <v>0</v>
      </c>
      <c r="G41" s="2761" t="n">
        <v>3500000</v>
      </c>
      <c r="H41" s="2761" t="n">
        <v>0</v>
      </c>
    </row>
    <row r="42">
      <c r="A42" s="2760" t="inlineStr">
        <is>
          <t>691</t>
        </is>
      </c>
      <c r="B42" s="2760" t="inlineStr">
        <is>
          <t>Dotations aux provisions et dépréciations d'exploitation</t>
        </is>
      </c>
      <c r="C42" s="2761" t="n">
        <v>0</v>
      </c>
      <c r="D42" s="2761" t="n">
        <v>0</v>
      </c>
      <c r="E42" s="2761" t="n">
        <v>350000</v>
      </c>
      <c r="F42" s="2761" t="n">
        <v>0</v>
      </c>
      <c r="G42" s="2761" t="n">
        <v>350000</v>
      </c>
      <c r="H42" s="2761" t="n">
        <v>0</v>
      </c>
    </row>
    <row r="43">
      <c r="A43" s="2760" t="inlineStr">
        <is>
          <t>7011</t>
        </is>
      </c>
      <c r="B43" s="2760" t="inlineStr">
        <is>
          <t>Ventes de marchandises dans la région</t>
        </is>
      </c>
      <c r="C43" s="2761" t="n">
        <v>0</v>
      </c>
      <c r="D43" s="2761" t="n">
        <v>0</v>
      </c>
      <c r="E43" s="2761" t="n">
        <v>0</v>
      </c>
      <c r="F43" s="2761" t="n">
        <v>44000000</v>
      </c>
      <c r="G43" s="2761" t="n">
        <v>0</v>
      </c>
      <c r="H43" s="2761" t="n">
        <v>44000000</v>
      </c>
    </row>
    <row r="44">
      <c r="A44" s="2760" t="inlineStr">
        <is>
          <t>707</t>
        </is>
      </c>
      <c r="B44" s="2760" t="inlineStr">
        <is>
          <t>Produits accessoires</t>
        </is>
      </c>
      <c r="C44" s="2761" t="n">
        <v>0</v>
      </c>
      <c r="D44" s="2761" t="n">
        <v>0</v>
      </c>
      <c r="E44" s="2761" t="n">
        <v>0</v>
      </c>
      <c r="F44" s="2761" t="n">
        <v>800000</v>
      </c>
      <c r="G44" s="2761" t="n">
        <v>0</v>
      </c>
      <c r="H44" s="2761" t="n">
        <v>800000</v>
      </c>
    </row>
    <row r="45">
      <c r="A45" s="2760" t="inlineStr">
        <is>
          <t>771</t>
        </is>
      </c>
      <c r="B45" s="2760" t="inlineStr">
        <is>
          <t>Intérêts de prêts et créances diverses</t>
        </is>
      </c>
      <c r="C45" s="2761" t="n">
        <v>0</v>
      </c>
      <c r="D45" s="2761" t="n">
        <v>0</v>
      </c>
      <c r="E45" s="2761" t="n">
        <v>0</v>
      </c>
      <c r="F45" s="2761" t="n">
        <v>150000</v>
      </c>
      <c r="G45" s="2761" t="n">
        <v>0</v>
      </c>
      <c r="H45" s="2761" t="n">
        <v>150000</v>
      </c>
    </row>
    <row r="46">
      <c r="A46" s="2760" t="inlineStr">
        <is>
          <t>891</t>
        </is>
      </c>
      <c r="B46" s="2760" t="inlineStr">
        <is>
          <t>Impôts sur les bénéfices de l'exercice</t>
        </is>
      </c>
      <c r="C46" s="2761" t="n">
        <v>0</v>
      </c>
      <c r="D46" s="2761" t="n">
        <v>0</v>
      </c>
      <c r="E46" s="2761" t="n">
        <v>900000</v>
      </c>
      <c r="F46" s="2761" t="n">
        <v>0</v>
      </c>
      <c r="G46" s="2761" t="n">
        <v>900000</v>
      </c>
      <c r="H46" s="2761" t="n">
        <v>0</v>
      </c>
    </row>
    <row r="47" ht="20" customHeight="1" s="1354">
      <c r="A47" s="2762" t="n"/>
      <c r="B47" s="2762" t="inlineStr">
        <is>
          <t>TOTAL GENERAL</t>
        </is>
      </c>
      <c r="C47" s="2763">
        <f>SUM(C2:C46)</f>
        <v/>
      </c>
      <c r="D47" s="2763">
        <f>SUM(D2:D46)</f>
        <v/>
      </c>
      <c r="E47" s="2763">
        <f>SUM(E2:E46)</f>
        <v/>
      </c>
      <c r="F47" s="2763">
        <f>SUM(F2:F46)</f>
        <v/>
      </c>
      <c r="G47" s="2763">
        <f>SUM(G2:G46)</f>
        <v/>
      </c>
      <c r="H47" s="2763">
        <f>SUM(H2:H46)</f>
        <v/>
      </c>
    </row>
    <row r="48">
      <c r="A48" s="2764" t="n"/>
      <c r="B48" s="2764" t="inlineStr">
        <is>
          <t>Contrôle d'équilibre par solde (débit - crédit, doit être 0)</t>
        </is>
      </c>
      <c r="C48" s="2765">
        <f>C47-D47</f>
        <v/>
      </c>
      <c r="D48" s="2765" t="n"/>
      <c r="E48" s="2765">
        <f>E47-F47</f>
        <v/>
      </c>
      <c r="F48" s="2765" t="n"/>
      <c r="G48" s="2765">
        <f>G47-H47</f>
        <v/>
      </c>
      <c r="H48"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N'!C2:C53)</f>
        <v/>
      </c>
      <c r="C3" s="2773">
        <f>SUM('BALANCE N'!D2:D53)</f>
        <v/>
      </c>
      <c r="D3" s="2773">
        <f>SUM('BALANCE N'!E2:E53)</f>
        <v/>
      </c>
      <c r="E3" s="2773">
        <f>SUM('BALANCE N'!F2:F53)</f>
        <v/>
      </c>
      <c r="F3" s="2773">
        <f>SUM('BALANCE N'!G2:G53)</f>
        <v/>
      </c>
      <c r="G3" s="2774">
        <f>SUM('BALANCE N'!H2:H53)</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N-1'!C2:C46)</f>
        <v/>
      </c>
      <c r="C6" s="2773">
        <f>SUM('BALANCE N-1'!D2:D46)</f>
        <v/>
      </c>
      <c r="D6" s="2773">
        <f>SUM('BALANCE N-1'!E2:E46)</f>
        <v/>
      </c>
      <c r="E6" s="2773">
        <f>SUM('BALANCE N-1'!F2:F46)</f>
        <v/>
      </c>
      <c r="F6" s="2773">
        <f>SUM('BALANCE N-1'!G2:G46)</f>
        <v/>
      </c>
      <c r="G6" s="2774">
        <f>SUM('BALANCE N-1'!H2:H46)</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c r="F24" s="2799" t="n"/>
      <c r="G24" s="2799" t="n"/>
      <c r="H24" s="2799" t="n"/>
      <c r="I24" s="2799" t="n"/>
      <c r="J24" s="2799" t="n"/>
    </row>
    <row r="25"/>
    <row r="26" ht="18" customHeight="1" s="1354">
      <c r="B26" s="2797" t="inlineStr">
        <is>
          <t>ADRESSE COMPLETE :</t>
        </is>
      </c>
      <c r="E26" s="2798" t="inlineStr"/>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c r="C4" s="2799" t="n"/>
      <c r="D4" s="2799" t="n"/>
      <c r="E4" s="2799" t="n"/>
      <c r="F4" s="2799" t="n"/>
      <c r="G4" s="2799" t="n"/>
      <c r="H4" s="2799" t="n"/>
      <c r="I4" s="2799" t="n"/>
      <c r="K4" s="2850" t="inlineStr">
        <is>
          <t>Sigle usuel :</t>
        </is>
      </c>
      <c r="L4" s="2849" t="inlineStr"/>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N'!$A$2:$A$72,"211*",'BALANCE N'!$G$2:$G$72)-SUMIF('BALANCE N'!$A$2:$A$72,"211*",'BALANCE N'!$H$2:$H$72)+SUMIF('BALANCE N'!$A$2:$A$72,"2181*",'BALANCE N'!$G$2:$G$72)-SUMIF('BALANCE N'!$A$2:$A$72,"2181*",'BALANCE N'!$H$2:$H$72)+SUMIF('BALANCE N'!$A$2:$A$72,"2191*",'BALANCE N'!$G$2:$G$72)-SUMIF('BALANCE N'!$A$2:$A$72,"2191*",'BALANCE N'!$H$2:$H$72)</f>
        <v/>
      </c>
      <c r="E11" s="2880">
        <f>SUMIF('BALANCE N'!$A$2:$A$72,"2918*",'BALANCE N'!$H$2:$H$72)-SUMIF('BALANCE N'!$A$2:$A$72,"2918*",'BALANCE N'!$G$2:$G$72)+SUMIF('BALANCE N'!$A$2:$A$72,"2818*",'BALANCE N'!$H$2:$H$72)-SUMIF('BALANCE N'!$A$2:$A$72,"2818*",'BALANCE N'!$G$2:$G$72)+SUMIF('BALANCE N'!$A$2:$A$72,"2811*",'BALANCE N'!$H$2:$H$72)-SUMIF('BALANCE N'!$A$2:$A$72,"2811*",'BALANCE N'!$G$2:$G$72)+SUMIF('BALANCE N'!$A$2:$A$72,"2911*",'BALANCE N'!$H$2:$H$72)-SUMIF('BALANCE N'!$A$2:$A$72,"2911*",'BALANCE N'!$G$2:$G$72)+SUMIF('BALANCE N'!$A$2:$A$72,"2919*",'BALANCE N'!$H$2:$H$72)-SUMIF('BALANCE N'!$A$2:$A$72,"2919*",'BALANCE N'!$G$2:$G$72)</f>
        <v/>
      </c>
      <c r="F11" s="2880">
        <f>D11-E11</f>
        <v/>
      </c>
      <c r="G11" s="2880">
        <f>(SUMIF('BALANCE N-1'!$A$2:$A$72,"211*",'BALANCE N-1'!$G$2:$G$72)-SUMIF('BALANCE N-1'!$A$2:$A$72,"211*",'BALANCE N-1'!$H$2:$H$72)+SUMIF('BALANCE N-1'!$A$2:$A$72,"2181*",'BALANCE N-1'!$G$2:$G$72)-SUMIF('BALANCE N-1'!$A$2:$A$72,"2181*",'BALANCE N-1'!$H$2:$H$72)+SUMIF('BALANCE N-1'!$A$2:$A$72,"2191*",'BALANCE N-1'!$G$2:$G$72)-SUMIF('BALANCE N-1'!$A$2:$A$72,"2191*",'BALANCE N-1'!$H$2:$H$72))-(SUMIF('BALANCE N-1'!$A$2:$A$72,"2918*",'BALANCE N-1'!$H$2:$H$72)-SUMIF('BALANCE N-1'!$A$2:$A$72,"2918*",'BALANCE N-1'!$G$2:$G$72)+SUMIF('BALANCE N-1'!$A$2:$A$72,"2818*",'BALANCE N-1'!$H$2:$H$72)-SUMIF('BALANCE N-1'!$A$2:$A$72,"2818*",'BALANCE N-1'!$G$2:$G$72)+SUMIF('BALANCE N-1'!$A$2:$A$72,"2811*",'BALANCE N-1'!$H$2:$H$72)-SUMIF('BALANCE N-1'!$A$2:$A$72,"2811*",'BALANCE N-1'!$G$2:$G$72)+SUMIF('BALANCE N-1'!$A$2:$A$72,"2911*",'BALANCE N-1'!$H$2:$H$72)-SUMIF('BALANCE N-1'!$A$2:$A$72,"2911*",'BALANCE N-1'!$G$2:$G$72)+SUMIF('BALANCE N-1'!$A$2:$A$72,"2919*",'BALANCE N-1'!$H$2:$H$72)-SUMIF('BALANCE N-1'!$A$2:$A$72,"2919*",'BALANCE N-1'!$G$2:$G$72))</f>
        <v/>
      </c>
    </row>
    <row r="12" ht="25" customHeight="1" s="1354">
      <c r="A12" s="1612" t="inlineStr">
        <is>
          <t>AF</t>
        </is>
      </c>
      <c r="B12" s="1613" t="inlineStr">
        <is>
          <t xml:space="preserve">Brevets, licences, logiciels, et  droits similaires </t>
        </is>
      </c>
      <c r="C12" s="1614" t="inlineStr">
        <is>
          <t>  </t>
        </is>
      </c>
      <c r="D12" s="2880">
        <f>SUMIF('BALANCE N'!$A$2:$A$72,"212*",'BALANCE N'!$G$2:$G$72)-SUMIF('BALANCE N'!$A$2:$A$72,"212*",'BALANCE N'!$H$2:$H$72)+SUMIF('BALANCE N'!$A$2:$A$72,"213*",'BALANCE N'!$G$2:$G$72)-SUMIF('BALANCE N'!$A$2:$A$72,"213*",'BALANCE N'!$H$2:$H$72)+SUMIF('BALANCE N'!$A$2:$A$72,"214*",'BALANCE N'!$G$2:$G$72)-SUMIF('BALANCE N'!$A$2:$A$72,"214*",'BALANCE N'!$H$2:$H$72)+SUMIF('BALANCE N'!$A$2:$A$72,"2193*",'BALANCE N'!$G$2:$G$72)-SUMIF('BALANCE N'!$A$2:$A$72,"2193*",'BALANCE N'!$H$2:$H$72)</f>
        <v/>
      </c>
      <c r="E12" s="2880">
        <f>SUMIF('BALANCE N'!$A$2:$A$72,"2813*",'BALANCE N'!$H$2:$H$72)-SUMIF('BALANCE N'!$A$2:$A$72,"2813*",'BALANCE N'!$G$2:$G$72)+SUMIF('BALANCE N'!$A$2:$A$72,"2812*",'BALANCE N'!$H$2:$H$72)-SUMIF('BALANCE N'!$A$2:$A$72,"2812*",'BALANCE N'!$G$2:$G$72)+SUMIF('BALANCE N'!$A$2:$A$72,"2913*",'BALANCE N'!$H$2:$H$72)-SUMIF('BALANCE N'!$A$2:$A$72,"2913*",'BALANCE N'!$G$2:$G$72)+SUMIF('BALANCE N'!$A$2:$A$72,"2912*",'BALANCE N'!$H$2:$H$72)-SUMIF('BALANCE N'!$A$2:$A$72,"2912*",'BALANCE N'!$G$2:$G$72)+SUMIF('BALANCE N'!$A$2:$A$72,"2919*",'BALANCE N'!$H$2:$H$72)-SUMIF('BALANCE N'!$A$2:$A$72,"2919*",'BALANCE N'!$G$2:$G$72)+SUMIF('BALANCE N'!$A$2:$A$72,"2814*",'BALANCE N'!$H$2:$H$72)-SUMIF('BALANCE N'!$A$2:$A$72,"2814*",'BALANCE N'!$G$2:$G$72)+SUMIF('BALANCE N'!$A$2:$A$72,"2914*",'BALANCE N'!$H$2:$H$72)-SUMIF('BALANCE N'!$A$2:$A$72,"2914*",'BALANCE N'!$G$2:$G$72)</f>
        <v/>
      </c>
      <c r="F12" s="2880">
        <f>D12-E12</f>
        <v/>
      </c>
      <c r="G12" s="2880">
        <f>(SUMIF('BALANCE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N-1'!$H$2:$H$72))-(SUMIF('BALANCE N-1'!$A$2:$A$72,"2813*",'BALANCE N-1'!$H$2:$H$72)-SUMIF('BALANCE N-1'!$A$2:$A$72,"2813*",'BALANCE N-1'!$G$2:$G$72)+SUMIF('BALANCE N-1'!$A$2:$A$72,"2812*",'BALANCE N-1'!$H$2:$H$72)-SUMIF('BALANCE N-1'!$A$2:$A$72,"2812*",'BALANCE N-1'!$G$2:$G$72)+SUMIF('BALANCE N-1'!$A$2:$A$72,"2913*",'BALANCE N-1'!$H$2:$H$72)-SUMIF('BALANCE N-1'!$A$2:$A$72,"2913*",'BALANCE N-1'!$G$2:$G$72)+SUMIF('BALANCE N-1'!$A$2:$A$72,"2912*",'BALANCE N-1'!$H$2:$H$72)-SUMIF('BALANCE N-1'!$A$2:$A$72,"2912*",'BALANCE N-1'!$G$2:$G$72)+SUMIF('BALANCE N-1'!$A$2:$A$72,"2919*",'BALANCE N-1'!$H$2:$H$72)-SUMIF('BALANCE N-1'!$A$2:$A$72,"2919*",'BALANCE N-1'!$G$2:$G$72)+SUMIF('BALANCE N-1'!$A$2:$A$72,"2814*",'BALANCE N-1'!$H$2:$H$72)-SUMIF('BALANCE N-1'!$A$2:$A$72,"2814*",'BALANCE N-1'!$G$2:$G$72)+SUMIF('BALANCE N-1'!$A$2:$A$72,"2914*",'BALANCE N-1'!$H$2:$H$72)-SUMIF('BALANCE N-1'!$A$2:$A$72,"2914*",'BALANCE N-1'!$G$2:$G$72))</f>
        <v/>
      </c>
    </row>
    <row r="13" ht="25" customHeight="1" s="1354">
      <c r="A13" s="1612" t="inlineStr">
        <is>
          <t>AG</t>
        </is>
      </c>
      <c r="B13" s="1613" t="inlineStr">
        <is>
          <t xml:space="preserve">Fonds commercial et droit au bail </t>
        </is>
      </c>
      <c r="C13" s="1614" t="inlineStr">
        <is>
          <t>  </t>
        </is>
      </c>
      <c r="D13" s="2880">
        <f>SUMIF('BALANCE N'!$A$2:$A$72,"215*",'BALANCE N'!$G$2:$G$72)-SUMIF('BALANCE N'!$A$2:$A$72,"215*",'BALANCE N'!$H$2:$H$72)+SUMIF('BALANCE N'!$A$2:$A$72,"216*",'BALANCE N'!$G$2:$G$72)-SUMIF('BALANCE N'!$A$2:$A$72,"216*",'BALANCE N'!$H$2:$H$72)</f>
        <v/>
      </c>
      <c r="E13" s="2880">
        <f>SUMIF('BALANCE N'!$A$2:$A$72,"2916*",'BALANCE N'!$H$2:$H$72)-SUMIF('BALANCE N'!$A$2:$A$72,"2916*",'BALANCE N'!$G$2:$G$72)+SUMIF('BALANCE N'!$A$2:$A$72,"2816*",'BALANCE N'!$H$2:$H$72)-SUMIF('BALANCE N'!$A$2:$A$72,"2816*",'BALANCE N'!$G$2:$G$72)+SUMIF('BALANCE N'!$A$2:$A$72,"2815*",'BALANCE N'!$H$2:$H$72)-SUMIF('BALANCE N'!$A$2:$A$72,"2815*",'BALANCE N'!$G$2:$G$72)+SUMIF('BALANCE N'!$A$2:$A$72,"2915*",'BALANCE N'!$H$2:$H$72)-SUMIF('BALANCE N'!$A$2:$A$72,"2915*",'BALANCE N'!$G$2:$G$72)</f>
        <v/>
      </c>
      <c r="F13" s="2880">
        <f>D13-E13</f>
        <v/>
      </c>
      <c r="G13" s="2880">
        <f>(SUMIF('BALANCE N-1'!$A$2:$A$72,"215*",'BALANCE N-1'!$G$2:$G$72)-SUMIF('BALANCE N-1'!$A$2:$A$72,"215*",'BALANCE N-1'!$H$2:$H$72)+SUMIF('BALANCE N-1'!$A$2:$A$72,"216*",'BALANCE N-1'!$G$2:$G$72)-SUMIF('BALANCE N-1'!$A$2:$A$72,"216*",'BALANCE N-1'!$H$2:$H$72))-(SUMIF('BALANCE N-1'!$A$2:$A$72,"2916*",'BALANCE N-1'!$H$2:$H$72)-SUMIF('BALANCE N-1'!$A$2:$A$72,"2916*",'BALANCE N-1'!$G$2:$G$72)+SUMIF('BALANCE N-1'!$A$2:$A$72,"2816*",'BALANCE N-1'!$H$2:$H$72)-SUMIF('BALANCE N-1'!$A$2:$A$72,"2816*",'BALANCE N-1'!$G$2:$G$72)+SUMIF('BALANCE N-1'!$A$2:$A$72,"2815*",'BALANCE N-1'!$H$2:$H$72)-SUMIF('BALANCE N-1'!$A$2:$A$72,"2815*",'BALANCE N-1'!$G$2:$G$72)+SUMIF('BALANCE N-1'!$A$2:$A$72,"2915*",'BALANCE N-1'!$H$2:$H$72)-SUMIF('BALANCE N-1'!$A$2:$A$72,"2915*",'BALANCE N-1'!$G$2:$G$72))</f>
        <v/>
      </c>
    </row>
    <row r="14" ht="25" customHeight="1" s="1354">
      <c r="A14" s="1612" t="inlineStr">
        <is>
          <t>AH</t>
        </is>
      </c>
      <c r="B14" s="1613" t="inlineStr">
        <is>
          <t xml:space="preserve">Autres immobilisations incorporelles </t>
        </is>
      </c>
      <c r="C14" s="1614" t="inlineStr">
        <is>
          <t>  </t>
        </is>
      </c>
      <c r="D14" s="2880">
        <f>SUMIF('BALANCE N'!$A$2:$A$72,"218*",'BALANCE N'!$G$2:$G$72)-SUMIF('BALANCE N'!$A$2:$A$72,"218*",'BALANCE N'!$H$2:$H$72)+SUMIF('BALANCE N'!$A$2:$A$72,"217*",'BALANCE N'!$G$2:$G$72)-SUMIF('BALANCE N'!$A$2:$A$72,"217*",'BALANCE N'!$H$2:$H$72)+SUMIF('BALANCE N'!$A$2:$A$72,"2198*",'BALANCE N'!$G$2:$G$72)-SUMIF('BALANCE N'!$A$2:$A$72,"2198*",'BALANCE N'!$H$2:$H$72)-SUMIF('BALANCE N'!$A$2:$A$72,"2181*",'BALANCE N'!$G$2:$G$72)+SUMIF('BALANCE N'!$A$2:$A$72,"2181*",'BALANCE N'!$H$2:$H$72)</f>
        <v/>
      </c>
      <c r="E14" s="2880">
        <f>SUMIF('BALANCE N'!$A$2:$A$72,"2918*",'BALANCE N'!$H$2:$H$72)-SUMIF('BALANCE N'!$A$2:$A$72,"2918*",'BALANCE N'!$G$2:$G$72)+SUMIF('BALANCE N'!$A$2:$A$72,"2818*",'BALANCE N'!$H$2:$H$72)-SUMIF('BALANCE N'!$A$2:$A$72,"2818*",'BALANCE N'!$G$2:$G$72)+SUMIF('BALANCE N'!$A$2:$A$72,"2917*",'BALANCE N'!$H$2:$H$72)-SUMIF('BALANCE N'!$A$2:$A$72,"2917*",'BALANCE N'!$G$2:$G$72)+SUMIF('BALANCE N'!$A$2:$A$72,"2817*",'BALANCE N'!$H$2:$H$72)-SUMIF('BALANCE N'!$A$2:$A$72,"2817*",'BALANCE N'!$G$2:$G$72)+SUMIF('BALANCE N'!$A$2:$A$72,"2919*",'BALANCE N'!$H$2:$H$72)-SUMIF('BALANCE N'!$A$2:$A$72,"2919*",'BALANCE N'!$G$2:$G$72)</f>
        <v/>
      </c>
      <c r="F14" s="2880">
        <f>D14-E14</f>
        <v/>
      </c>
      <c r="G14" s="2880">
        <f>(SUMIF('BALANCE N-1'!$A$2:$A$72,"218*",'BALANCE N-1'!$G$2:$G$72)-SUMIF('BALANCE N-1'!$A$2:$A$72,"218*",'BALANCE N-1'!$H$2:$H$72)+SUMIF('BALANCE N-1'!$A$2:$A$72,"217*",'BALANCE N-1'!$G$2:$G$72)-SUMIF('BALANCE N-1'!$A$2:$A$72,"217*",'BALANCE N-1'!$H$2:$H$72)+SUMIF('BALANCE N-1'!$A$2:$A$72,"2198*",'BALANCE N-1'!$G$2:$G$72)-SUMIF('BALANCE N-1'!$A$2:$A$72,"2198*",'BALANCE N-1'!$H$2:$H$72)-SUMIF('BALANCE N-1'!$A$2:$A$72,"2181*",'BALANCE N-1'!$G$2:$G$72)+SUMIF('BALANCE N-1'!$A$2:$A$72,"2181*",'BALANCE N-1'!$H$2:$H$72))-(SUMIF('BALANCE N-1'!$A$2:$A$72,"2918*",'BALANCE N-1'!$H$2:$H$72)-SUMIF('BALANCE N-1'!$A$2:$A$72,"2918*",'BALANCE N-1'!$G$2:$G$72)+SUMIF('BALANCE N-1'!$A$2:$A$72,"2818*",'BALANCE N-1'!$H$2:$H$72)-SUMIF('BALANCE N-1'!$A$2:$A$72,"2818*",'BALANCE N-1'!$G$2:$G$72)+SUMIF('BALANCE N-1'!$A$2:$A$72,"2917*",'BALANCE N-1'!$H$2:$H$72)-SUMIF('BALANCE N-1'!$A$2:$A$72,"2917*",'BALANCE N-1'!$G$2:$G$72)+SUMIF('BALANCE N-1'!$A$2:$A$72,"2817*",'BALANCE N-1'!$H$2:$H$72)-SUMIF('BALANCE N-1'!$A$2:$A$72,"2817*",'BALANCE N-1'!$G$2:$G$72)+SUMIF('BALANCE N-1'!$A$2:$A$72,"2919*",'BALANCE N-1'!$H$2:$H$72)-SUMIF('BALANCE N-1'!$A$2:$A$72,"2919*",'BALANCE N-1'!$G$2:$G$72))</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N'!$A$2:$A$72,"22*",'BALANCE N'!$G$2:$G$72)-SUMIF('BALANCE N'!$A$2:$A$72,"22*",'BALANCE N'!$H$2:$H$72)</f>
        <v/>
      </c>
      <c r="E16" s="2884">
        <f>SUMIF('BALANCE N'!$A$2:$A$72,"282*",'BALANCE N'!$H$2:$H$72)-SUMIF('BALANCE N'!$A$2:$A$72,"282*",'BALANCE N'!$G$2:$G$72)+SUMIF('BALANCE N'!$A$2:$A$72,"292*",'BALANCE N'!$H$2:$H$72)-SUMIF('BALANCE N'!$A$2:$A$72,"292*",'BALANCE N'!$G$2:$G$72)</f>
        <v/>
      </c>
      <c r="F16" s="2884">
        <f>D16-E16</f>
        <v/>
      </c>
      <c r="G16" s="2884">
        <f>(SUMIF('BALANCE N-1'!$A$2:$A$72,"22*",'BALANCE N-1'!$G$2:$G$72)-SUMIF('BALANCE N-1'!$A$2:$A$72,"22*",'BALANCE N-1'!$H$2:$H$72))-(SUMIF('BALANCE N-1'!$A$2:$A$72,"282*",'BALANCE N-1'!$H$2:$H$72)-SUMIF('BALANCE N-1'!$A$2:$A$72,"282*",'BALANCE N-1'!$G$2:$G$72)+SUMIF('BALANCE N-1'!$A$2:$A$72,"292*",'BALANCE N-1'!$H$2:$H$72)-SUMIF('BALANCE N-1'!$A$2:$A$72,"292*",'BALANCE N-1'!$G$2:$G$72))</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N'!$A$2:$A$72,"237*",'BALANCE N'!$G$2:$G$72)-SUMIF('BALANCE N'!$A$2:$A$72,"237*",'BALANCE N'!$H$2:$H$72)+SUMIF('BALANCE N'!$A$2:$A$72,"232*",'BALANCE N'!$G$2:$G$72)-SUMIF('BALANCE N'!$A$2:$A$72,"232*",'BALANCE N'!$H$2:$H$72)+SUMIF('BALANCE N'!$A$2:$A$72,"233*",'BALANCE N'!$G$2:$G$72)-SUMIF('BALANCE N'!$A$2:$A$72,"233*",'BALANCE N'!$H$2:$H$72)+SUMIF('BALANCE N'!$A$2:$A$72,"231*",'BALANCE N'!$G$2:$G$72)-SUMIF('BALANCE N'!$A$2:$A$72,"231*",'BALANCE N'!$H$2:$H$72)+SUMIF('BALANCE N'!$A$2:$A$72,"2391*",'BALANCE N'!$G$2:$G$72)-SUMIF('BALANCE N'!$A$2:$A$72,"2391*",'BALANCE N'!$H$2:$H$72)</f>
        <v/>
      </c>
      <c r="E18" s="2884">
        <f>SUMIF('BALANCE N'!$A$2:$A$72,"2832*",'BALANCE N'!$H$2:$H$72)-SUMIF('BALANCE N'!$A$2:$A$72,"2832*",'BALANCE N'!$G$2:$G$72)+SUMIF('BALANCE N'!$A$2:$A$72,"2939*",'BALANCE N'!$H$2:$H$72)-SUMIF('BALANCE N'!$A$2:$A$72,"2939*",'BALANCE N'!$G$2:$G$72)+SUMIF('BALANCE N'!$A$2:$A$72,"2931*",'BALANCE N'!$H$2:$H$72)-SUMIF('BALANCE N'!$A$2:$A$72,"2931*",'BALANCE N'!$G$2:$G$72)+SUMIF('BALANCE N'!$A$2:$A$72,"2831*",'BALANCE N'!$H$2:$H$72)-SUMIF('BALANCE N'!$A$2:$A$72,"2831*",'BALANCE N'!$G$2:$G$72)+SUMIF('BALANCE N'!$A$2:$A$72,"2833*",'BALANCE N'!$H$2:$H$72)-SUMIF('BALANCE N'!$A$2:$A$72,"2833*",'BALANCE N'!$G$2:$G$72)+SUMIF('BALANCE N'!$A$2:$A$72,"2937*",'BALANCE N'!$H$2:$H$72)-SUMIF('BALANCE N'!$A$2:$A$72,"2937*",'BALANCE N'!$G$2:$G$72)+SUMIF('BALANCE N'!$A$2:$A$72,"2933*",'BALANCE N'!$H$2:$H$72)-SUMIF('BALANCE N'!$A$2:$A$72,"2933*",'BALANCE N'!$G$2:$G$72)+SUMIF('BALANCE N'!$A$2:$A$72,"2837*",'BALANCE N'!$H$2:$H$72)-SUMIF('BALANCE N'!$A$2:$A$72,"2837*",'BALANCE N'!$G$2:$G$72)+SUMIF('BALANCE N'!$A$2:$A$72,"2932*",'BALANCE N'!$H$2:$H$72)-SUMIF('BALANCE N'!$A$2:$A$72,"2932*",'BALANCE N'!$G$2:$G$72)</f>
        <v/>
      </c>
      <c r="F18" s="2884">
        <f>D18-E18</f>
        <v/>
      </c>
      <c r="G18" s="2884">
        <f>(SUMIF('BALANCE N-1'!$A$2:$A$72,"237*",'BALANCE N-1'!$G$2:$G$72)-SUMIF('BALANCE N-1'!$A$2:$A$72,"237*",'BALANCE N-1'!$H$2:$H$72)+SUMIF('BALANCE N-1'!$A$2:$A$72,"232*",'BALANCE N-1'!$G$2:$G$72)-SUMIF('BALANCE N-1'!$A$2:$A$72,"232*",'BALANCE N-1'!$H$2:$H$72)+SUMIF('BALANCE N-1'!$A$2:$A$72,"233*",'BALANCE N-1'!$G$2:$G$72)-SUMIF('BALANCE N-1'!$A$2:$A$72,"233*",'BALANCE N-1'!$H$2:$H$72)+SUMIF('BALANCE N-1'!$A$2:$A$72,"231*",'BALANCE N-1'!$G$2:$G$72)-SUMIF('BALANCE N-1'!$A$2:$A$72,"231*",'BALANCE N-1'!$H$2:$H$72)+SUMIF('BALANCE N-1'!$A$2:$A$72,"2391*",'BALANCE N-1'!$G$2:$G$72)-SUMIF('BALANCE N-1'!$A$2:$A$72,"2391*",'BALANCE N-1'!$H$2:$H$72))-(SUMIF('BALANCE N-1'!$A$2:$A$72,"2832*",'BALANCE N-1'!$H$2:$H$72)-SUMIF('BALANCE N-1'!$A$2:$A$72,"2832*",'BALANCE N-1'!$G$2:$G$72)+SUMIF('BALANCE N-1'!$A$2:$A$72,"2939*",'BALANCE N-1'!$H$2:$H$72)-SUMIF('BALANCE N-1'!$A$2:$A$72,"2939*",'BALANCE N-1'!$G$2:$G$72)+SUMIF('BALANCE N-1'!$A$2:$A$72,"2931*",'BALANCE N-1'!$H$2:$H$72)-SUMIF('BALANCE N-1'!$A$2:$A$72,"2931*",'BALANCE N-1'!$G$2:$G$72)+SUMIF('BALANCE N-1'!$A$2:$A$72,"2831*",'BALANCE N-1'!$H$2:$H$72)-SUMIF('BALANCE N-1'!$A$2:$A$72,"2831*",'BALANCE N-1'!$G$2:$G$72)+SUMIF('BALANCE N-1'!$A$2:$A$72,"2833*",'BALANCE N-1'!$H$2:$H$72)-SUMIF('BALANCE N-1'!$A$2:$A$72,"2833*",'BALANCE N-1'!$G$2:$G$72)+SUMIF('BALANCE N-1'!$A$2:$A$72,"2937*",'BALANCE N-1'!$H$2:$H$72)-SUMIF('BALANCE N-1'!$A$2:$A$72,"2937*",'BALANCE N-1'!$G$2:$G$72)+SUMIF('BALANCE N-1'!$A$2:$A$72,"2933*",'BALANCE N-1'!$H$2:$H$72)-SUMIF('BALANCE N-1'!$A$2:$A$72,"2933*",'BALANCE N-1'!$G$2:$G$72)+SUMIF('BALANCE N-1'!$A$2:$A$72,"2837*",'BALANCE N-1'!$H$2:$H$72)-SUMIF('BALANCE N-1'!$A$2:$A$72,"2837*",'BALANCE N-1'!$G$2:$G$72)+SUMIF('BALANCE N-1'!$A$2:$A$72,"2932*",'BALANCE N-1'!$H$2:$H$72)-SUMIF('BALANCE N-1'!$A$2:$A$72,"2932*",'BALANCE N-1'!$G$2:$G$72))</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N'!$A$2:$A$72,"235*",'BALANCE N'!$G$2:$G$72)-SUMIF('BALANCE N'!$A$2:$A$72,"235*",'BALANCE N'!$H$2:$H$72)+SUMIF('BALANCE N'!$A$2:$A$72,"234*",'BALANCE N'!$G$2:$G$72)-SUMIF('BALANCE N'!$A$2:$A$72,"234*",'BALANCE N'!$H$2:$H$72)+SUMIF('BALANCE N'!$A$2:$A$72,"238*",'BALANCE N'!$G$2:$G$72)-SUMIF('BALANCE N'!$A$2:$A$72,"238*",'BALANCE N'!$H$2:$H$72)+SUMIF('BALANCE N'!$A$2:$A$72,"2392*",'BALANCE N'!$G$2:$G$72)-SUMIF('BALANCE N'!$A$2:$A$72,"2392*",'BALANCE N'!$H$2:$H$72)+SUMIF('BALANCE N'!$A$2:$A$72,"2393*",'BALANCE N'!$G$2:$G$72)-SUMIF('BALANCE N'!$A$2:$A$72,"2393*",'BALANCE N'!$H$2:$H$72)</f>
        <v/>
      </c>
      <c r="E20" s="2880">
        <f>SUMIF('BALANCE N'!$A$2:$A$72,"2838*",'BALANCE N'!$H$2:$H$72)-SUMIF('BALANCE N'!$A$2:$A$72,"2838*",'BALANCE N'!$G$2:$G$72)+SUMIF('BALANCE N'!$A$2:$A$72,"2939*",'BALANCE N'!$H$2:$H$72)-SUMIF('BALANCE N'!$A$2:$A$72,"2939*",'BALANCE N'!$G$2:$G$72)+SUMIF('BALANCE N'!$A$2:$A$72,"2934*",'BALANCE N'!$H$2:$H$72)-SUMIF('BALANCE N'!$A$2:$A$72,"2934*",'BALANCE N'!$G$2:$G$72)+SUMIF('BALANCE N'!$A$2:$A$72,"2935*",'BALANCE N'!$H$2:$H$72)-SUMIF('BALANCE N'!$A$2:$A$72,"2935*",'BALANCE N'!$G$2:$G$72)+SUMIF('BALANCE N'!$A$2:$A$72,"2835*",'BALANCE N'!$H$2:$H$72)-SUMIF('BALANCE N'!$A$2:$A$72,"2835*",'BALANCE N'!$G$2:$G$72)+SUMIF('BALANCE N'!$A$2:$A$72,"2834*",'BALANCE N'!$H$2:$H$72)-SUMIF('BALANCE N'!$A$2:$A$72,"2834*",'BALANCE N'!$G$2:$G$72)+SUMIF('BALANCE N'!$A$2:$A$72,"2938*",'BALANCE N'!$H$2:$H$72)-SUMIF('BALANCE N'!$A$2:$A$72,"2938*",'BALANCE N'!$G$2:$G$72)</f>
        <v/>
      </c>
      <c r="F20" s="2880">
        <f>D20-E20</f>
        <v/>
      </c>
      <c r="G20" s="2880">
        <f>(SUMIF('BALANCE N-1'!$A$2:$A$72,"235*",'BALANCE N-1'!$G$2:$G$72)-SUMIF('BALANCE N-1'!$A$2:$A$72,"235*",'BALANCE N-1'!$H$2:$H$72)+SUMIF('BALANCE N-1'!$A$2:$A$72,"234*",'BALANCE N-1'!$G$2:$G$72)-SUMIF('BALANCE N-1'!$A$2:$A$72,"234*",'BALANCE N-1'!$H$2:$H$72)+SUMIF('BALANCE N-1'!$A$2:$A$72,"238*",'BALANCE N-1'!$G$2:$G$72)-SUMIF('BALANCE N-1'!$A$2:$A$72,"238*",'BALANCE N-1'!$H$2:$H$72)+SUMIF('BALANCE N-1'!$A$2:$A$72,"2392*",'BALANCE N-1'!$G$2:$G$72)-SUMIF('BALANCE N-1'!$A$2:$A$72,"2392*",'BALANCE N-1'!$H$2:$H$72)+SUMIF('BALANCE N-1'!$A$2:$A$72,"2393*",'BALANCE N-1'!$G$2:$G$72)-SUMIF('BALANCE N-1'!$A$2:$A$72,"2393*",'BALANCE N-1'!$H$2:$H$72))-(SUMIF('BALANCE N-1'!$A$2:$A$72,"2838*",'BALANCE N-1'!$H$2:$H$72)-SUMIF('BALANCE N-1'!$A$2:$A$72,"2838*",'BALANCE N-1'!$G$2:$G$72)+SUMIF('BALANCE N-1'!$A$2:$A$72,"2939*",'BALANCE N-1'!$H$2:$H$72)-SUMIF('BALANCE N-1'!$A$2:$A$72,"2939*",'BALANCE N-1'!$G$2:$G$72)+SUMIF('BALANCE N-1'!$A$2:$A$72,"2934*",'BALANCE N-1'!$H$2:$H$72)-SUMIF('BALANCE N-1'!$A$2:$A$72,"2934*",'BALANCE N-1'!$G$2:$G$72)+SUMIF('BALANCE N-1'!$A$2:$A$72,"2935*",'BALANCE N-1'!$H$2:$H$72)-SUMIF('BALANCE N-1'!$A$2:$A$72,"2935*",'BALANCE N-1'!$G$2:$G$72)+SUMIF('BALANCE N-1'!$A$2:$A$72,"2835*",'BALANCE N-1'!$H$2:$H$72)-SUMIF('BALANCE N-1'!$A$2:$A$72,"2835*",'BALANCE N-1'!$G$2:$G$72)+SUMIF('BALANCE N-1'!$A$2:$A$72,"2834*",'BALANCE N-1'!$H$2:$H$72)-SUMIF('BALANCE N-1'!$A$2:$A$72,"2834*",'BALANCE N-1'!$G$2:$G$72)+SUMIF('BALANCE N-1'!$A$2:$A$72,"2938*",'BALANCE N-1'!$H$2:$H$72)-SUMIF('BALANCE N-1'!$A$2:$A$72,"2938*",'BALANCE N-1'!$G$2:$G$72))</f>
        <v/>
      </c>
      <c r="I20" s="2885" t="n"/>
    </row>
    <row r="21" ht="25" customHeight="1" s="1354">
      <c r="A21" s="1627" t="inlineStr">
        <is>
          <t xml:space="preserve">AM </t>
        </is>
      </c>
      <c r="B21" s="1613" t="inlineStr">
        <is>
          <t xml:space="preserve">Matériel, mobilier et actifs biologiques </t>
        </is>
      </c>
      <c r="C21" s="1614" t="inlineStr">
        <is>
          <t>  </t>
        </is>
      </c>
      <c r="D21" s="2880">
        <f>SUMIF('BALANCE N'!$A$2:$A$72,"24*",'BALANCE N'!$G$2:$G$72)-SUMIF('BALANCE N'!$A$2:$A$72,"24*",'BALANCE N'!$H$2:$H$72)-SUMIF('BALANCE N'!$A$2:$A$72,"245*",'BALANCE N'!$G$2:$G$72)+SUMIF('BALANCE N'!$A$2:$A$72,"245*",'BALANCE N'!$H$2:$H$72)-SUMIF('BALANCE N'!$A$2:$A$72,"2495*",'BALANCE N'!$G$2:$G$72)+SUMIF('BALANCE N'!$A$2:$A$72,"2495*",'BALANCE N'!$H$2:$H$72)</f>
        <v/>
      </c>
      <c r="E21" s="2880">
        <f>SUMIF('BALANCE N'!$A$2:$A$72,"294*",'BALANCE N'!$H$2:$H$72)-SUMIF('BALANCE N'!$A$2:$A$72,"294*",'BALANCE N'!$G$2:$G$72)+SUMIF('BALANCE N'!$A$2:$A$72,"284*",'BALANCE N'!$H$2:$H$72)-SUMIF('BALANCE N'!$A$2:$A$72,"284*",'BALANCE N'!$G$2:$G$72)-SUMIF('BALANCE N'!$A$2:$A$72,"2949*",'BALANCE N'!$H$2:$H$72)+SUMIF('BALANCE N'!$A$2:$A$72,"2949*",'BALANCE N'!$G$2:$G$72)-SUMIF('BALANCE N'!$A$2:$A$72,"2945*",'BALANCE N'!$H$2:$H$72)+SUMIF('BALANCE N'!$A$2:$A$72,"2945*",'BALANCE N'!$G$2:$G$72)-SUMIF('BALANCE N'!$A$2:$A$72,"2845*",'BALANCE N'!$H$2:$H$72)+SUMIF('BALANCE N'!$A$2:$A$72,"2845*",'BALANCE N'!$G$2:$G$72)</f>
        <v/>
      </c>
      <c r="F21" s="2880">
        <f>D21-E21</f>
        <v/>
      </c>
      <c r="G21" s="2880">
        <f>(SUMIF('BALANCE N-1'!$A$2:$A$72,"24*",'BALANCE N-1'!$G$2:$G$72)-SUMIF('BALANCE N-1'!$A$2:$A$72,"24*",'BALANCE N-1'!$H$2:$H$72)-SUMIF('BALANCE N-1'!$A$2:$A$72,"245*",'BALANCE N-1'!$G$2:$G$72)+SUMIF('BALANCE N-1'!$A$2:$A$72,"245*",'BALANCE N-1'!$H$2:$H$72)-SUMIF('BALANCE N-1'!$A$2:$A$72,"2495*",'BALANCE N-1'!$G$2:$G$72)+SUMIF('BALANCE N-1'!$A$2:$A$72,"2495*",'BALANCE N-1'!$H$2:$H$72))-(SUMIF('BALANCE N-1'!$A$2:$A$72,"294*",'BALANCE N-1'!$H$2:$H$72)-SUMIF('BALANCE N-1'!$A$2:$A$72,"294*",'BALANCE N-1'!$G$2:$G$72)+SUMIF('BALANCE N-1'!$A$2:$A$72,"284*",'BALANCE N-1'!$H$2:$H$72)-SUMIF('BALANCE N-1'!$A$2:$A$72,"284*",'BALANCE N-1'!$G$2:$G$72)-SUMIF('BALANCE N-1'!$A$2:$A$72,"2949*",'BALANCE N-1'!$H$2:$H$72)+SUMIF('BALANCE N-1'!$A$2:$A$72,"2949*",'BALANCE N-1'!$G$2:$G$72)-SUMIF('BALANCE N-1'!$A$2:$A$72,"2945*",'BALANCE N-1'!$H$2:$H$72)+SUMIF('BALANCE N-1'!$A$2:$A$72,"2945*",'BALANCE N-1'!$G$2:$G$72)-SUMIF('BALANCE N-1'!$A$2:$A$72,"2845*",'BALANCE N-1'!$H$2:$H$72)+SUMIF('BALANCE N-1'!$A$2:$A$72,"2845*",'BALANCE N-1'!$G$2:$G$72))</f>
        <v/>
      </c>
    </row>
    <row r="22" ht="25" customHeight="1" s="1354">
      <c r="A22" s="1627" t="inlineStr">
        <is>
          <t xml:space="preserve">AN </t>
        </is>
      </c>
      <c r="B22" s="1613" t="inlineStr">
        <is>
          <t xml:space="preserve">Matériel de transport </t>
        </is>
      </c>
      <c r="C22" s="1614" t="inlineStr">
        <is>
          <t>  </t>
        </is>
      </c>
      <c r="D22" s="2880">
        <f>SUMIF('BALANCE N'!$A$2:$A$72,"245*",'BALANCE N'!$G$2:$G$72)-SUMIF('BALANCE N'!$A$2:$A$72,"245*",'BALANCE N'!$H$2:$H$72)+SUMIF('BALANCE N'!$A$2:$A$72,"2495*",'BALANCE N'!$G$2:$G$72)-SUMIF('BALANCE N'!$A$2:$A$72,"2495*",'BALANCE N'!$H$2:$H$72)</f>
        <v/>
      </c>
      <c r="E22" s="2880">
        <f>SUMIF('BALANCE N'!$A$2:$A$72,"2949*",'BALANCE N'!$H$2:$H$72)-SUMIF('BALANCE N'!$A$2:$A$72,"2949*",'BALANCE N'!$G$2:$G$72)+SUMIF('BALANCE N'!$A$2:$A$72,"2945*",'BALANCE N'!$H$2:$H$72)-SUMIF('BALANCE N'!$A$2:$A$72,"2945*",'BALANCE N'!$G$2:$G$72)+SUMIF('BALANCE N'!$A$2:$A$72,"2845*",'BALANCE N'!$H$2:$H$72)-SUMIF('BALANCE N'!$A$2:$A$72,"2845*",'BALANCE N'!$G$2:$G$72)</f>
        <v/>
      </c>
      <c r="F22" s="2880">
        <f>D22-E22</f>
        <v/>
      </c>
      <c r="G22" s="2880">
        <f>(SUMIF('BALANCE N-1'!$A$2:$A$72,"245*",'BALANCE N-1'!$G$2:$G$72)-SUMIF('BALANCE N-1'!$A$2:$A$72,"245*",'BALANCE N-1'!$H$2:$H$72)+SUMIF('BALANCE N-1'!$A$2:$A$72,"2495*",'BALANCE N-1'!$G$2:$G$72)-SUMIF('BALANCE N-1'!$A$2:$A$72,"2495*",'BALANCE N-1'!$H$2:$H$72))-(SUMIF('BALANCE N-1'!$A$2:$A$72,"2949*",'BALANCE N-1'!$H$2:$H$72)-SUMIF('BALANCE N-1'!$A$2:$A$72,"2949*",'BALANCE N-1'!$G$2:$G$72)+SUMIF('BALANCE N-1'!$A$2:$A$72,"2945*",'BALANCE N-1'!$H$2:$H$72)-SUMIF('BALANCE N-1'!$A$2:$A$72,"2945*",'BALANCE N-1'!$G$2:$G$72)+SUMIF('BALANCE N-1'!$A$2:$A$72,"2845*",'BALANCE N-1'!$H$2:$H$72)-SUMIF('BALANCE N-1'!$A$2:$A$72,"2845*",'BALANCE N-1'!$G$2:$G$72))</f>
        <v/>
      </c>
    </row>
    <row r="23" ht="25" customHeight="1" s="1354">
      <c r="A23" s="1612" t="inlineStr">
        <is>
          <t xml:space="preserve">AP </t>
        </is>
      </c>
      <c r="B23" s="1613" t="inlineStr">
        <is>
          <t xml:space="preserve">Avances et acomptes versés sur immobilisations </t>
        </is>
      </c>
      <c r="C23" s="1614" t="n">
        <v>3</v>
      </c>
      <c r="D23" s="2880">
        <f>SUMIF('BALANCE N'!$A$2:$A$72,"252*",'BALANCE N'!$G$2:$G$72)-SUMIF('BALANCE N'!$A$2:$A$72,"252*",'BALANCE N'!$H$2:$H$72)+SUMIF('BALANCE N'!$A$2:$A$72,"251*",'BALANCE N'!$G$2:$G$72)-SUMIF('BALANCE N'!$A$2:$A$72,"251*",'BALANCE N'!$H$2:$H$72)</f>
        <v/>
      </c>
      <c r="E23" s="2880">
        <f>SUMIF('BALANCE N'!$A$2:$A$72,"2952*",'BALANCE N'!$H$2:$H$72)-SUMIF('BALANCE N'!$A$2:$A$72,"2952*",'BALANCE N'!$G$2:$G$72)+SUMIF('BALANCE N'!$A$2:$A$72,"2951*",'BALANCE N'!$H$2:$H$72)-SUMIF('BALANCE N'!$A$2:$A$72,"2951*",'BALANCE N'!$G$2:$G$72)</f>
        <v/>
      </c>
      <c r="F23" s="2880">
        <f>D23-E23</f>
        <v/>
      </c>
      <c r="G23" s="2880">
        <f>(SUMIF('BALANCE N-1'!$A$2:$A$72,"252*",'BALANCE N-1'!$G$2:$G$72)-SUMIF('BALANCE N-1'!$A$2:$A$72,"252*",'BALANCE N-1'!$H$2:$H$72)+SUMIF('BALANCE N-1'!$A$2:$A$72,"251*",'BALANCE N-1'!$G$2:$G$72)-SUMIF('BALANCE N-1'!$A$2:$A$72,"251*",'BALANCE N-1'!$H$2:$H$72))-(SUMIF('BALANCE N-1'!$A$2:$A$72,"2952*",'BALANCE N-1'!$H$2:$H$72)-SUMIF('BALANCE N-1'!$A$2:$A$72,"2952*",'BALANCE N-1'!$G$2:$G$72)+SUMIF('BALANCE N-1'!$A$2:$A$72,"2951*",'BALANCE N-1'!$H$2:$H$72)-SUMIF('BALANCE N-1'!$A$2:$A$72,"2951*",'BALANCE N-1'!$G$2:$G$72))</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N'!$A$2:$A$72,"26*",'BALANCE N'!$G$2:$G$72)-SUMIF('BALANCE N'!$A$2:$A$72,"26*",'BALANCE N'!$H$2:$H$72)</f>
        <v/>
      </c>
      <c r="E25" s="2880">
        <f>SUMIF('BALANCE N'!$A$2:$A$72,"296*",'BALANCE N'!$H$2:$H$72)-SUMIF('BALANCE N'!$A$2:$A$72,"296*",'BALANCE N'!$G$2:$G$72)</f>
        <v/>
      </c>
      <c r="F25" s="2880">
        <f>D25-E25</f>
        <v/>
      </c>
      <c r="G25" s="2880">
        <f>(SUMIF('BALANCE N-1'!$A$2:$A$72,"26*",'BALANCE N-1'!$G$2:$G$72)-SUMIF('BALANCE N-1'!$A$2:$A$72,"26*",'BALANCE N-1'!$H$2:$H$72))-(SUMIF('BALANCE N-1'!$A$2:$A$72,"296*",'BALANCE N-1'!$H$2:$H$72)-SUMIF('BALANCE N-1'!$A$2:$A$72,"296*",'BALANCE N-1'!$G$2:$G$72))</f>
        <v/>
      </c>
    </row>
    <row r="26" ht="25" customHeight="1" s="1354">
      <c r="A26" s="1612" t="inlineStr">
        <is>
          <t xml:space="preserve">AS </t>
        </is>
      </c>
      <c r="B26" s="1613" t="inlineStr">
        <is>
          <t xml:space="preserve">Autres immobilisations financières </t>
        </is>
      </c>
      <c r="C26" s="1614" t="inlineStr">
        <is>
          <t>  </t>
        </is>
      </c>
      <c r="D26" s="2886">
        <f>SUMIF('BALANCE N'!$A$2:$A$72,"27*",'BALANCE N'!$G$2:$G$72)-SUMIF('BALANCE N'!$A$2:$A$72,"27*",'BALANCE N'!$H$2:$H$72)</f>
        <v/>
      </c>
      <c r="E26" s="2880">
        <f>SUMIF('BALANCE N'!$A$2:$A$72,"297*",'BALANCE N'!$H$2:$H$72)-SUMIF('BALANCE N'!$A$2:$A$72,"297*",'BALANCE N'!$G$2:$G$72)</f>
        <v/>
      </c>
      <c r="F26" s="2880">
        <f>D26-E26</f>
        <v/>
      </c>
      <c r="G26" s="2880">
        <f>(SUMIF('BALANCE N-1'!$A$2:$A$72,"27*",'BALANCE N-1'!$G$2:$G$72)-SUMIF('BALANCE N-1'!$A$2:$A$72,"27*",'BALANCE N-1'!$H$2:$H$72))-(SUMIF('BALANCE N-1'!$A$2:$A$72,"297*",'BALANCE N-1'!$H$2:$H$72)-SUMIF('BALANCE N-1'!$A$2:$A$72,"297*",'BALANCE N-1'!$G$2:$G$72))</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N'!$A$2:$A$72,"488*",'BALANCE N'!$G$2:$G$72)-SUMIF('BALANCE N'!$A$2:$A$72,"488*",'BALANCE N'!$H$2:$H$72)+SUMIF('BALANCE N'!$A$2:$A$72,"485*",'BALANCE N'!$G$2:$G$72)-SUMIF('BALANCE N'!$A$2:$A$72,"485*",'BALANCE N'!$H$2:$H$72)</f>
        <v/>
      </c>
      <c r="E28" s="2890">
        <f>SUMIF('BALANCE N'!$A$2:$A$72,"498*",'BALANCE N'!$H$2:$H$72)-SUMIF('BALANCE N'!$A$2:$A$72,"498*",'BALANCE N'!$G$2:$G$72)</f>
        <v/>
      </c>
      <c r="F28" s="2890">
        <f>D28-E28</f>
        <v/>
      </c>
      <c r="G28" s="2890">
        <f>(SUMIF('BALANCE N-1'!$A$2:$A$72,"488*",'BALANCE N-1'!$G$2:$G$72)-SUMIF('BALANCE N-1'!$A$2:$A$72,"488*",'BALANCE N-1'!$H$2:$H$72)+SUMIF('BALANCE N-1'!$A$2:$A$72,"485*",'BALANCE N-1'!$G$2:$G$72)-SUMIF('BALANCE N-1'!$A$2:$A$72,"485*",'BALANCE N-1'!$H$2:$H$72))-(SUMIF('BALANCE N-1'!$A$2:$A$72,"498*",'BALANCE N-1'!$H$2:$H$72)-SUMIF('BALANCE N-1'!$A$2:$A$72,"498*",'BALANCE N-1'!$G$2:$G$72))</f>
        <v/>
      </c>
    </row>
    <row r="29" ht="25" customHeight="1" s="1354">
      <c r="A29" s="1612" t="inlineStr">
        <is>
          <t xml:space="preserve">BB </t>
        </is>
      </c>
      <c r="B29" s="1634" t="inlineStr">
        <is>
          <t xml:space="preserve">STOCKS ET ENCOURS </t>
        </is>
      </c>
      <c r="C29" s="1635" t="n">
        <v>6</v>
      </c>
      <c r="D29" s="2890">
        <f>SUMIF('BALANCE N'!$A$2:$A$72,"37*",'BALANCE N'!$G$2:$G$72)-SUMIF('BALANCE N'!$A$2:$A$72,"37*",'BALANCE N'!$H$2:$H$72)+SUMIF('BALANCE N'!$A$2:$A$72,"31*",'BALANCE N'!$G$2:$G$72)-SUMIF('BALANCE N'!$A$2:$A$72,"31*",'BALANCE N'!$H$2:$H$72)+SUMIF('BALANCE N'!$A$2:$A$72,"36*",'BALANCE N'!$G$2:$G$72)-SUMIF('BALANCE N'!$A$2:$A$72,"36*",'BALANCE N'!$H$2:$H$72)+SUMIF('BALANCE N'!$A$2:$A$72,"33*",'BALANCE N'!$G$2:$G$72)-SUMIF('BALANCE N'!$A$2:$A$72,"33*",'BALANCE N'!$H$2:$H$72)+SUMIF('BALANCE N'!$A$2:$A$72,"38*",'BALANCE N'!$G$2:$G$72)-SUMIF('BALANCE N'!$A$2:$A$72,"38*",'BALANCE N'!$H$2:$H$72)+SUMIF('BALANCE N'!$A$2:$A$72,"34*",'BALANCE N'!$G$2:$G$72)-SUMIF('BALANCE N'!$A$2:$A$72,"34*",'BALANCE N'!$H$2:$H$72)+SUMIF('BALANCE N'!$A$2:$A$72,"35*",'BALANCE N'!$G$2:$G$72)-SUMIF('BALANCE N'!$A$2:$A$72,"35*",'BALANCE N'!$H$2:$H$72)+SUMIF('BALANCE N'!$A$2:$A$72,"32*",'BALANCE N'!$G$2:$G$72)-SUMIF('BALANCE N'!$A$2:$A$72,"32*",'BALANCE N'!$H$2:$H$72)</f>
        <v/>
      </c>
      <c r="E29" s="2890">
        <f>SUMIF('BALANCE N'!$A$2:$A$72,"39*",'BALANCE N'!$H$2:$H$72)-SUMIF('BALANCE N'!$A$2:$A$72,"39*",'BALANCE N'!$G$2:$G$72)</f>
        <v/>
      </c>
      <c r="F29" s="2890">
        <f>D29-E29</f>
        <v/>
      </c>
      <c r="G29" s="2890">
        <f>(SUMIF('BALANCE N-1'!$A$2:$A$72,"37*",'BALANCE N-1'!$G$2:$G$72)-SUMIF('BALANCE N-1'!$A$2:$A$72,"37*",'BALANCE N-1'!$H$2:$H$72)+SUMIF('BALANCE N-1'!$A$2:$A$72,"31*",'BALANCE N-1'!$G$2:$G$72)-SUMIF('BALANCE N-1'!$A$2:$A$72,"31*",'BALANCE N-1'!$H$2:$H$72)+SUMIF('BALANCE N-1'!$A$2:$A$72,"36*",'BALANCE N-1'!$G$2:$G$72)-SUMIF('BALANCE N-1'!$A$2:$A$72,"36*",'BALANCE N-1'!$H$2:$H$72)+SUMIF('BALANCE N-1'!$A$2:$A$72,"33*",'BALANCE N-1'!$G$2:$G$72)-SUMIF('BALANCE N-1'!$A$2:$A$72,"33*",'BALANCE N-1'!$H$2:$H$72)+SUMIF('BALANCE N-1'!$A$2:$A$72,"38*",'BALANCE N-1'!$G$2:$G$72)-SUMIF('BALANCE N-1'!$A$2:$A$72,"38*",'BALANCE N-1'!$H$2:$H$72)+SUMIF('BALANCE N-1'!$A$2:$A$72,"34*",'BALANCE N-1'!$G$2:$G$72)-SUMIF('BALANCE N-1'!$A$2:$A$72,"34*",'BALANCE N-1'!$H$2:$H$72)+SUMIF('BALANCE N-1'!$A$2:$A$72,"35*",'BALANCE N-1'!$G$2:$G$72)-SUMIF('BALANCE N-1'!$A$2:$A$72,"35*",'BALANCE N-1'!$H$2:$H$72)+SUMIF('BALANCE N-1'!$A$2:$A$72,"32*",'BALANCE N-1'!$G$2:$G$72)-SUMIF('BALANCE N-1'!$A$2:$A$72,"32*",'BALANCE N-1'!$H$2:$H$72))-(SUMIF('BALANCE N-1'!$A$2:$A$72,"39*",'BALANCE N-1'!$H$2:$H$72)-SUMIF('BALANCE N-1'!$A$2:$A$72,"39*",'BALANCE N-1'!$G$2:$G$72))</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N'!$A$2:$A$72,"409*",'BALANCE N'!$G$2:$G$72)-SUMIF('BALANCE N'!$A$2:$A$72,"409*",'BALANCE N'!$H$2:$H$72)</f>
        <v/>
      </c>
      <c r="E31" s="2880">
        <f>SUMIF('BALANCE N'!$A$2:$A$72,"490*",'BALANCE N'!$H$2:$H$72)-SUMIF('BALANCE N'!$A$2:$A$72,"490*",'BALANCE N'!$G$2:$G$72)</f>
        <v/>
      </c>
      <c r="F31" s="2880">
        <f>D31-E31</f>
        <v/>
      </c>
      <c r="G31" s="2880">
        <f>(SUMIF('BALANCE N-1'!$A$2:$A$72,"409*",'BALANCE N-1'!$G$2:$G$72)-SUMIF('BALANCE N-1'!$A$2:$A$72,"409*",'BALANCE N-1'!$H$2:$H$72))-(SUMIF('BALANCE N-1'!$A$2:$A$72,"490*",'BALANCE N-1'!$H$2:$H$72)-SUMIF('BALANCE N-1'!$A$2:$A$72,"490*",'BALANCE N-1'!$G$2:$G$72))</f>
        <v/>
      </c>
    </row>
    <row r="32" ht="25" customHeight="1" s="1354">
      <c r="A32" s="1612" t="inlineStr">
        <is>
          <t xml:space="preserve">BI </t>
        </is>
      </c>
      <c r="B32" s="1613" t="inlineStr">
        <is>
          <t xml:space="preserve">Clients </t>
        </is>
      </c>
      <c r="C32" s="1614" t="n">
        <v>7</v>
      </c>
      <c r="D32" s="2880">
        <f>SUMIF('BALANCE N'!$A$2:$A$72,"41*",'BALANCE N'!$G$2:$G$72)-SUMIF('BALANCE N'!$A$2:$A$72,"41*",'BALANCE N'!$H$2:$H$72)-SUMIF('BALANCE N'!$A$2:$A$72,"419*",'BALANCE N'!$G$2:$G$72)+SUMIF('BALANCE N'!$A$2:$A$72,"419*",'BALANCE N'!$H$2:$H$72)</f>
        <v/>
      </c>
      <c r="E32" s="2880">
        <f>SUMIF('BALANCE N'!$A$2:$A$72,"491*",'BALANCE N'!$H$2:$H$72)-SUMIF('BALANCE N'!$A$2:$A$72,"491*",'BALANCE N'!$G$2:$G$72)</f>
        <v/>
      </c>
      <c r="F32" s="2880">
        <f>D32-E32</f>
        <v/>
      </c>
      <c r="G32" s="2880">
        <f>(SUMIF('BALANCE N-1'!$A$2:$A$72,"41*",'BALANCE N-1'!$G$2:$G$72)-SUMIF('BALANCE N-1'!$A$2:$A$72,"41*",'BALANCE N-1'!$H$2:$H$72)-SUMIF('BALANCE N-1'!$A$2:$A$72,"419*",'BALANCE N-1'!$G$2:$G$72)+SUMIF('BALANCE N-1'!$A$2:$A$72,"419*",'BALANCE N-1'!$H$2:$H$72))-(SUMIF('BALANCE N-1'!$A$2:$A$72,"491*",'BALANCE N-1'!$H$2:$H$72)-SUMIF('BALANCE N-1'!$A$2:$A$72,"491*",'BALANCE N-1'!$G$2:$G$72))</f>
        <v/>
      </c>
      <c r="I32" s="2885" t="n"/>
    </row>
    <row r="33" ht="25" customHeight="1" s="1354">
      <c r="A33" s="1612" t="inlineStr">
        <is>
          <t xml:space="preserve">BJ </t>
        </is>
      </c>
      <c r="B33" s="1613" t="inlineStr">
        <is>
          <t xml:space="preserve">Autres créances </t>
        </is>
      </c>
      <c r="C33" s="1614" t="n">
        <v>8</v>
      </c>
      <c r="D33" s="2880">
        <f>SUMIF('BALANCE N'!$A$2:$A$72,"46*",'BALANCE N'!$G$2:$G$72)+SUMIF('BALANCE N'!$A$2:$A$72,"47*",'BALANCE N'!$G$2:$G$72)+SUMIF('BALANCE N'!$A$2:$A$72,"42*",'BALANCE N'!$G$2:$G$72)+SUMIF('BALANCE N'!$A$2:$A$72,"44*",'BALANCE N'!$G$2:$G$72)+SUMIF('BALANCE N'!$A$2:$A$72,"43*",'BALANCE N'!$G$2:$G$72)+SUMIF('BALANCE N'!$A$2:$A$72,"45*",'BALANCE N'!$G$2:$G$72)+SUMIF('BALANCE N'!$A$2:$A$72,"185*",'BALANCE N'!$G$2:$G$72)-SUMIF('BALANCE N'!$A$2:$A$72,"478*",'BALANCE N'!$G$2:$G$72)</f>
        <v/>
      </c>
      <c r="E33" s="2880">
        <f>SUMIF('BALANCE N'!$A$2:$A$72,"496*",'BALANCE N'!$H$2:$H$72)-SUMIF('BALANCE N'!$A$2:$A$72,"496*",'BALANCE N'!$G$2:$G$72)+SUMIF('BALANCE N'!$A$2:$A$72,"494*",'BALANCE N'!$H$2:$H$72)-SUMIF('BALANCE N'!$A$2:$A$72,"494*",'BALANCE N'!$G$2:$G$72)+SUMIF('BALANCE N'!$A$2:$A$72,"497*",'BALANCE N'!$H$2:$H$72)-SUMIF('BALANCE N'!$A$2:$A$72,"497*",'BALANCE N'!$G$2:$G$72)+SUMIF('BALANCE N'!$A$2:$A$72,"495*",'BALANCE N'!$H$2:$H$72)-SUMIF('BALANCE N'!$A$2:$A$72,"495*",'BALANCE N'!$G$2:$G$72)+SUMIF('BALANCE N'!$A$2:$A$72,"493*",'BALANCE N'!$H$2:$H$72)-SUMIF('BALANCE N'!$A$2:$A$72,"493*",'BALANCE N'!$G$2:$G$72)+SUMIF('BALANCE N'!$A$2:$A$72,"492*",'BALANCE N'!$H$2:$H$72)-SUMIF('BALANCE N'!$A$2:$A$72,"492*",'BALANCE N'!$G$2:$G$72)</f>
        <v/>
      </c>
      <c r="F33" s="2880">
        <f>D33-E33</f>
        <v/>
      </c>
      <c r="G33" s="2880">
        <f>(SUMIF('BALANCE N-1'!$A$2:$A$72,"46*",'BALANCE N-1'!$G$2:$G$72)+SUMIF('BALANCE N-1'!$A$2:$A$72,"47*",'BALANCE N-1'!$G$2:$G$72)+SUMIF('BALANCE N-1'!$A$2:$A$72,"42*",'BALANCE N-1'!$G$2:$G$72)+SUMIF('BALANCE N-1'!$A$2:$A$72,"44*",'BALANCE N-1'!$G$2:$G$72)+SUMIF('BALANCE N-1'!$A$2:$A$72,"43*",'BALANCE N-1'!$G$2:$G$72)+SUMIF('BALANCE N-1'!$A$2:$A$72,"45*",'BALANCE N-1'!$G$2:$G$72)+SUMIF('BALANCE N-1'!$A$2:$A$72,"185*",'BALANCE N-1'!$G$2:$G$72)-SUMIF('BALANCE N-1'!$A$2:$A$72,"478*",'BALANCE N-1'!$G$2:$G$72))-(SUMIF('BALANCE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N'!$A$2:$A$72,"50*",'BALANCE N'!$G$2:$G$72)-SUMIF('BALANCE N'!$A$2:$A$72,"50*",'BALANCE N'!$H$2:$H$72)</f>
        <v/>
      </c>
      <c r="E35" s="2880">
        <f>SUMIF('BALANCE N'!$A$2:$A$72,"590*",'BALANCE N'!$H$2:$H$72)-SUMIF('BALANCE N'!$A$2:$A$72,"590*",'BALANCE N'!$G$2:$G$72)</f>
        <v/>
      </c>
      <c r="F35" s="2880">
        <f>D35-E35</f>
        <v/>
      </c>
      <c r="G35" s="2880">
        <f>(SUMIF('BALANCE N-1'!$A$2:$A$72,"50*",'BALANCE N-1'!$G$2:$G$72)-SUMIF('BALANCE N-1'!$A$2:$A$72,"50*",'BALANCE N-1'!$H$2:$H$72))-(SUMIF('BALANCE N-1'!$A$2:$A$72,"590*",'BALANCE N-1'!$H$2:$H$72)-SUMIF('BALANCE N-1'!$A$2:$A$72,"590*",'BALANCE N-1'!$G$2:$G$72))</f>
        <v/>
      </c>
    </row>
    <row r="36" ht="25" customHeight="1" s="1354">
      <c r="A36" s="1612" t="inlineStr">
        <is>
          <t xml:space="preserve">BR </t>
        </is>
      </c>
      <c r="B36" s="1613" t="inlineStr">
        <is>
          <t xml:space="preserve">Valeurs à encaisser  </t>
        </is>
      </c>
      <c r="C36" s="1614" t="n">
        <v>10</v>
      </c>
      <c r="D36" s="2880">
        <f>SUMIF('BALANCE N'!$A$2:$A$72,"51*",'BALANCE N'!$G$2:$G$72)-SUMIF('BALANCE N'!$A$2:$A$72,"51*",'BALANCE N'!$H$2:$H$72)</f>
        <v/>
      </c>
      <c r="E36" s="2880">
        <f>SUMIF('BALANCE N'!$A$2:$A$72,"591*",'BALANCE N'!$H$2:$H$72)-SUMIF('BALANCE N'!$A$2:$A$72,"591*",'BALANCE N'!$G$2:$G$72)</f>
        <v/>
      </c>
      <c r="F36" s="2880">
        <f>D36-E36</f>
        <v/>
      </c>
      <c r="G36" s="2880">
        <f>(SUMIF('BALANCE N-1'!$A$2:$A$72,"51*",'BALANCE N-1'!$G$2:$G$72)-SUMIF('BALANCE N-1'!$A$2:$A$72,"51*",'BALANCE N-1'!$H$2:$H$72))-(SUMIF('BALANCE N-1'!$A$2:$A$72,"591*",'BALANCE N-1'!$H$2:$H$72)-SUMIF('BALANCE N-1'!$A$2:$A$72,"591*",'BALANCE N-1'!$G$2:$G$72))</f>
        <v/>
      </c>
    </row>
    <row r="37" ht="25" customHeight="1" s="1354">
      <c r="A37" s="1612" t="inlineStr">
        <is>
          <t xml:space="preserve">BS </t>
        </is>
      </c>
      <c r="B37" s="1613" t="inlineStr">
        <is>
          <t xml:space="preserve">Banques, chèques postaux, caisse et assimilés </t>
        </is>
      </c>
      <c r="C37" s="1614" t="n">
        <v>11</v>
      </c>
      <c r="D37" s="2880">
        <f>SUMIF('BALANCE N'!$A$2:$A$72,"53*",'BALANCE N'!$G$2:$G$72)+SUMIF('BALANCE N'!$A$2:$A$72,"57*",'BALANCE N'!$G$2:$G$72)+SUMIF('BALANCE N'!$A$2:$A$72,"55*",'BALANCE N'!$G$2:$G$72)+SUMIF('BALANCE N'!$A$2:$A$72,"52*",'BALANCE N'!$G$2:$G$72)+SUMIF('BALANCE N'!$A$2:$A$72,"54*",'BALANCE N'!$G$2:$G$72)+SUMIF('BALANCE N'!$A$2:$A$72,"581*",'BALANCE N'!$G$2:$G$72)+SUMIF('BALANCE N'!$A$2:$A$72,"582*",'BALANCE N'!$G$2:$G$72)</f>
        <v/>
      </c>
      <c r="E37" s="2880">
        <f>SUMIF('BALANCE N'!$A$2:$A$72,"592*",'BALANCE N'!$H$2:$H$72)-SUMIF('BALANCE N'!$A$2:$A$72,"592*",'BALANCE N'!$G$2:$G$72)+SUMIF('BALANCE N'!$A$2:$A$72,"594*",'BALANCE N'!$H$2:$H$72)-SUMIF('BALANCE N'!$A$2:$A$72,"594*",'BALANCE N'!$G$2:$G$72)+SUMIF('BALANCE N'!$A$2:$A$72,"593*",'BALANCE N'!$H$2:$H$72)-SUMIF('BALANCE N'!$A$2:$A$72,"593*",'BALANCE N'!$G$2:$G$72)</f>
        <v/>
      </c>
      <c r="F37" s="2880">
        <f>D37-E37</f>
        <v/>
      </c>
      <c r="G37" s="2880">
        <f>(SUMIF('BALANCE N-1'!$A$2:$A$72,"53*",'BALANCE N-1'!$G$2:$G$72)+SUMIF('BALANCE N-1'!$A$2:$A$72,"57*",'BALANCE N-1'!$G$2:$G$72)+SUMIF('BALANCE N-1'!$A$2:$A$72,"55*",'BALANCE N-1'!$G$2:$G$72)+SUMIF('BALANCE N-1'!$A$2:$A$72,"52*",'BALANCE N-1'!$G$2:$G$72)+SUMIF('BALANCE N-1'!$A$2:$A$72,"54*",'BALANCE N-1'!$G$2:$G$72)+SUMIF('BALANCE N-1'!$A$2:$A$72,"581*",'BALANCE N-1'!$G$2:$G$72)+SUMIF('BALANCE N-1'!$A$2:$A$72,"582*",'BALANCE N-1'!$G$2:$G$72))-(SUMIF('BALANCE N-1'!$A$2:$A$72,"592*",'BALANCE N-1'!$H$2:$H$72)-SUMIF('BALANCE N-1'!$A$2:$A$72,"592*",'BALANCE N-1'!$G$2:$G$72)+SUMIF('BALANCE N-1'!$A$2:$A$72,"594*",'BALANCE N-1'!$H$2:$H$72)-SUMIF('BALANCE N-1'!$A$2:$A$72,"594*",'BALANCE N-1'!$G$2:$G$72)+SUMIF('BALANCE N-1'!$A$2:$A$72,"593*",'BALANCE N-1'!$H$2:$H$72)-SUMIF('BALANCE N-1'!$A$2:$A$72,"593*",'BALANCE N-1'!$G$2:$G$72))</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N'!$A$2:$A$72,"478*",'BALANCE N'!$G$2:$G$72)-SUMIF('BALANCE N'!$A$2:$A$72,"478*",'BALANCE N'!$H$2:$H$72)</f>
        <v/>
      </c>
      <c r="E39" s="2880" t="n">
        <v>0</v>
      </c>
      <c r="F39" s="2880">
        <f>D39-E39</f>
        <v/>
      </c>
      <c r="G39" s="2880">
        <f>SUMIF('BALANCE N-1'!$A$2:$A$72,"478*",'BALANCE N-1'!$G$2:$G$72)-SUMIF('BALANCE N-1'!$A$2:$A$72,"478*",'BALANCE N-1'!$H$2:$H$72)</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N'!$A$2:$A$72,"101*",'BALANCE N'!$H$2:$H$72)-SUMIF('BALANCE N'!$A$2:$A$72,"101*",'BALANCE N'!$G$2:$G$72)+SUMIF('BALANCE N'!$A$2:$A$72,"104*",'BALANCE N'!$H$2:$H$72)-SUMIF('BALANCE N'!$A$2:$A$72,"104*",'BALANCE N'!$G$2:$G$72)</f>
        <v/>
      </c>
      <c r="E10" s="2899">
        <f>SUMIF('BALANCE N-1'!$A$2:$A$72,"101*",'BALANCE N-1'!$H$2:$H$72)-SUMIF('BALANCE N-1'!$A$2:$A$72,"101*",'BALANCE N-1'!$G$2:$G$72)+SUMIF('BALANCE N-1'!$A$2:$A$72,"104*",'BALANCE N-1'!$H$2:$H$72)-SUMIF('BALANCE N-1'!$A$2:$A$72,"104*",'BALANCE N-1'!$G$2:$G$72)</f>
        <v/>
      </c>
    </row>
    <row r="11" ht="25" customHeight="1" s="1354">
      <c r="A11" s="1650" t="inlineStr">
        <is>
          <t xml:space="preserve">CB </t>
        </is>
      </c>
      <c r="B11" s="1651" t="inlineStr">
        <is>
          <t xml:space="preserve">Apporteurs capital non appelé                                                        (-) </t>
        </is>
      </c>
      <c r="C11" s="1650" t="n">
        <v>13</v>
      </c>
      <c r="D11" s="2899">
        <f>SUMIF('BALANCE N'!$A$2:$A$72,"109*",'BALANCE N'!$H$2:$H$72)-SUMIF('BALANCE N'!$A$2:$A$72,"109*",'BALANCE N'!$G$2:$G$72)</f>
        <v/>
      </c>
      <c r="E11" s="2899">
        <f>SUMIF('BALANCE N-1'!$A$2:$A$72,"109*",'BALANCE N-1'!$H$2:$H$72)-SUMIF('BALANCE N-1'!$A$2:$A$72,"109*",'BALANCE N-1'!$G$2:$G$72)</f>
        <v/>
      </c>
    </row>
    <row r="12" ht="25" customHeight="1" s="1354">
      <c r="A12" s="1653" t="inlineStr">
        <is>
          <t xml:space="preserve">CD </t>
        </is>
      </c>
      <c r="B12" s="1651" t="inlineStr">
        <is>
          <t xml:space="preserve">Primes liées au capital social </t>
        </is>
      </c>
      <c r="C12" s="1650" t="n">
        <v>14</v>
      </c>
      <c r="D12" s="2899">
        <f>SUMIF('BALANCE N'!$A$2:$A$72,"105*",'BALANCE N'!$H$2:$H$72)-SUMIF('BALANCE N'!$A$2:$A$72,"105*",'BALANCE N'!$G$2:$G$72)</f>
        <v/>
      </c>
      <c r="E12" s="2899">
        <f>SUMIF('BALANCE N-1'!$A$2:$A$72,"105*",'BALANCE N-1'!$H$2:$H$72)-SUMIF('BALANCE N-1'!$A$2:$A$72,"105*",'BALANCE N-1'!$G$2:$G$72)</f>
        <v/>
      </c>
    </row>
    <row r="13" ht="25" customHeight="1" s="1354">
      <c r="A13" s="1650" t="inlineStr">
        <is>
          <t xml:space="preserve">CE </t>
        </is>
      </c>
      <c r="B13" s="1651" t="inlineStr">
        <is>
          <t xml:space="preserve">Ecarts de réévaluation </t>
        </is>
      </c>
      <c r="C13" s="1650" t="inlineStr">
        <is>
          <t xml:space="preserve">3e </t>
        </is>
      </c>
      <c r="D13" s="2899">
        <f>SUMIF('BALANCE N'!$A$2:$A$72,"106*",'BALANCE N'!$H$2:$H$72)-SUMIF('BALANCE N'!$A$2:$A$72,"106*",'BALANCE N'!$G$2:$G$72)</f>
        <v/>
      </c>
      <c r="E13" s="2899">
        <f>SUMIF('BALANCE N-1'!$A$2:$A$72,"106*",'BALANCE N-1'!$H$2:$H$72)-SUMIF('BALANCE N-1'!$A$2:$A$72,"106*",'BALANCE N-1'!$G$2:$G$72)</f>
        <v/>
      </c>
    </row>
    <row r="14" ht="25" customHeight="1" s="1354">
      <c r="A14" s="1650" t="inlineStr">
        <is>
          <t xml:space="preserve">CF </t>
        </is>
      </c>
      <c r="B14" s="1651" t="inlineStr">
        <is>
          <t xml:space="preserve">Réserves indisponibles </t>
        </is>
      </c>
      <c r="C14" s="1650" t="n">
        <v>14</v>
      </c>
      <c r="D14" s="2899">
        <f>SUMIF('BALANCE N'!$A$2:$A$72,"112*",'BALANCE N'!$H$2:$H$72)-SUMIF('BALANCE N'!$A$2:$A$72,"112*",'BALANCE N'!$G$2:$G$72)+SUMIF('BALANCE N'!$A$2:$A$72,"113*",'BALANCE N'!$H$2:$H$72)-SUMIF('BALANCE N'!$A$2:$A$72,"113*",'BALANCE N'!$G$2:$G$72)+SUMIF('BALANCE N'!$A$2:$A$72,"111*",'BALANCE N'!$H$2:$H$72)-SUMIF('BALANCE N'!$A$2:$A$72,"111*",'BALANCE N'!$G$2:$G$72)</f>
        <v/>
      </c>
      <c r="E14" s="2899">
        <f>SUMIF('BALANCE N-1'!$A$2:$A$72,"112*",'BALANCE N-1'!$H$2:$H$72)-SUMIF('BALANCE N-1'!$A$2:$A$72,"112*",'BALANCE N-1'!$G$2:$G$72)+SUMIF('BALANCE N-1'!$A$2:$A$72,"113*",'BALANCE N-1'!$H$2:$H$72)-SUMIF('BALANCE N-1'!$A$2:$A$72,"113*",'BALANCE N-1'!$G$2:$G$72)+SUMIF('BALANCE N-1'!$A$2:$A$72,"111*",'BALANCE N-1'!$H$2:$H$72)-SUMIF('BALANCE N-1'!$A$2:$A$72,"111*",'BALANCE N-1'!$G$2:$G$72)</f>
        <v/>
      </c>
    </row>
    <row r="15" ht="25" customHeight="1" s="1354">
      <c r="A15" s="1653" t="inlineStr">
        <is>
          <t xml:space="preserve">CG </t>
        </is>
      </c>
      <c r="B15" s="1651" t="inlineStr">
        <is>
          <t xml:space="preserve">Réserves libres </t>
        </is>
      </c>
      <c r="C15" s="1650" t="n">
        <v>14</v>
      </c>
      <c r="D15" s="2899">
        <f>SUMIF('BALANCE N'!$A$2:$A$72,"118*",'BALANCE N'!$H$2:$H$72)-SUMIF('BALANCE N'!$A$2:$A$72,"118*",'BALANCE N'!$G$2:$G$72)</f>
        <v/>
      </c>
      <c r="E15" s="2899">
        <f>SUMIF('BALANCE N-1'!$A$2:$A$72,"118*",'BALANCE N-1'!$H$2:$H$72)-SUMIF('BALANCE N-1'!$A$2:$A$72,"118*",'BALANCE N-1'!$G$2:$G$72)</f>
        <v/>
      </c>
    </row>
    <row r="16" ht="25" customHeight="1" s="1354">
      <c r="A16" s="1653" t="inlineStr">
        <is>
          <t xml:space="preserve">CH </t>
        </is>
      </c>
      <c r="B16" s="1651" t="inlineStr">
        <is>
          <t xml:space="preserve">Report à nouveau                         (+ ou -)  </t>
        </is>
      </c>
      <c r="C16" s="1650" t="n">
        <v>14</v>
      </c>
      <c r="D16" s="2899">
        <f>SUMIF('BALANCE N'!$A$2:$A$72,"12*",'BALANCE N'!$H$2:$H$72)-SUMIF('BALANCE N'!$A$2:$A$72,"12*",'BALANCE N'!$G$2:$G$72)</f>
        <v/>
      </c>
      <c r="E16" s="2899">
        <f>SUMIF('BALANCE N-1'!$A$2:$A$72,"12*",'BALANCE N-1'!$H$2:$H$72)-SUMIF('BALANCE N-1'!$A$2:$A$72,"12*",'BALANCE N-1'!$G$2:$G$72)</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N'!$A$2:$A$72,"13*",'BALANCE N'!$H$2:$H$72)-SUMIF('BALANCE N'!$A$2:$A$72,"13*",'BALANCE N'!$G$2:$G$72))</f>
        <v/>
      </c>
      <c r="E17" s="2899">
        <f>'Compte de Résultat'!F50+(SUMIF('BALANCE N-1'!$A$2:$A$72,"13*",'BALANCE N-1'!$H$2:$H$72)-SUMIF('BALANCE N-1'!$A$2:$A$72,"13*",'BALANCE N-1'!$G$2:$G$72))</f>
        <v/>
      </c>
    </row>
    <row r="18" ht="25" customHeight="1" s="1354">
      <c r="A18" s="1650" t="inlineStr">
        <is>
          <t xml:space="preserve">CL </t>
        </is>
      </c>
      <c r="B18" s="1651" t="inlineStr">
        <is>
          <t xml:space="preserve">Subventions d'investissement </t>
        </is>
      </c>
      <c r="C18" s="1650" t="n">
        <v>15</v>
      </c>
      <c r="D18" s="2899">
        <f>SUMIF('BALANCE N'!$A$2:$A$72,"14*",'BALANCE N'!$H$2:$H$72)-SUMIF('BALANCE N'!$A$2:$A$72,"14*",'BALANCE N'!$G$2:$G$72)</f>
        <v/>
      </c>
      <c r="E18" s="2899">
        <f>SUMIF('BALANCE N-1'!$A$2:$A$72,"14*",'BALANCE N-1'!$H$2:$H$72)-SUMIF('BALANCE N-1'!$A$2:$A$72,"14*",'BALANCE N-1'!$G$2:$G$72)</f>
        <v/>
      </c>
    </row>
    <row r="19" ht="25" customHeight="1" s="1354">
      <c r="A19" s="1653" t="inlineStr">
        <is>
          <t xml:space="preserve">CM </t>
        </is>
      </c>
      <c r="B19" s="1651" t="inlineStr">
        <is>
          <t xml:space="preserve">Provisions réglementées </t>
        </is>
      </c>
      <c r="C19" s="1650" t="n">
        <v>15</v>
      </c>
      <c r="D19" s="2899">
        <f>SUMIF('BALANCE N'!$A$2:$A$72,"15*",'BALANCE N'!$H$2:$H$72)-SUMIF('BALANCE N'!$A$2:$A$72,"15*",'BALANCE N'!$G$2:$G$72)</f>
        <v/>
      </c>
      <c r="E19" s="2899">
        <f>SUMIF('BALANCE N-1'!$A$2:$A$72,"15*",'BALANCE N-1'!$H$2:$H$72)-SUMIF('BALANCE N-1'!$A$2:$A$72,"15*",'BALANCE N-1'!$G$2:$G$72)</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N'!$A$2:$A$72,"16*",'BALANCE N'!$H$2:$H$72)-SUMIF('BALANCE N'!$A$2:$A$72,"16*",'BALANCE N'!$G$2:$G$72)+SUMIF('BALANCE N'!$A$2:$A$72,"184*",'BALANCE N'!$H$2:$H$72)-SUMIF('BALANCE N'!$A$2:$A$72,"184*",'BALANCE N'!$G$2:$G$72)+SUMIF('BALANCE N'!$A$2:$A$72,"183*",'BALANCE N'!$H$2:$H$72)-SUMIF('BALANCE N'!$A$2:$A$72,"183*",'BALANCE N'!$G$2:$G$72)+SUMIF('BALANCE N'!$A$2:$A$72,"181*",'BALANCE N'!$H$2:$H$72)-SUMIF('BALANCE N'!$A$2:$A$72,"181*",'BALANCE N'!$G$2:$G$72)+SUMIF('BALANCE N'!$A$2:$A$72,"182*",'BALANCE N'!$H$2:$H$72)-SUMIF('BALANCE N'!$A$2:$A$72,"182*",'BALANCE N'!$G$2:$G$72)</f>
        <v/>
      </c>
      <c r="E21" s="2899">
        <f>SUMIF('BALANCE N-1'!$A$2:$A$72,"16*",'BALANCE N-1'!$H$2:$H$72)-SUMIF('BALANCE N-1'!$A$2:$A$72,"16*",'BALANCE N-1'!$G$2:$G$72)+SUMIF('BALANCE N-1'!$A$2:$A$72,"184*",'BALANCE N-1'!$H$2:$H$72)-SUMIF('BALANCE N-1'!$A$2:$A$72,"184*",'BALANCE N-1'!$G$2:$G$72)+SUMIF('BALANCE N-1'!$A$2:$A$72,"183*",'BALANCE N-1'!$H$2:$H$72)-SUMIF('BALANCE N-1'!$A$2:$A$72,"183*",'BALANCE N-1'!$G$2:$G$72)+SUMIF('BALANCE N-1'!$A$2:$A$72,"181*",'BALANCE N-1'!$H$2:$H$72)-SUMIF('BALANCE N-1'!$A$2:$A$72,"181*",'BALANCE N-1'!$G$2:$G$72)+SUMIF('BALANCE N-1'!$A$2:$A$72,"182*",'BALANCE N-1'!$H$2:$H$72)-SUMIF('BALANCE N-1'!$A$2:$A$72,"182*",'BALANCE N-1'!$G$2:$G$72)</f>
        <v/>
      </c>
    </row>
    <row r="22" ht="25" customHeight="1" s="1354">
      <c r="A22" s="1653" t="inlineStr">
        <is>
          <t xml:space="preserve">DB </t>
        </is>
      </c>
      <c r="B22" s="1651" t="inlineStr">
        <is>
          <t xml:space="preserve">Dettes de location acquisition </t>
        </is>
      </c>
      <c r="C22" s="1650" t="n">
        <v>16</v>
      </c>
      <c r="D22" s="2899">
        <f>SUMIF('BALANCE N'!$A$2:$A$72,"17*",'BALANCE N'!$H$2:$H$72)-SUMIF('BALANCE N'!$A$2:$A$72,"17*",'BALANCE N'!$G$2:$G$72)</f>
        <v/>
      </c>
      <c r="E22" s="2899">
        <f>SUMIF('BALANCE N-1'!$A$2:$A$72,"17*",'BALANCE N-1'!$H$2:$H$72)-SUMIF('BALANCE N-1'!$A$2:$A$72,"17*",'BALANCE N-1'!$G$2:$G$72)</f>
        <v/>
      </c>
    </row>
    <row r="23" ht="25" customHeight="1" s="1354">
      <c r="A23" s="1653" t="inlineStr">
        <is>
          <t xml:space="preserve">DC </t>
        </is>
      </c>
      <c r="B23" s="1651" t="inlineStr">
        <is>
          <t xml:space="preserve">Provisions pour risques et charges </t>
        </is>
      </c>
      <c r="C23" s="1650" t="n">
        <v>16</v>
      </c>
      <c r="D23" s="2899">
        <f>SUMIF('BALANCE N'!$A$2:$A$72,"19*",'BALANCE N'!$H$2:$H$72)-SUMIF('BALANCE N'!$A$2:$A$72,"19*",'BALANCE N'!$G$2:$G$72)</f>
        <v/>
      </c>
      <c r="E23" s="2899">
        <f>SUMIF('BALANCE N-1'!$A$2:$A$72,"19*",'BALANCE N-1'!$H$2:$H$72)-SUMIF('BALANCE N-1'!$A$2:$A$72,"19*",'BALANCE N-1'!$G$2:$G$72)</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N'!$A$2:$A$72,"482*",'BALANCE N'!$H$2:$H$72)-SUMIF('BALANCE N'!$A$2:$A$72,"482*",'BALANCE N'!$G$2:$G$72)+SUMIF('BALANCE N'!$A$2:$A$72,"481*",'BALANCE N'!$H$2:$H$72)-SUMIF('BALANCE N'!$A$2:$A$72,"481*",'BALANCE N'!$G$2:$G$72)+SUMIF('BALANCE N'!$A$2:$A$72,"484*",'BALANCE N'!$H$2:$H$72)-SUMIF('BALANCE N'!$A$2:$A$72,"484*",'BALANCE N'!$G$2:$G$72)+SUMIF('BALANCE N'!$A$2:$A$72,"4998*",'BALANCE N'!$H$2:$H$72)-SUMIF('BALANCE N'!$A$2:$A$72,"4998*",'BALANCE N'!$G$2:$G$72)</f>
        <v/>
      </c>
      <c r="E26" s="2899">
        <f>SUMIF('BALANCE N-1'!$A$2:$A$72,"482*",'BALANCE N-1'!$H$2:$H$72)-SUMIF('BALANCE N-1'!$A$2:$A$72,"482*",'BALANCE N-1'!$G$2:$G$72)+SUMIF('BALANCE N-1'!$A$2:$A$72,"481*",'BALANCE N-1'!$H$2:$H$72)-SUMIF('BALANCE N-1'!$A$2:$A$72,"481*",'BALANCE N-1'!$G$2:$G$72)+SUMIF('BALANCE N-1'!$A$2:$A$72,"484*",'BALANCE N-1'!$H$2:$H$72)-SUMIF('BALANCE N-1'!$A$2:$A$72,"484*",'BALANCE N-1'!$G$2:$G$72)+SUMIF('BALANCE N-1'!$A$2:$A$72,"4998*",'BALANCE N-1'!$H$2:$H$72)-SUMIF('BALANCE N-1'!$A$2:$A$72,"4998*",'BALANCE N-1'!$G$2:$G$72)</f>
        <v/>
      </c>
    </row>
    <row r="27" ht="25" customHeight="1" s="1354">
      <c r="A27" s="1650" t="inlineStr">
        <is>
          <t xml:space="preserve">DI </t>
        </is>
      </c>
      <c r="B27" s="1651" t="inlineStr">
        <is>
          <t xml:space="preserve">Clients, avances reçues </t>
        </is>
      </c>
      <c r="C27" s="1650" t="n">
        <v>7</v>
      </c>
      <c r="D27" s="2899">
        <f>SUMIF('BALANCE N'!$A$2:$A$72,"419*",'BALANCE N'!$H$2:$H$72)-SUMIF('BALANCE N'!$A$2:$A$72,"419*",'BALANCE N'!$G$2:$G$72)</f>
        <v/>
      </c>
      <c r="E27" s="2899">
        <f>SUMIF('BALANCE N-1'!$A$2:$A$72,"419*",'BALANCE N-1'!$H$2:$H$72)-SUMIF('BALANCE N-1'!$A$2:$A$72,"419*",'BALANCE N-1'!$G$2:$G$72)</f>
        <v/>
      </c>
    </row>
    <row r="28" ht="25" customHeight="1" s="1354">
      <c r="A28" s="1650" t="inlineStr">
        <is>
          <t xml:space="preserve">DJ </t>
        </is>
      </c>
      <c r="B28" s="1651" t="inlineStr">
        <is>
          <t xml:space="preserve">Fournisseurs d'exploitation </t>
        </is>
      </c>
      <c r="C28" s="1650" t="n">
        <v>17</v>
      </c>
      <c r="D28" s="2899">
        <f>SUMIF('BALANCE N'!$A$2:$A$72,"40*",'BALANCE N'!$H$2:$H$72)-SUMIF('BALANCE N'!$A$2:$A$72,"40*",'BALANCE N'!$G$2:$G$72)-SUMIF('BALANCE N'!$A$2:$A$72,"409*",'BALANCE N'!$H$2:$H$72)+SUMIF('BALANCE N'!$A$2:$A$72,"409*",'BALANCE N'!$G$2:$G$72)</f>
        <v/>
      </c>
      <c r="E28" s="2899">
        <f>SUMIF('BALANCE N-1'!$A$2:$A$72,"40*",'BALANCE N-1'!$H$2:$H$72)-SUMIF('BALANCE N-1'!$A$2:$A$72,"40*",'BALANCE N-1'!$G$2:$G$72)-SUMIF('BALANCE N-1'!$A$2:$A$72,"409*",'BALANCE N-1'!$H$2:$H$72)+SUMIF('BALANCE N-1'!$A$2:$A$72,"409*",'BALANCE N-1'!$G$2:$G$72)</f>
        <v/>
      </c>
    </row>
    <row r="29" ht="25" customHeight="1" s="1354">
      <c r="A29" s="1653" t="inlineStr">
        <is>
          <t xml:space="preserve">DK </t>
        </is>
      </c>
      <c r="B29" s="1651" t="inlineStr">
        <is>
          <t xml:space="preserve">Dettes fiscales et sociales </t>
        </is>
      </c>
      <c r="C29" s="1650" t="n">
        <v>18</v>
      </c>
      <c r="D29" s="2899">
        <f>SUMIF('BALANCE N'!$A$2:$A$72,"43*",'BALANCE N'!$H$2:$H$72)+SUMIF('BALANCE N'!$A$2:$A$72,"44*",'BALANCE N'!$H$2:$H$72)+SUMIF('BALANCE N'!$A$2:$A$72,"42*",'BALANCE N'!$H$2:$H$72)</f>
        <v/>
      </c>
      <c r="E29" s="2899">
        <f>SUMIF('BALANCE N-1'!$A$2:$A$72,"43*",'BALANCE N-1'!$H$2:$H$72)+SUMIF('BALANCE N-1'!$A$2:$A$72,"44*",'BALANCE N-1'!$H$2:$H$72)+SUMIF('BALANCE N-1'!$A$2:$A$72,"42*",'BALANCE N-1'!$H$2:$H$72)</f>
        <v/>
      </c>
    </row>
    <row r="30" ht="25" customHeight="1" s="1354">
      <c r="A30" s="1651" t="inlineStr">
        <is>
          <t xml:space="preserve">DM </t>
        </is>
      </c>
      <c r="B30" s="1651" t="inlineStr">
        <is>
          <t xml:space="preserve">Autres dettes </t>
        </is>
      </c>
      <c r="C30" s="1650" t="n">
        <v>19</v>
      </c>
      <c r="D30" s="2899">
        <f>SUMIF('BALANCE N'!$A$2:$A$72,"45*",'BALANCE N'!$H$2:$H$72)+SUMIF('BALANCE N'!$A$2:$A$72,"47*",'BALANCE N'!$H$2:$H$72)+SUMIF('BALANCE N'!$A$2:$A$72,"46*",'BALANCE N'!$H$2:$H$72)+SUMIF('BALANCE N'!$A$2:$A$72,"185*",'BALANCE N'!$H$2:$H$72)-SUMIF('BALANCE N'!$A$2:$A$72,"479*",'BALANCE N'!$H$2:$H$72)</f>
        <v/>
      </c>
      <c r="E30" s="2899">
        <f>SUMIF('BALANCE N-1'!$A$2:$A$72,"45*",'BALANCE N-1'!$H$2:$H$72)+SUMIF('BALANCE N-1'!$A$2:$A$72,"47*",'BALANCE N-1'!$H$2:$H$72)+SUMIF('BALANCE N-1'!$A$2:$A$72,"46*",'BALANCE N-1'!$H$2:$H$72)+SUMIF('BALANCE N-1'!$A$2:$A$72,"185*",'BALANCE N-1'!$H$2:$H$72)-SUMIF('BALANCE N-1'!$A$2:$A$72,"479*",'BALANCE N-1'!$H$2:$H$72)</f>
        <v/>
      </c>
    </row>
    <row r="31" ht="25" customHeight="1" s="1354">
      <c r="A31" s="1653" t="inlineStr">
        <is>
          <t xml:space="preserve">DN </t>
        </is>
      </c>
      <c r="B31" s="1651" t="inlineStr">
        <is>
          <t xml:space="preserve">Provisions pour risques à court terme </t>
        </is>
      </c>
      <c r="C31" s="1650" t="n">
        <v>19</v>
      </c>
      <c r="D31" s="2899">
        <f>SUMIF('BALANCE N'!$A$2:$A$72,"599*",'BALANCE N'!$H$2:$H$72)-SUMIF('BALANCE N'!$A$2:$A$72,"599*",'BALANCE N'!$G$2:$G$72)+SUMIF('BALANCE N'!$A$2:$A$72,"499*",'BALANCE N'!$H$2:$H$72)-SUMIF('BALANCE N'!$A$2:$A$72,"499*",'BALANCE N'!$G$2:$G$72)-SUMIF('BALANCE N'!$A$2:$A$72,"4998*",'BALANCE N'!$H$2:$H$72)+SUMIF('BALANCE N'!$A$2:$A$72,"4998*",'BALANCE N'!$G$2:$G$72)</f>
        <v/>
      </c>
      <c r="E31" s="2899">
        <f>SUMIF('BALANCE N-1'!$A$2:$A$72,"599*",'BALANCE N-1'!$H$2:$H$72)-SUMIF('BALANCE N-1'!$A$2:$A$72,"599*",'BALANCE N-1'!$G$2:$G$72)+SUMIF('BALANCE N-1'!$A$2:$A$72,"499*",'BALANCE N-1'!$H$2:$H$72)-SUMIF('BALANCE N-1'!$A$2:$A$72,"499*",'BALANCE N-1'!$G$2:$G$72)-SUMIF('BALANCE N-1'!$A$2:$A$72,"4998*",'BALANCE N-1'!$H$2:$H$72)+SUMIF('BALANCE N-1'!$A$2:$A$72,"4998*",'BALANCE N-1'!$G$2:$G$72)</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N'!$A$2:$A$72,"564*",'BALANCE N'!$H$2:$H$72)-SUMIF('BALANCE N'!$A$2:$A$72,"564*",'BALANCE N'!$G$2:$G$72)+SUMIF('BALANCE N'!$A$2:$A$72,"565*",'BALANCE N'!$H$2:$H$72)-SUMIF('BALANCE N'!$A$2:$A$72,"565*",'BALANCE N'!$G$2:$G$72)</f>
        <v/>
      </c>
      <c r="E33" s="2899">
        <f>SUMIF('BALANCE N-1'!$A$2:$A$72,"564*",'BALANCE N-1'!$H$2:$H$72)-SUMIF('BALANCE N-1'!$A$2:$A$72,"564*",'BALANCE N-1'!$G$2:$G$72)+SUMIF('BALANCE N-1'!$A$2:$A$72,"565*",'BALANCE N-1'!$H$2:$H$72)-SUMIF('BALANCE N-1'!$A$2:$A$72,"565*",'BALANCE N-1'!$G$2:$G$72)</f>
        <v/>
      </c>
    </row>
    <row r="34" ht="25" customHeight="1" s="1354">
      <c r="A34" s="1653" t="inlineStr">
        <is>
          <t xml:space="preserve">DR </t>
        </is>
      </c>
      <c r="B34" s="1651" t="inlineStr">
        <is>
          <t xml:space="preserve">Banques, établissements financiers et crédits de trésorerie </t>
        </is>
      </c>
      <c r="C34" s="1650" t="n">
        <v>20</v>
      </c>
      <c r="D34" s="2899">
        <f>SUMIF('BALANCE N'!$A$2:$A$72,"53*",'BALANCE N'!$H$2:$H$72)+SUMIF('BALANCE N'!$A$2:$A$72,"52*",'BALANCE N'!$H$2:$H$72)+SUMIF('BALANCE N'!$A$2:$A$72,"561*",'BALANCE N'!$H$2:$H$72)+SUMIF('BALANCE N'!$A$2:$A$72,"566*",'BALANCE N'!$H$2:$H$72)</f>
        <v/>
      </c>
      <c r="E34" s="2899">
        <f>SUMIF('BALANCE N-1'!$A$2:$A$72,"53*",'BALANCE N-1'!$H$2:$H$72)+SUMIF('BALANCE N-1'!$A$2:$A$72,"52*",'BALANCE N-1'!$H$2:$H$72)+SUMIF('BALANCE N-1'!$A$2:$A$72,"561*",'BALANCE N-1'!$H$2:$H$72)+SUMIF('BALANCE N-1'!$A$2:$A$72,"566*",'BALANCE N-1'!$H$2:$H$72)</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N'!$A$2:$A$72,"479*",'BALANCE N'!$H$2:$H$72)-SUMIF('BALANCE N'!$A$2:$A$72,"479*",'BALANCE N'!$G$2:$G$72)</f>
        <v/>
      </c>
      <c r="E36" s="2899">
        <f>SUMIF('BALANCE N-1'!$A$2:$A$72,"479*",'BALANCE N-1'!$H$2:$H$72)-SUMIF('BALANCE N-1'!$A$2:$A$72,"479*",'BALANCE N-1'!$G$2:$G$72)</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N'!$A$2:$A$72,"701*",'BALANCE N'!$H$2:$H$72)-SUMIF('BALANCE N'!$A$2:$A$72,"701*",'BALANCE N'!$G$2:$G$72)</f>
        <v/>
      </c>
      <c r="F9" s="2899">
        <f>SUMIF('BALANCE N-1'!$A$2:$A$72,"701*",'BALANCE N-1'!$H$2:$H$72)-SUMIF('BALANCE N-1'!$A$2:$A$72,"701*",'BALANCE N-1'!$G$2:$G$72)</f>
        <v/>
      </c>
    </row>
    <row r="10" ht="19" customFormat="1" customHeight="1" s="1549">
      <c r="A10" s="1612" t="inlineStr">
        <is>
          <t>RA</t>
        </is>
      </c>
      <c r="B10" s="1675" t="inlineStr">
        <is>
          <t xml:space="preserve">Achats de marchandises    </t>
        </is>
      </c>
      <c r="C10" s="1676" t="inlineStr">
        <is>
          <t>-</t>
        </is>
      </c>
      <c r="D10" s="1677" t="n">
        <v>22</v>
      </c>
      <c r="E10" s="2916">
        <f>SUMIF('BALANCE N'!$A$2:$A$72,"601*",'BALANCE N'!$G$2:$G$72)-SUMIF('BALANCE N'!$A$2:$A$72,"601*",'BALANCE N'!$H$2:$H$72)</f>
        <v/>
      </c>
      <c r="F10" s="2899">
        <f>SUMIF('BALANCE N-1'!$A$2:$A$72,"601*",'BALANCE N-1'!$G$2:$G$72)-SUMIF('BALANCE N-1'!$A$2:$A$72,"601*",'BALANCE N-1'!$H$2:$H$72)</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N'!$A$2:$A$72,"6031*",'BALANCE N'!$G$2:$G$72)-SUMIF('BALANCE N'!$A$2:$A$72,"6031*",'BALANCE N'!$H$2:$H$72)</f>
        <v/>
      </c>
      <c r="F11" s="2899">
        <f>SUMIF('BALANCE N-1'!$A$2:$A$72,"6031*",'BALANCE N-1'!$G$2:$G$72)-SUMIF('BALANCE N-1'!$A$2:$A$72,"6031*",'BALANCE N-1'!$H$2:$H$72)</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N'!$A$2:$A$72,"702*",'BALANCE N'!$H$2:$H$72)-SUMIF('BALANCE N'!$A$2:$A$72,"702*",'BALANCE N'!$G$2:$G$72)+SUMIF('BALANCE N'!$A$2:$A$72,"704*",'BALANCE N'!$H$2:$H$72)-SUMIF('BALANCE N'!$A$2:$A$72,"704*",'BALANCE N'!$G$2:$G$72)+SUMIF('BALANCE N'!$A$2:$A$72,"703*",'BALANCE N'!$H$2:$H$72)-SUMIF('BALANCE N'!$A$2:$A$72,"703*",'BALANCE N'!$G$2:$G$72)</f>
        <v/>
      </c>
      <c r="F13" s="2899">
        <f>SUMIF('BALANCE N-1'!$A$2:$A$72,"702*",'BALANCE N-1'!$H$2:$H$72)-SUMIF('BALANCE N-1'!$A$2:$A$72,"702*",'BALANCE N-1'!$G$2:$G$72)+SUMIF('BALANCE N-1'!$A$2:$A$72,"704*",'BALANCE N-1'!$H$2:$H$72)-SUMIF('BALANCE N-1'!$A$2:$A$72,"704*",'BALANCE N-1'!$G$2:$G$72)+SUMIF('BALANCE N-1'!$A$2:$A$72,"703*",'BALANCE N-1'!$H$2:$H$72)-SUMIF('BALANCE N-1'!$A$2:$A$72,"703*",'BALANCE N-1'!$G$2:$G$72)</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N'!$A$2:$A$72,"706*",'BALANCE N'!$H$2:$H$72)-SUMIF('BALANCE N'!$A$2:$A$72,"706*",'BALANCE N'!$G$2:$G$72)+SUMIF('BALANCE N'!$A$2:$A$72,"705*",'BALANCE N'!$H$2:$H$72)-SUMIF('BALANCE N'!$A$2:$A$72,"705*",'BALANCE N'!$G$2:$G$72)</f>
        <v/>
      </c>
      <c r="F14" s="2899">
        <f>SUMIF('BALANCE N-1'!$A$2:$A$72,"706*",'BALANCE N-1'!$H$2:$H$72)-SUMIF('BALANCE N-1'!$A$2:$A$72,"706*",'BALANCE N-1'!$G$2:$G$72)+SUMIF('BALANCE N-1'!$A$2:$A$72,"705*",'BALANCE N-1'!$H$2:$H$72)-SUMIF('BALANCE N-1'!$A$2:$A$72,"705*",'BALANCE N-1'!$G$2:$G$72)</f>
        <v/>
      </c>
    </row>
    <row r="15" ht="19" customFormat="1" customHeight="1" s="1549">
      <c r="A15" s="1612" t="inlineStr">
        <is>
          <t>TD</t>
        </is>
      </c>
      <c r="B15" s="1675" t="inlineStr">
        <is>
          <t xml:space="preserve">Produits accessoires                                                                               D </t>
        </is>
      </c>
      <c r="C15" s="1676" t="inlineStr">
        <is>
          <t xml:space="preserve">+ </t>
        </is>
      </c>
      <c r="D15" s="1677" t="n">
        <v>21</v>
      </c>
      <c r="E15" s="2916">
        <f>SUMIF('BALANCE N'!$A$2:$A$72,"707*",'BALANCE N'!$H$2:$H$72)-SUMIF('BALANCE N'!$A$2:$A$72,"707*",'BALANCE N'!$G$2:$G$72)</f>
        <v/>
      </c>
      <c r="F15" s="2899">
        <f>SUMIF('BALANCE N-1'!$A$2:$A$72,"707*",'BALANCE N-1'!$H$2:$H$72)-SUMIF('BALANCE N-1'!$A$2:$A$72,"707*",'BALANCE N-1'!$G$2:$G$72)</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N'!$A$2:$A$72,"73*",'BALANCE N'!$H$2:$H$72)-SUMIF('BALANCE N'!$A$2:$A$72,"73*",'BALANCE N'!$G$2:$G$72)</f>
        <v/>
      </c>
      <c r="F17" s="2899">
        <f>SUMIF('BALANCE N-1'!$A$2:$A$72,"73*",'BALANCE N-1'!$H$2:$H$72)-SUMIF('BALANCE N-1'!$A$2:$A$72,"73*",'BALANCE N-1'!$G$2:$G$72)</f>
        <v/>
      </c>
    </row>
    <row r="18" ht="19" customFormat="1" customHeight="1" s="1549">
      <c r="A18" s="1612" t="inlineStr">
        <is>
          <t>TF</t>
        </is>
      </c>
      <c r="B18" s="1675" t="inlineStr">
        <is>
          <t xml:space="preserve">Production immobilisée   </t>
        </is>
      </c>
      <c r="C18" s="1676" t="inlineStr">
        <is>
          <t> </t>
        </is>
      </c>
      <c r="D18" s="1677" t="n">
        <v>21</v>
      </c>
      <c r="E18" s="2916">
        <f>SUMIF('BALANCE N'!$A$2:$A$72,"72*",'BALANCE N'!$H$2:$H$72)-SUMIF('BALANCE N'!$A$2:$A$72,"72*",'BALANCE N'!$G$2:$G$72)</f>
        <v/>
      </c>
      <c r="F18" s="2922">
        <f>SUMIF('BALANCE N-1'!$A$2:$A$72,"72*",'BALANCE N-1'!$H$2:$H$72)-SUMIF('BALANCE N-1'!$A$2:$A$72,"72*",'BALANCE N-1'!$G$2:$G$72)</f>
        <v/>
      </c>
    </row>
    <row r="19" ht="19" customFormat="1" customHeight="1" s="1549">
      <c r="A19" s="1612" t="inlineStr">
        <is>
          <t>TG</t>
        </is>
      </c>
      <c r="B19" s="1675" t="inlineStr">
        <is>
          <t xml:space="preserve">Subventions d’exploitation   </t>
        </is>
      </c>
      <c r="C19" s="1676" t="inlineStr">
        <is>
          <t> </t>
        </is>
      </c>
      <c r="D19" s="1677" t="n">
        <v>21</v>
      </c>
      <c r="E19" s="2916">
        <f>SUMIF('BALANCE N'!$A$2:$A$72,"71*",'BALANCE N'!$H$2:$H$72)-SUMIF('BALANCE N'!$A$2:$A$72,"71*",'BALANCE N'!$G$2:$G$72)</f>
        <v/>
      </c>
      <c r="F19" s="2922">
        <f>SUMIF('BALANCE N-1'!$A$2:$A$72,"71*",'BALANCE N-1'!$H$2:$H$72)-SUMIF('BALANCE N-1'!$A$2:$A$72,"71*",'BALANCE N-1'!$G$2:$G$72)</f>
        <v/>
      </c>
    </row>
    <row r="20" ht="19" customFormat="1" customHeight="1" s="1549">
      <c r="A20" s="1612" t="inlineStr">
        <is>
          <t>TH</t>
        </is>
      </c>
      <c r="B20" s="1675" t="inlineStr">
        <is>
          <t xml:space="preserve">Autres produits    </t>
        </is>
      </c>
      <c r="C20" s="1676" t="inlineStr">
        <is>
          <t xml:space="preserve">+ </t>
        </is>
      </c>
      <c r="D20" s="1677" t="n">
        <v>21</v>
      </c>
      <c r="E20" s="2916">
        <f>SUMIF('BALANCE N'!$A$2:$A$72,"75*",'BALANCE N'!$H$2:$H$72)-SUMIF('BALANCE N'!$A$2:$A$72,"75*",'BALANCE N'!$G$2:$G$72)</f>
        <v/>
      </c>
      <c r="F20" s="2899">
        <f>SUMIF('BALANCE N-1'!$A$2:$A$72,"75*",'BALANCE N-1'!$H$2:$H$72)-SUMIF('BALANCE N-1'!$A$2:$A$72,"75*",'BALANCE N-1'!$G$2:$G$72)</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N'!$A$2:$A$72,"781*",'BALANCE N'!$H$2:$H$72)-SUMIF('BALANCE N'!$A$2:$A$72,"781*",'BALANCE N'!$G$2:$G$72)</f>
        <v/>
      </c>
      <c r="F21" s="2899">
        <f>SUMIF('BALANCE N-1'!$A$2:$A$72,"781*",'BALANCE N-1'!$H$2:$H$72)-SUMIF('BALANCE N-1'!$A$2:$A$72,"781*",'BALANCE N-1'!$G$2:$G$72)</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N'!$A$2:$A$72,"602*",'BALANCE N'!$G$2:$G$72)-SUMIF('BALANCE N'!$A$2:$A$72,"602*",'BALANCE N'!$H$2:$H$72)</f>
        <v/>
      </c>
      <c r="F22" s="2899">
        <f>SUMIF('BALANCE N-1'!$A$2:$A$72,"602*",'BALANCE N-1'!$G$2:$G$72)-SUMIF('BALANCE N-1'!$A$2:$A$72,"602*",'BALANCE N-1'!$H$2:$H$72)</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N'!$A$2:$A$72,"6032*",'BALANCE N'!$G$2:$G$72)-SUMIF('BALANCE N'!$A$2:$A$72,"6032*",'BALANCE N'!$H$2:$H$72)</f>
        <v/>
      </c>
      <c r="F23" s="2899">
        <f>SUMIF('BALANCE N-1'!$A$2:$A$72,"6032*",'BALANCE N-1'!$G$2:$G$72)-SUMIF('BALANCE N-1'!$A$2:$A$72,"6032*",'BALANCE N-1'!$H$2:$H$72)</f>
        <v/>
      </c>
    </row>
    <row r="24" ht="19" customFormat="1" customHeight="1" s="1549">
      <c r="A24" s="1612" t="inlineStr">
        <is>
          <t>RE</t>
        </is>
      </c>
      <c r="B24" s="1675" t="inlineStr">
        <is>
          <t xml:space="preserve">Autres achats    </t>
        </is>
      </c>
      <c r="C24" s="1676" t="inlineStr">
        <is>
          <t xml:space="preserve"> - </t>
        </is>
      </c>
      <c r="D24" s="1677" t="n">
        <v>22</v>
      </c>
      <c r="E24" s="2916">
        <f>SUMIF('BALANCE N'!$A$2:$A$72,"604*",'BALANCE N'!$G$2:$G$72)-SUMIF('BALANCE N'!$A$2:$A$72,"604*",'BALANCE N'!$H$2:$H$72)+SUMIF('BALANCE N'!$A$2:$A$72,"605*",'BALANCE N'!$G$2:$G$72)-SUMIF('BALANCE N'!$A$2:$A$72,"605*",'BALANCE N'!$H$2:$H$72)+SUMIF('BALANCE N'!$A$2:$A$72,"608*",'BALANCE N'!$G$2:$G$72)-SUMIF('BALANCE N'!$A$2:$A$72,"608*",'BALANCE N'!$H$2:$H$72)</f>
        <v/>
      </c>
      <c r="F24" s="2899">
        <f>SUMIF('BALANCE N-1'!$A$2:$A$72,"604*",'BALANCE N-1'!$G$2:$G$72)-SUMIF('BALANCE N-1'!$A$2:$A$72,"604*",'BALANCE N-1'!$H$2:$H$72)+SUMIF('BALANCE N-1'!$A$2:$A$72,"605*",'BALANCE N-1'!$G$2:$G$72)-SUMIF('BALANCE N-1'!$A$2:$A$72,"605*",'BALANCE N-1'!$H$2:$H$72)+SUMIF('BALANCE N-1'!$A$2:$A$72,"608*",'BALANCE N-1'!$G$2:$G$72)-SUMIF('BALANCE N-1'!$A$2:$A$72,"608*",'BALANCE N-1'!$H$2:$H$72)</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N'!$A$2:$A$72,"6033*",'BALANCE N'!$G$2:$G$72)-SUMIF('BALANCE N'!$A$2:$A$72,"6033*",'BALANCE N'!$H$2:$H$72)</f>
        <v/>
      </c>
      <c r="F25" s="2899">
        <f>SUMIF('BALANCE N-1'!$A$2:$A$72,"6033*",'BALANCE N-1'!$G$2:$G$72)-SUMIF('BALANCE N-1'!$A$2:$A$72,"6033*",'BALANCE N-1'!$H$2:$H$72)</f>
        <v/>
      </c>
    </row>
    <row r="26" ht="19" customFormat="1" customHeight="1" s="1549">
      <c r="A26" s="1612" t="inlineStr">
        <is>
          <t>RG</t>
        </is>
      </c>
      <c r="B26" s="1675" t="inlineStr">
        <is>
          <t xml:space="preserve">Transports    </t>
        </is>
      </c>
      <c r="C26" s="1676" t="inlineStr">
        <is>
          <t xml:space="preserve"> - </t>
        </is>
      </c>
      <c r="D26" s="1677" t="n">
        <v>23</v>
      </c>
      <c r="E26" s="2916">
        <f>SUMIF('BALANCE N'!$A$2:$A$72,"61*",'BALANCE N'!$G$2:$G$72)-SUMIF('BALANCE N'!$A$2:$A$72,"61*",'BALANCE N'!$H$2:$H$72)</f>
        <v/>
      </c>
      <c r="F26" s="2899">
        <f>SUMIF('BALANCE N-1'!$A$2:$A$72,"61*",'BALANCE N-1'!$G$2:$G$72)-SUMIF('BALANCE N-1'!$A$2:$A$72,"61*",'BALANCE N-1'!$H$2:$H$72)</f>
        <v/>
      </c>
    </row>
    <row r="27" ht="19" customFormat="1" customHeight="1" s="1549">
      <c r="A27" s="1612" t="inlineStr">
        <is>
          <t>RH</t>
        </is>
      </c>
      <c r="B27" s="1675" t="inlineStr">
        <is>
          <t xml:space="preserve">Services extérieurs    </t>
        </is>
      </c>
      <c r="C27" s="1676" t="inlineStr">
        <is>
          <t xml:space="preserve"> - </t>
        </is>
      </c>
      <c r="D27" s="1677" t="n">
        <v>24</v>
      </c>
      <c r="E27" s="2916">
        <f>SUMIF('BALANCE N'!$A$2:$A$72,"63*",'BALANCE N'!$G$2:$G$72)-SUMIF('BALANCE N'!$A$2:$A$72,"63*",'BALANCE N'!$H$2:$H$72)+SUMIF('BALANCE N'!$A$2:$A$72,"62*",'BALANCE N'!$G$2:$G$72)-SUMIF('BALANCE N'!$A$2:$A$72,"62*",'BALANCE N'!$H$2:$H$72)</f>
        <v/>
      </c>
      <c r="F27" s="2899">
        <f>SUMIF('BALANCE N-1'!$A$2:$A$72,"63*",'BALANCE N-1'!$G$2:$G$72)-SUMIF('BALANCE N-1'!$A$2:$A$72,"63*",'BALANCE N-1'!$H$2:$H$72)+SUMIF('BALANCE N-1'!$A$2:$A$72,"62*",'BALANCE N-1'!$G$2:$G$72)-SUMIF('BALANCE N-1'!$A$2:$A$72,"62*",'BALANCE N-1'!$H$2:$H$72)</f>
        <v/>
      </c>
    </row>
    <row r="28" ht="19" customFormat="1" customHeight="1" s="1549">
      <c r="A28" s="1612" t="inlineStr">
        <is>
          <t>RI</t>
        </is>
      </c>
      <c r="B28" s="1675" t="inlineStr">
        <is>
          <t xml:space="preserve"> Impôts et taxes    </t>
        </is>
      </c>
      <c r="C28" s="1676" t="inlineStr">
        <is>
          <t xml:space="preserve"> - </t>
        </is>
      </c>
      <c r="D28" s="1677" t="n">
        <v>25</v>
      </c>
      <c r="E28" s="2916">
        <f>SUMIF('BALANCE N'!$A$2:$A$72,"64*",'BALANCE N'!$G$2:$G$72)-SUMIF('BALANCE N'!$A$2:$A$72,"64*",'BALANCE N'!$H$2:$H$72)</f>
        <v/>
      </c>
      <c r="F28" s="2899">
        <f>SUMIF('BALANCE N-1'!$A$2:$A$72,"64*",'BALANCE N-1'!$G$2:$G$72)-SUMIF('BALANCE N-1'!$A$2:$A$72,"64*",'BALANCE N-1'!$H$2:$H$72)</f>
        <v/>
      </c>
    </row>
    <row r="29" ht="19" customFormat="1" customHeight="1" s="1549">
      <c r="A29" s="1612" t="inlineStr">
        <is>
          <t>RJ</t>
        </is>
      </c>
      <c r="B29" s="1675" t="inlineStr">
        <is>
          <t xml:space="preserve">Autres charges    </t>
        </is>
      </c>
      <c r="C29" s="1676" t="inlineStr">
        <is>
          <t xml:space="preserve"> - </t>
        </is>
      </c>
      <c r="D29" s="1677" t="n">
        <v>26</v>
      </c>
      <c r="E29" s="2916">
        <f>SUMIF('BALANCE N'!$A$2:$A$72,"65*",'BALANCE N'!$G$2:$G$72)-SUMIF('BALANCE N'!$A$2:$A$72,"65*",'BALANCE N'!$H$2:$H$72)</f>
        <v/>
      </c>
      <c r="F29" s="2899">
        <f>SUMIF('BALANCE N-1'!$A$2:$A$72,"65*",'BALANCE N-1'!$G$2:$G$72)-SUMIF('BALANCE N-1'!$A$2:$A$72,"65*",'BALANCE N-1'!$H$2:$H$72)</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N'!$A$2:$A$72,"66*",'BALANCE N'!$G$2:$G$72)-SUMIF('BALANCE N'!$A$2:$A$72,"66*",'BALANCE N'!$H$2:$H$72)</f>
        <v/>
      </c>
      <c r="F31" s="2899">
        <f>SUMIF('BALANCE N-1'!$A$2:$A$72,"66*",'BALANCE N-1'!$G$2:$G$72)-SUMIF('BALANCE N-1'!$A$2:$A$72,"66*",'BALANCE N-1'!$H$2:$H$72)</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N'!$A$2:$A$72,"798*",'BALANCE N'!$H$2:$H$72)-SUMIF('BALANCE N'!$A$2:$A$72,"798*",'BALANCE N'!$G$2:$G$72)+SUMIF('BALANCE N'!$A$2:$A$72,"799*",'BALANCE N'!$H$2:$H$72)-SUMIF('BALANCE N'!$A$2:$A$72,"799*",'BALANCE N'!$G$2:$G$72)+SUMIF('BALANCE N'!$A$2:$A$72,"791*",'BALANCE N'!$H$2:$H$72)-SUMIF('BALANCE N'!$A$2:$A$72,"791*",'BALANCE N'!$G$2:$G$72)</f>
        <v/>
      </c>
      <c r="F33" s="2899">
        <f>SUMIF('BALANCE N-1'!$A$2:$A$72,"798*",'BALANCE N-1'!$H$2:$H$72)-SUMIF('BALANCE N-1'!$A$2:$A$72,"798*",'BALANCE N-1'!$G$2:$G$72)+SUMIF('BALANCE N-1'!$A$2:$A$72,"799*",'BALANCE N-1'!$H$2:$H$72)-SUMIF('BALANCE N-1'!$A$2:$A$72,"799*",'BALANCE N-1'!$G$2:$G$72)+SUMIF('BALANCE N-1'!$A$2:$A$72,"791*",'BALANCE N-1'!$H$2:$H$72)-SUMIF('BALANCE N-1'!$A$2:$A$72,"791*",'BALANCE N-1'!$G$2:$G$72)</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N'!$A$2:$A$72,"681*",'BALANCE N'!$G$2:$G$72)-SUMIF('BALANCE N'!$A$2:$A$72,"681*",'BALANCE N'!$H$2:$H$72)+SUMIF('BALANCE N'!$A$2:$A$72,"691*",'BALANCE N'!$G$2:$G$72)-SUMIF('BALANCE N'!$A$2:$A$72,"691*",'BALANCE N'!$H$2:$H$72)</f>
        <v/>
      </c>
      <c r="F34" s="2899">
        <f>SUMIF('BALANCE N-1'!$A$2:$A$72,"681*",'BALANCE N-1'!$G$2:$G$72)-SUMIF('BALANCE N-1'!$A$2:$A$72,"681*",'BALANCE N-1'!$H$2:$H$72)+SUMIF('BALANCE N-1'!$A$2:$A$72,"691*",'BALANCE N-1'!$G$2:$G$72)-SUMIF('BALANCE N-1'!$A$2:$A$72,"691*",'BALANCE N-1'!$H$2:$H$72)</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N'!$A$2:$A$72,"77*",'BALANCE N'!$H$2:$H$72)-SUMIF('BALANCE N'!$A$2:$A$72,"77*",'BALANCE N'!$G$2:$G$72)</f>
        <v/>
      </c>
      <c r="F36" s="2899">
        <f>SUMIF('BALANCE N-1'!$A$2:$A$72,"77*",'BALANCE N-1'!$H$2:$H$72)-SUMIF('BALANCE N-1'!$A$2:$A$72,"77*",'BALANCE N-1'!$G$2:$G$72)</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N'!$A$2:$A$72,"797*",'BALANCE N'!$H$2:$H$72)-SUMIF('BALANCE N'!$A$2:$A$72,"797*",'BALANCE N'!$G$2:$G$72)</f>
        <v/>
      </c>
      <c r="F37" s="2899">
        <f>SUMIF('BALANCE N-1'!$A$2:$A$72,"797*",'BALANCE N-1'!$H$2:$H$72)-SUMIF('BALANCE N-1'!$A$2:$A$72,"797*",'BALANCE N-1'!$G$2:$G$72)</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N'!$A$2:$A$72,"787*",'BALANCE N'!$H$2:$H$72)-SUMIF('BALANCE N'!$A$2:$A$72,"787*",'BALANCE N'!$G$2:$G$72)</f>
        <v/>
      </c>
      <c r="F38" s="2899">
        <f>SUMIF('BALANCE N-1'!$A$2:$A$72,"787*",'BALANCE N-1'!$H$2:$H$72)-SUMIF('BALANCE N-1'!$A$2:$A$72,"787*",'BALANCE N-1'!$G$2:$G$72)</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N'!$A$2:$A$72,"67*",'BALANCE N'!$G$2:$G$72)-SUMIF('BALANCE N'!$A$2:$A$72,"67*",'BALANCE N'!$H$2:$H$72)</f>
        <v/>
      </c>
      <c r="F39" s="2899">
        <f>SUMIF('BALANCE N-1'!$A$2:$A$72,"67*",'BALANCE N-1'!$G$2:$G$72)-SUMIF('BALANCE N-1'!$A$2:$A$72,"67*",'BALANCE N-1'!$H$2:$H$72)</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N'!$A$2:$A$72,"697*",'BALANCE N'!$G$2:$G$72)-SUMIF('BALANCE N'!$A$2:$A$72,"697*",'BALANCE N'!$H$2:$H$72)</f>
        <v/>
      </c>
      <c r="F40" s="2922">
        <f>SUMIF('BALANCE N-1'!$A$2:$A$72,"697*",'BALANCE N-1'!$G$2:$G$72)-SUMIF('BALANCE N-1'!$A$2:$A$72,"697*",'BALANCE N-1'!$H$2:$H$72)</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N'!$A$2:$A$72,"82*",'BALANCE N'!$H$2:$H$72)-SUMIF('BALANCE N'!$A$2:$A$72,"82*",'BALANCE N'!$G$2:$G$72)</f>
        <v/>
      </c>
      <c r="F43" s="2899">
        <f>SUMIF('BALANCE N-1'!$A$2:$A$72,"82*",'BALANCE N-1'!$H$2:$H$72)-SUMIF('BALANCE N-1'!$A$2:$A$72,"82*",'BALANCE N-1'!$G$2:$G$72)</f>
        <v/>
      </c>
    </row>
    <row r="44" ht="19" customFormat="1" customHeight="1" s="1549">
      <c r="A44" s="1612" t="inlineStr">
        <is>
          <t>TO</t>
        </is>
      </c>
      <c r="B44" s="1675" t="inlineStr">
        <is>
          <t xml:space="preserve">Autres Produits HAO   </t>
        </is>
      </c>
      <c r="C44" s="1676" t="inlineStr">
        <is>
          <t xml:space="preserve"> + </t>
        </is>
      </c>
      <c r="D44" s="1677" t="n">
        <v>30</v>
      </c>
      <c r="E44" s="2916">
        <f>SUMIF('BALANCE N'!$A$2:$A$72,"86*",'BALANCE N'!$H$2:$H$72)-SUMIF('BALANCE N'!$A$2:$A$72,"86*",'BALANCE N'!$G$2:$G$72)+SUMIF('BALANCE N'!$A$2:$A$72,"84*",'BALANCE N'!$H$2:$H$72)-SUMIF('BALANCE N'!$A$2:$A$72,"84*",'BALANCE N'!$G$2:$G$72)+SUMIF('BALANCE N'!$A$2:$A$72,"88*",'BALANCE N'!$H$2:$H$72)-SUMIF('BALANCE N'!$A$2:$A$72,"88*",'BALANCE N'!$G$2:$G$72)</f>
        <v/>
      </c>
      <c r="F44" s="2899">
        <f>SUMIF('BALANCE N-1'!$A$2:$A$72,"86*",'BALANCE N-1'!$H$2:$H$72)-SUMIF('BALANCE N-1'!$A$2:$A$72,"86*",'BALANCE N-1'!$G$2:$G$72)+SUMIF('BALANCE N-1'!$A$2:$A$72,"84*",'BALANCE N-1'!$H$2:$H$72)-SUMIF('BALANCE N-1'!$A$2:$A$72,"84*",'BALANCE N-1'!$G$2:$G$72)+SUMIF('BALANCE N-1'!$A$2:$A$72,"88*",'BALANCE N-1'!$H$2:$H$72)-SUMIF('BALANCE N-1'!$A$2:$A$72,"88*",'BALANCE N-1'!$G$2:$G$72)</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N'!$A$2:$A$72,"81*",'BALANCE N'!$G$2:$G$72)-SUMIF('BALANCE N'!$A$2:$A$72,"81*",'BALANCE N'!$H$2:$H$72)</f>
        <v/>
      </c>
      <c r="F45" s="2899">
        <f>SUMIF('BALANCE N-1'!$A$2:$A$72,"81*",'BALANCE N-1'!$G$2:$G$72)-SUMIF('BALANCE N-1'!$A$2:$A$72,"81*",'BALANCE N-1'!$H$2:$H$72)</f>
        <v/>
      </c>
    </row>
    <row r="46" ht="19" customFormat="1" customHeight="1" s="1549">
      <c r="A46" s="1612" t="inlineStr">
        <is>
          <t>RP</t>
        </is>
      </c>
      <c r="B46" s="1675" t="inlineStr">
        <is>
          <t xml:space="preserve">Autres Charges HAO   </t>
        </is>
      </c>
      <c r="C46" s="1676" t="inlineStr">
        <is>
          <t xml:space="preserve"> - </t>
        </is>
      </c>
      <c r="D46" s="1677" t="n">
        <v>30</v>
      </c>
      <c r="E46" s="2916">
        <f>SUMIF('BALANCE N'!$A$2:$A$72,"85*",'BALANCE N'!$G$2:$G$72)-SUMIF('BALANCE N'!$A$2:$A$72,"85*",'BALANCE N'!$H$2:$H$72)+SUMIF('BALANCE N'!$A$2:$A$72,"83*",'BALANCE N'!$G$2:$G$72)-SUMIF('BALANCE N'!$A$2:$A$72,"83*",'BALANCE N'!$H$2:$H$72)</f>
        <v/>
      </c>
      <c r="F46" s="2899">
        <f>SUMIF('BALANCE N-1'!$A$2:$A$72,"85*",'BALANCE N-1'!$G$2:$G$72)-SUMIF('BALANCE N-1'!$A$2:$A$72,"85*",'BALANCE N-1'!$H$2:$H$72)+SUMIF('BALANCE N-1'!$A$2:$A$72,"83*",'BALANCE N-1'!$G$2:$G$72)-SUMIF('BALANCE N-1'!$A$2:$A$72,"83*",'BALANCE N-1'!$H$2:$H$72)</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N'!$A$2:$A$72,"87*",'BALANCE N'!$G$2:$G$72)-SUMIF('BALANCE N'!$A$2:$A$72,"87*",'BALANCE N'!$H$2:$H$72)</f>
        <v/>
      </c>
      <c r="F48" s="2899">
        <f>SUMIF('BALANCE N-1'!$A$2:$A$72,"87*",'BALANCE N-1'!$G$2:$G$72)-SUMIF('BALANCE N-1'!$A$2:$A$72,"87*",'BALANCE N-1'!$H$2:$H$72)</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N'!$A$2:$A$72,"89*",'BALANCE N'!$G$2:$G$72)-SUMIF('BALANCE N'!$A$2:$A$72,"89*",'BALANCE N'!$H$2:$H$72)</f>
        <v/>
      </c>
      <c r="F49" s="2899">
        <f>SUMIF('BALANCE N-1'!$A$2:$A$72,"89*",'BALANCE N-1'!$G$2:$G$72)-SUMIF('BALANCE N-1'!$A$2:$A$72,"89*",'BALANCE N-1'!$H$2:$H$72)</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N-1'!$A$2:$A$72,"50*",'BALANCE N-1'!$G$2:$G$72)-SUMIF('BALANCE N-1'!$A$2:$A$72,"50*",'BALANCE N-1'!$H$2:$H$72))-(SUMIF('BALANCE N-1'!$A$2:$A$72,"590*",'BALANCE N-1'!$H$2:$H$72)-SUMIF('BALANCE N-1'!$A$2:$A$72,"590*",'BALANCE N-1'!$G$2:$G$72)))+((SUMIF('BALANCE N-1'!$A$2:$A$72,"51*",'BALANCE N-1'!$G$2:$G$72)-SUMIF('BALANCE N-1'!$A$2:$A$72,"51*",'BALANCE N-1'!$H$2:$H$72))-(SUMIF('BALANCE N-1'!$A$2:$A$72,"591*",'BALANCE N-1'!$H$2:$H$72)-SUMIF('BALANCE N-1'!$A$2:$A$72,"591*",'BALANCE N-1'!$G$2:$G$72)))+((SUMIF('BALANCE N-1'!$A$2:$A$72,"53*",'BALANCE N-1'!$G$2:$G$72)+SUMIF('BALANCE N-1'!$A$2:$A$72,"57*",'BALANCE N-1'!$G$2:$G$72)+SUMIF('BALANCE N-1'!$A$2:$A$72,"55*",'BALANCE N-1'!$G$2:$G$72)+SUMIF('BALANCE N-1'!$A$2:$A$72,"52*",'BALANCE N-1'!$G$2:$G$72)+SUMIF('BALANCE N-1'!$A$2:$A$72,"54*",'BALANCE N-1'!$G$2:$G$72)+SUMIF('BALANCE N-1'!$A$2:$A$72,"581*",'BALANCE N-1'!$G$2:$G$72)+SUMIF('BALANCE N-1'!$A$2:$A$72,"582*",'BALANCE N-1'!$G$2:$G$72))-(SUMIF('BALANCE N-1'!$A$2:$A$72,"592*",'BALANCE N-1'!$H$2:$H$72)-SUMIF('BALANCE N-1'!$A$2:$A$72,"592*",'BALANCE N-1'!$G$2:$G$72)+SUMIF('BALANCE N-1'!$A$2:$A$72,"594*",'BALANCE N-1'!$H$2:$H$72)-SUMIF('BALANCE N-1'!$A$2:$A$72,"594*",'BALANCE N-1'!$G$2:$G$72)+SUMIF('BALANCE N-1'!$A$2:$A$72,"593*",'BALANCE N-1'!$H$2:$H$72)-SUMIF('BALANCE N-1'!$A$2:$A$72,"593*",'BALANCE N-1'!$G$2:$G$72))))-SUMIF('BALANCE N-1'!$A$2:$A$72,"4726*",'BALANCE N-1'!$H$2:$H$72)-((SUMIF('BALANCE N-1'!$A$2:$A$72,"564*",'BALANCE N-1'!$H$2:$H$72)-SUMIF('BALANCE N-1'!$A$2:$A$72,"564*",'BALANCE N-1'!$G$2:$G$72)+SUMIF('BALANCE N-1'!$A$2:$A$72,"565*",'BALANCE N-1'!$H$2:$H$72)-SUMIF('BALANCE N-1'!$A$2:$A$72,"565*",'BALANCE N-1'!$G$2:$G$72))+(SUMIF('BALANCE N-1'!$A$2:$A$72,"53*",'BALANCE N-1'!$H$2:$H$72)+SUMIF('BALANCE N-1'!$A$2:$A$72,"52*",'BALANCE N-1'!$H$2:$H$72)+SUMIF('BALANCE N-1'!$A$2:$A$72,"561*",'BALANCE N-1'!$H$2:$H$72)+SUMIF('BALANCE N-1'!$A$2:$A$72,"566*",'BALANCE N-1'!$H$2:$H$72)))</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N'!$A$2:$A$72,"654*",'BALANCE N'!$G$2:$G$72)-SUMIF('BALANCE N'!$A$2:$A$72,"754*",'BALANCE N'!$H$2:$H$72)+'Compte de Résultat'!E41+('Compte de Résultat'!E44-SUMIF('BALANCE N'!$A$2:$A$72,"86*",'BALANCE N'!$H$2:$H$72))-('Compte de Résultat'!E46-SUMIF('BALANCE N'!$A$2:$A$72,"85*",'BALANCE N'!$G$2:$G$72))-'Compte de Résultat'!E48-'Compte de Résultat'!E49</f>
        <v/>
      </c>
      <c r="I14" s="2946">
        <f>'Compte de Résultat'!F32+SUMIF('BALANCE N-1'!$A$2:$A$72,"654*",'BALANCE N-1'!$G$2:$G$72)-SUMIF('BALANCE N-1'!$A$2:$A$72,"754*",'BALANCE N-1'!$H$2:$H$72)+'Compte de Résultat'!F41+('Compte de Résultat'!F44-SUMIF('BALANCE N-1'!$A$2:$A$72,"86*",'BALANCE N-1'!$H$2:$H$72))-('Compte de Résultat'!F46-SUMIF('BALANCE N-1'!$A$2:$A$72,"85*",'BALANCE N-1'!$G$2:$G$72))-'Compte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N'!$A$2:$A$72,"488*",'BALANCE N'!$G$2:$G$72)-SUMIF('BALANCE N'!$A$2:$A$72,"488*",'BALANCE N'!$H$2:$H$72)+SUMIF('BALANCE N'!$A$2:$A$72,"485*",'BALANCE N'!$G$2:$G$72)-SUMIF('BALANCE N'!$A$2:$A$72,"485*",'BALANCE N'!$H$2:$H$72))-(SUMIF('BALANCE N'!$A$2:$A$72,"498*",'BALANCE N'!$H$2:$H$72)-SUMIF('BALANCE N'!$A$2:$A$72,"498*",'BALANCE N'!$G$2:$G$72)))-((SUMIF('BALANCE N-1'!$A$2:$A$72,"488*",'BALANCE N-1'!$G$2:$G$72)-SUMIF('BALANCE N-1'!$A$2:$A$72,"488*",'BALANCE N-1'!$H$2:$H$72)+SUMIF('BALANCE N-1'!$A$2:$A$72,"485*",'BALANCE N-1'!$G$2:$G$72)-SUMIF('BALANCE N-1'!$A$2:$A$72,"485*",'BALANCE N-1'!$H$2:$H$72))-(SUMIF('BALANCE N-1'!$A$2:$A$72,"498*",'BALANCE N-1'!$H$2:$H$72)-SUMIF('BALANCE N-1'!$A$2:$A$72,"498*",'BALANCE N-1'!$G$2:$G$72)))-(SUMIF('BALANCE N'!$A$2:$A$72,"485*",'BALANCE N'!$G$2:$G$72)-SUMIF('BALANCE N-1'!$A$2:$A$72,"485*",'BALANCE N-1'!$G$2:$G$72))+(SUMIF('BALANCE N'!$A$2:$A$72,"47818*",'BALANCE N'!$G$2:$G$72)-SUMIF('BALANCE N-1'!$A$2:$A$72,"47818*",'BALANCE N-1'!$G$2:$G$72))-(SUMIF('BALANCE N'!$A$2:$A$72,"47918*",'BALANCE N'!$H$2:$H$72)-SUMIF('BALANCE N-1'!$A$2:$A$72,"47918*",'BALANCE N-1'!$H$2:$H$72)))</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N'!$A$2:$A$72,"37*",'BALANCE N'!$G$2:$G$72)-SUMIF('BALANCE N'!$A$2:$A$72,"37*",'BALANCE N'!$H$2:$H$72)+SUMIF('BALANCE N'!$A$2:$A$72,"31*",'BALANCE N'!$G$2:$G$72)-SUMIF('BALANCE N'!$A$2:$A$72,"31*",'BALANCE N'!$H$2:$H$72)+SUMIF('BALANCE N'!$A$2:$A$72,"36*",'BALANCE N'!$G$2:$G$72)-SUMIF('BALANCE N'!$A$2:$A$72,"36*",'BALANCE N'!$H$2:$H$72)+SUMIF('BALANCE N'!$A$2:$A$72,"33*",'BALANCE N'!$G$2:$G$72)-SUMIF('BALANCE N'!$A$2:$A$72,"33*",'BALANCE N'!$H$2:$H$72)+SUMIF('BALANCE N'!$A$2:$A$72,"38*",'BALANCE N'!$G$2:$G$72)-SUMIF('BALANCE N'!$A$2:$A$72,"38*",'BALANCE N'!$H$2:$H$72)+SUMIF('BALANCE N'!$A$2:$A$72,"34*",'BALANCE N'!$G$2:$G$72)-SUMIF('BALANCE N'!$A$2:$A$72,"34*",'BALANCE N'!$H$2:$H$72)+SUMIF('BALANCE N'!$A$2:$A$72,"35*",'BALANCE N'!$G$2:$G$72)-SUMIF('BALANCE N'!$A$2:$A$72,"35*",'BALANCE N'!$H$2:$H$72)+SUMIF('BALANCE N'!$A$2:$A$72,"32*",'BALANCE N'!$G$2:$G$72)-SUMIF('BALANCE N'!$A$2:$A$72,"32*",'BALANCE N'!$H$2:$H$72))-(SUMIF('BALANCE N'!$A$2:$A$72,"39*",'BALANCE N'!$H$2:$H$72)-SUMIF('BALANCE N'!$A$2:$A$72,"39*",'BALANCE N'!$G$2:$G$72)))-((SUMIF('BALANCE N-1'!$A$2:$A$72,"37*",'BALANCE N-1'!$G$2:$G$72)-SUMIF('BALANCE N-1'!$A$2:$A$72,"37*",'BALANCE N-1'!$H$2:$H$72)+SUMIF('BALANCE N-1'!$A$2:$A$72,"31*",'BALANCE N-1'!$G$2:$G$72)-SUMIF('BALANCE N-1'!$A$2:$A$72,"31*",'BALANCE N-1'!$H$2:$H$72)+SUMIF('BALANCE N-1'!$A$2:$A$72,"36*",'BALANCE N-1'!$G$2:$G$72)-SUMIF('BALANCE N-1'!$A$2:$A$72,"36*",'BALANCE N-1'!$H$2:$H$72)+SUMIF('BALANCE N-1'!$A$2:$A$72,"33*",'BALANCE N-1'!$G$2:$G$72)-SUMIF('BALANCE N-1'!$A$2:$A$72,"33*",'BALANCE N-1'!$H$2:$H$72)+SUMIF('BALANCE N-1'!$A$2:$A$72,"38*",'BALANCE N-1'!$G$2:$G$72)-SUMIF('BALANCE N-1'!$A$2:$A$72,"38*",'BALANCE N-1'!$H$2:$H$72)+SUMIF('BALANCE N-1'!$A$2:$A$72,"34*",'BALANCE N-1'!$G$2:$G$72)-SUMIF('BALANCE N-1'!$A$2:$A$72,"34*",'BALANCE N-1'!$H$2:$H$72)+SUMIF('BALANCE N-1'!$A$2:$A$72,"35*",'BALANCE N-1'!$G$2:$G$72)-SUMIF('BALANCE N-1'!$A$2:$A$72,"35*",'BALANCE N-1'!$H$2:$H$72)+SUMIF('BALANCE N-1'!$A$2:$A$72,"32*",'BALANCE N-1'!$G$2:$G$72)-SUMIF('BALANCE N-1'!$A$2:$A$72,"32*",'BALANCE N-1'!$H$2:$H$72))-(SUMIF('BALANCE N-1'!$A$2:$A$72,"39*",'BALANCE N-1'!$H$2:$H$72)-SUMIF('BALANCE N-1'!$A$2:$A$72,"39*",'BALANCE N-1'!$G$2:$G$72))))</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N'!$A$2:$A$72,"409*",'BALANCE N'!$G$2:$G$72)-SUMIF('BALANCE N'!$A$2:$A$72,"409*",'BALANCE N'!$H$2:$H$72))-(SUMIF('BALANCE N'!$A$2:$A$72,"490*",'BALANCE N'!$H$2:$H$72)-SUMIF('BALANCE N'!$A$2:$A$72,"490*",'BALANCE N'!$G$2:$G$72)))-((SUMIF('BALANCE N-1'!$A$2:$A$72,"409*",'BALANCE N-1'!$G$2:$G$72)-SUMIF('BALANCE N-1'!$A$2:$A$72,"409*",'BALANCE N-1'!$H$2:$H$72))-(SUMIF('BALANCE N-1'!$A$2:$A$72,"490*",'BALANCE N-1'!$H$2:$H$72)-SUMIF('BALANCE N-1'!$A$2:$A$72,"490*",'BALANCE N-1'!$G$2:$G$72)))+((SUMIF('BALANCE N'!$A$2:$A$72,"41*",'BALANCE N'!$G$2:$G$72)-SUMIF('BALANCE N'!$A$2:$A$72,"41*",'BALANCE N'!$H$2:$H$72)-SUMIF('BALANCE N'!$A$2:$A$72,"419*",'BALANCE N'!$G$2:$G$72)+SUMIF('BALANCE N'!$A$2:$A$72,"419*",'BALANCE N'!$H$2:$H$72))-(SUMIF('BALANCE N'!$A$2:$A$72,"491*",'BALANCE N'!$H$2:$H$72)-SUMIF('BALANCE N'!$A$2:$A$72,"491*",'BALANCE N'!$G$2:$G$72)))-((SUMIF('BALANCE N-1'!$A$2:$A$72,"41*",'BALANCE N-1'!$G$2:$G$72)-SUMIF('BALANCE N-1'!$A$2:$A$72,"41*",'BALANCE N-1'!$H$2:$H$72)-SUMIF('BALANCE N-1'!$A$2:$A$72,"419*",'BALANCE N-1'!$G$2:$G$72)+SUMIF('BALANCE N-1'!$A$2:$A$72,"419*",'BALANCE N-1'!$H$2:$H$72))-(SUMIF('BALANCE N-1'!$A$2:$A$72,"491*",'BALANCE N-1'!$H$2:$H$72)-SUMIF('BALANCE N-1'!$A$2:$A$72,"491*",'BALANCE N-1'!$G$2:$G$72)))+((SUMIF('BALANCE N'!$A$2:$A$72,"46*",'BALANCE N'!$G$2:$G$72)+SUMIF('BALANCE N'!$A$2:$A$72,"47*",'BALANCE N'!$G$2:$G$72)+SUMIF('BALANCE N'!$A$2:$A$72,"42*",'BALANCE N'!$G$2:$G$72)+SUMIF('BALANCE N'!$A$2:$A$72,"44*",'BALANCE N'!$G$2:$G$72)+SUMIF('BALANCE N'!$A$2:$A$72,"43*",'BALANCE N'!$G$2:$G$72)+SUMIF('BALANCE N'!$A$2:$A$72,"45*",'BALANCE N'!$G$2:$G$72)+SUMIF('BALANCE N'!$A$2:$A$72,"185*",'BALANCE N'!$G$2:$G$72)-SUMIF('BALANCE N'!$A$2:$A$72,"478*",'BALANCE N'!$G$2:$G$72))-(SUMIF('BALANCE N'!$A$2:$A$72,"496*",'BALANCE N'!$H$2:$H$72)-SUMIF('BALANCE N'!$A$2:$A$72,"496*",'BALANCE N'!$G$2:$G$72)+SUMIF('BALANCE N'!$A$2:$A$72,"494*",'BALANCE N'!$H$2:$H$72)-SUMIF('BALANCE N'!$A$2:$A$72,"494*",'BALANCE N'!$G$2:$G$72)+SUMIF('BALANCE N'!$A$2:$A$72,"497*",'BALANCE N'!$H$2:$H$72)-SUMIF('BALANCE N'!$A$2:$A$72,"497*",'BALANCE N'!$G$2:$G$72)+SUMIF('BALANCE N'!$A$2:$A$72,"495*",'BALANCE N'!$H$2:$H$72)-SUMIF('BALANCE N'!$A$2:$A$72,"495*",'BALANCE N'!$G$2:$G$72)+SUMIF('BALANCE N'!$A$2:$A$72,"493*",'BALANCE N'!$H$2:$H$72)-SUMIF('BALANCE N'!$A$2:$A$72,"493*",'BALANCE N'!$G$2:$G$72)+SUMIF('BALANCE N'!$A$2:$A$72,"492*",'BALANCE N'!$H$2:$H$72)-SUMIF('BALANCE N'!$A$2:$A$72,"492*",'BALANCE N'!$G$2:$G$72)))-((SUMIF('BALANCE N-1'!$A$2:$A$72,"46*",'BALANCE N-1'!$G$2:$G$72)+SUMIF('BALANCE N-1'!$A$2:$A$72,"47*",'BALANCE N-1'!$G$2:$G$72)+SUMIF('BALANCE N-1'!$A$2:$A$72,"42*",'BALANCE N-1'!$G$2:$G$72)+SUMIF('BALANCE N-1'!$A$2:$A$72,"44*",'BALANCE N-1'!$G$2:$G$72)+SUMIF('BALANCE N-1'!$A$2:$A$72,"43*",'BALANCE N-1'!$G$2:$G$72)+SUMIF('BALANCE N-1'!$A$2:$A$72,"45*",'BALANCE N-1'!$G$2:$G$72)+SUMIF('BALANCE N-1'!$A$2:$A$72,"185*",'BALANCE N-1'!$G$2:$G$72)-SUMIF('BALANCE N-1'!$A$2:$A$72,"478*",'BALANCE N-1'!$G$2:$G$72))-(SUMIF('BALANCE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N-1'!$G$2:$G$72)))-(SUMIF('BALANCE N'!$A$2:$A$72,"467*",'BALANCE N'!$G$2:$G$72)+SUMIF('BALANCE N'!$A$2:$A$72,"461*",'BALANCE N'!$G$2:$G$72)+SUMIF('BALANCE N'!$A$2:$A$72,"414*",'BALANCE N'!$G$2:$G$72)+SUMIF('BALANCE N'!$A$2:$A$72,"458*",'BALANCE N'!$G$2:$G$72)+SUMIF('BALANCE N'!$A$2:$A$72,"4752*",'BALANCE N'!$G$2:$G$72)+SUMIF('BALANCE N'!$A$2:$A$72,"4494*",'BALANCE N'!$G$2:$G$72)-SUMIF('BALANCE N-1'!$A$2:$A$72,"467*",'BALANCE N-1'!$G$2:$G$72)+SUMIF('BALANCE N-1'!$A$2:$A$72,"461*",'BALANCE N-1'!$G$2:$G$72)+SUMIF('BALANCE N-1'!$A$2:$A$72,"414*",'BALANCE N-1'!$G$2:$G$72)+SUMIF('BALANCE N-1'!$A$2:$A$72,"458*",'BALANCE N-1'!$G$2:$G$72)+SUMIF('BALANCE N-1'!$A$2:$A$72,"4752*",'BALANCE N-1'!$G$2:$G$72)+SUMIF('BALANCE N-1'!$A$2:$A$72,"4494*",'BALANCE N-1'!$G$2:$G$72))+(SUMIF('BALANCE N'!$A$2:$A$72,"47811*",'BALANCE N'!$G$2:$G$72)-SUMIF('BALANCE N-1'!$A$2:$A$72,"47811*",'BALANCE N-1'!$G$2:$G$72))-(SUMIF('BALANCE N'!$A$2:$A$72,"47911*",'BALANCE N'!$H$2:$H$72)-SUMIF('BALANCE N-1'!$A$2:$A$72,"47911*",'BALANCE N-1'!$H$2:$H$72))+SUMIF('BALANCE N'!$A$2:$A$72,"2766*",'BALANCE N'!$E$2:$E$72)+SUMIF('BALANCE N'!$A$2:$A$72,"2714*",'BALANCE N'!$E$2:$E$72))</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N'!$A$2:$A$72,"482*",'BALANCE N'!$H$2:$H$72)-SUMIF('BALANCE N'!$A$2:$A$72,"482*",'BALANCE N'!$G$2:$G$72)+SUMIF('BALANCE N'!$A$2:$A$72,"481*",'BALANCE N'!$H$2:$H$72)-SUMIF('BALANCE N'!$A$2:$A$72,"481*",'BALANCE N'!$G$2:$G$72)+SUMIF('BALANCE N'!$A$2:$A$72,"484*",'BALANCE N'!$H$2:$H$72)-SUMIF('BALANCE N'!$A$2:$A$72,"484*",'BALANCE N'!$G$2:$G$72)+SUMIF('BALANCE N'!$A$2:$A$72,"4998*",'BALANCE N'!$H$2:$H$72)-SUMIF('BALANCE N'!$A$2:$A$72,"4998*",'BALANCE N'!$G$2:$G$72))+(SUMIF('BALANCE N'!$A$2:$A$72,"419*",'BALANCE N'!$H$2:$H$72)-SUMIF('BALANCE N'!$A$2:$A$72,"419*",'BALANCE N'!$G$2:$G$72))+(SUMIF('BALANCE N'!$A$2:$A$72,"40*",'BALANCE N'!$H$2:$H$72)-SUMIF('BALANCE N'!$A$2:$A$72,"40*",'BALANCE N'!$G$2:$G$72)-SUMIF('BALANCE N'!$A$2:$A$72,"409*",'BALANCE N'!$H$2:$H$72)+SUMIF('BALANCE N'!$A$2:$A$72,"409*",'BALANCE N'!$G$2:$G$72))+(SUMIF('BALANCE N'!$A$2:$A$72,"43*",'BALANCE N'!$H$2:$H$72)+SUMIF('BALANCE N'!$A$2:$A$72,"44*",'BALANCE N'!$H$2:$H$72)+SUMIF('BALANCE N'!$A$2:$A$72,"42*",'BALANCE N'!$H$2:$H$72))+(SUMIF('BALANCE N'!$A$2:$A$72,"45*",'BALANCE N'!$H$2:$H$72)+SUMIF('BALANCE N'!$A$2:$A$72,"47*",'BALANCE N'!$H$2:$H$72)+SUMIF('BALANCE N'!$A$2:$A$72,"46*",'BALANCE N'!$H$2:$H$72)+SUMIF('BALANCE N'!$A$2:$A$72,"185*",'BALANCE N'!$H$2:$H$72)-SUMIF('BALANCE N'!$A$2:$A$72,"479*",'BALANCE N'!$H$2:$H$72))+(SUMIF('BALANCE N'!$A$2:$A$72,"599*",'BALANCE N'!$H$2:$H$72)-SUMIF('BALANCE N'!$A$2:$A$72,"599*",'BALANCE N'!$G$2:$G$72)+SUMIF('BALANCE N'!$A$2:$A$72,"499*",'BALANCE N'!$H$2:$H$72)-SUMIF('BALANCE N'!$A$2:$A$72,"499*",'BALANCE N'!$G$2:$G$72)-SUMIF('BALANCE N'!$A$2:$A$72,"4998*",'BALANCE N'!$H$2:$H$72)+SUMIF('BALANCE N'!$A$2:$A$72,"4998*",'BALANCE N'!$G$2:$G$72)))-((SUMIF('BALANCE N-1'!$A$2:$A$72,"482*",'BALANCE N-1'!$H$2:$H$72)-SUMIF('BALANCE N-1'!$A$2:$A$72,"482*",'BALANCE N-1'!$G$2:$G$72)+SUMIF('BALANCE N-1'!$A$2:$A$72,"481*",'BALANCE N-1'!$H$2:$H$72)-SUMIF('BALANCE N-1'!$A$2:$A$72,"481*",'BALANCE N-1'!$G$2:$G$72)+SUMIF('BALANCE N-1'!$A$2:$A$72,"484*",'BALANCE N-1'!$H$2:$H$72)-SUMIF('BALANCE N-1'!$A$2:$A$72,"484*",'BALANCE N-1'!$G$2:$G$72)+SUMIF('BALANCE N-1'!$A$2:$A$72,"4998*",'BALANCE N-1'!$H$2:$H$72)-SUMIF('BALANCE N-1'!$A$2:$A$72,"4998*",'BALANCE N-1'!$G$2:$G$72))+(SUMIF('BALANCE N-1'!$A$2:$A$72,"419*",'BALANCE N-1'!$H$2:$H$72)-SUMIF('BALANCE N-1'!$A$2:$A$72,"419*",'BALANCE N-1'!$G$2:$G$72))+(SUMIF('BALANCE N-1'!$A$2:$A$72,"40*",'BALANCE N-1'!$H$2:$H$72)-SUMIF('BALANCE N-1'!$A$2:$A$72,"40*",'BALANCE N-1'!$G$2:$G$72)-SUMIF('BALANCE N-1'!$A$2:$A$72,"409*",'BALANCE N-1'!$H$2:$H$72)+SUMIF('BALANCE N-1'!$A$2:$A$72,"409*",'BALANCE N-1'!$G$2:$G$72))+(SUMIF('BALANCE N-1'!$A$2:$A$72,"43*",'BALANCE N-1'!$H$2:$H$72)+SUMIF('BALANCE N-1'!$A$2:$A$72,"44*",'BALANCE N-1'!$H$2:$H$72)+SUMIF('BALANCE N-1'!$A$2:$A$72,"42*",'BALANCE N-1'!$H$2:$H$72))+(SUMIF('BALANCE N-1'!$A$2:$A$72,"45*",'BALANCE N-1'!$H$2:$H$72)+SUMIF('BALANCE N-1'!$A$2:$A$72,"47*",'BALANCE N-1'!$H$2:$H$72)+SUMIF('BALANCE N-1'!$A$2:$A$72,"46*",'BALANCE N-1'!$H$2:$H$72)+SUMIF('BALANCE N-1'!$A$2:$A$72,"185*",'BALANCE N-1'!$H$2:$H$72)-SUMIF('BALANCE N-1'!$A$2:$A$72,"479*",'BALANCE N-1'!$H$2:$H$72))+(SUMIF('BALANCE N-1'!$A$2:$A$72,"599*",'BALANCE N-1'!$H$2:$H$72)-SUMIF('BALANCE N-1'!$A$2:$A$72,"599*",'BALANCE N-1'!$G$2:$G$72)+SUMIF('BALANCE N-1'!$A$2:$A$72,"499*",'BALANCE N-1'!$H$2:$H$72)-SUMIF('BALANCE N-1'!$A$2:$A$72,"499*",'BALANCE N-1'!$G$2:$G$72)-SUMIF('BALANCE N-1'!$A$2:$A$72,"4998*",'BALANCE N-1'!$H$2:$H$72)+SUMIF('BALANCE N-1'!$A$2:$A$72,"4998*",'BALANCE N-1'!$G$2:$G$72)))-(SUMIF('BALANCE N'!$A$2:$A$72,"465*",'BALANCE N'!$H$2:$H$72)+SUMIF('BALANCE N'!$A$2:$A$72,"482*",'BALANCE N'!$H$2:$H$72)+SUMIF('BALANCE N'!$A$2:$A$72,"461*",'BALANCE N'!$H$2:$H$72)+SUMIF('BALANCE N'!$A$2:$A$72,"404*",'BALANCE N'!$H$2:$H$72)+SUMIF('BALANCE N'!$A$2:$A$72,"481*",'BALANCE N'!$H$2:$H$72)+SUMIF('BALANCE N'!$A$2:$A$72,"4726*",'BALANCE N'!$H$2:$H$72)-SUMIF('BALANCE N-1'!$A$2:$A$72,"465*",'BALANCE N-1'!$H$2:$H$72)+SUMIF('BALANCE N-1'!$A$2:$A$72,"482*",'BALANCE N-1'!$H$2:$H$72)+SUMIF('BALANCE N-1'!$A$2:$A$72,"461*",'BALANCE N-1'!$H$2:$H$72)+SUMIF('BALANCE N-1'!$A$2:$A$72,"404*",'BALANCE N-1'!$H$2:$H$72)+SUMIF('BALANCE N-1'!$A$2:$A$72,"481*",'BALANCE N-1'!$H$2:$H$72)+SUMIF('BALANCE N-1'!$A$2:$A$72,"4726*",'BALANCE N-1'!$H$2:$H$72))+(SUMIF('BALANCE N'!$A$2:$A$72,"4793*",'BALANCE N'!$H$2:$H$72)-SUMIF('BALANCE N-1'!$A$2:$A$72,"4793*",'BALANCE N-1'!$H$2:$H$72))-(SUMIF('BALANCE N'!$A$2:$A$72,"4783*",'BALANCE N'!$G$2:$G$72)-SUMIF('BALANCE N-1'!$A$2:$A$72,"4783*",'BALANCE N-1'!$G$2:$G$72))+SUMIF('BALANCE N'!$A$2:$A$72,"4752*",'BALANCE N'!$E$2:$E$72)-SUMIF('BALANCE N'!$A$2:$A$72,"4752*",'BALANCE N'!$F$2:$F$72)</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N'!$A$2:$A$72,"211*",'BALANCE N'!$G$2:$G$72)-SUMIF('BALANCE N'!$A$2:$A$72,"211*",'BALANCE N'!$H$2:$H$72)+SUMIF('BALANCE N'!$A$2:$A$72,"2181*",'BALANCE N'!$G$2:$G$72)-SUMIF('BALANCE N'!$A$2:$A$72,"2181*",'BALANCE N'!$H$2:$H$72)+SUMIF('BALANCE N'!$A$2:$A$72,"2191*",'BALANCE N'!$G$2:$G$72)-SUMIF('BALANCE N'!$A$2:$A$72,"2191*",'BALANCE N'!$H$2:$H$72))-(SUMIF('BALANCE N'!$A$2:$A$72,"2918*",'BALANCE N'!$H$2:$H$72)-SUMIF('BALANCE N'!$A$2:$A$72,"2918*",'BALANCE N'!$G$2:$G$72)+SUMIF('BALANCE N'!$A$2:$A$72,"2818*",'BALANCE N'!$H$2:$H$72)-SUMIF('BALANCE N'!$A$2:$A$72,"2818*",'BALANCE N'!$G$2:$G$72)+SUMIF('BALANCE N'!$A$2:$A$72,"2811*",'BALANCE N'!$H$2:$H$72)-SUMIF('BALANCE N'!$A$2:$A$72,"2811*",'BALANCE N'!$G$2:$G$72)+SUMIF('BALANCE N'!$A$2:$A$72,"2911*",'BALANCE N'!$H$2:$H$72)-SUMIF('BALANCE N'!$A$2:$A$72,"2911*",'BALANCE N'!$G$2:$G$72)+SUMIF('BALANCE N'!$A$2:$A$72,"2919*",'BALANCE N'!$H$2:$H$72)-SUMIF('BALANCE N'!$A$2:$A$72,"2919*",'BALANCE N'!$G$2:$G$72)))+((SUMIF('BALANCE N'!$A$2:$A$72,"212*",'BALANCE N'!$G$2:$G$72)-SUMIF('BALANCE N'!$A$2:$A$72,"212*",'BALANCE N'!$H$2:$H$72)+SUMIF('BALANCE N'!$A$2:$A$72,"213*",'BALANCE N'!$G$2:$G$72)-SUMIF('BALANCE N'!$A$2:$A$72,"213*",'BALANCE N'!$H$2:$H$72)+SUMIF('BALANCE N'!$A$2:$A$72,"214*",'BALANCE N'!$G$2:$G$72)-SUMIF('BALANCE N'!$A$2:$A$72,"214*",'BALANCE N'!$H$2:$H$72)+SUMIF('BALANCE N'!$A$2:$A$72,"2193*",'BALANCE N'!$G$2:$G$72)-SUMIF('BALANCE N'!$A$2:$A$72,"2193*",'BALANCE N'!$H$2:$H$72))-(SUMIF('BALANCE N'!$A$2:$A$72,"2813*",'BALANCE N'!$H$2:$H$72)-SUMIF('BALANCE N'!$A$2:$A$72,"2813*",'BALANCE N'!$G$2:$G$72)+SUMIF('BALANCE N'!$A$2:$A$72,"2812*",'BALANCE N'!$H$2:$H$72)-SUMIF('BALANCE N'!$A$2:$A$72,"2812*",'BALANCE N'!$G$2:$G$72)+SUMIF('BALANCE N'!$A$2:$A$72,"2913*",'BALANCE N'!$H$2:$H$72)-SUMIF('BALANCE N'!$A$2:$A$72,"2913*",'BALANCE N'!$G$2:$G$72)+SUMIF('BALANCE N'!$A$2:$A$72,"2912*",'BALANCE N'!$H$2:$H$72)-SUMIF('BALANCE N'!$A$2:$A$72,"2912*",'BALANCE N'!$G$2:$G$72)+SUMIF('BALANCE N'!$A$2:$A$72,"2919*",'BALANCE N'!$H$2:$H$72)-SUMIF('BALANCE N'!$A$2:$A$72,"2919*",'BALANCE N'!$G$2:$G$72)+SUMIF('BALANCE N'!$A$2:$A$72,"2814*",'BALANCE N'!$H$2:$H$72)-SUMIF('BALANCE N'!$A$2:$A$72,"2814*",'BALANCE N'!$G$2:$G$72)+SUMIF('BALANCE N'!$A$2:$A$72,"2914*",'BALANCE N'!$H$2:$H$72)-SUMIF('BALANCE N'!$A$2:$A$72,"2914*",'BALANCE N'!$G$2:$G$72)))+((SUMIF('BALANCE N'!$A$2:$A$72,"215*",'BALANCE N'!$G$2:$G$72)-SUMIF('BALANCE N'!$A$2:$A$72,"215*",'BALANCE N'!$H$2:$H$72)+SUMIF('BALANCE N'!$A$2:$A$72,"216*",'BALANCE N'!$G$2:$G$72)-SUMIF('BALANCE N'!$A$2:$A$72,"216*",'BALANCE N'!$H$2:$H$72))-(SUMIF('BALANCE N'!$A$2:$A$72,"2916*",'BALANCE N'!$H$2:$H$72)-SUMIF('BALANCE N'!$A$2:$A$72,"2916*",'BALANCE N'!$G$2:$G$72)+SUMIF('BALANCE N'!$A$2:$A$72,"2816*",'BALANCE N'!$H$2:$H$72)-SUMIF('BALANCE N'!$A$2:$A$72,"2816*",'BALANCE N'!$G$2:$G$72)+SUMIF('BALANCE N'!$A$2:$A$72,"2815*",'BALANCE N'!$H$2:$H$72)-SUMIF('BALANCE N'!$A$2:$A$72,"2815*",'BALANCE N'!$G$2:$G$72)+SUMIF('BALANCE N'!$A$2:$A$72,"2915*",'BALANCE N'!$H$2:$H$72)-SUMIF('BALANCE N'!$A$2:$A$72,"2915*",'BALANCE N'!$G$2:$G$72)))+((SUMIF('BALANCE N'!$A$2:$A$72,"218*",'BALANCE N'!$G$2:$G$72)-SUMIF('BALANCE N'!$A$2:$A$72,"218*",'BALANCE N'!$H$2:$H$72)+SUMIF('BALANCE N'!$A$2:$A$72,"217*",'BALANCE N'!$G$2:$G$72)-SUMIF('BALANCE N'!$A$2:$A$72,"217*",'BALANCE N'!$H$2:$H$72)+SUMIF('BALANCE N'!$A$2:$A$72,"2198*",'BALANCE N'!$G$2:$G$72)-SUMIF('BALANCE N'!$A$2:$A$72,"2198*",'BALANCE N'!$H$2:$H$72)-SUMIF('BALANCE N'!$A$2:$A$72,"2181*",'BALANCE N'!$G$2:$G$72)+SUMIF('BALANCE N'!$A$2:$A$72,"2181*",'BALANCE N'!$H$2:$H$72))-(SUMIF('BALANCE N'!$A$2:$A$72,"2918*",'BALANCE N'!$H$2:$H$72)-SUMIF('BALANCE N'!$A$2:$A$72,"2918*",'BALANCE N'!$G$2:$G$72)+SUMIF('BALANCE N'!$A$2:$A$72,"2818*",'BALANCE N'!$H$2:$H$72)-SUMIF('BALANCE N'!$A$2:$A$72,"2818*",'BALANCE N'!$G$2:$G$72)+SUMIF('BALANCE N'!$A$2:$A$72,"2917*",'BALANCE N'!$H$2:$H$72)-SUMIF('BALANCE N'!$A$2:$A$72,"2917*",'BALANCE N'!$G$2:$G$72)+SUMIF('BALANCE N'!$A$2:$A$72,"2817*",'BALANCE N'!$H$2:$H$72)-SUMIF('BALANCE N'!$A$2:$A$72,"2817*",'BALANCE N'!$G$2:$G$72)+SUMIF('BALANCE N'!$A$2:$A$72,"2919*",'BALANCE N'!$H$2:$H$72)-SUMIF('BALANCE N'!$A$2:$A$72,"2919*",'BALANCE N'!$G$2:$G$72))))-(((SUMIF('BALANCE N-1'!$A$2:$A$72,"211*",'BALANCE N-1'!$G$2:$G$72)-SUMIF('BALANCE N-1'!$A$2:$A$72,"211*",'BALANCE N-1'!$H$2:$H$72)+SUMIF('BALANCE N-1'!$A$2:$A$72,"2181*",'BALANCE N-1'!$G$2:$G$72)-SUMIF('BALANCE N-1'!$A$2:$A$72,"2181*",'BALANCE N-1'!$H$2:$H$72)+SUMIF('BALANCE N-1'!$A$2:$A$72,"2191*",'BALANCE N-1'!$G$2:$G$72)-SUMIF('BALANCE N-1'!$A$2:$A$72,"2191*",'BALANCE N-1'!$H$2:$H$72))-(SUMIF('BALANCE N-1'!$A$2:$A$72,"2918*",'BALANCE N-1'!$H$2:$H$72)-SUMIF('BALANCE N-1'!$A$2:$A$72,"2918*",'BALANCE N-1'!$G$2:$G$72)+SUMIF('BALANCE N-1'!$A$2:$A$72,"2818*",'BALANCE N-1'!$H$2:$H$72)-SUMIF('BALANCE N-1'!$A$2:$A$72,"2818*",'BALANCE N-1'!$G$2:$G$72)+SUMIF('BALANCE N-1'!$A$2:$A$72,"2811*",'BALANCE N-1'!$H$2:$H$72)-SUMIF('BALANCE N-1'!$A$2:$A$72,"2811*",'BALANCE N-1'!$G$2:$G$72)+SUMIF('BALANCE N-1'!$A$2:$A$72,"2911*",'BALANCE N-1'!$H$2:$H$72)-SUMIF('BALANCE N-1'!$A$2:$A$72,"2911*",'BALANCE N-1'!$G$2:$G$72)+SUMIF('BALANCE N-1'!$A$2:$A$72,"2919*",'BALANCE N-1'!$H$2:$H$72)-SUMIF('BALANCE N-1'!$A$2:$A$72,"2919*",'BALANCE N-1'!$G$2:$G$72)))+((SUMIF('BALANCE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N-1'!$H$2:$H$72))-(SUMIF('BALANCE N-1'!$A$2:$A$72,"2813*",'BALANCE N-1'!$H$2:$H$72)-SUMIF('BALANCE N-1'!$A$2:$A$72,"2813*",'BALANCE N-1'!$G$2:$G$72)+SUMIF('BALANCE N-1'!$A$2:$A$72,"2812*",'BALANCE N-1'!$H$2:$H$72)-SUMIF('BALANCE N-1'!$A$2:$A$72,"2812*",'BALANCE N-1'!$G$2:$G$72)+SUMIF('BALANCE N-1'!$A$2:$A$72,"2913*",'BALANCE N-1'!$H$2:$H$72)-SUMIF('BALANCE N-1'!$A$2:$A$72,"2913*",'BALANCE N-1'!$G$2:$G$72)+SUMIF('BALANCE N-1'!$A$2:$A$72,"2912*",'BALANCE N-1'!$H$2:$H$72)-SUMIF('BALANCE N-1'!$A$2:$A$72,"2912*",'BALANCE N-1'!$G$2:$G$72)+SUMIF('BALANCE N-1'!$A$2:$A$72,"2919*",'BALANCE N-1'!$H$2:$H$72)-SUMIF('BALANCE N-1'!$A$2:$A$72,"2919*",'BALANCE N-1'!$G$2:$G$72)+SUMIF('BALANCE N-1'!$A$2:$A$72,"2814*",'BALANCE N-1'!$H$2:$H$72)-SUMIF('BALANCE N-1'!$A$2:$A$72,"2814*",'BALANCE N-1'!$G$2:$G$72)+SUMIF('BALANCE N-1'!$A$2:$A$72,"2914*",'BALANCE N-1'!$H$2:$H$72)-SUMIF('BALANCE N-1'!$A$2:$A$72,"2914*",'BALANCE N-1'!$G$2:$G$72)))+((SUMIF('BALANCE N-1'!$A$2:$A$72,"215*",'BALANCE N-1'!$G$2:$G$72)-SUMIF('BALANCE N-1'!$A$2:$A$72,"215*",'BALANCE N-1'!$H$2:$H$72)+SUMIF('BALANCE N-1'!$A$2:$A$72,"216*",'BALANCE N-1'!$G$2:$G$72)-SUMIF('BALANCE N-1'!$A$2:$A$72,"216*",'BALANCE N-1'!$H$2:$H$72))-(SUMIF('BALANCE N-1'!$A$2:$A$72,"2916*",'BALANCE N-1'!$H$2:$H$72)-SUMIF('BALANCE N-1'!$A$2:$A$72,"2916*",'BALANCE N-1'!$G$2:$G$72)+SUMIF('BALANCE N-1'!$A$2:$A$72,"2816*",'BALANCE N-1'!$H$2:$H$72)-SUMIF('BALANCE N-1'!$A$2:$A$72,"2816*",'BALANCE N-1'!$G$2:$G$72)+SUMIF('BALANCE N-1'!$A$2:$A$72,"2815*",'BALANCE N-1'!$H$2:$H$72)-SUMIF('BALANCE N-1'!$A$2:$A$72,"2815*",'BALANCE N-1'!$G$2:$G$72)+SUMIF('BALANCE N-1'!$A$2:$A$72,"2915*",'BALANCE N-1'!$H$2:$H$72)-SUMIF('BALANCE N-1'!$A$2:$A$72,"2915*",'BALANCE N-1'!$G$2:$G$72)))+((SUMIF('BALANCE N-1'!$A$2:$A$72,"218*",'BALANCE N-1'!$G$2:$G$72)-SUMIF('BALANCE N-1'!$A$2:$A$72,"218*",'BALANCE N-1'!$H$2:$H$72)+SUMIF('BALANCE N-1'!$A$2:$A$72,"217*",'BALANCE N-1'!$G$2:$G$72)-SUMIF('BALANCE N-1'!$A$2:$A$72,"217*",'BALANCE N-1'!$H$2:$H$72)+SUMIF('BALANCE N-1'!$A$2:$A$72,"2198*",'BALANCE N-1'!$G$2:$G$72)-SUMIF('BALANCE N-1'!$A$2:$A$72,"2198*",'BALANCE N-1'!$H$2:$H$72)-SUMIF('BALANCE N-1'!$A$2:$A$72,"2181*",'BALANCE N-1'!$G$2:$G$72)+SUMIF('BALANCE N-1'!$A$2:$A$72,"2181*",'BALANCE N-1'!$H$2:$H$72))-(SUMIF('BALANCE N-1'!$A$2:$A$72,"2918*",'BALANCE N-1'!$H$2:$H$72)-SUMIF('BALANCE N-1'!$A$2:$A$72,"2918*",'BALANCE N-1'!$G$2:$G$72)+SUMIF('BALANCE N-1'!$A$2:$A$72,"2818*",'BALANCE N-1'!$H$2:$H$72)-SUMIF('BALANCE N-1'!$A$2:$A$72,"2818*",'BALANCE N-1'!$G$2:$G$72)+SUMIF('BALANCE N-1'!$A$2:$A$72,"2917*",'BALANCE N-1'!$H$2:$H$72)-SUMIF('BALANCE N-1'!$A$2:$A$72,"2917*",'BALANCE N-1'!$G$2:$G$72)+SUMIF('BALANCE N-1'!$A$2:$A$72,"2817*",'BALANCE N-1'!$H$2:$H$72)-SUMIF('BALANCE N-1'!$A$2:$A$72,"2817*",'BALANCE N-1'!$G$2:$G$72)+SUMIF('BALANCE N-1'!$A$2:$A$72,"2919*",'BALANCE N-1'!$H$2:$H$72)-SUMIF('BALANCE N-1'!$A$2:$A$72,"2919*",'BALANCE N-1'!$G$2:$G$72))))+SUMIF('BALANCE N'!$A$2:$A$72,"251*",'BALANCE N'!$E$2:$E$72)-SUMIF('BALANCE N'!$A$2:$A$72,"251*",'BALANCE N'!$F$2:$F$72)+SUMIF('BALANCE N'!$A$2:$A$72,"281*",'BALANCE N'!$E$2:$E$72)+SUMIF('BALANCE N'!$A$2:$A$72,"4046*",'BALANCE N'!$E$2:$E$72)+SUMIF('BALANCE N'!$A$2:$A$72,"4041*",'BALANCE N'!$E$2:$E$72)+SUMIF('BALANCE N'!$A$2:$A$72,"4821*",'BALANCE N'!$E$2:$E$72)+SUMIF('BALANCE N'!$A$2:$A$72,"4811*",'BALANCE N'!$E$2:$E$72)+SUMIF('BALANCE N'!$A$2:$A$72,"48161*",'BALANCE N'!$E$2:$E$72)+SUMIF('BALANCE N'!$A$2:$A$72,"48171*",'BALANCE N'!$E$2:$E$72)+SUMIF('BALANCE N'!$A$2:$A$72,"48181*",'BALANCE N'!$E$2:$E$72)-SUMIF('BALANCE N'!$A$2:$A$72,"4046*",'BALANCE N'!$F$2:$F$72)+SUMIF('BALANCE N'!$A$2:$A$72,"4041*",'BALANCE N'!$F$2:$F$72)+SUMIF('BALANCE N'!$A$2:$A$72,"4821*",'BALANCE N'!$F$2:$F$72)+SUMIF('BALANCE N'!$A$2:$A$72,"4811*",'BALANCE N'!$F$2:$F$72)+SUMIF('BALANCE N'!$A$2:$A$72,"48161*",'BALANCE N'!$F$2:$F$72)+SUMIF('BALANCE N'!$A$2:$A$72,"48171*",'BALANCE N'!$F$2:$F$72)+SUMIF('BALANCE N'!$A$2:$A$72,"48181*",'BALANCE N'!$F$2:$F$72)+SUMIF('BALANCE N'!$A$2:$A$72,"811*",'BALANCE N'!$G$2:$G$72)+SUMIF('BALANCE N'!$A$2:$A$72,"6541*",'BALANCE N'!$G$2:$G$72)</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N'!$A$2:$A$72,"22*",'BALANCE N'!$G$2:$G$72)-SUMIF('BALANCE N'!$A$2:$A$72,"22*",'BALANCE N'!$H$2:$H$72))-(SUMIF('BALANCE N'!$A$2:$A$72,"282*",'BALANCE N'!$H$2:$H$72)-SUMIF('BALANCE N'!$A$2:$A$72,"282*",'BALANCE N'!$G$2:$G$72)+SUMIF('BALANCE N'!$A$2:$A$72,"292*",'BALANCE N'!$H$2:$H$72)-SUMIF('BALANCE N'!$A$2:$A$72,"292*",'BALANCE N'!$G$2:$G$72)))+((SUMIF('BALANCE N'!$A$2:$A$72,"237*",'BALANCE N'!$G$2:$G$72)-SUMIF('BALANCE N'!$A$2:$A$72,"237*",'BALANCE N'!$H$2:$H$72)+SUMIF('BALANCE N'!$A$2:$A$72,"232*",'BALANCE N'!$G$2:$G$72)-SUMIF('BALANCE N'!$A$2:$A$72,"232*",'BALANCE N'!$H$2:$H$72)+SUMIF('BALANCE N'!$A$2:$A$72,"233*",'BALANCE N'!$G$2:$G$72)-SUMIF('BALANCE N'!$A$2:$A$72,"233*",'BALANCE N'!$H$2:$H$72)+SUMIF('BALANCE N'!$A$2:$A$72,"231*",'BALANCE N'!$G$2:$G$72)-SUMIF('BALANCE N'!$A$2:$A$72,"231*",'BALANCE N'!$H$2:$H$72)+SUMIF('BALANCE N'!$A$2:$A$72,"2391*",'BALANCE N'!$G$2:$G$72)-SUMIF('BALANCE N'!$A$2:$A$72,"2391*",'BALANCE N'!$H$2:$H$72))-(SUMIF('BALANCE N'!$A$2:$A$72,"2832*",'BALANCE N'!$H$2:$H$72)-SUMIF('BALANCE N'!$A$2:$A$72,"2832*",'BALANCE N'!$G$2:$G$72)+SUMIF('BALANCE N'!$A$2:$A$72,"2939*",'BALANCE N'!$H$2:$H$72)-SUMIF('BALANCE N'!$A$2:$A$72,"2939*",'BALANCE N'!$G$2:$G$72)+SUMIF('BALANCE N'!$A$2:$A$72,"2931*",'BALANCE N'!$H$2:$H$72)-SUMIF('BALANCE N'!$A$2:$A$72,"2931*",'BALANCE N'!$G$2:$G$72)+SUMIF('BALANCE N'!$A$2:$A$72,"2831*",'BALANCE N'!$H$2:$H$72)-SUMIF('BALANCE N'!$A$2:$A$72,"2831*",'BALANCE N'!$G$2:$G$72)+SUMIF('BALANCE N'!$A$2:$A$72,"2833*",'BALANCE N'!$H$2:$H$72)-SUMIF('BALANCE N'!$A$2:$A$72,"2833*",'BALANCE N'!$G$2:$G$72)+SUMIF('BALANCE N'!$A$2:$A$72,"2937*",'BALANCE N'!$H$2:$H$72)-SUMIF('BALANCE N'!$A$2:$A$72,"2937*",'BALANCE N'!$G$2:$G$72)+SUMIF('BALANCE N'!$A$2:$A$72,"2933*",'BALANCE N'!$H$2:$H$72)-SUMIF('BALANCE N'!$A$2:$A$72,"2933*",'BALANCE N'!$G$2:$G$72)+SUMIF('BALANCE N'!$A$2:$A$72,"2837*",'BALANCE N'!$H$2:$H$72)-SUMIF('BALANCE N'!$A$2:$A$72,"2837*",'BALANCE N'!$G$2:$G$72)+SUMIF('BALANCE N'!$A$2:$A$72,"2932*",'BALANCE N'!$H$2:$H$72)-SUMIF('BALANCE N'!$A$2:$A$72,"2932*",'BALANCE N'!$G$2:$G$72)))+((SUMIF('BALANCE N'!$A$2:$A$72,"235*",'BALANCE N'!$G$2:$G$72)-SUMIF('BALANCE N'!$A$2:$A$72,"235*",'BALANCE N'!$H$2:$H$72)+SUMIF('BALANCE N'!$A$2:$A$72,"234*",'BALANCE N'!$G$2:$G$72)-SUMIF('BALANCE N'!$A$2:$A$72,"234*",'BALANCE N'!$H$2:$H$72)+SUMIF('BALANCE N'!$A$2:$A$72,"238*",'BALANCE N'!$G$2:$G$72)-SUMIF('BALANCE N'!$A$2:$A$72,"238*",'BALANCE N'!$H$2:$H$72)+SUMIF('BALANCE N'!$A$2:$A$72,"2392*",'BALANCE N'!$G$2:$G$72)-SUMIF('BALANCE N'!$A$2:$A$72,"2392*",'BALANCE N'!$H$2:$H$72)+SUMIF('BALANCE N'!$A$2:$A$72,"2393*",'BALANCE N'!$G$2:$G$72)-SUMIF('BALANCE N'!$A$2:$A$72,"2393*",'BALANCE N'!$H$2:$H$72))-(SUMIF('BALANCE N'!$A$2:$A$72,"2838*",'BALANCE N'!$H$2:$H$72)-SUMIF('BALANCE N'!$A$2:$A$72,"2838*",'BALANCE N'!$G$2:$G$72)+SUMIF('BALANCE N'!$A$2:$A$72,"2939*",'BALANCE N'!$H$2:$H$72)-SUMIF('BALANCE N'!$A$2:$A$72,"2939*",'BALANCE N'!$G$2:$G$72)+SUMIF('BALANCE N'!$A$2:$A$72,"2934*",'BALANCE N'!$H$2:$H$72)-SUMIF('BALANCE N'!$A$2:$A$72,"2934*",'BALANCE N'!$G$2:$G$72)+SUMIF('BALANCE N'!$A$2:$A$72,"2935*",'BALANCE N'!$H$2:$H$72)-SUMIF('BALANCE N'!$A$2:$A$72,"2935*",'BALANCE N'!$G$2:$G$72)+SUMIF('BALANCE N'!$A$2:$A$72,"2835*",'BALANCE N'!$H$2:$H$72)-SUMIF('BALANCE N'!$A$2:$A$72,"2835*",'BALANCE N'!$G$2:$G$72)+SUMIF('BALANCE N'!$A$2:$A$72,"2834*",'BALANCE N'!$H$2:$H$72)-SUMIF('BALANCE N'!$A$2:$A$72,"2834*",'BALANCE N'!$G$2:$G$72)+SUMIF('BALANCE N'!$A$2:$A$72,"2938*",'BALANCE N'!$H$2:$H$72)-SUMIF('BALANCE N'!$A$2:$A$72,"2938*",'BALANCE N'!$G$2:$G$72)))+((SUMIF('BALANCE N'!$A$2:$A$72,"24*",'BALANCE N'!$G$2:$G$72)-SUMIF('BALANCE N'!$A$2:$A$72,"24*",'BALANCE N'!$H$2:$H$72)-SUMIF('BALANCE N'!$A$2:$A$72,"245*",'BALANCE N'!$G$2:$G$72)+SUMIF('BALANCE N'!$A$2:$A$72,"245*",'BALANCE N'!$H$2:$H$72)-SUMIF('BALANCE N'!$A$2:$A$72,"2495*",'BALANCE N'!$G$2:$G$72)+SUMIF('BALANCE N'!$A$2:$A$72,"2495*",'BALANCE N'!$H$2:$H$72))-(SUMIF('BALANCE N'!$A$2:$A$72,"294*",'BALANCE N'!$H$2:$H$72)-SUMIF('BALANCE N'!$A$2:$A$72,"294*",'BALANCE N'!$G$2:$G$72)+SUMIF('BALANCE N'!$A$2:$A$72,"284*",'BALANCE N'!$H$2:$H$72)-SUMIF('BALANCE N'!$A$2:$A$72,"284*",'BALANCE N'!$G$2:$G$72)-SUMIF('BALANCE N'!$A$2:$A$72,"2949*",'BALANCE N'!$H$2:$H$72)+SUMIF('BALANCE N'!$A$2:$A$72,"2949*",'BALANCE N'!$G$2:$G$72)-SUMIF('BALANCE N'!$A$2:$A$72,"2945*",'BALANCE N'!$H$2:$H$72)+SUMIF('BALANCE N'!$A$2:$A$72,"2945*",'BALANCE N'!$G$2:$G$72)-SUMIF('BALANCE N'!$A$2:$A$72,"2845*",'BALANCE N'!$H$2:$H$72)+SUMIF('BALANCE N'!$A$2:$A$72,"2845*",'BALANCE N'!$G$2:$G$72)))+((SUMIF('BALANCE N'!$A$2:$A$72,"245*",'BALANCE N'!$G$2:$G$72)-SUMIF('BALANCE N'!$A$2:$A$72,"245*",'BALANCE N'!$H$2:$H$72)+SUMIF('BALANCE N'!$A$2:$A$72,"2495*",'BALANCE N'!$G$2:$G$72)-SUMIF('BALANCE N'!$A$2:$A$72,"2495*",'BALANCE N'!$H$2:$H$72))-(SUMIF('BALANCE N'!$A$2:$A$72,"2949*",'BALANCE N'!$H$2:$H$72)-SUMIF('BALANCE N'!$A$2:$A$72,"2949*",'BALANCE N'!$G$2:$G$72)+SUMIF('BALANCE N'!$A$2:$A$72,"2945*",'BALANCE N'!$H$2:$H$72)-SUMIF('BALANCE N'!$A$2:$A$72,"2945*",'BALANCE N'!$G$2:$G$72)+SUMIF('BALANCE N'!$A$2:$A$72,"2845*",'BALANCE N'!$H$2:$H$72)-SUMIF('BALANCE N'!$A$2:$A$72,"2845*",'BALANCE N'!$G$2:$G$72)))+((SUMIF('BALANCE N'!$A$2:$A$72,"252*",'BALANCE N'!$G$2:$G$72)-SUMIF('BALANCE N'!$A$2:$A$72,"252*",'BALANCE N'!$H$2:$H$72)+SUMIF('BALANCE N'!$A$2:$A$72,"251*",'BALANCE N'!$G$2:$G$72)-SUMIF('BALANCE N'!$A$2:$A$72,"251*",'BALANCE N'!$H$2:$H$72))-(SUMIF('BALANCE N'!$A$2:$A$72,"2952*",'BALANCE N'!$H$2:$H$72)-SUMIF('BALANCE N'!$A$2:$A$72,"2952*",'BALANCE N'!$G$2:$G$72)+SUMIF('BALANCE N'!$A$2:$A$72,"2951*",'BALANCE N'!$H$2:$H$72)-SUMIF('BALANCE N'!$A$2:$A$72,"2951*",'BALANCE N'!$G$2:$G$72))))-(((SUMIF('BALANCE N-1'!$A$2:$A$72,"22*",'BALANCE N-1'!$G$2:$G$72)-SUMIF('BALANCE N-1'!$A$2:$A$72,"22*",'BALANCE N-1'!$H$2:$H$72))-(SUMIF('BALANCE N-1'!$A$2:$A$72,"282*",'BALANCE N-1'!$H$2:$H$72)-SUMIF('BALANCE N-1'!$A$2:$A$72,"282*",'BALANCE N-1'!$G$2:$G$72)+SUMIF('BALANCE N-1'!$A$2:$A$72,"292*",'BALANCE N-1'!$H$2:$H$72)-SUMIF('BALANCE N-1'!$A$2:$A$72,"292*",'BALANCE N-1'!$G$2:$G$72)))+((SUMIF('BALANCE N-1'!$A$2:$A$72,"237*",'BALANCE N-1'!$G$2:$G$72)-SUMIF('BALANCE N-1'!$A$2:$A$72,"237*",'BALANCE N-1'!$H$2:$H$72)+SUMIF('BALANCE N-1'!$A$2:$A$72,"232*",'BALANCE N-1'!$G$2:$G$72)-SUMIF('BALANCE N-1'!$A$2:$A$72,"232*",'BALANCE N-1'!$H$2:$H$72)+SUMIF('BALANCE N-1'!$A$2:$A$72,"233*",'BALANCE N-1'!$G$2:$G$72)-SUMIF('BALANCE N-1'!$A$2:$A$72,"233*",'BALANCE N-1'!$H$2:$H$72)+SUMIF('BALANCE N-1'!$A$2:$A$72,"231*",'BALANCE N-1'!$G$2:$G$72)-SUMIF('BALANCE N-1'!$A$2:$A$72,"231*",'BALANCE N-1'!$H$2:$H$72)+SUMIF('BALANCE N-1'!$A$2:$A$72,"2391*",'BALANCE N-1'!$G$2:$G$72)-SUMIF('BALANCE N-1'!$A$2:$A$72,"2391*",'BALANCE N-1'!$H$2:$H$72))-(SUMIF('BALANCE N-1'!$A$2:$A$72,"2832*",'BALANCE N-1'!$H$2:$H$72)-SUMIF('BALANCE N-1'!$A$2:$A$72,"2832*",'BALANCE N-1'!$G$2:$G$72)+SUMIF('BALANCE N-1'!$A$2:$A$72,"2939*",'BALANCE N-1'!$H$2:$H$72)-SUMIF('BALANCE N-1'!$A$2:$A$72,"2939*",'BALANCE N-1'!$G$2:$G$72)+SUMIF('BALANCE N-1'!$A$2:$A$72,"2931*",'BALANCE N-1'!$H$2:$H$72)-SUMIF('BALANCE N-1'!$A$2:$A$72,"2931*",'BALANCE N-1'!$G$2:$G$72)+SUMIF('BALANCE N-1'!$A$2:$A$72,"2831*",'BALANCE N-1'!$H$2:$H$72)-SUMIF('BALANCE N-1'!$A$2:$A$72,"2831*",'BALANCE N-1'!$G$2:$G$72)+SUMIF('BALANCE N-1'!$A$2:$A$72,"2833*",'BALANCE N-1'!$H$2:$H$72)-SUMIF('BALANCE N-1'!$A$2:$A$72,"2833*",'BALANCE N-1'!$G$2:$G$72)+SUMIF('BALANCE N-1'!$A$2:$A$72,"2937*",'BALANCE N-1'!$H$2:$H$72)-SUMIF('BALANCE N-1'!$A$2:$A$72,"2937*",'BALANCE N-1'!$G$2:$G$72)+SUMIF('BALANCE N-1'!$A$2:$A$72,"2933*",'BALANCE N-1'!$H$2:$H$72)-SUMIF('BALANCE N-1'!$A$2:$A$72,"2933*",'BALANCE N-1'!$G$2:$G$72)+SUMIF('BALANCE N-1'!$A$2:$A$72,"2837*",'BALANCE N-1'!$H$2:$H$72)-SUMIF('BALANCE N-1'!$A$2:$A$72,"2837*",'BALANCE N-1'!$G$2:$G$72)+SUMIF('BALANCE N-1'!$A$2:$A$72,"2932*",'BALANCE N-1'!$H$2:$H$72)-SUMIF('BALANCE N-1'!$A$2:$A$72,"2932*",'BALANCE N-1'!$G$2:$G$72)))+((SUMIF('BALANCE N-1'!$A$2:$A$72,"235*",'BALANCE N-1'!$G$2:$G$72)-SUMIF('BALANCE N-1'!$A$2:$A$72,"235*",'BALANCE N-1'!$H$2:$H$72)+SUMIF('BALANCE N-1'!$A$2:$A$72,"234*",'BALANCE N-1'!$G$2:$G$72)-SUMIF('BALANCE N-1'!$A$2:$A$72,"234*",'BALANCE N-1'!$H$2:$H$72)+SUMIF('BALANCE N-1'!$A$2:$A$72,"238*",'BALANCE N-1'!$G$2:$G$72)-SUMIF('BALANCE N-1'!$A$2:$A$72,"238*",'BALANCE N-1'!$H$2:$H$72)+SUMIF('BALANCE N-1'!$A$2:$A$72,"2392*",'BALANCE N-1'!$G$2:$G$72)-SUMIF('BALANCE N-1'!$A$2:$A$72,"2392*",'BALANCE N-1'!$H$2:$H$72)+SUMIF('BALANCE N-1'!$A$2:$A$72,"2393*",'BALANCE N-1'!$G$2:$G$72)-SUMIF('BALANCE N-1'!$A$2:$A$72,"2393*",'BALANCE N-1'!$H$2:$H$72))-(SUMIF('BALANCE N-1'!$A$2:$A$72,"2838*",'BALANCE N-1'!$H$2:$H$72)-SUMIF('BALANCE N-1'!$A$2:$A$72,"2838*",'BALANCE N-1'!$G$2:$G$72)+SUMIF('BALANCE N-1'!$A$2:$A$72,"2939*",'BALANCE N-1'!$H$2:$H$72)-SUMIF('BALANCE N-1'!$A$2:$A$72,"2939*",'BALANCE N-1'!$G$2:$G$72)+SUMIF('BALANCE N-1'!$A$2:$A$72,"2934*",'BALANCE N-1'!$H$2:$H$72)-SUMIF('BALANCE N-1'!$A$2:$A$72,"2934*",'BALANCE N-1'!$G$2:$G$72)+SUMIF('BALANCE N-1'!$A$2:$A$72,"2935*",'BALANCE N-1'!$H$2:$H$72)-SUMIF('BALANCE N-1'!$A$2:$A$72,"2935*",'BALANCE N-1'!$G$2:$G$72)+SUMIF('BALANCE N-1'!$A$2:$A$72,"2835*",'BALANCE N-1'!$H$2:$H$72)-SUMIF('BALANCE N-1'!$A$2:$A$72,"2835*",'BALANCE N-1'!$G$2:$G$72)+SUMIF('BALANCE N-1'!$A$2:$A$72,"2834*",'BALANCE N-1'!$H$2:$H$72)-SUMIF('BALANCE N-1'!$A$2:$A$72,"2834*",'BALANCE N-1'!$G$2:$G$72)+SUMIF('BALANCE N-1'!$A$2:$A$72,"2938*",'BALANCE N-1'!$H$2:$H$72)-SUMIF('BALANCE N-1'!$A$2:$A$72,"2938*",'BALANCE N-1'!$G$2:$G$72)))+((SUMIF('BALANCE N-1'!$A$2:$A$72,"24*",'BALANCE N-1'!$G$2:$G$72)-SUMIF('BALANCE N-1'!$A$2:$A$72,"24*",'BALANCE N-1'!$H$2:$H$72)-SUMIF('BALANCE N-1'!$A$2:$A$72,"245*",'BALANCE N-1'!$G$2:$G$72)+SUMIF('BALANCE N-1'!$A$2:$A$72,"245*",'BALANCE N-1'!$H$2:$H$72)-SUMIF('BALANCE N-1'!$A$2:$A$72,"2495*",'BALANCE N-1'!$G$2:$G$72)+SUMIF('BALANCE N-1'!$A$2:$A$72,"2495*",'BALANCE N-1'!$H$2:$H$72))-(SUMIF('BALANCE N-1'!$A$2:$A$72,"294*",'BALANCE N-1'!$H$2:$H$72)-SUMIF('BALANCE N-1'!$A$2:$A$72,"294*",'BALANCE N-1'!$G$2:$G$72)+SUMIF('BALANCE N-1'!$A$2:$A$72,"284*",'BALANCE N-1'!$H$2:$H$72)-SUMIF('BALANCE N-1'!$A$2:$A$72,"284*",'BALANCE N-1'!$G$2:$G$72)-SUMIF('BALANCE N-1'!$A$2:$A$72,"2949*",'BALANCE N-1'!$H$2:$H$72)+SUMIF('BALANCE N-1'!$A$2:$A$72,"2949*",'BALANCE N-1'!$G$2:$G$72)-SUMIF('BALANCE N-1'!$A$2:$A$72,"2945*",'BALANCE N-1'!$H$2:$H$72)+SUMIF('BALANCE N-1'!$A$2:$A$72,"2945*",'BALANCE N-1'!$G$2:$G$72)-SUMIF('BALANCE N-1'!$A$2:$A$72,"2845*",'BALANCE N-1'!$H$2:$H$72)+SUMIF('BALANCE N-1'!$A$2:$A$72,"2845*",'BALANCE N-1'!$G$2:$G$72)))+((SUMIF('BALANCE N-1'!$A$2:$A$72,"245*",'BALANCE N-1'!$G$2:$G$72)-SUMIF('BALANCE N-1'!$A$2:$A$72,"245*",'BALANCE N-1'!$H$2:$H$72)+SUMIF('BALANCE N-1'!$A$2:$A$72,"2495*",'BALANCE N-1'!$G$2:$G$72)-SUMIF('BALANCE N-1'!$A$2:$A$72,"2495*",'BALANCE N-1'!$H$2:$H$72))-(SUMIF('BALANCE N-1'!$A$2:$A$72,"2949*",'BALANCE N-1'!$H$2:$H$72)-SUMIF('BALANCE N-1'!$A$2:$A$72,"2949*",'BALANCE N-1'!$G$2:$G$72)+SUMIF('BALANCE N-1'!$A$2:$A$72,"2945*",'BALANCE N-1'!$H$2:$H$72)-SUMIF('BALANCE N-1'!$A$2:$A$72,"2945*",'BALANCE N-1'!$G$2:$G$72)+SUMIF('BALANCE N-1'!$A$2:$A$72,"2845*",'BALANCE N-1'!$H$2:$H$72)-SUMIF('BALANCE N-1'!$A$2:$A$72,"2845*",'BALANCE N-1'!$G$2:$G$72)))+((SUMIF('BALANCE N-1'!$A$2:$A$72,"252*",'BALANCE N-1'!$G$2:$G$72)-SUMIF('BALANCE N-1'!$A$2:$A$72,"252*",'BALANCE N-1'!$H$2:$H$72)+SUMIF('BALANCE N-1'!$A$2:$A$72,"251*",'BALANCE N-1'!$G$2:$G$72)-SUMIF('BALANCE N-1'!$A$2:$A$72,"251*",'BALANCE N-1'!$H$2:$H$72))-(SUMIF('BALANCE N-1'!$A$2:$A$72,"2952*",'BALANCE N-1'!$H$2:$H$72)-SUMIF('BALANCE N-1'!$A$2:$A$72,"2952*",'BALANCE N-1'!$G$2:$G$72)+SUMIF('BALANCE N-1'!$A$2:$A$72,"2951*",'BALANCE N-1'!$H$2:$H$72)-SUMIF('BALANCE N-1'!$A$2:$A$72,"2951*",'BALANCE N-1'!$G$2:$G$72))))+SUMIF('BALANCE N'!$A$2:$A$72,"252*",'BALANCE N'!$E$2:$E$72)-SUMIF('BALANCE N'!$A$2:$A$72,"252*",'BALANCE N'!$F$2:$F$72)+SUMIF('BALANCE N'!$A$2:$A$72,"283*",'BALANCE N'!$E$2:$E$72)+SUMIF('BALANCE N'!$A$2:$A$72,"282*",'BALANCE N'!$E$2:$E$72)+SUMIF('BALANCE N'!$A$2:$A$72,"284*",'BALANCE N'!$E$2:$E$72)+SUMIF('BALANCE N'!$A$2:$A$72,"4822*",'BALANCE N'!$E$2:$E$72)+SUMIF('BALANCE N'!$A$2:$A$72,"4812*",'BALANCE N'!$E$2:$E$72)+SUMIF('BALANCE N'!$A$2:$A$72,"4042*",'BALANCE N'!$E$2:$E$72)+SUMIF('BALANCE N'!$A$2:$A$72,"4047*",'BALANCE N'!$E$2:$E$72)+SUMIF('BALANCE N'!$A$2:$A$72,"48162*",'BALANCE N'!$E$2:$E$72)+SUMIF('BALANCE N'!$A$2:$A$72,"48172*",'BALANCE N'!$E$2:$E$72)+SUMIF('BALANCE N'!$A$2:$A$72,"48182*",'BALANCE N'!$E$2:$E$72)-SUMIF('BALANCE N'!$A$2:$A$72,"17*",'BALANCE N'!$F$2:$F$72)+SUMIF('BALANCE N'!$A$2:$A$72,"4822*",'BALANCE N'!$F$2:$F$72)+SUMIF('BALANCE N'!$A$2:$A$72,"4812*",'BALANCE N'!$F$2:$F$72)+SUMIF('BALANCE N'!$A$2:$A$72,"4042*",'BALANCE N'!$F$2:$F$72)+SUMIF('BALANCE N'!$A$2:$A$72,"4047*",'BALANCE N'!$F$2:$F$72)+SUMIF('BALANCE N'!$A$2:$A$72,"19842*",'BALANCE N'!$F$2:$F$72)+SUMIF('BALANCE N'!$A$2:$A$72,"48162*",'BALANCE N'!$F$2:$F$72)+SUMIF('BALANCE N'!$A$2:$A$72,"48172*",'BALANCE N'!$F$2:$F$72)+SUMIF('BALANCE N'!$A$2:$A$72,"48182*",'BALANCE N'!$F$2:$F$72)-SUMIF('BALANCE N'!$A$2:$A$72,"106*",'BALANCE N'!$F$2:$F$72)+SUMIF('BALANCE N'!$A$2:$A$72,"154*",'BALANCE N'!$F$2:$F$72)+SUMIF('BALANCE N'!$A$2:$A$72,"812*",'BALANCE N'!$G$2:$G$72)+SUMIF('BALANCE N'!$A$2:$A$72,"6542*",'BALANCE N'!$G$2:$G$72)</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N'!$A$2:$A$72,"26*",'BALANCE N'!$E$2:$E$72)+SUMIF('BALANCE N'!$A$2:$A$72,"27*",'BALANCE N'!$E$2:$E$72)-SUMIF('BALANCE N'!$A$2:$A$72,"2766*",'BALANCE N'!$E$2:$E$72)-SUMIF('BALANCE N'!$A$2:$A$72,"2714*",'BALANCE N'!$E$2:$E$72)+SUMIF('BALANCE N'!$A$2:$A$72,"4813*",'BALANCE N'!$E$2:$E$72)-SUMIF('BALANCE N'!$A$2:$A$72,"4813*",'BALANCE N'!$F$2:$F$72)-SUMIF('BALANCE N'!$A$2:$A$72,"106*",'BALANCE N'!$F$2:$F$72)+SUMIF('BALANCE N'!$A$2:$A$72,"154*",'BALANCE N'!$F$2:$F$72)+SUMIF('BALANCE N'!$A$2:$A$72,"4782*",'BALANCE N'!$G$2:$G$72)-SUMIF('BALANCE N'!$A$2:$A$72,"4792*",'BALANCE N'!$H$2:$H$72)</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N'!$A$2:$A$72,"754*",'BALANCE N'!$H$2:$H$72)+SUMIF('BALANCE N'!$A$2:$A$72,"821*",'BALANCE N'!$H$2:$H$72)+SUMIF('BALANCE N'!$A$2:$A$72,"822*",'BALANCE N'!$H$2:$H$72)-SUMIF('BALANCE N'!$A$2:$A$72,"485*",'BALANCE N'!$E$2:$E$72)+SUMIF('BALANCE N'!$A$2:$A$72,"414*",'BALANCE N'!$E$2:$E$72)-SUMIF('BALANCE N'!$A$2:$A$72,"4856*",'BALANCE N'!$E$2:$E$72)+SUMIF('BALANCE N'!$A$2:$A$72,"485*",'BALANCE N'!$F$2:$F$72)+SUMIF('BALANCE N'!$A$2:$A$72,"414*",'BALANCE N'!$F$2:$F$72)-SUMIF('BALANCE N'!$A$2:$A$72,"4856*",'BALANCE N'!$F$2:$F$72)</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N'!$A$2:$A$72,"826*",'BALANCE N'!$H$2:$H$72)+SUMIF('BALANCE N'!$A$2:$A$72,"27*",'BALANCE N'!$F$2:$F$72)-SUMIF('BALANCE N'!$A$2:$A$72,"2766*",'BALANCE N'!$F$2:$F$72)-SUMIF('BALANCE N'!$A$2:$A$72,"2714*",'BALANCE N'!$F$2:$F$72)-SUMIF('BALANCE N'!$A$2:$A$72,"4856*",'BALANCE N'!$E$2:$E$72)+SUMIF('BALANCE N'!$A$2:$A$72,"4856*",'BALANCE N'!$F$2:$F$72)</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N'!$A$2:$A$72,"101*",'BALANCE N'!$H$2:$H$72)+SUMIF('BALANCE N'!$A$2:$A$72,"102*",'BALANCE N'!$H$2:$H$72)+SUMIF('BALANCE N'!$A$2:$A$72,"1051*",'BALANCE N'!$H$2:$H$72)-(SUMIF('BALANCE N-1'!$A$2:$A$72,"101*",'BALANCE N-1'!$H$2:$H$72)+SUMIF('BALANCE N-1'!$A$2:$A$72,"102*",'BALANCE N-1'!$H$2:$H$72)+SUMIF('BALANCE N-1'!$A$2:$A$72,"1051*",'BALANCE N-1'!$H$2:$H$72))-SUMIF('BALANCE N'!$A$2:$A$72,"109*",'BALANCE N'!$G$2:$G$72)+SUMIF('BALANCE N'!$A$2:$A$72,"467*",'BALANCE N'!$G$2:$G$72)+SUMIF('BALANCE N'!$A$2:$A$72,"4581*",'BALANCE N'!$G$2:$G$72)+SUMIF('BALANCE N'!$A$2:$A$72,"4613*",'BALANCE N'!$G$2:$G$72)-SUMIF('BALANCE N'!$A$2:$A$72,"11*",'BALANCE N'!$E$2:$E$72)+SUMIF('BALANCE N'!$A$2:$A$72,"12*",'BALANCE N'!$E$2:$E$72)+SUMIF('BALANCE N'!$A$2:$A$72,"130*",'BALANCE N'!$E$2:$E$72)+SUMIF('BALANCE N'!$A$2:$A$72,"131*",'BALANCE N'!$E$2:$E$72)+SUMIF('BALANCE N'!$A$2:$A$72,"11*",'BALANCE N'!$F$2:$F$72)+SUMIF('BALANCE N'!$A$2:$A$72,"12*",'BALANCE N'!$F$2:$F$72)+SUMIF('BALANCE N'!$A$2:$A$72,"103*",'BALANCE N'!$F$2:$F$72)+SUMIF('BALANCE N'!$A$2:$A$72,"139*",'BALANCE N'!$F$2:$F$72)+SUMIF('BALANCE N'!$A$2:$A$72,"465*",'BALANCE N'!$F$2:$F$72)+SUMIF('BALANCE N'!$A$2:$A$72,"104*",'BALANCE N'!$F$2:$F$72)+SUMIF('BALANCE N'!$A$2:$A$72,"4619*",'BALANCE N'!$F$2:$F$72)</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N'!$A$2:$A$72,"14*",'BALANCE N'!$H$2:$H$72)-(SUMIF('BALANCE N-1'!$A$2:$A$72,"14*",'BALANCE N-1'!$H$2:$H$72))+SUMIF('BALANCE N'!$A$2:$A$72,"799*",'BALANCE N'!$H$2:$H$72)-SUMIF('BALANCE N'!$A$2:$A$72,"4494*",'BALANCE N'!$G$2:$G$72)+SUMIF('BALANCE N'!$A$2:$A$72,"4582*",'BALANCE N'!$G$2:$G$72)</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N'!$A$2:$A$72,"4619*",'BALANCE N'!$E$2:$E$72)+SUMIF('BALANCE N'!$A$2:$A$72,"103*",'BALANCE N'!$E$2:$E$72)+SUMIF('BALANCE N'!$A$2:$A$72,"104*",'BALANCE N'!$E$2:$E$72)</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N'!$A$2:$A$72,"465*",'BALANCE N'!$E$2:$E$72)</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N'!$A$2:$A$72,"162*",'BALANCE N'!$F$2:$F$72)+SUMIF('BALANCE N'!$A$2:$A$72,"161*",'BALANCE N'!$F$2:$F$72)+SUMIF('BALANCE N'!$A$2:$A$72,"1662*",'BALANCE N'!$F$2:$F$72)+SUMIF('BALANCE N'!$A$2:$A$72,"1661*",'BALANCE N'!$F$2:$F$72)+SUMIF('BALANCE N'!$A$2:$A$72,"4713*",'BALANCE N'!$E$2:$E$72)-SUMIF('BALANCE N'!$A$2:$A$72,"4784*",'BALANCE N'!$G$2:$G$72)</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N'!$A$2:$A$72,"167*",'BALANCE N'!$F$2:$F$72)+SUMIF('BALANCE N'!$A$2:$A$72,"168*",'BALANCE N'!$F$2:$F$72)+SUMIF('BALANCE N'!$A$2:$A$72,"166*",'BALANCE N'!$F$2:$F$72)+SUMIF('BALANCE N'!$A$2:$A$72,"183*",'BALANCE N'!$F$2:$F$72)+SUMIF('BALANCE N'!$A$2:$A$72,"165*",'BALANCE N'!$F$2:$F$72)+SUMIF('BALANCE N'!$A$2:$A$72,"164*",'BALANCE N'!$F$2:$F$72)+SUMIF('BALANCE N'!$A$2:$A$72,"181*",'BALANCE N'!$F$2:$F$72)+SUMIF('BALANCE N'!$A$2:$A$72,"163*",'BALANCE N'!$F$2:$F$72)+SUMIF('BALANCE N'!$A$2:$A$72,"182*",'BALANCE N'!$F$2:$F$72)-SUMIF('BALANCE N'!$A$2:$A$72,"1662*",'BALANCE N'!$F$2:$F$72)-SUMIF('BALANCE N'!$A$2:$A$72,"1661*",'BALANCE N'!$F$2:$F$72)-SUMIF('BALANCE N'!$A$2:$A$72,"4784*",'BALANCE N'!$G$2:$G$72)</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N'!$A$2:$A$72,"17*",'BALANCE N'!$E$2:$E$72)+SUMIF('BALANCE N'!$A$2:$A$72,"16*",'BALANCE N'!$E$2:$E$72)+SUMIF('BALANCE N'!$A$2:$A$72,"183*",'BALANCE N'!$E$2:$E$72)+SUMIF('BALANCE N'!$A$2:$A$72,"181*",'BALANCE N'!$E$2:$E$72)+SUMIF('BALANCE N'!$A$2:$A$72,"182*",'BALANCE N'!$E$2:$E$72)-SUMIF('BALANCE N'!$A$2:$A$72,"4794*",'BALANCE N'!$H$2:$H$72)</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row r="48"/>
    <row r="49" ht="34" customHeight="1" s="1354">
      <c r="A49" s="3031">
        <f>IF(SUM(C12:C36,D12:D45,E12:E45,F12:F45)=0,"NÉANT","")</f>
        <v/>
      </c>
    </row>
    <row r="50" ht="34" customHeight="1" s="1354"/>
    <row r="51" ht="34" customHeight="1" s="1354"/>
  </sheetData>
  <mergeCells count="19">
    <mergeCell ref="A41:C41"/>
    <mergeCell ref="A37:C37"/>
    <mergeCell ref="E10:E11"/>
    <mergeCell ref="D6:E6"/>
    <mergeCell ref="A42:C42"/>
    <mergeCell ref="A8:F8"/>
    <mergeCell ref="D9:F9"/>
    <mergeCell ref="A43:C43"/>
    <mergeCell ref="A38:C38"/>
    <mergeCell ref="A9:A11"/>
    <mergeCell ref="A49:G51"/>
    <mergeCell ref="A44:C44"/>
    <mergeCell ref="A40:C40"/>
    <mergeCell ref="A39:C39"/>
    <mergeCell ref="D10:D11"/>
    <mergeCell ref="A45:C45"/>
    <mergeCell ref="B9:B11"/>
    <mergeCell ref="F10:F11"/>
    <mergeCell ref="C9:C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2" t="inlineStr">
        <is>
          <t xml:space="preserve">A - DECLARATION DE CONFORMITE AU SYSCOHADA </t>
        </is>
      </c>
      <c r="C10" s="1597" t="n"/>
      <c r="D10" s="1597" t="n"/>
      <c r="E10" s="1597" t="n"/>
      <c r="F10" s="1598" t="n"/>
    </row>
    <row r="11" ht="14.5" customHeight="1" s="1354">
      <c r="B11" s="3033" t="n"/>
      <c r="C11" s="1702" t="n"/>
      <c r="D11" s="1702" t="n"/>
      <c r="E11" s="1702" t="n"/>
      <c r="F11" s="1703" t="n"/>
    </row>
    <row r="12" ht="28.5" customHeight="1" s="1354">
      <c r="B12" s="1601" t="n"/>
      <c r="C12" s="1602" t="n"/>
      <c r="D12" s="1602" t="n"/>
      <c r="E12" s="1602" t="n"/>
      <c r="F12" s="1603" t="n"/>
    </row>
    <row r="13" ht="22.5" customHeight="1" s="1354">
      <c r="B13" s="3034" t="inlineStr">
        <is>
          <t xml:space="preserve">B - REGLES ET METHODES COMPTABLES </t>
        </is>
      </c>
      <c r="F13" s="1816" t="n"/>
    </row>
    <row r="14" ht="14.5" customHeight="1" s="1354">
      <c r="B14" s="3033" t="n"/>
      <c r="C14" s="1702" t="n"/>
      <c r="D14" s="1702" t="n"/>
      <c r="E14" s="1702" t="n"/>
      <c r="F14" s="1703" t="n"/>
    </row>
    <row r="15" ht="30.75" customHeight="1" s="1354">
      <c r="B15" s="1601" t="n"/>
      <c r="C15" s="1602" t="n"/>
      <c r="D15" s="1602" t="n"/>
      <c r="E15" s="1602" t="n"/>
      <c r="F15" s="1603" t="n"/>
    </row>
    <row r="16" ht="25.5" customHeight="1" s="1354">
      <c r="B16" s="3034" t="inlineStr">
        <is>
          <t xml:space="preserve">C- DEROGATION AUX POSTULATS ET CONVENTIONS COMPTABLES </t>
        </is>
      </c>
      <c r="F16" s="1816" t="n"/>
    </row>
    <row r="17" ht="31.5" customHeight="1" s="1354">
      <c r="B17" s="3035" t="n"/>
      <c r="C17" s="1702" t="n"/>
      <c r="D17" s="1702" t="n"/>
      <c r="E17" s="1702" t="n"/>
      <c r="F17" s="1703" t="n"/>
    </row>
    <row r="18" ht="14.5" customHeight="1" s="1354">
      <c r="B18" s="3034" t="inlineStr">
        <is>
          <t xml:space="preserve">D - INFORMATIONS COMPLEMENTAIRES RELATIVES AU BILAN, AU COMPTE DE </t>
        </is>
      </c>
      <c r="F18" s="1816" t="n"/>
    </row>
    <row r="19" ht="23.25" customHeight="1" s="1354">
      <c r="B19" s="3034" t="inlineStr">
        <is>
          <t xml:space="preserve">RESULTAT ET AU TABLEAU DES FLUX DE TRESORERIE </t>
        </is>
      </c>
      <c r="F19" s="1816" t="n"/>
    </row>
    <row r="20" ht="26.25" customHeight="1" s="1354">
      <c r="B20" s="3036" t="n"/>
      <c r="C20" s="1742" t="n"/>
      <c r="D20" s="1742" t="n"/>
      <c r="E20" s="1742" t="n"/>
      <c r="F20" s="1743" t="n"/>
    </row>
    <row r="21" ht="14.5" customHeight="1" s="1354">
      <c r="B21" s="2845" t="inlineStr">
        <is>
          <t> </t>
        </is>
      </c>
    </row>
    <row r="22"/>
    <row r="23" ht="26" customHeight="1" s="1354">
      <c r="A23" s="3037" t="inlineStr">
        <is>
          <t>NOTE À COMPLÉTER</t>
        </is>
      </c>
    </row>
    <row r="24" ht="26" customHeight="1" s="1354"/>
    <row r="25" ht="26" customHeight="1" s="1354"/>
  </sheetData>
  <mergeCells count="12">
    <mergeCell ref="B9:F9"/>
    <mergeCell ref="B16:F16"/>
    <mergeCell ref="B20:F20"/>
    <mergeCell ref="B10:F10"/>
    <mergeCell ref="B11:F12"/>
    <mergeCell ref="B19:F19"/>
    <mergeCell ref="A23:H25"/>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8" t="inlineStr">
        <is>
          <t xml:space="preserve">                                              SITUATIONS ET MOUVEMENTS </t>
        </is>
      </c>
      <c r="B11" s="2931" t="inlineStr">
        <is>
          <t>MONTANT</t>
        </is>
      </c>
      <c r="C11" s="3039" t="inlineStr">
        <is>
          <t>Acquisitions</t>
        </is>
      </c>
      <c r="D11" s="2931" t="inlineStr">
        <is>
          <t>Virements</t>
        </is>
      </c>
      <c r="E11" s="3039" t="inlineStr">
        <is>
          <t>Suite à une</t>
        </is>
      </c>
      <c r="F11" s="2931" t="inlineStr">
        <is>
          <t>Cessions</t>
        </is>
      </c>
      <c r="G11" s="3039" t="inlineStr">
        <is>
          <t>Virements</t>
        </is>
      </c>
      <c r="H11" s="2931" t="inlineStr">
        <is>
          <t>MONTANT</t>
        </is>
      </c>
      <c r="K11" s="1825" t="n"/>
    </row>
    <row r="12" ht="12" customHeight="1" s="1354">
      <c r="A12" s="3040" t="inlineStr">
        <is>
          <t>  </t>
        </is>
      </c>
      <c r="B12" s="3040" t="inlineStr">
        <is>
          <t>BRUT  A</t>
        </is>
      </c>
      <c r="C12" s="3041" t="inlineStr">
        <is>
          <t>Apports</t>
        </is>
      </c>
      <c r="D12" s="3040" t="inlineStr">
        <is>
          <t>de</t>
        </is>
      </c>
      <c r="E12" s="3041" t="inlineStr">
        <is>
          <t>réévaluation</t>
        </is>
      </c>
      <c r="F12" s="3040" t="inlineStr">
        <is>
          <t>Scissions</t>
        </is>
      </c>
      <c r="G12" s="3041" t="inlineStr">
        <is>
          <t>de</t>
        </is>
      </c>
      <c r="H12" s="3040" t="inlineStr">
        <is>
          <t>BRUT A LA</t>
        </is>
      </c>
      <c r="K12" s="1828" t="n"/>
    </row>
    <row r="13" ht="23" customHeight="1" s="1354">
      <c r="A13" s="3042" t="inlineStr">
        <is>
          <t>RUBRIQUES</t>
        </is>
      </c>
      <c r="B13" s="3040" t="inlineStr">
        <is>
          <t xml:space="preserve">L'OUVERTURE DE </t>
        </is>
      </c>
      <c r="C13" s="3043" t="inlineStr">
        <is>
          <t>Créations</t>
        </is>
      </c>
      <c r="D13" s="3044" t="inlineStr">
        <is>
          <t>poste à poste</t>
        </is>
      </c>
      <c r="E13" s="3041" t="inlineStr">
        <is>
          <t>Pratiquée au cours</t>
        </is>
      </c>
      <c r="F13" s="3044" t="inlineStr">
        <is>
          <t>Hors service</t>
        </is>
      </c>
      <c r="G13" s="3041" t="inlineStr">
        <is>
          <t>poste à</t>
        </is>
      </c>
      <c r="H13" s="3040" t="inlineStr">
        <is>
          <t xml:space="preserve">CLOTURE DE </t>
        </is>
      </c>
    </row>
    <row r="14" ht="12.5" customHeight="1" s="1354">
      <c r="A14" s="1740" t="n"/>
      <c r="B14" s="3044" t="inlineStr">
        <is>
          <t>L’EXERCICE</t>
        </is>
      </c>
      <c r="C14" s="1594" t="n"/>
      <c r="D14" s="1740" t="n"/>
      <c r="E14" s="3043" t="inlineStr">
        <is>
          <t>de l’exercice</t>
        </is>
      </c>
      <c r="F14" s="1740" t="n"/>
      <c r="G14" s="3043" t="inlineStr">
        <is>
          <t>poste</t>
        </is>
      </c>
      <c r="H14" s="3044" t="inlineStr">
        <is>
          <t>L’EXERCICE</t>
        </is>
      </c>
    </row>
    <row r="15" ht="18" customHeight="1" s="1354">
      <c r="A15" s="3045" t="inlineStr">
        <is>
          <t xml:space="preserve">IMMOBILISATIONS INCORPORELLES </t>
        </is>
      </c>
      <c r="B15" s="3046">
        <f>SUM(B16:B19)</f>
        <v/>
      </c>
      <c r="C15" s="3046">
        <f>SUM(C16:C19)</f>
        <v/>
      </c>
      <c r="D15" s="3046">
        <f>SUM(D16:D19)</f>
        <v/>
      </c>
      <c r="E15" s="3046">
        <f>SUM(E16:E19)</f>
        <v/>
      </c>
      <c r="F15" s="3046">
        <f>SUM(F16:F19)</f>
        <v/>
      </c>
      <c r="G15" s="3046">
        <f>SUM(G16:G19)</f>
        <v/>
      </c>
      <c r="H15" s="3046">
        <f>SUM(H16:H19)</f>
        <v/>
      </c>
    </row>
    <row r="16" ht="18" customHeight="1" s="1354">
      <c r="A16" s="1675" t="inlineStr">
        <is>
          <t xml:space="preserve">Frais de développement et de prospection </t>
        </is>
      </c>
      <c r="B16" s="2884">
        <f>SUMIF('BALANCE N-1'!$A$2:$A$72,"211*",'BALANCE N-1'!$G$2:$G$72)-SUMIF('BALANCE N-1'!$A$2:$A$72,"211*",'BALANCE N-1'!$H$2:$H$72)+SUMIF('BALANCE N-1'!$A$2:$A$72,"2181*",'BALANCE N-1'!$G$2:$G$72)-SUMIF('BALANCE N-1'!$A$2:$A$72,"2181*",'BALANCE N-1'!$H$2:$H$72)+SUMIF('BALANCE N-1'!$A$2:$A$72,"2191*",'BALANCE N-1'!$G$2:$G$72)-SUMIF('BALANCE N-1'!$A$2:$A$72,"2191*",'BALANCE N-1'!$H$2:$H$72)</f>
        <v/>
      </c>
      <c r="C16" s="3024">
        <f>SUMIF('BALANCE N'!$A$2:$A$72,"211*",'BALANCE N'!$E$2:$E$72)+SUMIF('BALANCE N'!$A$2:$A$72,"2181*",'BALANCE N'!$E$2:$E$72)+SUMIF('BALANCE N'!$A$2:$A$72,"2191*",'BALANCE N'!$E$2:$E$72)</f>
        <v/>
      </c>
      <c r="D16" s="2884" t="n"/>
      <c r="E16" s="3024" t="n"/>
      <c r="F16" s="2884">
        <f>SUMIF('BALANCE N'!$A$2:$A$72,"211*",'BALANCE N'!$F$2:$F$72)+SUMIF('BALANCE N'!$A$2:$A$72,"2181*",'BALANCE N'!$F$2:$F$72)+SUMIF('BALANCE N'!$A$2:$A$72,"2191*",'BALANCE N'!$F$2:$F$72)</f>
        <v/>
      </c>
      <c r="G16" s="3024" t="n"/>
      <c r="H16" s="2884">
        <f>B16+C16+D16+E16-F16-G16</f>
        <v/>
      </c>
    </row>
    <row r="17" ht="18" customHeight="1" s="1354">
      <c r="A17" s="1675" t="inlineStr">
        <is>
          <t xml:space="preserve">Brevets, licences, logiciels, et droits similaires </t>
        </is>
      </c>
      <c r="B17" s="2884">
        <f>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f>
        <v/>
      </c>
      <c r="C17" s="3024">
        <f>SUMIF('BALANCE N'!$A$2:$A$72,"212*",'BALANCE N'!$E$2:$E$72)+SUMIF('BALANCE N'!$A$2:$A$72,"213*",'BALANCE N'!$E$2:$E$72)+SUMIF('BALANCE N'!$A$2:$A$72,"214*",'BALANCE N'!$E$2:$E$72)+SUMIF('BALANCE N'!$A$2:$A$72,"2193*",'BALANCE N'!$E$2:$E$72)</f>
        <v/>
      </c>
      <c r="D17" s="2884" t="n"/>
      <c r="E17" s="3024" t="n"/>
      <c r="F17" s="2884">
        <f>SUMIF('BALANCE N'!$A$2:$A$72,"212*",'BALANCE N'!$F$2:$F$72)+SUMIF('BALANCE N'!$A$2:$A$72,"213*",'BALANCE N'!$F$2:$F$72)+SUMIF('BALANCE N'!$A$2:$A$72,"214*",'BALANCE N'!$F$2:$F$72)+SUMIF('BALANCE N'!$A$2:$A$72,"2193*",'BALANCE N'!$F$2:$F$72)</f>
        <v/>
      </c>
      <c r="G17" s="3024" t="n"/>
      <c r="H17" s="2884">
        <f>B17+C17+D17+E17-F17-G17</f>
        <v/>
      </c>
    </row>
    <row r="18" ht="18" customHeight="1" s="1354">
      <c r="A18" s="1675" t="inlineStr">
        <is>
          <t xml:space="preserve">Fonds commercial et droit au bail </t>
        </is>
      </c>
      <c r="B18" s="2884">
        <f>SUMIF('BALANCE N-1'!$A$2:$A$72,"215*",'BALANCE N-1'!$G$2:$G$72)-SUMIF('BALANCE N-1'!$A$2:$A$72,"215*",'BALANCE N-1'!$H$2:$H$72)+SUMIF('BALANCE N-1'!$A$2:$A$72,"216*",'BALANCE N-1'!$G$2:$G$72)-SUMIF('BALANCE N-1'!$A$2:$A$72,"216*",'BALANCE N-1'!$H$2:$H$72)</f>
        <v/>
      </c>
      <c r="C18" s="3024">
        <f>SUMIF('BALANCE N'!$A$2:$A$72,"215*",'BALANCE N'!$E$2:$E$72)+SUMIF('BALANCE N'!$A$2:$A$72,"216*",'BALANCE N'!$E$2:$E$72)</f>
        <v/>
      </c>
      <c r="D18" s="2884" t="n"/>
      <c r="E18" s="3024" t="n"/>
      <c r="F18" s="2884">
        <f>SUMIF('BALANCE N'!$A$2:$A$72,"215*",'BALANCE N'!$F$2:$F$72)+SUMIF('BALANCE N'!$A$2:$A$72,"216*",'BALANCE N'!$F$2:$F$72)</f>
        <v/>
      </c>
      <c r="G18" s="3024" t="n"/>
      <c r="H18" s="2884">
        <f>B18+C18+D18+E18-F18-G18</f>
        <v/>
      </c>
    </row>
    <row r="19" ht="18" customHeight="1" s="1354">
      <c r="A19" s="1675" t="inlineStr">
        <is>
          <t xml:space="preserve">Autres immobilisations incorporelles </t>
        </is>
      </c>
      <c r="B19" s="2884">
        <f>SUMIF('BALANCE N-1'!$A$2:$A$72,"218*",'BALANCE N-1'!$G$2:$G$72)-SUMIF('BALANCE N-1'!$A$2:$A$72,"218*",'BALANCE N-1'!$H$2:$H$72)+SUMIF('BALANCE N-1'!$A$2:$A$72,"217*",'BALANCE N-1'!$G$2:$G$72)-SUMIF('BALANCE N-1'!$A$2:$A$72,"217*",'BALANCE N-1'!$H$2:$H$72)-SUMIF('BALANCE N-1'!$A$2:$A$72,"2181*",'BALANCE N-1'!$G$2:$G$72)+SUMIF('BALANCE N-1'!$A$2:$A$72,"2181*",'BALANCE N-1'!$H$2:$H$72)-SUMIF('BALANCE N-1'!$A$2:$A$72,"2198*",'BALANCE N-1'!$G$2:$G$72)+SUMIF('BALANCE N-1'!$A$2:$A$72,"2198*",'BALANCE N-1'!$H$2:$H$72)</f>
        <v/>
      </c>
      <c r="C19" s="3024">
        <f>SUMIF('BALANCE N'!$A$2:$A$72,"218*",'BALANCE N'!$E$2:$E$72)+SUMIF('BALANCE N'!$A$2:$A$72,"217*",'BALANCE N'!$E$2:$E$72)-SUMIF('BALANCE N'!$A$2:$A$72,"2181*",'BALANCE N'!$E$2:$E$72)-SUMIF('BALANCE N'!$A$2:$A$72,"2198*",'BALANCE N'!$E$2:$E$72)</f>
        <v/>
      </c>
      <c r="D19" s="2884" t="n"/>
      <c r="E19" s="3024" t="n"/>
      <c r="F19" s="2884">
        <f>SUMIF('BALANCE N'!$A$2:$A$72,"218*",'BALANCE N'!$F$2:$F$72)+SUMIF('BALANCE N'!$A$2:$A$72,"217*",'BALANCE N'!$F$2:$F$72)-SUMIF('BALANCE N'!$A$2:$A$72,"2181*",'BALANCE N'!$F$2:$F$72)-SUMIF('BALANCE N'!$A$2:$A$72,"2198*",'BALANCE N'!$F$2:$F$72)</f>
        <v/>
      </c>
      <c r="G19" s="3024" t="n"/>
      <c r="H19" s="2884">
        <f>B19+C19+D19+E19-F19-G19</f>
        <v/>
      </c>
    </row>
    <row r="20" ht="18" customHeight="1" s="1354">
      <c r="A20" s="3047" t="inlineStr">
        <is>
          <t xml:space="preserve">IMMOBILISATIONS CORPORELLES </t>
        </is>
      </c>
      <c r="B20" s="3048">
        <f>SUM(B21:B27)</f>
        <v/>
      </c>
      <c r="C20" s="3048">
        <f>SUM(C21:C27)</f>
        <v/>
      </c>
      <c r="D20" s="3048">
        <f>SUM(D21:D27)</f>
        <v/>
      </c>
      <c r="E20" s="3048">
        <f>SUM(E21:E27)</f>
        <v/>
      </c>
      <c r="F20" s="3048">
        <f>SUM(F21:F27)</f>
        <v/>
      </c>
      <c r="G20" s="3048">
        <f>SUM(G21:G27)</f>
        <v/>
      </c>
      <c r="H20" s="3048">
        <f>SUM(H21:H27)</f>
        <v/>
      </c>
    </row>
    <row r="21" ht="18" customHeight="1" s="1354">
      <c r="A21" s="1675" t="inlineStr">
        <is>
          <t xml:space="preserve">Terrains hors immeuble de placement </t>
        </is>
      </c>
      <c r="B21" s="2884">
        <f>SUMIF('BALANCE N-1'!$A$2:$A$72,"22*",'BALANCE N-1'!$G$2:$G$72)-SUMIF('BALANCE N-1'!$A$2:$A$72,"22*",'BALANCE N-1'!$H$2:$H$72)-SUMIF('BALANCE N-1'!$A$2:$A$72,"2281*",'BALANCE N-1'!$G$2:$G$72)+SUMIF('BALANCE N-1'!$A$2:$A$72,"2281*",'BALANCE N-1'!$H$2:$H$72)</f>
        <v/>
      </c>
      <c r="C21" s="3024">
        <f>SUMIF('BALANCE N'!$A$2:$A$72,"22*",'BALANCE N'!$E$2:$E$72)-SUMIF('BALANCE N'!$A$2:$A$72,"2281*",'BALANCE N'!$E$2:$E$72)</f>
        <v/>
      </c>
      <c r="D21" s="2884" t="n"/>
      <c r="E21" s="3024" t="n"/>
      <c r="F21" s="2884">
        <f>SUMIF('BALANCE N'!$A$2:$A$72,"22*",'BALANCE N'!$F$2:$F$72)-SUMIF('BALANCE N'!$A$2:$A$72,"2281*",'BALANCE N'!$F$2:$F$72)</f>
        <v/>
      </c>
      <c r="G21" s="3024" t="n"/>
      <c r="H21" s="2884">
        <f>B21+C21+D21+E21-F21-G21</f>
        <v/>
      </c>
    </row>
    <row r="22" ht="18" customHeight="1" s="1354">
      <c r="A22" s="1675" t="inlineStr">
        <is>
          <t xml:space="preserve">Terrains - immeuble de placement </t>
        </is>
      </c>
      <c r="B22" s="2884">
        <f>SUMIF('BALANCE N-1'!$A$2:$A$72,"2281*",'BALANCE N-1'!$G$2:$G$72)-SUMIF('BALANCE N-1'!$A$2:$A$72,"2281*",'BALANCE N-1'!$H$2:$H$72)</f>
        <v/>
      </c>
      <c r="C22" s="3024">
        <f>SUMIF('BALANCE N'!$A$2:$A$72,"2281*",'BALANCE N'!$E$2:$E$72)</f>
        <v/>
      </c>
      <c r="D22" s="2884" t="n"/>
      <c r="E22" s="3024" t="n"/>
      <c r="F22" s="2884">
        <f>SUMIF('BALANCE N'!$A$2:$A$72,"2281*",'BALANCE N'!$F$2:$F$72)</f>
        <v/>
      </c>
      <c r="G22" s="3024" t="n"/>
      <c r="H22" s="2884">
        <f>B22+C22+D22+E22-F22-G22</f>
        <v/>
      </c>
    </row>
    <row r="23" ht="18" customHeight="1" s="1354">
      <c r="A23" s="1675" t="inlineStr">
        <is>
          <t xml:space="preserve">Bâtiments hors immeuble de placement </t>
        </is>
      </c>
      <c r="B23" s="2884">
        <f>SUMIF('BALANCE N-1'!$A$2:$A$72,"237*",'BALANCE N-1'!$G$2:$G$72)-SUMIF('BALANCE N-1'!$A$2:$A$72,"237*",'BALANCE N-1'!$H$2:$H$72)+SUMIF('BALANCE N-1'!$A$2:$A$72,"232*",'BALANCE N-1'!$G$2:$G$72)-SUMIF('BALANCE N-1'!$A$2:$A$72,"232*",'BALANCE N-1'!$H$2:$H$72)+SUMIF('BALANCE N-1'!$A$2:$A$72,"233*",'BALANCE N-1'!$G$2:$G$72)-SUMIF('BALANCE N-1'!$A$2:$A$72,"233*",'BALANCE N-1'!$H$2:$H$72)+SUMIF('BALANCE N-1'!$A$2:$A$72,"231*",'BALANCE N-1'!$G$2:$G$72)-SUMIF('BALANCE N-1'!$A$2:$A$72,"231*",'BALANCE N-1'!$H$2:$H$72)+SUMIF('BALANCE N-1'!$A$2:$A$72,"2391*",'BALANCE N-1'!$G$2:$G$72)-SUMIF('BALANCE N-1'!$A$2:$A$72,"2391*",'BALANCE N-1'!$H$2:$H$72)-SUMIF('BALANCE N-1'!$A$2:$A$72,"2315*",'BALANCE N-1'!$G$2:$G$72)+SUMIF('BALANCE N-1'!$A$2:$A$72,"2315*",'BALANCE N-1'!$H$2:$H$72)-SUMIF('BALANCE N-1'!$A$2:$A$72,"2325*",'BALANCE N-1'!$G$2:$G$72)+SUMIF('BALANCE N-1'!$A$2:$A$72,"2325*",'BALANCE N-1'!$H$2:$H$72)</f>
        <v/>
      </c>
      <c r="C23" s="3024">
        <f>SUMIF('BALANCE N'!$A$2:$A$72,"237*",'BALANCE N'!$E$2:$E$72)+SUMIF('BALANCE N'!$A$2:$A$72,"232*",'BALANCE N'!$E$2:$E$72)+SUMIF('BALANCE N'!$A$2:$A$72,"233*",'BALANCE N'!$E$2:$E$72)+SUMIF('BALANCE N'!$A$2:$A$72,"231*",'BALANCE N'!$E$2:$E$72)+SUMIF('BALANCE N'!$A$2:$A$72,"2391*",'BALANCE N'!$E$2:$E$72)-SUMIF('BALANCE N'!$A$2:$A$72,"2315*",'BALANCE N'!$E$2:$E$72)-SUMIF('BALANCE N'!$A$2:$A$72,"2325*",'BALANCE N'!$E$2:$E$72)</f>
        <v/>
      </c>
      <c r="D23" s="2884" t="n"/>
      <c r="E23" s="3024" t="n"/>
      <c r="F23" s="2884">
        <f>SUMIF('BALANCE N'!$A$2:$A$72,"237*",'BALANCE N'!$F$2:$F$72)+SUMIF('BALANCE N'!$A$2:$A$72,"232*",'BALANCE N'!$F$2:$F$72)+SUMIF('BALANCE N'!$A$2:$A$72,"233*",'BALANCE N'!$F$2:$F$72)+SUMIF('BALANCE N'!$A$2:$A$72,"231*",'BALANCE N'!$F$2:$F$72)+SUMIF('BALANCE N'!$A$2:$A$72,"2391*",'BALANCE N'!$F$2:$F$72)-SUMIF('BALANCE N'!$A$2:$A$72,"2315*",'BALANCE N'!$F$2:$F$72)-SUMIF('BALANCE N'!$A$2:$A$72,"2325*",'BALANCE N'!$F$2:$F$72)</f>
        <v/>
      </c>
      <c r="G23" s="3024" t="n"/>
      <c r="H23" s="2884">
        <f>B23+C23+D23+E23-F23-G23</f>
        <v/>
      </c>
    </row>
    <row r="24" ht="18" customHeight="1" s="1354">
      <c r="A24" s="1675" t="inlineStr">
        <is>
          <t xml:space="preserve">Bâtiments - immeuble de placement </t>
        </is>
      </c>
      <c r="B24" s="2884">
        <f>SUMIF('BALANCE N-1'!$A$2:$A$72,"2315*",'BALANCE N-1'!$G$2:$G$72)-SUMIF('BALANCE N-1'!$A$2:$A$72,"2315*",'BALANCE N-1'!$H$2:$H$72)+SUMIF('BALANCE N-1'!$A$2:$A$72,"2325*",'BALANCE N-1'!$G$2:$G$72)-SUMIF('BALANCE N-1'!$A$2:$A$72,"2325*",'BALANCE N-1'!$H$2:$H$72)</f>
        <v/>
      </c>
      <c r="C24" s="3024">
        <f>SUMIF('BALANCE N'!$A$2:$A$72,"2315*",'BALANCE N'!$E$2:$E$72)+SUMIF('BALANCE N'!$A$2:$A$72,"2325*",'BALANCE N'!$E$2:$E$72)</f>
        <v/>
      </c>
      <c r="D24" s="2884" t="n"/>
      <c r="E24" s="3024" t="n"/>
      <c r="F24" s="2884">
        <f>SUMIF('BALANCE N'!$A$2:$A$72,"2315*",'BALANCE N'!$F$2:$F$72)+SUMIF('BALANCE N'!$A$2:$A$72,"2325*",'BALANCE N'!$F$2:$F$72)</f>
        <v/>
      </c>
      <c r="G24" s="3024" t="n"/>
      <c r="H24" s="2884">
        <f>B24+C24+D24+E24-F24-G24</f>
        <v/>
      </c>
    </row>
    <row r="25" ht="18" customHeight="1" s="1354">
      <c r="A25" s="1675" t="inlineStr">
        <is>
          <t xml:space="preserve">Aménagements, agencements et installations </t>
        </is>
      </c>
      <c r="B25" s="2884">
        <f>SUMIF('BALANCE N-1'!$A$2:$A$72,"235*",'BALANCE N-1'!$G$2:$G$72)-SUMIF('BALANCE N-1'!$A$2:$A$72,"235*",'BALANCE N-1'!$H$2:$H$72)+SUMIF('BALANCE N-1'!$A$2:$A$72,"234*",'BALANCE N-1'!$G$2:$G$72)-SUMIF('BALANCE N-1'!$A$2:$A$72,"234*",'BALANCE N-1'!$H$2:$H$72)+SUMIF('BALANCE N-1'!$A$2:$A$72,"238*",'BALANCE N-1'!$G$2:$G$72)-SUMIF('BALANCE N-1'!$A$2:$A$72,"238*",'BALANCE N-1'!$H$2:$H$72)+SUMIF('BALANCE N-1'!$A$2:$A$72,"2392*",'BALANCE N-1'!$G$2:$G$72)-SUMIF('BALANCE N-1'!$A$2:$A$72,"2392*",'BALANCE N-1'!$H$2:$H$72)+SUMIF('BALANCE N-1'!$A$2:$A$72,"2393*",'BALANCE N-1'!$G$2:$G$72)-SUMIF('BALANCE N-1'!$A$2:$A$72,"2393*",'BALANCE N-1'!$H$2:$H$72)</f>
        <v/>
      </c>
      <c r="C25" s="3024">
        <f>SUMIF('BALANCE N'!$A$2:$A$72,"235*",'BALANCE N'!$E$2:$E$72)+SUMIF('BALANCE N'!$A$2:$A$72,"234*",'BALANCE N'!$E$2:$E$72)+SUMIF('BALANCE N'!$A$2:$A$72,"238*",'BALANCE N'!$E$2:$E$72)+SUMIF('BALANCE N'!$A$2:$A$72,"2392*",'BALANCE N'!$E$2:$E$72)+SUMIF('BALANCE N'!$A$2:$A$72,"2393*",'BALANCE N'!$E$2:$E$72)</f>
        <v/>
      </c>
      <c r="D25" s="2884" t="n"/>
      <c r="E25" s="3024" t="n"/>
      <c r="F25" s="2884">
        <f>SUMIF('BALANCE N'!$A$2:$A$72,"235*",'BALANCE N'!$F$2:$F$72)+SUMIF('BALANCE N'!$A$2:$A$72,"234*",'BALANCE N'!$F$2:$F$72)+SUMIF('BALANCE N'!$A$2:$A$72,"238*",'BALANCE N'!$F$2:$F$72)+SUMIF('BALANCE N'!$A$2:$A$72,"2392*",'BALANCE N'!$F$2:$F$72)+SUMIF('BALANCE N'!$A$2:$A$72,"2393*",'BALANCE N'!$F$2:$F$72)</f>
        <v/>
      </c>
      <c r="G25" s="3024" t="n"/>
      <c r="H25" s="2884">
        <f>B25+C25+D25+E25-F25-G25</f>
        <v/>
      </c>
    </row>
    <row r="26" ht="18" customHeight="1" s="1354">
      <c r="A26" s="1675" t="inlineStr">
        <is>
          <t xml:space="preserve">Matériel,  mobilier et actifs biologiques </t>
        </is>
      </c>
      <c r="B26" s="2884">
        <f>SUMIF('BALANCE N-1'!$A$2:$A$72,"24*",'BALANCE N-1'!$G$2:$G$72)-SUMIF('BALANCE N-1'!$A$2:$A$72,"24*",'BALANCE N-1'!$H$2:$H$72)-SUMIF('BALANCE N-1'!$A$2:$A$72,"245*",'BALANCE N-1'!$G$2:$G$72)+SUMIF('BALANCE N-1'!$A$2:$A$72,"245*",'BALANCE N-1'!$H$2:$H$72)-SUMIF('BALANCE N-1'!$A$2:$A$72,"2495*",'BALANCE N-1'!$G$2:$G$72)+SUMIF('BALANCE N-1'!$A$2:$A$72,"2495*",'BALANCE N-1'!$H$2:$H$72)</f>
        <v/>
      </c>
      <c r="C26" s="3024">
        <f>SUMIF('BALANCE N'!$A$2:$A$72,"24*",'BALANCE N'!$E$2:$E$72)-SUMIF('BALANCE N'!$A$2:$A$72,"245*",'BALANCE N'!$E$2:$E$72)-SUMIF('BALANCE N'!$A$2:$A$72,"2495*",'BALANCE N'!$E$2:$E$72)</f>
        <v/>
      </c>
      <c r="D26" s="2884" t="n"/>
      <c r="E26" s="3024" t="n"/>
      <c r="F26" s="2884">
        <f>SUMIF('BALANCE N'!$A$2:$A$72,"24*",'BALANCE N'!$F$2:$F$72)-SUMIF('BALANCE N'!$A$2:$A$72,"245*",'BALANCE N'!$F$2:$F$72)-SUMIF('BALANCE N'!$A$2:$A$72,"2495*",'BALANCE N'!$F$2:$F$72)</f>
        <v/>
      </c>
      <c r="G26" s="3024" t="n"/>
      <c r="H26" s="2884">
        <f>B26+C26+D26+E26-F26-G26</f>
        <v/>
      </c>
    </row>
    <row r="27" ht="18" customHeight="1" s="1354">
      <c r="A27" s="1675" t="inlineStr">
        <is>
          <t xml:space="preserve">Matériel de transport </t>
        </is>
      </c>
      <c r="B27" s="2884">
        <f>SUMIF('BALANCE N-1'!$A$2:$A$72,"245*",'BALANCE N-1'!$G$2:$G$72)-SUMIF('BALANCE N-1'!$A$2:$A$72,"245*",'BALANCE N-1'!$H$2:$H$72)+SUMIF('BALANCE N-1'!$A$2:$A$72,"2495*",'BALANCE N-1'!$G$2:$G$72)-SUMIF('BALANCE N-1'!$A$2:$A$72,"2495*",'BALANCE N-1'!$H$2:$H$72)</f>
        <v/>
      </c>
      <c r="C27" s="3024">
        <f>SUMIF('BALANCE N'!$A$2:$A$72,"245*",'BALANCE N'!$E$2:$E$72)+SUMIF('BALANCE N'!$A$2:$A$72,"2495*",'BALANCE N'!$E$2:$E$72)</f>
        <v/>
      </c>
      <c r="D27" s="2884" t="n"/>
      <c r="E27" s="3024" t="n"/>
      <c r="F27" s="2884">
        <f>SUMIF('BALANCE N'!$A$2:$A$72,"245*",'BALANCE N'!$F$2:$F$72)+SUMIF('BALANCE N'!$A$2:$A$72,"2495*",'BALANCE N'!$F$2:$F$72)</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N-1'!$A$2:$A$72,"251*",'BALANCE N-1'!$G$2:$G$72)-SUMIF('BALANCE N-1'!$A$2:$A$72,"251*",'BALANCE N-1'!$H$2:$H$72)</f>
        <v/>
      </c>
      <c r="C29" s="3024">
        <f>SUMIF('BALANCE N'!$A$2:$A$72,"251*",'BALANCE N'!$E$2:$E$72)</f>
        <v/>
      </c>
      <c r="D29" s="2884" t="n"/>
      <c r="E29" s="3024" t="n"/>
      <c r="F29" s="2884">
        <f>SUMIF('BALANCE N'!$A$2:$A$72,"251*",'BALANCE N'!$F$2:$F$72)</f>
        <v/>
      </c>
      <c r="G29" s="3024" t="n"/>
      <c r="H29" s="2884">
        <f>B29+C29+D29+E29-F29-G29</f>
        <v/>
      </c>
    </row>
    <row r="30" ht="18" customHeight="1" s="1354">
      <c r="A30" s="1675" t="inlineStr">
        <is>
          <t xml:space="preserve">Immobilisations corporelles </t>
        </is>
      </c>
      <c r="B30" s="2884">
        <f>SUMIF('BALANCE N-1'!$A$2:$A$72,"252*",'BALANCE N-1'!$G$2:$G$72)-SUMIF('BALANCE N-1'!$A$2:$A$72,"252*",'BALANCE N-1'!$H$2:$H$72)</f>
        <v/>
      </c>
      <c r="C30" s="3024">
        <f>SUMIF('BALANCE N'!$A$2:$A$72,"252*",'BALANCE N'!$E$2:$E$72)</f>
        <v/>
      </c>
      <c r="D30" s="2884" t="n"/>
      <c r="E30" s="3024" t="n"/>
      <c r="F30" s="2884">
        <f>SUMIF('BALANCE N'!$A$2:$A$72,"252*",'BALANCE N'!$F$2:$F$72)</f>
        <v/>
      </c>
      <c r="G30" s="3024" t="n"/>
      <c r="H30" s="2884">
        <f>B30+C30+D30+E30-F30-G30</f>
        <v/>
      </c>
    </row>
    <row r="31" ht="18" customHeight="1" s="1354">
      <c r="A31" s="3047" t="inlineStr">
        <is>
          <t xml:space="preserve">IMMOBILISATIONS FINANCIERES </t>
        </is>
      </c>
      <c r="B31" s="3048">
        <f>SUM(B32:B33)</f>
        <v/>
      </c>
      <c r="C31" s="3048">
        <f>SUM(C32:C33)</f>
        <v/>
      </c>
      <c r="D31" s="3048">
        <f>SUM(D32:D33)</f>
        <v/>
      </c>
      <c r="E31" s="3048">
        <f>SUM(E32:E33)</f>
        <v/>
      </c>
      <c r="F31" s="3048">
        <f>SUM(F32:F33)</f>
        <v/>
      </c>
      <c r="G31" s="3048">
        <f>SUM(G32:G33)</f>
        <v/>
      </c>
      <c r="H31" s="3048">
        <f>SUM(H32:H33)</f>
        <v/>
      </c>
    </row>
    <row r="32" ht="18" customHeight="1" s="1354">
      <c r="A32" s="1675" t="inlineStr">
        <is>
          <t xml:space="preserve">Titres de participation </t>
        </is>
      </c>
      <c r="B32" s="2884">
        <f>SUMIF('BALANCE N-1'!$A$2:$A$72,"26*",'BALANCE N-1'!$G$2:$G$72)-SUMIF('BALANCE N-1'!$A$2:$A$72,"26*",'BALANCE N-1'!$H$2:$H$72)</f>
        <v/>
      </c>
      <c r="C32" s="3024">
        <f>SUMIF('BALANCE N'!$A$2:$A$72,"26*",'BALANCE N'!$E$2:$E$72)</f>
        <v/>
      </c>
      <c r="D32" s="2884" t="n"/>
      <c r="E32" s="3024" t="n"/>
      <c r="F32" s="2884">
        <f>SUMIF('BALANCE N'!$A$2:$A$72,"26*",'BALANCE N'!$F$2:$F$72)</f>
        <v/>
      </c>
      <c r="G32" s="3024" t="n"/>
      <c r="H32" s="2884">
        <f>B32+C32+D32+E32-F32-G32</f>
        <v/>
      </c>
    </row>
    <row r="33" ht="18" customHeight="1" s="1354">
      <c r="A33" s="1675" t="inlineStr">
        <is>
          <t xml:space="preserve">Autres immobilisations financières </t>
        </is>
      </c>
      <c r="B33" s="2884">
        <f>SUMIF('BALANCE N-1'!$A$2:$A$72,"27*",'BALANCE N-1'!$G$2:$G$72)-SUMIF('BALANCE N-1'!$A$2:$A$72,"27*",'BALANCE N-1'!$H$2:$H$72)</f>
        <v/>
      </c>
      <c r="C33" s="3024">
        <f>SUMIF('BALANCE N'!$A$2:$A$72,"27*",'BALANCE N'!$E$2:$E$72)</f>
        <v/>
      </c>
      <c r="D33" s="2884" t="n"/>
      <c r="E33" s="3024" t="n"/>
      <c r="F33" s="2884">
        <f>SUMIF('BALANCE N'!$A$2:$A$72,"27*",'BALANCE N'!$F$2:$F$72)</f>
        <v/>
      </c>
      <c r="G33" s="3024" t="n"/>
      <c r="H33" s="2884">
        <f>B33+C33+D33+E33-F33-G33</f>
        <v/>
      </c>
    </row>
    <row r="34" ht="18" customHeight="1" s="1354">
      <c r="A34" s="3049" t="inlineStr">
        <is>
          <t xml:space="preserve">TOTAL GENERAL </t>
        </is>
      </c>
      <c r="B34" s="3050">
        <f>B15+B20+B28+B31</f>
        <v/>
      </c>
      <c r="C34" s="3050">
        <f>C15+C20+C28+C31</f>
        <v/>
      </c>
      <c r="D34" s="3050">
        <f>D15+D20+D28+D31</f>
        <v/>
      </c>
      <c r="E34" s="3050">
        <f>E15+E20+E28+E31</f>
        <v/>
      </c>
      <c r="F34" s="3050">
        <f>F15+F20+F28+F31</f>
        <v/>
      </c>
      <c r="G34" s="3050">
        <f>G15+G20+G28+G31</f>
        <v/>
      </c>
      <c r="H34" s="3050">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51" t="n"/>
    </row>
    <row r="46"/>
    <row r="47" ht="34" customHeight="1" s="1354">
      <c r="A47" s="3031">
        <f>IF(SUM(B15:B45,C15:C34,D15:D34,E15:E34,F15:F34,G15:G34,H15:H34)=0,"NÉANT","")</f>
        <v/>
      </c>
    </row>
    <row r="48" ht="34" customHeight="1" s="1354"/>
    <row r="49" ht="34" customHeight="1" s="1354"/>
  </sheetData>
  <mergeCells count="10">
    <mergeCell ref="A9:H9"/>
    <mergeCell ref="F13:F14"/>
    <mergeCell ref="E6:F6"/>
    <mergeCell ref="A13:A14"/>
    <mergeCell ref="A37:H43"/>
    <mergeCell ref="B8:D8"/>
    <mergeCell ref="D13:D14"/>
    <mergeCell ref="A47:K49"/>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2" t="inlineStr">
        <is>
          <t xml:space="preserve">A </t>
        </is>
      </c>
      <c r="D10" s="3053" t="inlineStr">
        <is>
          <t xml:space="preserve">AUGMENTATIONS  B </t>
        </is>
      </c>
      <c r="E10" s="1597" t="n"/>
      <c r="F10" s="1845" t="n"/>
      <c r="G10" s="3053" t="inlineStr">
        <is>
          <t xml:space="preserve">DIMINUTIONS  C </t>
        </is>
      </c>
      <c r="H10" s="1845" t="n"/>
      <c r="I10" s="3054" t="inlineStr">
        <is>
          <t xml:space="preserve">D = A + B - C </t>
        </is>
      </c>
    </row>
    <row r="11" ht="10" customHeight="1" s="1354">
      <c r="A11" s="3055" t="n"/>
      <c r="B11" s="3055" t="inlineStr">
        <is>
          <t>DU CONTRAT</t>
        </is>
      </c>
      <c r="C11" s="1848" t="n"/>
      <c r="D11" s="1849" t="n"/>
      <c r="F11" s="1850" t="n"/>
      <c r="G11" s="1849" t="n"/>
      <c r="H11" s="1850" t="n"/>
      <c r="I11" s="1851" t="n"/>
    </row>
    <row r="12" ht="10" customHeight="1" s="1354">
      <c r="A12" s="3055" t="n"/>
      <c r="B12" s="3055" t="inlineStr">
        <is>
          <t xml:space="preserve">(I ; M ; A)  </t>
        </is>
      </c>
      <c r="C12" s="1848" t="n"/>
      <c r="D12" s="1849" t="n"/>
      <c r="F12" s="1850" t="n"/>
      <c r="G12" s="1849" t="n"/>
      <c r="H12" s="1850" t="n"/>
      <c r="I12" s="1851" t="n"/>
    </row>
    <row r="13" ht="10" customHeight="1" s="1354">
      <c r="A13" s="3055" t="n"/>
      <c r="B13" s="3055" t="inlineStr">
        <is>
          <t>[1]</t>
        </is>
      </c>
      <c r="C13" s="1848" t="n"/>
      <c r="D13" s="1849" t="n"/>
      <c r="F13" s="1850" t="n"/>
      <c r="G13" s="1849" t="n"/>
      <c r="H13" s="1850" t="n"/>
      <c r="I13" s="1851" t="n"/>
    </row>
    <row r="14" ht="10" customHeight="1" s="1354">
      <c r="A14" s="3055" t="n"/>
      <c r="B14" s="3056" t="n"/>
      <c r="C14" s="1853" t="n"/>
      <c r="D14" s="1849" t="n"/>
      <c r="F14" s="1850" t="n"/>
      <c r="G14" s="1849" t="n"/>
      <c r="H14" s="1850" t="n"/>
      <c r="I14" s="1851" t="n"/>
    </row>
    <row r="15" ht="10" customHeight="1" s="1354">
      <c r="A15" s="3055" t="n"/>
      <c r="B15" s="3056" t="n"/>
      <c r="C15" s="3057" t="inlineStr">
        <is>
          <t xml:space="preserve">MONTANT </t>
        </is>
      </c>
      <c r="D15" s="3058" t="inlineStr">
        <is>
          <t>Acquisitions</t>
        </is>
      </c>
      <c r="E15" s="3059" t="inlineStr">
        <is>
          <t>Virements de</t>
        </is>
      </c>
      <c r="F15" s="3060" t="inlineStr">
        <is>
          <t xml:space="preserve">Suite à une </t>
        </is>
      </c>
      <c r="G15" s="3058" t="inlineStr">
        <is>
          <t xml:space="preserve">Cessions </t>
        </is>
      </c>
      <c r="H15" s="3061" t="inlineStr">
        <is>
          <t>Virements de</t>
        </is>
      </c>
      <c r="I15" s="3062" t="inlineStr">
        <is>
          <t xml:space="preserve">MONTANT </t>
        </is>
      </c>
    </row>
    <row r="16" ht="10" customHeight="1" s="1354">
      <c r="A16" s="3055" t="n"/>
      <c r="B16" s="3056" t="n"/>
      <c r="C16" s="3057" t="inlineStr">
        <is>
          <t>BRUT A</t>
        </is>
      </c>
      <c r="D16" s="3063" t="inlineStr">
        <is>
          <t>Apports</t>
        </is>
      </c>
      <c r="E16" s="3064" t="inlineStr">
        <is>
          <t xml:space="preserve">poste à poste </t>
        </is>
      </c>
      <c r="F16" s="3065" t="inlineStr">
        <is>
          <t>Réévaluation</t>
        </is>
      </c>
      <c r="G16" s="3063" t="inlineStr">
        <is>
          <t>Scissions</t>
        </is>
      </c>
      <c r="H16" s="3066" t="inlineStr">
        <is>
          <t xml:space="preserve">poste à </t>
        </is>
      </c>
      <c r="I16" s="3067" t="inlineStr">
        <is>
          <t>BRUT A LA</t>
        </is>
      </c>
    </row>
    <row r="17" ht="10" customHeight="1" s="1354">
      <c r="A17" s="3055" t="n"/>
      <c r="B17" s="3056" t="n"/>
      <c r="C17" s="3057" t="inlineStr">
        <is>
          <t xml:space="preserve">L'OUVERTURE  </t>
        </is>
      </c>
      <c r="D17" s="3063" t="inlineStr">
        <is>
          <t>Créations</t>
        </is>
      </c>
      <c r="E17" s="3064" t="n"/>
      <c r="F17" s="3065" t="inlineStr">
        <is>
          <t>Pratiquée</t>
        </is>
      </c>
      <c r="G17" s="3063" t="inlineStr">
        <is>
          <t>Hors service</t>
        </is>
      </c>
      <c r="H17" s="3066" t="inlineStr">
        <is>
          <t>poste</t>
        </is>
      </c>
      <c r="I17" s="3067" t="inlineStr">
        <is>
          <t>CLOTURE  DE</t>
        </is>
      </c>
    </row>
    <row r="18" ht="10" customHeight="1" s="1354">
      <c r="A18" s="3055" t="n"/>
      <c r="B18" s="3056" t="n"/>
      <c r="C18" s="3057" t="inlineStr">
        <is>
          <t>DE  L'EXERCICE</t>
        </is>
      </c>
      <c r="D18" s="3068" t="n"/>
      <c r="E18" s="3069" t="n"/>
      <c r="F18" s="3065" t="inlineStr">
        <is>
          <t>au cours</t>
        </is>
      </c>
      <c r="G18" s="3068" t="n"/>
      <c r="H18" s="3066" t="inlineStr">
        <is>
          <t> </t>
        </is>
      </c>
      <c r="I18" s="3067" t="inlineStr">
        <is>
          <t>L'EXERCICE</t>
        </is>
      </c>
    </row>
    <row r="19" ht="10" customHeight="1" s="1354">
      <c r="A19" s="3070" t="inlineStr">
        <is>
          <t>RUBRIQUES</t>
        </is>
      </c>
      <c r="B19" s="3071" t="n"/>
      <c r="C19" s="3072" t="inlineStr">
        <is>
          <t>L'EXERCICE</t>
        </is>
      </c>
      <c r="D19" s="3073" t="n"/>
      <c r="E19" s="3074" t="n"/>
      <c r="F19" s="3075" t="inlineStr">
        <is>
          <t>de l'exercice</t>
        </is>
      </c>
      <c r="G19" s="3073" t="n"/>
      <c r="H19" s="3076" t="n"/>
      <c r="I19" s="3077" t="n"/>
    </row>
    <row r="20" ht="20.15" customHeight="1" s="1354">
      <c r="A20" s="1875" t="inlineStr">
        <is>
          <t xml:space="preserve">Brevets, licences, logiciels et droits similaires </t>
        </is>
      </c>
      <c r="B20" s="3078" t="inlineStr">
        <is>
          <t> </t>
        </is>
      </c>
      <c r="C20" s="3079" t="n"/>
      <c r="D20" s="3080" t="n"/>
      <c r="E20" s="3081" t="n"/>
      <c r="F20" s="3082" t="n"/>
      <c r="G20" s="3080" t="n"/>
      <c r="H20" s="3082" t="n"/>
      <c r="I20" s="3083" t="n"/>
    </row>
    <row r="21" ht="20.15" customHeight="1" s="1354">
      <c r="A21" s="1875" t="inlineStr">
        <is>
          <t xml:space="preserve">Fonds commercial et droit au bail </t>
        </is>
      </c>
      <c r="B21" s="3084" t="inlineStr">
        <is>
          <t> </t>
        </is>
      </c>
      <c r="C21" s="3085" t="n"/>
      <c r="D21" s="3086" t="n"/>
      <c r="E21" s="3087" t="n"/>
      <c r="F21" s="3088" t="n"/>
      <c r="G21" s="3086" t="n"/>
      <c r="H21" s="3088" t="n"/>
      <c r="I21" s="3089" t="n"/>
    </row>
    <row r="22" ht="20.15" customHeight="1" s="1354">
      <c r="A22" s="1875" t="inlineStr">
        <is>
          <t xml:space="preserve">Autres immobilisations incorporelles </t>
        </is>
      </c>
      <c r="B22" s="3090" t="inlineStr">
        <is>
          <t> </t>
        </is>
      </c>
      <c r="C22" s="3091" t="n"/>
      <c r="D22" s="3092" t="n"/>
      <c r="E22" s="3093" t="n"/>
      <c r="F22" s="3094" t="n"/>
      <c r="G22" s="3092" t="n"/>
      <c r="H22" s="3094" t="n"/>
      <c r="I22" s="3095" t="n"/>
    </row>
    <row r="23" ht="20.15" customHeight="1" s="1354">
      <c r="A23" s="2987" t="inlineStr">
        <is>
          <t xml:space="preserve"> SOUS TOTAL : IMMOBILISATIONS INCORPORELLES </t>
        </is>
      </c>
      <c r="B23" s="3096" t="inlineStr">
        <is>
          <t>  </t>
        </is>
      </c>
      <c r="C23" s="3097">
        <f>SUM(C20:C22)</f>
        <v/>
      </c>
      <c r="D23" s="3098" t="n"/>
      <c r="E23" s="3099" t="n"/>
      <c r="F23" s="3100" t="n"/>
      <c r="G23" s="3098" t="n"/>
      <c r="H23" s="3100" t="n"/>
      <c r="I23" s="3101" t="n"/>
    </row>
    <row r="24" ht="20.15" customHeight="1" s="1354">
      <c r="A24" s="1875" t="inlineStr">
        <is>
          <t xml:space="preserve">Terrains </t>
        </is>
      </c>
      <c r="B24" s="3102" t="inlineStr">
        <is>
          <t>  </t>
        </is>
      </c>
      <c r="C24" s="3103" t="n"/>
      <c r="D24" s="3104" t="n"/>
      <c r="E24" s="2995" t="n"/>
      <c r="F24" s="3105" t="n"/>
      <c r="G24" s="3104" t="n"/>
      <c r="H24" s="3105" t="n"/>
      <c r="I24" s="3106">
        <f>SUM(C24:H24)</f>
        <v/>
      </c>
    </row>
    <row r="25" ht="20.15" customHeight="1" s="1354">
      <c r="A25" s="1875" t="inlineStr">
        <is>
          <t xml:space="preserve">Bâtiments </t>
        </is>
      </c>
      <c r="B25" s="3107" t="inlineStr">
        <is>
          <t>  </t>
        </is>
      </c>
      <c r="C25" s="3108" t="n"/>
      <c r="D25" s="3109" t="n"/>
      <c r="E25" s="2998" t="n"/>
      <c r="F25" s="3110" t="n"/>
      <c r="G25" s="3109" t="n"/>
      <c r="H25" s="3110" t="n"/>
      <c r="I25" s="3106">
        <f>SUM(C25:H25)</f>
        <v/>
      </c>
    </row>
    <row r="26" ht="20.15" customHeight="1" s="1354">
      <c r="A26" s="1875" t="inlineStr">
        <is>
          <t xml:space="preserve">Aménagements, agencements et installations </t>
        </is>
      </c>
      <c r="B26" s="3107" t="inlineStr">
        <is>
          <t>  </t>
        </is>
      </c>
      <c r="C26" s="3108" t="n"/>
      <c r="D26" s="3109" t="n"/>
      <c r="E26" s="2998" t="n"/>
      <c r="F26" s="3110" t="n"/>
      <c r="G26" s="3109" t="n"/>
      <c r="H26" s="3110" t="n"/>
      <c r="I26" s="3106">
        <f>SUM(C26:H26)</f>
        <v/>
      </c>
    </row>
    <row r="27" ht="20.15" customHeight="1" s="1354">
      <c r="A27" s="1875" t="inlineStr">
        <is>
          <t xml:space="preserve">Matériel, mobilier et actifs biologiques </t>
        </is>
      </c>
      <c r="B27" s="3107" t="inlineStr">
        <is>
          <t>  </t>
        </is>
      </c>
      <c r="C27" s="3108" t="n"/>
      <c r="D27" s="3109" t="n"/>
      <c r="E27" s="2998" t="n"/>
      <c r="F27" s="3110" t="n"/>
      <c r="G27" s="3109" t="n"/>
      <c r="H27" s="3110" t="n"/>
      <c r="I27" s="3106">
        <f>SUM(C27:H27)</f>
        <v/>
      </c>
    </row>
    <row r="28" ht="20.15" customHeight="1" s="1354">
      <c r="A28" s="1875" t="inlineStr">
        <is>
          <t xml:space="preserve">Matériel de transport </t>
        </is>
      </c>
      <c r="B28" s="3111" t="inlineStr">
        <is>
          <t>  </t>
        </is>
      </c>
      <c r="C28" s="3112" t="n"/>
      <c r="D28" s="3113" t="n"/>
      <c r="E28" s="3002" t="n"/>
      <c r="F28" s="3114" t="n"/>
      <c r="G28" s="3113" t="n"/>
      <c r="H28" s="3114" t="n"/>
      <c r="I28" s="3106">
        <f>SUM(C28:H28)</f>
        <v/>
      </c>
    </row>
    <row r="29" ht="20.15" customHeight="1" s="1354">
      <c r="A29" s="2987" t="inlineStr">
        <is>
          <t xml:space="preserve">SOUS TOTAL : IMMOBILISATIONS CORPORELLES </t>
        </is>
      </c>
      <c r="B29" s="3115" t="inlineStr">
        <is>
          <t>  </t>
        </is>
      </c>
      <c r="C29" s="3116">
        <f>SUM(C24:C28)</f>
        <v/>
      </c>
      <c r="D29" s="3117" t="n"/>
      <c r="E29" s="2991" t="n"/>
      <c r="F29" s="3118" t="n"/>
      <c r="G29" s="3117" t="n"/>
      <c r="H29" s="3118" t="n"/>
      <c r="I29" s="3119" t="n"/>
    </row>
    <row r="30" ht="20.15" customHeight="1" s="1354">
      <c r="A30" s="3120" t="inlineStr">
        <is>
          <t> </t>
        </is>
      </c>
      <c r="B30" s="3121" t="inlineStr">
        <is>
          <t> </t>
        </is>
      </c>
      <c r="C30" s="3122" t="n"/>
      <c r="D30" s="3123" t="n"/>
      <c r="E30" s="3124" t="n"/>
      <c r="F30" s="3125" t="n"/>
      <c r="G30" s="3123" t="n"/>
      <c r="H30" s="3125" t="n"/>
      <c r="I30" s="3126" t="n"/>
    </row>
    <row r="31" ht="20.15" customHeight="1" s="1354">
      <c r="A31" s="3127" t="inlineStr">
        <is>
          <t xml:space="preserve">TOTAL GENERAL </t>
        </is>
      </c>
      <c r="B31" s="3128" t="inlineStr">
        <is>
          <t> </t>
        </is>
      </c>
      <c r="C31" s="3129">
        <f>+C29+C23</f>
        <v/>
      </c>
      <c r="D31" s="3130" t="n"/>
      <c r="E31" s="3131" t="n"/>
      <c r="F31" s="3132" t="n"/>
      <c r="G31" s="3130" t="n"/>
      <c r="H31" s="3132" t="n"/>
      <c r="I31" s="3133"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row r="41"/>
    <row r="42" ht="34" customHeight="1" s="1354">
      <c r="A42" s="3031">
        <f>IF(SUM(B20:B31,C20:C31,D20:D31,E20:E31,F20:F31,G20:G31,H20:H31,I20:I31)=0,"NÉANT","")</f>
        <v/>
      </c>
    </row>
    <row r="43" ht="34" customHeight="1" s="1354"/>
    <row r="44" ht="34" customHeight="1" s="1354"/>
  </sheetData>
  <mergeCells count="10">
    <mergeCell ref="E6:F6"/>
    <mergeCell ref="I10:I14"/>
    <mergeCell ref="D10:F14"/>
    <mergeCell ref="A36:I36"/>
    <mergeCell ref="A42:I44"/>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4" t="inlineStr">
        <is>
          <t>IMMOBILISATION (AMORTISSEMENTS)</t>
        </is>
      </c>
    </row>
    <row r="10" ht="6.75" customHeight="1" s="1354"/>
    <row r="11" ht="12" customHeight="1" s="1354">
      <c r="A11" s="2931" t="inlineStr">
        <is>
          <t>SITUATIONS ET MOUVEMENTS</t>
        </is>
      </c>
      <c r="B11" s="3135" t="inlineStr">
        <is>
          <t>A</t>
        </is>
      </c>
      <c r="C11" s="2931" t="inlineStr">
        <is>
          <t>B</t>
        </is>
      </c>
      <c r="D11" s="2931" t="n"/>
      <c r="E11" s="2931" t="inlineStr">
        <is>
          <t>DIMINUTIONS : Amortissements relatifs aux éléments sortis de l’actif</t>
        </is>
      </c>
      <c r="F11" s="2931" t="inlineStr">
        <is>
          <t>E= A + B +C-D</t>
        </is>
      </c>
    </row>
    <row r="12" ht="12" customHeight="1" s="1354">
      <c r="A12" s="3040" t="n"/>
      <c r="B12" s="1816" t="n"/>
      <c r="C12" s="1600" t="n"/>
      <c r="D12" s="3040" t="n"/>
      <c r="E12" s="1600" t="n"/>
      <c r="F12" s="1600" t="n"/>
    </row>
    <row r="13" ht="12" customHeight="1" s="1354">
      <c r="A13" s="3040" t="n"/>
      <c r="B13" s="1816" t="n"/>
      <c r="C13" s="1600" t="n"/>
      <c r="D13" s="3040" t="inlineStr">
        <is>
          <t>C</t>
        </is>
      </c>
      <c r="E13" s="1600" t="n"/>
      <c r="F13" s="1600" t="n"/>
    </row>
    <row r="14" ht="46.5" customHeight="1" s="1354">
      <c r="A14" s="3136" t="inlineStr">
        <is>
          <t>RUBRIQUES</t>
        </is>
      </c>
      <c r="B14" s="3137" t="inlineStr">
        <is>
          <t>AMORTISSEMENTS CUMULES A L’OUVERTURE DE L’EXERCICE</t>
        </is>
      </c>
      <c r="C14" s="3137" t="inlineStr">
        <is>
          <t>AUGMENTATIONS : DOTATIONS DE l’EXERCICE</t>
        </is>
      </c>
      <c r="D14" s="3137" t="inlineStr">
        <is>
          <t>COMPLEMENT D AMORTISSEMENT</t>
        </is>
      </c>
      <c r="E14" s="3137" t="inlineStr">
        <is>
          <t>DIMINUTIONS : Amortissements relatifs aux éléments sortis de l’actif</t>
        </is>
      </c>
      <c r="F14" s="3137" t="inlineStr">
        <is>
          <t>CUMUL DES AMORTISSEMENTS A LA CLOTURE DE L’EXERCICE</t>
        </is>
      </c>
    </row>
    <row r="15" ht="22" customHeight="1" s="1354">
      <c r="A15" s="1948" t="inlineStr">
        <is>
          <t>Frais de développement et de prospection</t>
        </is>
      </c>
      <c r="B15" s="3138">
        <f>SUMIF('BALANCE N-1'!$A$2:$A$72,"2811*",'BALANCE N-1'!$H$2:$H$72)-SUMIF('BALANCE N-1'!$A$2:$A$72,"2811*",'BALANCE N-1'!$G$2:$G$72)</f>
        <v/>
      </c>
      <c r="C15" s="3138">
        <f>SUMIF('BALANCE N'!$A$2:$A$72,"2811*",'BALANCE N'!$F$2:$F$72)</f>
        <v/>
      </c>
      <c r="D15" s="3138" t="n"/>
      <c r="E15" s="3138">
        <f>SUMIF('BALANCE N'!$A$2:$A$72,"2811*",'BALANCE N'!$E$2:$E$72)</f>
        <v/>
      </c>
      <c r="F15" s="3138">
        <f>B15+C15-E15</f>
        <v/>
      </c>
    </row>
    <row r="16" ht="22" customHeight="1" s="1354">
      <c r="A16" s="1948" t="inlineStr">
        <is>
          <t>Brevets, licences, logiciels et droits similaires</t>
        </is>
      </c>
      <c r="B16" s="3138">
        <f>SUMIF('BALANCE N-1'!$A$2:$A$72,"2812*",'BALANCE N-1'!$H$2:$H$72)-SUMIF('BALANCE N-1'!$A$2:$A$72,"2812*",'BALANCE N-1'!$G$2:$G$72)+SUMIF('BALANCE N-1'!$A$2:$A$72,"2813*",'BALANCE N-1'!$H$2:$H$72)-SUMIF('BALANCE N-1'!$A$2:$A$72,"2813*",'BALANCE N-1'!$G$2:$G$72)+SUMIF('BALANCE N-1'!$A$2:$A$72,"2814*",'BALANCE N-1'!$H$2:$H$72)-SUMIF('BALANCE N-1'!$A$2:$A$72,"2814*",'BALANCE N-1'!$G$2:$G$72)</f>
        <v/>
      </c>
      <c r="C16" s="3138">
        <f>SUMIF('BALANCE N'!$A$2:$A$72,"2812*",'BALANCE N'!$F$2:$F$72)+SUMIF('BALANCE N'!$A$2:$A$72,"2813*",'BALANCE N'!$F$2:$F$72)+SUMIF('BALANCE N'!$A$2:$A$72,"2814*",'BALANCE N'!$F$2:$F$72)</f>
        <v/>
      </c>
      <c r="D16" s="3138" t="n"/>
      <c r="E16" s="3138">
        <f>SUMIF('BALANCE N'!$A$2:$A$72,"2812*",'BALANCE N'!$E$2:$E$72)+SUMIF('BALANCE N'!$A$2:$A$72,"2813*",'BALANCE N'!$E$2:$E$72)+SUMIF('BALANCE N'!$A$2:$A$72,"2814*",'BALANCE N'!$E$2:$E$72)</f>
        <v/>
      </c>
      <c r="F16" s="3138">
        <f>B16+C16-E16</f>
        <v/>
      </c>
    </row>
    <row r="17" ht="22" customHeight="1" s="1354">
      <c r="A17" s="1948" t="inlineStr">
        <is>
          <t>Fonds commercial et droit au bail</t>
        </is>
      </c>
      <c r="B17" s="3138">
        <f>SUMIF('BALANCE N-1'!$A$2:$A$72,"2816*",'BALANCE N-1'!$H$2:$H$72)-SUMIF('BALANCE N-1'!$A$2:$A$72,"2816*",'BALANCE N-1'!$G$2:$G$72)+SUMIF('BALANCE N-1'!$A$2:$A$72,"2815*",'BALANCE N-1'!$H$2:$H$72)-SUMIF('BALANCE N-1'!$A$2:$A$72,"2815*",'BALANCE N-1'!$G$2:$G$72)</f>
        <v/>
      </c>
      <c r="C17" s="3138">
        <f>SUMIF('BALANCE N'!$A$2:$A$72,"2816*",'BALANCE N'!$F$2:$F$72)+SUMIF('BALANCE N'!$A$2:$A$72,"2815*",'BALANCE N'!$F$2:$F$72)</f>
        <v/>
      </c>
      <c r="D17" s="3138" t="n"/>
      <c r="E17" s="3138">
        <f>SUMIF('BALANCE N'!$A$2:$A$72,"2816*",'BALANCE N'!$E$2:$E$72)+SUMIF('BALANCE N'!$A$2:$A$72,"2815*",'BALANCE N'!$E$2:$E$72)</f>
        <v/>
      </c>
      <c r="F17" s="3138">
        <f>B17+C17-E17</f>
        <v/>
      </c>
    </row>
    <row r="18" ht="22" customHeight="1" s="1354">
      <c r="A18" s="1950" t="inlineStr">
        <is>
          <t>Autres immobilisations incorporelles</t>
        </is>
      </c>
      <c r="B18" s="3138">
        <f>SUMIF('BALANCE N-1'!$A$2:$A$72,"2818*",'BALANCE N-1'!$H$2:$H$72)-SUMIF('BALANCE N-1'!$A$2:$A$72,"2818*",'BALANCE N-1'!$G$2:$G$72)+SUMIF('BALANCE N-1'!$A$2:$A$72,"2817*",'BALANCE N-1'!$H$2:$H$72)-SUMIF('BALANCE N-1'!$A$2:$A$72,"2817*",'BALANCE N-1'!$G$2:$G$72)</f>
        <v/>
      </c>
      <c r="C18" s="3138">
        <f>SUMIF('BALANCE N'!$A$2:$A$72,"2818*",'BALANCE N'!$F$2:$F$72)+SUMIF('BALANCE N'!$A$2:$A$72,"2817*",'BALANCE N'!$F$2:$F$72)</f>
        <v/>
      </c>
      <c r="D18" s="3138" t="n"/>
      <c r="E18" s="3138">
        <f>SUMIF('BALANCE N'!$A$2:$A$72,"2818*",'BALANCE N'!$E$2:$E$72)+SUMIF('BALANCE N'!$A$2:$A$72,"2817*",'BALANCE N'!$E$2:$E$72)</f>
        <v/>
      </c>
      <c r="F18" s="3138">
        <f>B18+C18-E18</f>
        <v/>
      </c>
    </row>
    <row r="19" ht="22" customHeight="1" s="1354">
      <c r="A19" s="3139" t="inlineStr">
        <is>
          <t>SOUS TOTAL : IMMOBILISATIONS INCORPORELLES</t>
        </is>
      </c>
      <c r="B19" s="3140">
        <f>SUM(B15:B18)</f>
        <v/>
      </c>
      <c r="C19" s="3140">
        <f>SUM(C15:C18)</f>
        <v/>
      </c>
      <c r="D19" s="3140" t="n"/>
      <c r="E19" s="3140">
        <f>SUM(E15:E18)</f>
        <v/>
      </c>
      <c r="F19" s="3140">
        <f>SUM(F15:F18)</f>
        <v/>
      </c>
    </row>
    <row r="20" ht="22" customHeight="1" s="1354">
      <c r="A20" s="1948" t="inlineStr">
        <is>
          <t>Terrains hors immeuble de placement</t>
        </is>
      </c>
      <c r="B20" s="3138">
        <f>SUMIF('BALANCE N-1'!$A$2:$A$72,"282*",'BALANCE N-1'!$H$2:$H$72)-SUMIF('BALANCE N-1'!$A$2:$A$72,"282*",'BALANCE N-1'!$G$2:$G$72)</f>
        <v/>
      </c>
      <c r="C20" s="3138">
        <f>SUMIF('BALANCE N'!$A$2:$A$72,"282*",'BALANCE N'!$F$2:$F$72)</f>
        <v/>
      </c>
      <c r="D20" s="3138" t="n"/>
      <c r="E20" s="3138">
        <f>SUMIF('BALANCE N'!$A$2:$A$72,"282*",'BALANCE N'!$E$2:$E$72)</f>
        <v/>
      </c>
      <c r="F20" s="3138">
        <f>B20+C20-E20</f>
        <v/>
      </c>
    </row>
    <row r="21" ht="22" customHeight="1" s="1354">
      <c r="A21" s="1948" t="inlineStr">
        <is>
          <t>Terrains-immeuble de placement</t>
        </is>
      </c>
      <c r="B21" s="3138" t="n"/>
      <c r="C21" s="3138" t="n"/>
      <c r="D21" s="3138" t="n"/>
      <c r="E21" s="3138" t="n"/>
      <c r="F21" s="3138">
        <f>B21+C21-E21</f>
        <v/>
      </c>
    </row>
    <row r="22" ht="22" customHeight="1" s="1354">
      <c r="A22" s="1948" t="inlineStr">
        <is>
          <t>Bâtiments hors immeuble de placement</t>
        </is>
      </c>
      <c r="B22" s="3138">
        <f>SUMIF('BALANCE N-1'!$A$2:$A$72,"2831*",'BALANCE N-1'!$H$2:$H$72)-SUMIF('BALANCE N-1'!$A$2:$A$72,"2831*",'BALANCE N-1'!$G$2:$G$72)+SUMIF('BALANCE N-1'!$A$2:$A$72,"2837*",'BALANCE N-1'!$H$2:$H$72)-SUMIF('BALANCE N-1'!$A$2:$A$72,"2837*",'BALANCE N-1'!$G$2:$G$72)+SUMIF('BALANCE N-1'!$A$2:$A$72,"2832*",'BALANCE N-1'!$H$2:$H$72)-SUMIF('BALANCE N-1'!$A$2:$A$72,"2832*",'BALANCE N-1'!$G$2:$G$72)+SUMIF('BALANCE N-1'!$A$2:$A$72,"2833*",'BALANCE N-1'!$H$2:$H$72)-SUMIF('BALANCE N-1'!$A$2:$A$72,"2833*",'BALANCE N-1'!$G$2:$G$72)</f>
        <v/>
      </c>
      <c r="C22" s="3138">
        <f>SUMIF('BALANCE N'!$A$2:$A$72,"2831*",'BALANCE N'!$F$2:$F$72)+SUMIF('BALANCE N'!$A$2:$A$72,"2837*",'BALANCE N'!$F$2:$F$72)+SUMIF('BALANCE N'!$A$2:$A$72,"2832*",'BALANCE N'!$F$2:$F$72)+SUMIF('BALANCE N'!$A$2:$A$72,"2833*",'BALANCE N'!$F$2:$F$72)</f>
        <v/>
      </c>
      <c r="D22" s="3138" t="n"/>
      <c r="E22" s="3138">
        <f>SUMIF('BALANCE N'!$A$2:$A$72,"2831*",'BALANCE N'!$E$2:$E$72)+SUMIF('BALANCE N'!$A$2:$A$72,"2837*",'BALANCE N'!$E$2:$E$72)+SUMIF('BALANCE N'!$A$2:$A$72,"2832*",'BALANCE N'!$E$2:$E$72)+SUMIF('BALANCE N'!$A$2:$A$72,"2833*",'BALANCE N'!$E$2:$E$72)</f>
        <v/>
      </c>
      <c r="F22" s="3138">
        <f>B22+C22-E22</f>
        <v/>
      </c>
    </row>
    <row r="23" ht="22" customHeight="1" s="1354">
      <c r="A23" s="1948" t="inlineStr">
        <is>
          <t>Bâtiments-immeuble de placement</t>
        </is>
      </c>
      <c r="B23" s="3141" t="n">
        <v>0</v>
      </c>
      <c r="C23" s="3141" t="n">
        <v>0</v>
      </c>
      <c r="D23" s="3141" t="n"/>
      <c r="E23" s="3141" t="n"/>
      <c r="F23" s="3141">
        <f>B23+C23-E23</f>
        <v/>
      </c>
      <c r="H23" s="3051" t="n"/>
    </row>
    <row r="24" ht="22" customHeight="1" s="1354">
      <c r="A24" s="1948" t="inlineStr">
        <is>
          <t>Aménagements, agencements et installations</t>
        </is>
      </c>
      <c r="B24" s="3141">
        <f>SUMIF('BALANCE N-1'!$A$2:$A$72,"2834*",'BALANCE N-1'!$H$2:$H$72)-SUMIF('BALANCE N-1'!$A$2:$A$72,"2834*",'BALANCE N-1'!$G$2:$G$72)+SUMIF('BALANCE N-1'!$A$2:$A$72,"2838*",'BALANCE N-1'!$H$2:$H$72)-SUMIF('BALANCE N-1'!$A$2:$A$72,"2838*",'BALANCE N-1'!$G$2:$G$72)+SUMIF('BALANCE N-1'!$A$2:$A$72,"2835*",'BALANCE N-1'!$H$2:$H$72)-SUMIF('BALANCE N-1'!$A$2:$A$72,"2835*",'BALANCE N-1'!$G$2:$G$72)</f>
        <v/>
      </c>
      <c r="C24" s="3141">
        <f>SUMIF('BALANCE N'!$A$2:$A$72,"2834*",'BALANCE N'!$F$2:$F$72)+SUMIF('BALANCE N'!$A$2:$A$72,"2838*",'BALANCE N'!$F$2:$F$72)+SUMIF('BALANCE N'!$A$2:$A$72,"2835*",'BALANCE N'!$F$2:$F$72)</f>
        <v/>
      </c>
      <c r="D24" s="3141" t="n"/>
      <c r="E24" s="3141">
        <f>SUMIF('BALANCE N'!$A$2:$A$72,"2834*",'BALANCE N'!$E$2:$E$72)+SUMIF('BALANCE N'!$A$2:$A$72,"2838*",'BALANCE N'!$E$2:$E$72)+SUMIF('BALANCE N'!$A$2:$A$72,"2835*",'BALANCE N'!$E$2:$E$72)</f>
        <v/>
      </c>
      <c r="F24" s="3141">
        <f>B24+C24-E24</f>
        <v/>
      </c>
      <c r="H24" s="3051" t="n"/>
    </row>
    <row r="25" ht="22" customHeight="1" s="1354">
      <c r="A25" s="1948" t="inlineStr">
        <is>
          <t>Matériel, mobilier et actifs biologiques</t>
        </is>
      </c>
      <c r="B25" s="3141">
        <f>SUMIF('BALANCE N-1'!$A$2:$A$72,"284*",'BALANCE N-1'!$H$2:$H$72)-SUMIF('BALANCE N-1'!$A$2:$A$72,"284*",'BALANCE N-1'!$G$2:$G$72)-SUMIF('BALANCE N-1'!$A$2:$A$72,"2845*",'BALANCE N-1'!$H$2:$H$72)+SUMIF('BALANCE N-1'!$A$2:$A$72,"2845*",'BALANCE N-1'!$G$2:$G$72)</f>
        <v/>
      </c>
      <c r="C25" s="3141">
        <f>SUMIF('BALANCE N'!$A$2:$A$72,"284*",'BALANCE N'!$F$2:$F$72)-SUMIF('BALANCE N'!$A$2:$A$72,"2845*",'BALANCE N'!$F$2:$F$72)</f>
        <v/>
      </c>
      <c r="D25" s="3141" t="n"/>
      <c r="E25" s="3141">
        <f>SUMIF('BALANCE N'!$A$2:$A$72,"284*",'BALANCE N'!$E$2:$E$72)-SUMIF('BALANCE N'!$A$2:$A$72,"2845*",'BALANCE N'!$E$2:$E$72)</f>
        <v/>
      </c>
      <c r="F25" s="3141">
        <f>B25+C25-E25</f>
        <v/>
      </c>
      <c r="H25" s="3051" t="n"/>
    </row>
    <row r="26" ht="22" customHeight="1" s="1354">
      <c r="A26" s="1950" t="inlineStr">
        <is>
          <t>Matériel de transport</t>
        </is>
      </c>
      <c r="B26" s="3141">
        <f>SUMIF('BALANCE N-1'!$A$2:$A$72,"2845*",'BALANCE N-1'!$H$2:$H$72)-SUMIF('BALANCE N-1'!$A$2:$A$72,"2845*",'BALANCE N-1'!$G$2:$G$72)</f>
        <v/>
      </c>
      <c r="C26" s="3141">
        <f>SUMIF('BALANCE N'!$A$2:$A$72,"2845*",'BALANCE N'!$F$2:$F$72)</f>
        <v/>
      </c>
      <c r="D26" s="3141" t="n"/>
      <c r="E26" s="3141">
        <f>SUMIF('BALANCE N'!$A$2:$A$72,"2845*",'BALANCE N'!$E$2:$E$72)</f>
        <v/>
      </c>
      <c r="F26" s="3141">
        <f>B26+C26-E26</f>
        <v/>
      </c>
      <c r="H26" s="3051" t="n"/>
    </row>
    <row r="27" ht="22" customHeight="1" s="1354">
      <c r="A27" s="3139" t="inlineStr">
        <is>
          <t>SOUS TOTAL : IMMOBILISATIONS CORPORELLES</t>
        </is>
      </c>
      <c r="B27" s="3140">
        <f>SUM(B20:B26)</f>
        <v/>
      </c>
      <c r="C27" s="3140">
        <f>SUM(C20:C26)</f>
        <v/>
      </c>
      <c r="D27" s="3140" t="n"/>
      <c r="E27" s="3140">
        <f>SUM(E20:E26)</f>
        <v/>
      </c>
      <c r="F27" s="3140">
        <f>SUM(F20:F26)</f>
        <v/>
      </c>
    </row>
    <row r="28" ht="11.25" customHeight="1" s="1354">
      <c r="A28" s="1954" t="n"/>
      <c r="B28" s="3141" t="n"/>
      <c r="C28" s="3141" t="n"/>
      <c r="D28" s="3141" t="n"/>
      <c r="E28" s="3141" t="n"/>
      <c r="F28" s="3141" t="n"/>
    </row>
    <row r="29" ht="22" customHeight="1" s="1354">
      <c r="A29" s="3142" t="inlineStr">
        <is>
          <t>TOTAL GENERAL</t>
        </is>
      </c>
      <c r="B29" s="3143">
        <f>B27+B19</f>
        <v/>
      </c>
      <c r="C29" s="3143">
        <f>C27+C19</f>
        <v/>
      </c>
      <c r="D29" s="3143" t="n"/>
      <c r="E29" s="3143">
        <f>E27+E19</f>
        <v/>
      </c>
      <c r="F29" s="3143">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51" t="n"/>
    </row>
    <row r="34" ht="12" customHeight="1" s="1354"/>
    <row r="35"/>
    <row r="36" ht="34" customHeight="1" s="1354">
      <c r="A36" s="3031">
        <f>IF(SUM(B15:B29,C15:C29,D15:D29,E15:E33,F15:F29,H23:H26)=0,"NÉANT","")</f>
        <v/>
      </c>
    </row>
    <row r="37" ht="34" customHeight="1" s="1354"/>
    <row r="38" ht="34" customHeight="1" s="1354"/>
  </sheetData>
  <mergeCells count="8">
    <mergeCell ref="A32:B34"/>
    <mergeCell ref="A9:F9"/>
    <mergeCell ref="C11:C13"/>
    <mergeCell ref="A8:F8"/>
    <mergeCell ref="E11:E13"/>
    <mergeCell ref="B11:B13"/>
    <mergeCell ref="F11:F13"/>
    <mergeCell ref="A36:H38"/>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4" t="inlineStr">
        <is>
          <t xml:space="preserve">MONTANT </t>
        </is>
      </c>
      <c r="D11" s="3038" t="inlineStr">
        <is>
          <t xml:space="preserve">AMORTISSEMENTS </t>
        </is>
      </c>
      <c r="E11" s="2931" t="inlineStr">
        <is>
          <t xml:space="preserve">VALEUR </t>
        </is>
      </c>
      <c r="F11" s="3039" t="inlineStr">
        <is>
          <t xml:space="preserve">PRIX  </t>
        </is>
      </c>
      <c r="G11" s="2931" t="inlineStr">
        <is>
          <t xml:space="preserve">PLUS-VALUE </t>
        </is>
      </c>
    </row>
    <row r="12" ht="23" customHeight="1" s="1354">
      <c r="B12" s="3055" t="inlineStr">
        <is>
          <t>  </t>
        </is>
      </c>
      <c r="C12" s="3040" t="inlineStr">
        <is>
          <t xml:space="preserve">BRUT </t>
        </is>
      </c>
      <c r="D12" s="3040" t="inlineStr">
        <is>
          <t xml:space="preserve">PRATIQUES </t>
        </is>
      </c>
      <c r="E12" s="3040" t="inlineStr">
        <is>
          <t xml:space="preserve">COMPTABLE </t>
        </is>
      </c>
      <c r="F12" s="3041" t="inlineStr">
        <is>
          <t xml:space="preserve">DE </t>
        </is>
      </c>
      <c r="G12" s="3040" t="inlineStr">
        <is>
          <t xml:space="preserve">OU MOINS-VALUE </t>
        </is>
      </c>
    </row>
    <row r="13" ht="15" customHeight="1" s="1354">
      <c r="B13" s="3055" t="inlineStr">
        <is>
          <t>  </t>
        </is>
      </c>
      <c r="C13" s="3040" t="inlineStr">
        <is>
          <t>  </t>
        </is>
      </c>
      <c r="D13" s="3040" t="inlineStr">
        <is>
          <t>  </t>
        </is>
      </c>
      <c r="E13" s="3040" t="inlineStr">
        <is>
          <t xml:space="preserve">NETTE </t>
        </is>
      </c>
      <c r="F13" s="3041" t="inlineStr">
        <is>
          <t xml:space="preserve">CESSION </t>
        </is>
      </c>
      <c r="G13" s="3040" t="inlineStr">
        <is>
          <t>  </t>
        </is>
      </c>
    </row>
    <row r="14" ht="15" customHeight="1" s="1354">
      <c r="B14" s="3145" t="inlineStr">
        <is>
          <t>  </t>
        </is>
      </c>
      <c r="C14" s="3044" t="inlineStr">
        <is>
          <t xml:space="preserve">A </t>
        </is>
      </c>
      <c r="D14" s="3044" t="inlineStr">
        <is>
          <t xml:space="preserve">B </t>
        </is>
      </c>
      <c r="E14" s="3044" t="inlineStr">
        <is>
          <t xml:space="preserve">C = A - B </t>
        </is>
      </c>
      <c r="F14" s="3043" t="inlineStr">
        <is>
          <t xml:space="preserve">D </t>
        </is>
      </c>
      <c r="G14" s="3044" t="inlineStr">
        <is>
          <t xml:space="preserve">E = D - C </t>
        </is>
      </c>
    </row>
    <row r="15" ht="15" customHeight="1" s="1354">
      <c r="B15" s="1875" t="inlineStr">
        <is>
          <t xml:space="preserve">Frais de développement et de prospection </t>
        </is>
      </c>
      <c r="C15" s="2993" t="n"/>
      <c r="D15" s="2993" t="n"/>
      <c r="E15" s="2993" t="n"/>
      <c r="F15" s="3146"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7" t="n"/>
      <c r="D19" s="3147" t="n"/>
      <c r="E19" s="3147">
        <f>SUMIF('BALANCE N'!$A$2:$A$72,"811*",'BALANCE N'!$G$2:$G$72)-SUMIF('BALANCE N'!$A$2:$A$72,"811*",'BALANCE N'!$H$2:$H$72)</f>
        <v/>
      </c>
      <c r="F19" s="3148">
        <f>SUMIF('BALANCE N'!$A$2:$A$72,"821*",'BALANCE N'!$H$2:$H$72)-SUMIF('BALANCE N'!$A$2:$A$72,"821*",'BALANCE N'!$G$2:$G$72)</f>
        <v/>
      </c>
      <c r="G19" s="3147">
        <f>F19-E19</f>
        <v/>
      </c>
    </row>
    <row r="20" ht="15" customHeight="1" s="1354">
      <c r="B20" s="1875" t="inlineStr">
        <is>
          <t xml:space="preserve">Terrains </t>
        </is>
      </c>
      <c r="C20" s="3149" t="n"/>
      <c r="D20" s="3149" t="n"/>
      <c r="E20" s="3150" t="n"/>
      <c r="F20" s="3151"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2" t="n"/>
      <c r="G24" s="3000" t="n"/>
    </row>
    <row r="25" ht="15" customHeight="1" s="1354">
      <c r="B25" s="2987" t="inlineStr">
        <is>
          <t xml:space="preserve"> SOUS TOTAL : IMMOBILISATIONS CORPORELLES </t>
        </is>
      </c>
      <c r="C25" s="3153" t="n"/>
      <c r="D25" s="3153" t="n"/>
      <c r="E25" s="3153">
        <f>SUMIF('BALANCE N'!$A$2:$A$72,"812*",'BALANCE N'!$G$2:$G$72)-SUMIF('BALANCE N'!$A$2:$A$72,"812*",'BALANCE N'!$H$2:$H$72)</f>
        <v/>
      </c>
      <c r="F25" s="3154">
        <f>SUMIF('BALANCE N'!$A$2:$A$72,"822*",'BALANCE N'!$H$2:$H$72)-SUMIF('BALANCE N'!$A$2:$A$72,"822*",'BALANCE N'!$G$2:$G$72)</f>
        <v/>
      </c>
      <c r="G25" s="3153">
        <f>F25-E25</f>
        <v/>
      </c>
    </row>
    <row r="26" ht="15" customHeight="1" s="1354">
      <c r="B26" s="1875" t="inlineStr">
        <is>
          <t xml:space="preserve">Titres de participations </t>
        </is>
      </c>
      <c r="C26" s="2950" t="n"/>
      <c r="D26" s="2951" t="n"/>
      <c r="E26" s="2951" t="n"/>
      <c r="F26" s="3155" t="n"/>
      <c r="G26" s="2884" t="n"/>
    </row>
    <row r="27" ht="15" customHeight="1" s="1354">
      <c r="B27" s="1875" t="inlineStr">
        <is>
          <t xml:space="preserve">Autres immobilisations financières </t>
        </is>
      </c>
      <c r="C27" s="3000" t="n"/>
      <c r="D27" s="3000" t="n"/>
      <c r="E27" s="3000" t="n"/>
      <c r="F27" s="3026" t="n"/>
      <c r="G27" s="3000" t="n"/>
    </row>
    <row r="28" ht="15" customHeight="1" s="1354">
      <c r="B28" s="3156" t="inlineStr">
        <is>
          <t xml:space="preserve">SOUS TOTAL : IMMOBILISATIONS FINANCIERES </t>
        </is>
      </c>
      <c r="C28" s="2989" t="n"/>
      <c r="D28" s="2989" t="n"/>
      <c r="E28" s="2989">
        <f>SUMIF('BALANCE N'!$A$2:$A$72,"816*",'BALANCE N'!$G$2:$G$72)-SUMIF('BALANCE N'!$A$2:$A$72,"816*",'BALANCE N'!$H$2:$H$72)</f>
        <v/>
      </c>
      <c r="F28" s="3157">
        <f>SUMIF('BALANCE N'!$A$2:$A$72,"826*",'BALANCE N'!$H$2:$H$72)-SUMIF('BALANCE N'!$A$2:$A$72,"826*",'BALANCE N'!$G$2:$G$72)</f>
        <v/>
      </c>
      <c r="G28" s="2989">
        <f>F28-E28</f>
        <v/>
      </c>
    </row>
    <row r="29" ht="15" customHeight="1" s="1354">
      <c r="B29" s="1875" t="inlineStr">
        <is>
          <t>  </t>
        </is>
      </c>
      <c r="C29" s="3158" t="n"/>
      <c r="D29" s="3158" t="n"/>
      <c r="E29" s="3158" t="n"/>
      <c r="F29" s="3159" t="n"/>
      <c r="G29" s="3158" t="n"/>
    </row>
    <row r="30" ht="15" customHeight="1" s="1354">
      <c r="B30" s="3160" t="inlineStr">
        <is>
          <t xml:space="preserve">TOTAL GENERAL </t>
        </is>
      </c>
      <c r="C30" s="3018" t="n"/>
      <c r="D30" s="3018" t="n"/>
      <c r="E30" s="3018">
        <f>SUMIF('BALANCE N'!$A$2:$A$72,"81*",'BALANCE N'!$G$2:$G$72)-SUMIF('BALANCE N'!$A$2:$A$72,"81*",'BALANCE N'!$H$2:$H$72)</f>
        <v/>
      </c>
      <c r="F30" s="3161">
        <f>SUMIF('BALANCE N'!$A$2:$A$72,"82*",'BALANCE N'!$H$2:$H$72)-SUMIF('BALANCE N'!$A$2:$A$72,"82*",'BALANCE N'!$G$2:$G$72)</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row r="34"/>
    <row r="35" ht="34" customHeight="1" s="1354">
      <c r="A35" s="3031">
        <f>IF(SUM(C15:C30,D15:D30,E15:E30,F15:F30,G15:G30)=0,"NÉANT","")</f>
        <v/>
      </c>
    </row>
    <row r="36" ht="34" customHeight="1" s="1354"/>
    <row r="37" ht="34" customHeight="1" s="1354"/>
  </sheetData>
  <mergeCells count="3">
    <mergeCell ref="A35:I37"/>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2" t="inlineStr">
        <is>
          <t>Eléments réévalués par postes du bilan</t>
        </is>
      </c>
      <c r="C16" s="3162" t="inlineStr">
        <is>
          <t>Montants coûts historiques</t>
        </is>
      </c>
      <c r="D16" s="3162"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3" t="n"/>
      <c r="D24" s="3163"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4" t="inlineStr">
        <is>
          <t>  </t>
        </is>
      </c>
    </row>
    <row r="38" ht="12" customHeight="1" s="1354">
      <c r="B38" s="2981" t="inlineStr">
        <is>
          <t> </t>
        </is>
      </c>
      <c r="C38" s="2981" t="inlineStr">
        <is>
          <t> </t>
        </is>
      </c>
    </row>
    <row r="39" ht="12" customHeight="1" s="1354">
      <c r="B39" s="2000" t="n"/>
    </row>
    <row r="40"/>
    <row r="41" ht="34" customHeight="1" s="1354">
      <c r="A41" s="3031">
        <f>IF(SUM(C17:C24,D17:D24)=0,"NÉANT","")</f>
        <v/>
      </c>
    </row>
    <row r="42" ht="34" customHeight="1" s="1354"/>
    <row r="43" ht="34" customHeight="1" s="1354"/>
  </sheetData>
  <mergeCells count="20">
    <mergeCell ref="B11:D11"/>
    <mergeCell ref="B14:D14"/>
    <mergeCell ref="B13:D13"/>
    <mergeCell ref="B29:D29"/>
    <mergeCell ref="B34:D34"/>
    <mergeCell ref="B10:D10"/>
    <mergeCell ref="B28:D28"/>
    <mergeCell ref="A41:E43"/>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5" t="inlineStr">
        <is>
          <t> </t>
        </is>
      </c>
      <c r="B2" s="3165"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6" t="inlineStr">
        <is>
          <t xml:space="preserve">Libellés </t>
        </is>
      </c>
      <c r="B11" s="3167" t="inlineStr">
        <is>
          <t xml:space="preserve">Année N </t>
        </is>
      </c>
      <c r="C11" s="3167" t="inlineStr">
        <is>
          <t xml:space="preserve">Année N-1 </t>
        </is>
      </c>
      <c r="D11" s="3167" t="inlineStr">
        <is>
          <t xml:space="preserve">Variation en % </t>
        </is>
      </c>
      <c r="E11" s="3167" t="inlineStr">
        <is>
          <t xml:space="preserve">Créances à un an au plus </t>
        </is>
      </c>
      <c r="F11" s="3168" t="inlineStr">
        <is>
          <t xml:space="preserve">Créances à plus d'un an et à </t>
        </is>
      </c>
      <c r="G11" s="3169" t="inlineStr">
        <is>
          <t xml:space="preserve">Créances à plus de deux ans </t>
        </is>
      </c>
    </row>
    <row r="12" ht="15" customHeight="1" s="1354">
      <c r="A12" s="2007" t="n"/>
      <c r="B12" s="2008" t="n"/>
      <c r="C12" s="2008" t="n"/>
      <c r="D12" s="2008" t="n"/>
      <c r="E12" s="2008" t="n"/>
      <c r="F12" s="3170" t="inlineStr">
        <is>
          <t xml:space="preserve">deux ans au plus </t>
        </is>
      </c>
      <c r="G12" s="2010" t="n"/>
    </row>
    <row r="13" ht="15" customHeight="1" s="1354">
      <c r="A13" s="2011" t="inlineStr">
        <is>
          <t xml:space="preserve">Titres de participation </t>
        </is>
      </c>
      <c r="B13" s="3171">
        <f>SUMIF('BALANCE N'!$A$2:$A$72,"26*",'BALANCE N'!$G$2:$G$72)-SUMIF('BALANCE N'!$A$2:$A$72,"26*",'BALANCE N'!$H$2:$H$72)</f>
        <v/>
      </c>
      <c r="C13" s="3171">
        <f>SUMIF('BALANCE N-1'!$A$2:$A$72,"26*",'BALANCE N-1'!$G$2:$G$72)-SUMIF('BALANCE N-1'!$A$2:$A$72,"26*",'BALANCE N-1'!$H$2:$H$72)</f>
        <v/>
      </c>
      <c r="D13" s="3171" t="inlineStr">
        <is>
          <t>  </t>
        </is>
      </c>
      <c r="E13" s="3171" t="inlineStr">
        <is>
          <t>  </t>
        </is>
      </c>
      <c r="F13" s="3171" t="inlineStr">
        <is>
          <t>  </t>
        </is>
      </c>
      <c r="G13" s="3172" t="inlineStr">
        <is>
          <t>  </t>
        </is>
      </c>
    </row>
    <row r="14" ht="15" customHeight="1" s="1354">
      <c r="A14" s="2014" t="inlineStr">
        <is>
          <t xml:space="preserve">Prêts et créances </t>
        </is>
      </c>
      <c r="B14" s="3173">
        <f>SUMIF('BALANCE N'!$A$2:$A$72,"271*",'BALANCE N'!$G$2:$G$72)-SUMIF('BALANCE N'!$A$2:$A$72,"271*",'BALANCE N'!$H$2:$H$72)+SUMIF('BALANCE N'!$A$2:$A$72,"278*",'BALANCE N'!$G$2:$G$72)-SUMIF('BALANCE N'!$A$2:$A$72,"278*",'BALANCE N'!$H$2:$H$72)+SUMIF('BALANCE N'!$A$2:$A$72,"277*",'BALANCE N'!$G$2:$G$72)-SUMIF('BALANCE N'!$A$2:$A$72,"277*",'BALANCE N'!$H$2:$H$72)</f>
        <v/>
      </c>
      <c r="C14" s="3173">
        <f>SUMIF('BALANCE N-1'!$A$2:$A$72,"271*",'BALANCE N-1'!$G$2:$G$72)-SUMIF('BALANCE N-1'!$A$2:$A$72,"271*",'BALANCE N-1'!$H$2:$H$72)+SUMIF('BALANCE N-1'!$A$2:$A$72,"278*",'BALANCE N-1'!$G$2:$G$72)-SUMIF('BALANCE N-1'!$A$2:$A$72,"278*",'BALANCE N-1'!$H$2:$H$72)+SUMIF('BALANCE N-1'!$A$2:$A$72,"277*",'BALANCE N-1'!$G$2:$G$72)-SUMIF('BALANCE N-1'!$A$2:$A$72,"277*",'BALANCE N-1'!$H$2:$H$72)</f>
        <v/>
      </c>
      <c r="D14" s="3173" t="inlineStr">
        <is>
          <t>  </t>
        </is>
      </c>
      <c r="E14" s="3173" t="inlineStr">
        <is>
          <t>  </t>
        </is>
      </c>
      <c r="F14" s="3173" t="inlineStr">
        <is>
          <t>  </t>
        </is>
      </c>
      <c r="G14" s="3174" t="inlineStr">
        <is>
          <t>  </t>
        </is>
      </c>
    </row>
    <row r="15" ht="15" customHeight="1" s="1354">
      <c r="A15" s="2014" t="inlineStr">
        <is>
          <t xml:space="preserve">Prêt au personnel </t>
        </is>
      </c>
      <c r="B15" s="3173">
        <f>SUMIF('BALANCE N'!$A$2:$A$72,"272*",'BALANCE N'!$G$2:$G$72)-SUMIF('BALANCE N'!$A$2:$A$72,"272*",'BALANCE N'!$H$2:$H$72)</f>
        <v/>
      </c>
      <c r="C15" s="3173">
        <f>SUMIF('BALANCE N-1'!$A$2:$A$72,"272*",'BALANCE N-1'!$G$2:$G$72)-SUMIF('BALANCE N-1'!$A$2:$A$72,"272*",'BALANCE N-1'!$H$2:$H$72)</f>
        <v/>
      </c>
      <c r="D15" s="3173" t="inlineStr">
        <is>
          <t>  </t>
        </is>
      </c>
      <c r="E15" s="3173" t="inlineStr">
        <is>
          <t>  </t>
        </is>
      </c>
      <c r="F15" s="3173" t="inlineStr">
        <is>
          <t>  </t>
        </is>
      </c>
      <c r="G15" s="3174" t="inlineStr">
        <is>
          <t>  </t>
        </is>
      </c>
    </row>
    <row r="16" ht="15" customHeight="1" s="1354">
      <c r="A16" s="2014" t="inlineStr">
        <is>
          <t xml:space="preserve">Créances sur  l'état </t>
        </is>
      </c>
      <c r="B16" s="3173">
        <f>SUMIF('BALANCE N'!$A$2:$A$72,"273*",'BALANCE N'!$G$2:$G$72)-SUMIF('BALANCE N'!$A$2:$A$72,"273*",'BALANCE N'!$H$2:$H$72)</f>
        <v/>
      </c>
      <c r="C16" s="3173">
        <f>SUMIF('BALANCE N-1'!$A$2:$A$72,"273*",'BALANCE N-1'!$G$2:$G$72)-SUMIF('BALANCE N-1'!$A$2:$A$72,"273*",'BALANCE N-1'!$H$2:$H$72)</f>
        <v/>
      </c>
      <c r="D16" s="3173" t="inlineStr">
        <is>
          <t>  </t>
        </is>
      </c>
      <c r="E16" s="3173" t="inlineStr">
        <is>
          <t>  </t>
        </is>
      </c>
      <c r="F16" s="3173" t="inlineStr">
        <is>
          <t>  </t>
        </is>
      </c>
      <c r="G16" s="3174" t="inlineStr">
        <is>
          <t>  </t>
        </is>
      </c>
    </row>
    <row r="17" ht="15" customHeight="1" s="1354">
      <c r="A17" s="2014" t="inlineStr">
        <is>
          <t xml:space="preserve">Titres immobilisés </t>
        </is>
      </c>
      <c r="B17" s="3173">
        <f>SUMIF('BALANCE N'!$A$2:$A$72,"274*",'BALANCE N'!$G$2:$G$72)-SUMIF('BALANCE N'!$A$2:$A$72,"274*",'BALANCE N'!$H$2:$H$72)</f>
        <v/>
      </c>
      <c r="C17" s="3173">
        <f>SUMIF('BALANCE N-1'!$A$2:$A$72,"274*",'BALANCE N-1'!$G$2:$G$72)-SUMIF('BALANCE N-1'!$A$2:$A$72,"274*",'BALANCE N-1'!$H$2:$H$72)</f>
        <v/>
      </c>
      <c r="D17" s="3173" t="inlineStr">
        <is>
          <t>  </t>
        </is>
      </c>
      <c r="E17" s="3173" t="inlineStr">
        <is>
          <t>  </t>
        </is>
      </c>
      <c r="F17" s="3173" t="inlineStr">
        <is>
          <t>  </t>
        </is>
      </c>
      <c r="G17" s="3174" t="inlineStr">
        <is>
          <t>  </t>
        </is>
      </c>
    </row>
    <row r="18" ht="15" customHeight="1" s="1354">
      <c r="A18" s="2014" t="inlineStr">
        <is>
          <t xml:space="preserve">Dépôts et cautionnements </t>
        </is>
      </c>
      <c r="B18" s="3175">
        <f>SUMIF('BALANCE N'!$A$2:$A$72,"275*",'BALANCE N'!$G$2:$G$72)-SUMIF('BALANCE N'!$A$2:$A$72,"275*",'BALANCE N'!$H$2:$H$72)</f>
        <v/>
      </c>
      <c r="C18" s="3175">
        <f>SUMIF('BALANCE N-1'!$A$2:$A$72,"275*",'BALANCE N-1'!$G$2:$G$72)-SUMIF('BALANCE N-1'!$A$2:$A$72,"275*",'BALANCE N-1'!$H$2:$H$72)</f>
        <v/>
      </c>
      <c r="D18" s="3175">
        <f>B18-C18</f>
        <v/>
      </c>
      <c r="E18" s="3175" t="n">
        <v>0</v>
      </c>
      <c r="F18" s="3175" t="n">
        <v>0</v>
      </c>
      <c r="G18" s="3176">
        <f>C18</f>
        <v/>
      </c>
    </row>
    <row r="19" ht="15" customHeight="1" s="1354">
      <c r="A19" s="2019" t="inlineStr">
        <is>
          <t xml:space="preserve">Intérêts courus </t>
        </is>
      </c>
      <c r="B19" s="3177">
        <f>SUMIF('BALANCE N'!$A$2:$A$72,"276*",'BALANCE N'!$G$2:$G$72)-SUMIF('BALANCE N'!$A$2:$A$72,"276*",'BALANCE N'!$H$2:$H$72)</f>
        <v/>
      </c>
      <c r="C19" s="3177">
        <f>SUMIF('BALANCE N-1'!$A$2:$A$72,"276*",'BALANCE N-1'!$G$2:$G$72)-SUMIF('BALANCE N-1'!$A$2:$A$72,"276*",'BALANCE N-1'!$H$2:$H$72)</f>
        <v/>
      </c>
      <c r="D19" s="3177" t="inlineStr">
        <is>
          <t>  </t>
        </is>
      </c>
      <c r="E19" s="3177" t="inlineStr">
        <is>
          <t>  </t>
        </is>
      </c>
      <c r="F19" s="3177" t="inlineStr">
        <is>
          <t>  </t>
        </is>
      </c>
      <c r="G19" s="3178" t="inlineStr">
        <is>
          <t>  </t>
        </is>
      </c>
    </row>
    <row r="20" ht="15" customHeight="1" s="1354">
      <c r="A20" s="3179" t="inlineStr">
        <is>
          <t xml:space="preserve">TOTAL BRUT </t>
        </is>
      </c>
      <c r="B20" s="3180">
        <f>SUM(B13:B19)</f>
        <v/>
      </c>
      <c r="C20" s="3180">
        <f>SUM(C13:C19)</f>
        <v/>
      </c>
      <c r="D20" s="3180">
        <f>SUM(D13:D19)</f>
        <v/>
      </c>
      <c r="E20" s="3180">
        <f>SUM(E13:E19)</f>
        <v/>
      </c>
      <c r="F20" s="3180">
        <f>SUM(F13:F19)</f>
        <v/>
      </c>
      <c r="G20" s="3181">
        <f>SUM(G13:G19)</f>
        <v/>
      </c>
    </row>
    <row r="21" ht="14.5" customHeight="1" s="1354">
      <c r="A21" s="2011" t="inlineStr">
        <is>
          <t xml:space="preserve">Dépréciations  titres de participation </t>
        </is>
      </c>
      <c r="B21" s="3182">
        <f>SUMIF('BALANCE N'!$A$2:$A$72,"296*",'BALANCE N'!$H$2:$H$72)-SUMIF('BALANCE N'!$A$2:$A$72,"296*",'BALANCE N'!$G$2:$G$72)</f>
        <v/>
      </c>
      <c r="C21" s="3182">
        <f>SUMIF('BALANCE N-1'!$A$2:$A$72,"296*",'BALANCE N-1'!$H$2:$H$72)-SUMIF('BALANCE N-1'!$A$2:$A$72,"296*",'BALANCE N-1'!$G$2:$G$72)</f>
        <v/>
      </c>
      <c r="D21" s="3182" t="inlineStr">
        <is>
          <t>  </t>
        </is>
      </c>
      <c r="E21" s="3182" t="inlineStr">
        <is>
          <t>  </t>
        </is>
      </c>
      <c r="F21" s="3182" t="inlineStr">
        <is>
          <t>  </t>
        </is>
      </c>
      <c r="G21" s="3183" t="inlineStr">
        <is>
          <t>  </t>
        </is>
      </c>
    </row>
    <row r="22" ht="15" customHeight="1" s="1354">
      <c r="A22" s="2014" t="inlineStr">
        <is>
          <t xml:space="preserve">Dépréciations autres immobilisations </t>
        </is>
      </c>
      <c r="B22" s="3184">
        <f>SUMIF('BALANCE N'!$A$2:$A$72,"297*",'BALANCE N'!$H$2:$H$72)-SUMIF('BALANCE N'!$A$2:$A$72,"297*",'BALANCE N'!$G$2:$G$72)</f>
        <v/>
      </c>
      <c r="C22" s="3184">
        <f>SUMIF('BALANCE N-1'!$A$2:$A$72,"297*",'BALANCE N-1'!$H$2:$H$72)-SUMIF('BALANCE N-1'!$A$2:$A$72,"297*",'BALANCE N-1'!$G$2:$G$72)</f>
        <v/>
      </c>
      <c r="D22" s="3184" t="inlineStr">
        <is>
          <t>  </t>
        </is>
      </c>
      <c r="E22" s="3184" t="inlineStr">
        <is>
          <t>  </t>
        </is>
      </c>
      <c r="F22" s="3184" t="inlineStr">
        <is>
          <t>  </t>
        </is>
      </c>
      <c r="G22" s="3185" t="inlineStr">
        <is>
          <t>  </t>
        </is>
      </c>
    </row>
    <row r="23" ht="15" customHeight="1" s="1354">
      <c r="A23" s="3179" t="inlineStr">
        <is>
          <t xml:space="preserve">TOTAL NET DE DEPRECIATION </t>
        </is>
      </c>
      <c r="B23" s="3186">
        <f>B20-B21-B22</f>
        <v/>
      </c>
      <c r="C23" s="3186">
        <f>C20-C21-C22</f>
        <v/>
      </c>
      <c r="D23" s="3186" t="inlineStr">
        <is>
          <t>  </t>
        </is>
      </c>
      <c r="E23" s="3186" t="inlineStr">
        <is>
          <t>  </t>
        </is>
      </c>
      <c r="F23" s="3186" t="inlineStr">
        <is>
          <t>  </t>
        </is>
      </c>
      <c r="G23" s="3187" t="inlineStr">
        <is>
          <t>  </t>
        </is>
      </c>
    </row>
    <row r="24" ht="15" customHeight="1" s="1354">
      <c r="A24" s="2031" t="inlineStr">
        <is>
          <t xml:space="preserve"> Liste des filiales et participations : </t>
        </is>
      </c>
    </row>
    <row r="25" ht="30" customHeight="1" s="1354">
      <c r="A25" s="3188" t="inlineStr">
        <is>
          <t xml:space="preserve">Dénomination sociale </t>
        </is>
      </c>
      <c r="B25" s="3189" t="inlineStr">
        <is>
          <t xml:space="preserve">Localisation (ville / pays) </t>
        </is>
      </c>
      <c r="C25" s="1598" t="n"/>
      <c r="D25" s="3190" t="inlineStr">
        <is>
          <t>Valeur d'acquisition</t>
        </is>
      </c>
      <c r="E25" s="3191" t="inlineStr">
        <is>
          <t>% Détenu</t>
        </is>
      </c>
      <c r="F25" s="3189" t="inlineStr">
        <is>
          <t xml:space="preserve">Montant des </t>
        </is>
      </c>
      <c r="G25" s="3192" t="inlineStr">
        <is>
          <t xml:space="preserve">Résultat dernier </t>
        </is>
      </c>
    </row>
    <row r="26" ht="30" customHeight="1" s="1354">
      <c r="A26" s="2037" t="n"/>
      <c r="B26" s="1755" t="n"/>
      <c r="C26" s="1816" t="n"/>
      <c r="D26" s="1998" t="n"/>
      <c r="E26" s="1594" t="n"/>
      <c r="F26" s="3193" t="inlineStr">
        <is>
          <t xml:space="preserve">capitaux propres filiale </t>
        </is>
      </c>
      <c r="G26" s="3194" t="inlineStr">
        <is>
          <t xml:space="preserve">exercice filiale  </t>
        </is>
      </c>
    </row>
    <row r="27" ht="20.15" customHeight="1" s="1354">
      <c r="A27" s="2040" t="inlineStr">
        <is>
          <t>  </t>
        </is>
      </c>
      <c r="B27" s="3195" t="inlineStr">
        <is>
          <t>     </t>
        </is>
      </c>
      <c r="C27" s="1710" t="n"/>
      <c r="D27" s="3196" t="n"/>
      <c r="E27" s="3197" t="n"/>
      <c r="F27" s="3198" t="n"/>
      <c r="G27" s="3199" t="n"/>
    </row>
    <row r="28" ht="20.15" customHeight="1" s="1354">
      <c r="A28" s="2046" t="inlineStr">
        <is>
          <t>  </t>
        </is>
      </c>
      <c r="B28" s="3200" t="inlineStr">
        <is>
          <t>     </t>
        </is>
      </c>
      <c r="C28" s="1710" t="n"/>
      <c r="D28" s="3201" t="n"/>
      <c r="E28" s="3202" t="n"/>
      <c r="F28" s="3203" t="n"/>
      <c r="G28" s="3204" t="n"/>
    </row>
    <row r="29" ht="20.15" customHeight="1" s="1354">
      <c r="A29" s="2046" t="inlineStr">
        <is>
          <t>  </t>
        </is>
      </c>
      <c r="B29" s="3200" t="inlineStr">
        <is>
          <t>     </t>
        </is>
      </c>
      <c r="C29" s="1710" t="n"/>
      <c r="D29" s="3201" t="n"/>
      <c r="E29" s="3202" t="n"/>
      <c r="F29" s="3203" t="n"/>
      <c r="G29" s="3204" t="n"/>
    </row>
    <row r="30" ht="20.15" customHeight="1" s="1354">
      <c r="A30" s="2046" t="inlineStr">
        <is>
          <t>  </t>
        </is>
      </c>
      <c r="B30" s="3200" t="inlineStr">
        <is>
          <t>     </t>
        </is>
      </c>
      <c r="C30" s="1710" t="n"/>
      <c r="D30" s="3201" t="n"/>
      <c r="E30" s="3202" t="n"/>
      <c r="F30" s="3203" t="n"/>
      <c r="G30" s="3204" t="n"/>
    </row>
    <row r="31" ht="20.15" customHeight="1" s="1354">
      <c r="A31" s="2052" t="inlineStr">
        <is>
          <t>  </t>
        </is>
      </c>
      <c r="B31" s="3205" t="inlineStr">
        <is>
          <t>     </t>
        </is>
      </c>
      <c r="C31" s="1743" t="n"/>
      <c r="D31" s="3206" t="n"/>
      <c r="E31" s="3207" t="n"/>
      <c r="F31" s="3208" t="n"/>
      <c r="G31" s="3209"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row r="44"/>
    <row r="45" ht="34" customHeight="1" s="1354">
      <c r="A45" s="3031">
        <f>IF(SUM(B13:B31,C13:C23,D13:D31,E13:E31,F13:F31,G13:G31)=0,"NÉANT","")</f>
        <v/>
      </c>
    </row>
    <row r="46" ht="34" customHeight="1" s="1354"/>
    <row r="47" ht="34" customHeight="1" s="1354"/>
  </sheetData>
  <mergeCells count="18">
    <mergeCell ref="B30:C30"/>
    <mergeCell ref="A45:G47"/>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10" t="inlineStr">
        <is>
          <t xml:space="preserve">Année N </t>
        </is>
      </c>
      <c r="D13" s="2930" t="inlineStr">
        <is>
          <t xml:space="preserve">Année N-1 </t>
        </is>
      </c>
      <c r="E13" s="3211" t="inlineStr">
        <is>
          <t>Variation en %</t>
        </is>
      </c>
    </row>
    <row r="14" ht="22" customHeight="1" s="1354">
      <c r="A14" s="1718" t="inlineStr">
        <is>
          <t xml:space="preserve">Créances sur cessions d'immobilisations </t>
        </is>
      </c>
      <c r="B14" s="1710" t="n"/>
      <c r="C14" s="3155">
        <f>SUMIF('BALANCE N'!$A$2:$A$72,"485*",'BALANCE N'!$G$2:$G$72)-SUMIF('BALANCE N'!$A$2:$A$72,"485*",'BALANCE N'!$H$2:$H$72)</f>
        <v/>
      </c>
      <c r="D14" s="2950">
        <f>SUMIF('BALANCE N-1'!$A$2:$A$72,"485*",'BALANCE N-1'!$G$2:$G$72)-SUMIF('BALANCE N-1'!$A$2:$A$72,"485*",'BALANCE N-1'!$H$2:$H$72)</f>
        <v/>
      </c>
      <c r="E14" s="3212" t="n">
        <v>0</v>
      </c>
    </row>
    <row r="15" ht="22" customHeight="1" s="1354">
      <c r="A15" s="2073" t="inlineStr">
        <is>
          <t xml:space="preserve">Autres créances hors activités ordinaires </t>
        </is>
      </c>
      <c r="B15" s="1703" t="n"/>
      <c r="C15" s="3152">
        <f>SUMIF('BALANCE N'!$A$2:$A$72,"488*",'BALANCE N'!$G$2:$G$72)-SUMIF('BALANCE N'!$A$2:$A$72,"488*",'BALANCE N'!$H$2:$H$72)</f>
        <v/>
      </c>
      <c r="D15" s="3025">
        <f>SUMIF('BALANCE N-1'!$A$2:$A$72,"488*",'BALANCE N-1'!$G$2:$G$72)-SUMIF('BALANCE N-1'!$A$2:$A$72,"488*",'BALANCE N-1'!$H$2:$H$72)</f>
        <v/>
      </c>
      <c r="E15" s="3213" t="n"/>
    </row>
    <row r="16" ht="22" customHeight="1" s="1354">
      <c r="A16" s="3214" t="inlineStr">
        <is>
          <t xml:space="preserve"> TOTAL BRUT </t>
        </is>
      </c>
      <c r="B16" s="1754" t="n"/>
      <c r="C16" s="3148">
        <f>SUM(C14:C15)</f>
        <v/>
      </c>
      <c r="D16" s="3147">
        <f>SUM(D14:D15)</f>
        <v/>
      </c>
      <c r="E16" s="3215" t="n"/>
    </row>
    <row r="17" ht="22" customHeight="1" s="1354">
      <c r="A17" s="2078" t="inlineStr">
        <is>
          <t xml:space="preserve">Dépréciations des créances HAO </t>
        </is>
      </c>
      <c r="B17" s="1603" t="n"/>
      <c r="C17" s="3216">
        <f>SUMIF('BALANCE N'!$A$2:$A$72,"498*",'BALANCE N'!$H$2:$H$72)-SUMIF('BALANCE N'!$A$2:$A$72,"498*",'BALANCE N'!$G$2:$G$72)</f>
        <v/>
      </c>
      <c r="D17" s="3149">
        <f>SUMIF('BALANCE N-1'!$A$2:$A$72,"498*",'BALANCE N-1'!$H$2:$H$72)-SUMIF('BALANCE N-1'!$A$2:$A$72,"498*",'BALANCE N-1'!$G$2:$G$72)</f>
        <v/>
      </c>
      <c r="E17" s="3217" t="n"/>
    </row>
    <row r="18" ht="22" customHeight="1" s="1354">
      <c r="A18" s="2073" t="inlineStr">
        <is>
          <t>  </t>
        </is>
      </c>
      <c r="B18" s="1703" t="n"/>
      <c r="C18" s="3152" t="n"/>
      <c r="D18" s="3025" t="n"/>
      <c r="E18" s="3213" t="n"/>
    </row>
    <row r="19" ht="22" customHeight="1" s="1354">
      <c r="A19" s="3214" t="inlineStr">
        <is>
          <t xml:space="preserve">TOTAL NET DE DEPRECIATION </t>
        </is>
      </c>
      <c r="B19" s="1754" t="n"/>
      <c r="C19" s="3154">
        <f>C16-C17</f>
        <v/>
      </c>
      <c r="D19" s="3153">
        <f>D16-D17</f>
        <v/>
      </c>
      <c r="E19" s="3218"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9" t="inlineStr">
        <is>
          <t xml:space="preserve">Libellés </t>
        </is>
      </c>
      <c r="B26" s="1797" t="n"/>
      <c r="C26" s="2930" t="inlineStr">
        <is>
          <t xml:space="preserve">Année N </t>
        </is>
      </c>
      <c r="D26" s="2930" t="inlineStr">
        <is>
          <t xml:space="preserve">Année N-1 </t>
        </is>
      </c>
      <c r="E26" s="3211" t="inlineStr">
        <is>
          <t>Variation en %</t>
        </is>
      </c>
    </row>
    <row r="27" ht="22" customHeight="1" s="1354">
      <c r="A27" s="2088" t="inlineStr">
        <is>
          <t xml:space="preserve">Fournisseurs d'investissements </t>
        </is>
      </c>
      <c r="B27" s="1709" t="n"/>
      <c r="C27" s="2950">
        <f>SUMIF('BALANCE N'!$A$2:$A$72,"481*",'BALANCE N'!$H$2:$H$72)-SUMIF('BALANCE N'!$A$2:$A$72,"481*",'BALANCE N'!$G$2:$G$72)</f>
        <v/>
      </c>
      <c r="D27" s="2950">
        <f>SUMIF('BALANCE N-1'!$A$2:$A$72,"481*",'BALANCE N-1'!$H$2:$H$72)-SUMIF('BALANCE N-1'!$A$2:$A$72,"481*",'BALANCE N-1'!$G$2:$G$72)</f>
        <v/>
      </c>
      <c r="E27" s="3212" t="n"/>
    </row>
    <row r="28" ht="22" customHeight="1" s="1354">
      <c r="A28" s="2088" t="inlineStr">
        <is>
          <t xml:space="preserve">Fournisseurs d'investissements effets à payer </t>
        </is>
      </c>
      <c r="B28" s="1709" t="n"/>
      <c r="C28" s="2950">
        <f>SUMIF('BALANCE N'!$A$2:$A$72,"482*",'BALANCE N'!$H$2:$H$72)-SUMIF('BALANCE N'!$A$2:$A$72,"482*",'BALANCE N'!$G$2:$G$72)</f>
        <v/>
      </c>
      <c r="D28" s="2950">
        <f>SUMIF('BALANCE N-1'!$A$2:$A$72,"482*",'BALANCE N-1'!$H$2:$H$72)-SUMIF('BALANCE N-1'!$A$2:$A$72,"482*",'BALANCE N-1'!$G$2:$G$72)</f>
        <v/>
      </c>
      <c r="E28" s="3212" t="n"/>
    </row>
    <row r="29" ht="26.25" customHeight="1" s="1354">
      <c r="A29" s="2088" t="inlineStr">
        <is>
          <t xml:space="preserve">Versements restant à effectuer sur titres de participation et titres immobilisés non libérés </t>
        </is>
      </c>
      <c r="B29" s="1709" t="n"/>
      <c r="C29" s="2950" t="n"/>
      <c r="D29" s="2950" t="n"/>
      <c r="E29" s="3212" t="n"/>
    </row>
    <row r="30" ht="22" customHeight="1" s="1354">
      <c r="A30" s="2088" t="inlineStr">
        <is>
          <t xml:space="preserve">Autres dettes hors activités ordinaires </t>
        </is>
      </c>
      <c r="B30" s="1709" t="n"/>
      <c r="C30" s="2950">
        <f>SUMIF('BALANCE N'!$A$2:$A$72,"484*",'BALANCE N'!$H$2:$H$72)-SUMIF('BALANCE N'!$A$2:$A$72,"484*",'BALANCE N'!$G$2:$G$72)+SUMIF('BALANCE N'!$A$2:$A$72,"4998*",'BALANCE N'!$H$2:$H$72)-SUMIF('BALANCE N'!$A$2:$A$72,"4998*",'BALANCE N'!$G$2:$G$72)</f>
        <v/>
      </c>
      <c r="D30" s="2950">
        <f>SUMIF('BALANCE N-1'!$A$2:$A$72,"484*",'BALANCE N-1'!$H$2:$H$72)-SUMIF('BALANCE N-1'!$A$2:$A$72,"484*",'BALANCE N-1'!$G$2:$G$72)+SUMIF('BALANCE N-1'!$A$2:$A$72,"4998*",'BALANCE N-1'!$H$2:$H$72)-SUMIF('BALANCE N-1'!$A$2:$A$72,"4998*",'BALANCE N-1'!$G$2:$G$72)</f>
        <v/>
      </c>
      <c r="E30" s="3212" t="n"/>
    </row>
    <row r="31" ht="22" customHeight="1" s="1354">
      <c r="A31" s="3220" t="inlineStr">
        <is>
          <t xml:space="preserve">TOTAL  </t>
        </is>
      </c>
      <c r="B31" s="1753" t="n"/>
      <c r="C31" s="3153">
        <f>SUM(C27:C30)</f>
        <v/>
      </c>
      <c r="D31" s="3153">
        <f>SUM(D27:D30)</f>
        <v/>
      </c>
      <c r="E31" s="3218"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row r="42"/>
    <row r="43" ht="34" customHeight="1" s="1354">
      <c r="A43" s="3031">
        <f>IF(SUM(C14:C31,D14:D31,E14:E31)=0,"NÉANT","")</f>
        <v/>
      </c>
    </row>
    <row r="44" ht="34" customHeight="1" s="1354"/>
    <row r="45" ht="34" customHeight="1" s="1354"/>
  </sheetData>
  <mergeCells count="17">
    <mergeCell ref="A43:H45"/>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6" t="inlineStr">
        <is>
          <t xml:space="preserve">Libellés </t>
        </is>
      </c>
      <c r="C11" s="3221" t="inlineStr">
        <is>
          <t xml:space="preserve">Année N </t>
        </is>
      </c>
      <c r="D11" s="3221" t="inlineStr">
        <is>
          <t xml:space="preserve">Année N-1 </t>
        </is>
      </c>
      <c r="E11" s="3169" t="inlineStr">
        <is>
          <t xml:space="preserve">Variation en % </t>
        </is>
      </c>
    </row>
    <row r="12" ht="15" customHeight="1" s="1354">
      <c r="B12" s="2096" t="inlineStr">
        <is>
          <t xml:space="preserve">Marchandises </t>
        </is>
      </c>
      <c r="C12" s="3222">
        <f>SUMIF('BALANCE N'!$A$2:$A$72,"31*",'BALANCE N'!$G$2:$G$72)-SUMIF('BALANCE N'!$A$2:$A$72,"31*",'BALANCE N'!$H$2:$H$72)</f>
        <v/>
      </c>
      <c r="D12" s="3222">
        <f>SUMIF('BALANCE N-1'!$A$2:$A$72,"31*",'BALANCE N-1'!$G$2:$G$72)-SUMIF('BALANCE N-1'!$A$2:$A$72,"31*",'BALANCE N-1'!$H$2:$H$72)</f>
        <v/>
      </c>
      <c r="E12" s="2106">
        <f>+(C12-D12)/D12</f>
        <v/>
      </c>
    </row>
    <row r="13" ht="15" customHeight="1" s="1354">
      <c r="B13" s="2099" t="inlineStr">
        <is>
          <t xml:space="preserve">Matières premières et fournitures liées </t>
        </is>
      </c>
      <c r="C13" s="3223">
        <f>SUMIF('BALANCE N'!$A$2:$A$72,"32*",'BALANCE N'!$G$2:$G$72)-SUMIF('BALANCE N'!$A$2:$A$72,"32*",'BALANCE N'!$H$2:$H$72)</f>
        <v/>
      </c>
      <c r="D13" s="3223">
        <f>SUMIF('BALANCE N-1'!$A$2:$A$72,"32*",'BALANCE N-1'!$G$2:$G$72)-SUMIF('BALANCE N-1'!$A$2:$A$72,"32*",'BALANCE N-1'!$H$2:$H$72)</f>
        <v/>
      </c>
      <c r="E13" s="3224" t="n"/>
    </row>
    <row r="14" ht="15" customHeight="1" s="1354">
      <c r="B14" s="2099" t="inlineStr">
        <is>
          <t xml:space="preserve">Autres approvisionnements </t>
        </is>
      </c>
      <c r="C14" s="3223">
        <f>SUMIF('BALANCE N'!$A$2:$A$72,"33*",'BALANCE N'!$G$2:$G$72)-SUMIF('BALANCE N'!$A$2:$A$72,"33*",'BALANCE N'!$H$2:$H$72)</f>
        <v/>
      </c>
      <c r="D14" s="3223">
        <f>SUMIF('BALANCE N-1'!$A$2:$A$72,"33*",'BALANCE N-1'!$G$2:$G$72)-SUMIF('BALANCE N-1'!$A$2:$A$72,"33*",'BALANCE N-1'!$H$2:$H$72)</f>
        <v/>
      </c>
      <c r="E14" s="3224" t="n"/>
    </row>
    <row r="15" ht="15" customHeight="1" s="1354">
      <c r="B15" s="2099" t="inlineStr">
        <is>
          <t xml:space="preserve">Produits en cours </t>
        </is>
      </c>
      <c r="C15" s="3223">
        <f>SUMIF('BALANCE N'!$A$2:$A$72,"34*",'BALANCE N'!$G$2:$G$72)-SUMIF('BALANCE N'!$A$2:$A$72,"34*",'BALANCE N'!$H$2:$H$72)</f>
        <v/>
      </c>
      <c r="D15" s="3223">
        <f>SUMIF('BALANCE N-1'!$A$2:$A$72,"34*",'BALANCE N-1'!$G$2:$G$72)-SUMIF('BALANCE N-1'!$A$2:$A$72,"34*",'BALANCE N-1'!$H$2:$H$72)</f>
        <v/>
      </c>
      <c r="E15" s="3224" t="n"/>
    </row>
    <row r="16" ht="15" customHeight="1" s="1354">
      <c r="B16" s="2099" t="inlineStr">
        <is>
          <t xml:space="preserve">Services en cours </t>
        </is>
      </c>
      <c r="C16" s="3223">
        <f>SUMIF('BALANCE N'!$A$2:$A$72,"35*",'BALANCE N'!$G$2:$G$72)-SUMIF('BALANCE N'!$A$2:$A$72,"35*",'BALANCE N'!$H$2:$H$72)</f>
        <v/>
      </c>
      <c r="D16" s="3223">
        <f>SUMIF('BALANCE N-1'!$A$2:$A$72,"35*",'BALANCE N-1'!$G$2:$G$72)-SUMIF('BALANCE N-1'!$A$2:$A$72,"35*",'BALANCE N-1'!$H$2:$H$72)</f>
        <v/>
      </c>
      <c r="E16" s="3224" t="n"/>
    </row>
    <row r="17" ht="15" customHeight="1" s="1354">
      <c r="B17" s="2099" t="inlineStr">
        <is>
          <t xml:space="preserve">Produits finis </t>
        </is>
      </c>
      <c r="C17" s="3223">
        <f>SUMIF('BALANCE N'!$A$2:$A$72,"36*",'BALANCE N'!$G$2:$G$72)-SUMIF('BALANCE N'!$A$2:$A$72,"36*",'BALANCE N'!$H$2:$H$72)</f>
        <v/>
      </c>
      <c r="D17" s="3223">
        <f>SUMIF('BALANCE N-1'!$A$2:$A$72,"36*",'BALANCE N-1'!$G$2:$G$72)-SUMIF('BALANCE N-1'!$A$2:$A$72,"36*",'BALANCE N-1'!$H$2:$H$72)</f>
        <v/>
      </c>
      <c r="E17" s="3224" t="n"/>
    </row>
    <row r="18" ht="15" customHeight="1" s="1354">
      <c r="B18" s="2099" t="inlineStr">
        <is>
          <t xml:space="preserve">Produits intermédiaires </t>
        </is>
      </c>
      <c r="C18" s="3223">
        <f>SUMIF('BALANCE N'!$A$2:$A$72,"37*",'BALANCE N'!$G$2:$G$72)-SUMIF('BALANCE N'!$A$2:$A$72,"37*",'BALANCE N'!$H$2:$H$72)</f>
        <v/>
      </c>
      <c r="D18" s="3223">
        <f>SUMIF('BALANCE N-1'!$A$2:$A$72,"37*",'BALANCE N-1'!$G$2:$G$72)-SUMIF('BALANCE N-1'!$A$2:$A$72,"37*",'BALANCE N-1'!$H$2:$H$72)</f>
        <v/>
      </c>
      <c r="E18" s="3224" t="n"/>
    </row>
    <row r="19" ht="12.5" customHeight="1" s="1354">
      <c r="B19" s="2102" t="inlineStr">
        <is>
          <t xml:space="preserve">Stocks en cours de route, en consignation ou en dépôt </t>
        </is>
      </c>
      <c r="C19" s="3225">
        <f>SUMIF('BALANCE N'!$A$2:$A$72,"38*",'BALANCE N'!$G$2:$G$72)-SUMIF('BALANCE N'!$A$2:$A$72,"38*",'BALANCE N'!$H$2:$H$72)</f>
        <v/>
      </c>
      <c r="D19" s="3225">
        <f>SUMIF('BALANCE N-1'!$A$2:$A$72,"38*",'BALANCE N-1'!$G$2:$G$72)-SUMIF('BALANCE N-1'!$A$2:$A$72,"38*",'BALANCE N-1'!$H$2:$H$72)</f>
        <v/>
      </c>
      <c r="E19" s="3224" t="n"/>
    </row>
    <row r="20" ht="15" customHeight="1" s="1354">
      <c r="B20" s="3226" t="inlineStr">
        <is>
          <t xml:space="preserve">TOTAL BRUT STOCKS ET EN COURS </t>
        </is>
      </c>
      <c r="C20" s="3227">
        <f>SUM(C12:C19)</f>
        <v/>
      </c>
      <c r="D20" s="3227">
        <f>SUM(D12:D19)</f>
        <v/>
      </c>
      <c r="E20" s="2106">
        <f>+(C20-D20)/D20</f>
        <v/>
      </c>
    </row>
    <row r="21" ht="15" customHeight="1" s="1354">
      <c r="B21" s="2107" t="inlineStr">
        <is>
          <t> </t>
        </is>
      </c>
      <c r="C21" s="3222" t="n"/>
      <c r="D21" s="3222" t="n"/>
      <c r="E21" s="3228" t="n"/>
    </row>
    <row r="22" ht="15" customHeight="1" s="1354">
      <c r="B22" s="2099" t="inlineStr">
        <is>
          <t xml:space="preserve">Dépréciations des stocks </t>
        </is>
      </c>
      <c r="C22" s="3223">
        <f>SUMIF('BALANCE N'!$A$2:$A$72,"39*",'BALANCE N'!$H$2:$H$72)-SUMIF('BALANCE N'!$A$2:$A$72,"39*",'BALANCE N'!$G$2:$G$72)</f>
        <v/>
      </c>
      <c r="D22" s="3223">
        <f>SUMIF('BALANCE N-1'!$A$2:$A$72,"39*",'BALANCE N-1'!$H$2:$H$72)-SUMIF('BALANCE N-1'!$A$2:$A$72,"39*",'BALANCE N-1'!$G$2:$G$72)</f>
        <v/>
      </c>
      <c r="E22" s="3229" t="n"/>
    </row>
    <row r="23" ht="15" customHeight="1" s="1354">
      <c r="B23" s="2102" t="inlineStr">
        <is>
          <t>  </t>
        </is>
      </c>
      <c r="C23" s="3225" t="n"/>
      <c r="D23" s="3225" t="n"/>
      <c r="E23" s="3230" t="n"/>
    </row>
    <row r="24" ht="15" customHeight="1" s="1354">
      <c r="B24" s="3231" t="inlineStr">
        <is>
          <t xml:space="preserve">TOTAL NET DE DEPRECIATION </t>
        </is>
      </c>
      <c r="C24" s="3232">
        <f>C20-C22</f>
        <v/>
      </c>
      <c r="D24" s="3232">
        <f>D20-D22</f>
        <v/>
      </c>
      <c r="E24" s="3233">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4" t="inlineStr">
        <is>
          <t> </t>
        </is>
      </c>
    </row>
    <row r="32" ht="12" customHeight="1" s="1354">
      <c r="B32" s="3165" t="inlineStr">
        <is>
          <t> </t>
        </is>
      </c>
    </row>
    <row r="33" ht="12" customHeight="1" s="1354">
      <c r="B33" s="3165" t="inlineStr">
        <is>
          <t> </t>
        </is>
      </c>
    </row>
    <row r="34" ht="12" customHeight="1" s="1354">
      <c r="B34" s="3165" t="inlineStr">
        <is>
          <t> </t>
        </is>
      </c>
    </row>
    <row r="35" ht="12" customHeight="1" s="1354">
      <c r="B35" s="2093" t="n"/>
    </row>
    <row r="36" ht="12" customHeight="1" s="1354">
      <c r="B36" s="3165" t="inlineStr">
        <is>
          <t> </t>
        </is>
      </c>
    </row>
    <row r="37" ht="12" customHeight="1" s="1354">
      <c r="B37" s="3165" t="inlineStr">
        <is>
          <t> </t>
        </is>
      </c>
    </row>
    <row r="38" ht="12" customHeight="1" s="1354">
      <c r="B38" s="2093" t="n"/>
    </row>
    <row r="39"/>
    <row r="40" ht="34" customHeight="1" s="1354">
      <c r="A40" s="3031">
        <f>IF(SUM(C12:C24,D12:D24,E21:E23)=0,"NÉANT","")</f>
        <v/>
      </c>
    </row>
    <row r="41" ht="34" customHeight="1" s="1354"/>
    <row r="42" ht="34" customHeight="1" s="1354"/>
  </sheetData>
  <mergeCells count="7">
    <mergeCell ref="B30:F30"/>
    <mergeCell ref="B9:E9"/>
    <mergeCell ref="B29:F29"/>
    <mergeCell ref="A40:F42"/>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6" t="inlineStr">
        <is>
          <t xml:space="preserve">Libellés </t>
        </is>
      </c>
      <c r="B8" s="3167" t="inlineStr">
        <is>
          <t xml:space="preserve">Année  N </t>
        </is>
      </c>
      <c r="C8" s="3167" t="inlineStr">
        <is>
          <t xml:space="preserve">Année  N-1 </t>
        </is>
      </c>
      <c r="D8" s="3167" t="inlineStr">
        <is>
          <t xml:space="preserve">Variation en % </t>
        </is>
      </c>
      <c r="E8" s="3235" t="inlineStr">
        <is>
          <t xml:space="preserve">Créances à un an au plus </t>
        </is>
      </c>
      <c r="F8" s="3168" t="inlineStr">
        <is>
          <t xml:space="preserve">Créances à plus </t>
        </is>
      </c>
      <c r="G8" s="3236" t="inlineStr">
        <is>
          <t xml:space="preserve">Créances à plus de deux ans </t>
        </is>
      </c>
    </row>
    <row r="9" ht="19.5" customHeight="1" s="1354">
      <c r="A9" s="2123" t="n"/>
      <c r="B9" s="2124" t="n"/>
      <c r="C9" s="2124" t="n"/>
      <c r="D9" s="2124" t="n"/>
      <c r="E9" s="2125" t="n"/>
      <c r="F9" s="3064" t="inlineStr">
        <is>
          <t xml:space="preserve">d'un an </t>
        </is>
      </c>
      <c r="G9" s="1816" t="n"/>
    </row>
    <row r="10" ht="15" customHeight="1" s="1354">
      <c r="A10" s="2123" t="n"/>
      <c r="B10" s="2124" t="n"/>
      <c r="C10" s="2124" t="n"/>
      <c r="D10" s="2124" t="n"/>
      <c r="E10" s="2125" t="n"/>
      <c r="F10" s="3064" t="inlineStr">
        <is>
          <t xml:space="preserve">et à deux </t>
        </is>
      </c>
      <c r="G10" s="1816" t="n"/>
    </row>
    <row r="11" ht="15" customHeight="1" s="1354">
      <c r="A11" s="2007" t="n"/>
      <c r="B11" s="2008" t="n"/>
      <c r="C11" s="2008" t="n"/>
      <c r="D11" s="2008" t="n"/>
      <c r="E11" s="2126" t="n"/>
      <c r="F11" s="3170" t="inlineStr">
        <is>
          <t xml:space="preserve">ans au plus </t>
        </is>
      </c>
      <c r="G11" s="1998" t="n"/>
    </row>
    <row r="12" ht="12" customHeight="1" s="1354">
      <c r="A12" s="2096" t="inlineStr">
        <is>
          <t xml:space="preserve">Clients (hors réserves de propriété Groupe) </t>
        </is>
      </c>
      <c r="B12" s="3081">
        <f>SUMIF('BALANCE N'!$A$2:$A$72,"411*",'BALANCE N'!$G$2:$G$72)-SUMIF('BALANCE N'!$A$2:$A$72,"411*",'BALANCE N'!$H$2:$H$72)</f>
        <v/>
      </c>
      <c r="C12" s="3081">
        <f>SUMIF('BALANCE N-1'!$A$2:$A$72,"411*",'BALANCE N-1'!$G$2:$G$72)-SUMIF('BALANCE N-1'!$A$2:$A$72,"411*",'BALANCE N-1'!$H$2:$H$72)</f>
        <v/>
      </c>
      <c r="D12" s="3237">
        <f>(B12-C12)/C12</f>
        <v/>
      </c>
      <c r="E12" s="3081">
        <f>B12</f>
        <v/>
      </c>
      <c r="F12" s="3081" t="n"/>
      <c r="G12" s="2996" t="n"/>
    </row>
    <row r="13" ht="15" customHeight="1" s="1354">
      <c r="A13" s="2099" t="inlineStr">
        <is>
          <t xml:space="preserve">Clients effets à recevoir (hors réserves de propriété groupe) </t>
        </is>
      </c>
      <c r="B13" s="2998">
        <f>SUMIF('BALANCE N'!$A$2:$A$72,"413*",'BALANCE N'!$G$2:$G$72)-SUMIF('BALANCE N'!$A$2:$A$72,"413*",'BALANCE N'!$H$2:$H$72)+SUMIF('BALANCE N'!$A$2:$A$72,"412*",'BALANCE N'!$G$2:$G$72)-SUMIF('BALANCE N'!$A$2:$A$72,"412*",'BALANCE N'!$H$2:$H$72)</f>
        <v/>
      </c>
      <c r="C13" s="2998">
        <f>SUMIF('BALANCE N-1'!$A$2:$A$72,"413*",'BALANCE N-1'!$G$2:$G$72)-SUMIF('BALANCE N-1'!$A$2:$A$72,"413*",'BALANCE N-1'!$H$2:$H$72)+SUMIF('BALANCE N-1'!$A$2:$A$72,"412*",'BALANCE N-1'!$G$2:$G$72)-SUMIF('BALANCE N-1'!$A$2:$A$72,"412*",'BALANCE N-1'!$H$2:$H$72)</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N'!$A$2:$A$72,"414*",'BALANCE N'!$G$2:$G$72)-SUMIF('BALANCE N'!$A$2:$A$72,"414*",'BALANCE N'!$H$2:$H$72)</f>
        <v/>
      </c>
      <c r="C16" s="2998">
        <f>SUMIF('BALANCE N-1'!$A$2:$A$72,"414*",'BALANCE N-1'!$G$2:$G$72)-SUMIF('BALANCE N-1'!$A$2:$A$72,"414*",'BALANCE N-1'!$H$2:$H$72)</f>
        <v/>
      </c>
      <c r="D16" s="2998" t="n"/>
      <c r="E16" s="2998" t="n"/>
      <c r="F16" s="2998" t="n"/>
      <c r="G16" s="2999" t="n"/>
    </row>
    <row r="17" ht="15" customHeight="1" s="1354">
      <c r="A17" s="2099" t="inlineStr">
        <is>
          <t xml:space="preserve">Clients effets escomptés et non échus </t>
        </is>
      </c>
      <c r="B17" s="2998">
        <f>SUMIF('BALANCE N'!$A$2:$A$72,"415*",'BALANCE N'!$G$2:$G$72)-SUMIF('BALANCE N'!$A$2:$A$72,"415*",'BALANCE N'!$H$2:$H$72)</f>
        <v/>
      </c>
      <c r="C17" s="2998">
        <f>SUMIF('BALANCE N-1'!$A$2:$A$72,"415*",'BALANCE N-1'!$G$2:$G$72)-SUMIF('BALANCE N-1'!$A$2:$A$72,"415*",'BALANCE N-1'!$H$2:$H$72)</f>
        <v/>
      </c>
      <c r="D17" s="2998" t="n"/>
      <c r="E17" s="2998" t="n"/>
      <c r="F17" s="2998" t="n"/>
      <c r="G17" s="2999" t="n"/>
    </row>
    <row r="18" ht="15" customHeight="1" s="1354">
      <c r="A18" s="2099" t="inlineStr">
        <is>
          <t xml:space="preserve">Créances litigieuses ou douteuses </t>
        </is>
      </c>
      <c r="B18" s="2998">
        <f>SUMIF('BALANCE N'!$A$2:$A$72,"416*",'BALANCE N'!$G$2:$G$72)-SUMIF('BALANCE N'!$A$2:$A$72,"416*",'BALANCE N'!$H$2:$H$72)</f>
        <v/>
      </c>
      <c r="C18" s="2998">
        <f>SUMIF('BALANCE N-1'!$A$2:$A$72,"416*",'BALANCE N-1'!$G$2:$G$72)-SUMIF('BALANCE N-1'!$A$2:$A$72,"416*",'BALANCE N-1'!$H$2:$H$72)</f>
        <v/>
      </c>
      <c r="D18" s="2998" t="n"/>
      <c r="E18" s="2998" t="n"/>
      <c r="F18" s="2998" t="n"/>
      <c r="G18" s="2999" t="n"/>
    </row>
    <row r="19" ht="15" customHeight="1" s="1354">
      <c r="A19" s="2102" t="inlineStr">
        <is>
          <t xml:space="preserve">Clients produits à recevoir </t>
        </is>
      </c>
      <c r="B19" s="3002">
        <f>SUMIF('BALANCE N'!$A$2:$A$72,"418*",'BALANCE N'!$G$2:$G$72)-SUMIF('BALANCE N'!$A$2:$A$72,"418*",'BALANCE N'!$H$2:$H$72)</f>
        <v/>
      </c>
      <c r="C19" s="3002">
        <f>SUMIF('BALANCE N-1'!$A$2:$A$72,"418*",'BALANCE N-1'!$G$2:$G$72)-SUMIF('BALANCE N-1'!$A$2:$A$72,"418*",'BALANCE N-1'!$H$2:$H$72)</f>
        <v/>
      </c>
      <c r="D19" s="3002" t="n"/>
      <c r="E19" s="3002" t="n"/>
      <c r="F19" s="3002" t="n"/>
      <c r="G19" s="3003" t="n"/>
    </row>
    <row r="20" ht="15" customHeight="1" s="1354">
      <c r="A20" s="3226" t="inlineStr">
        <is>
          <t xml:space="preserve">TOTAL BRUT CLIENTS </t>
        </is>
      </c>
      <c r="B20" s="3099">
        <f>SUM(B12:B19)</f>
        <v/>
      </c>
      <c r="C20" s="3099">
        <f>SUM(C12:C19)</f>
        <v/>
      </c>
      <c r="D20" s="3238">
        <f>SUM(D12:D19)</f>
        <v/>
      </c>
      <c r="E20" s="3099">
        <f>SUM(E12:E19)</f>
        <v/>
      </c>
      <c r="F20" s="3099">
        <f>SUM(F12:F19)</f>
        <v/>
      </c>
      <c r="G20" s="3099">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N'!$A$2:$A$72,"491*",'BALANCE N'!$H$2:$H$72)-SUMIF('BALANCE N'!$A$2:$A$72,"491*",'BALANCE N'!$G$2:$G$72)</f>
        <v/>
      </c>
      <c r="C22" s="2998">
        <f>SUMIF('BALANCE N-1'!$A$2:$A$72,"491*",'BALANCE N-1'!$H$2:$H$72)-SUMIF('BALANCE N-1'!$A$2:$A$72,"491*",'BALANCE N-1'!$G$2:$G$72)</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6" t="inlineStr">
        <is>
          <t xml:space="preserve">TOTAL NET DE DEPRECIATION </t>
        </is>
      </c>
      <c r="B24" s="3099">
        <f>B20-B22</f>
        <v/>
      </c>
      <c r="C24" s="3099">
        <f>C20-C22</f>
        <v/>
      </c>
      <c r="D24" s="3099">
        <f>D20</f>
        <v/>
      </c>
      <c r="E24" s="3099">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N'!$A$2:$A$72,"4191*",'BALANCE N'!$H$2:$H$72)-SUMIF('BALANCE N'!$A$2:$A$72,"4191*",'BALANCE N'!$G$2:$G$72)</f>
        <v/>
      </c>
      <c r="C26" s="2998">
        <f>SUMIF('BALANCE N-1'!$A$2:$A$72,"4191*",'BALANCE N-1'!$H$2:$H$72)-SUMIF('BALANCE N-1'!$A$2:$A$72,"4191*",'BALANCE N-1'!$G$2:$G$72)</f>
        <v/>
      </c>
      <c r="D26" s="2998" t="n"/>
      <c r="E26" s="2998" t="n"/>
      <c r="F26" s="2998" t="n"/>
      <c r="G26" s="2999" t="n"/>
    </row>
    <row r="27" ht="15" customHeight="1" s="1354">
      <c r="A27" s="2099" t="inlineStr">
        <is>
          <t xml:space="preserve">Clients, avances reçues  groupe </t>
        </is>
      </c>
      <c r="B27" s="2998">
        <f>SUMIF('BALANCE N'!$A$2:$A$72,"4192*",'BALANCE N'!$H$2:$H$72)-SUMIF('BALANCE N'!$A$2:$A$72,"4192*",'BALANCE N'!$G$2:$G$72)</f>
        <v/>
      </c>
      <c r="C27" s="2998">
        <f>SUMIF('BALANCE N-1'!$A$2:$A$72,"4192*",'BALANCE N-1'!$H$2:$H$72)-SUMIF('BALANCE N-1'!$A$2:$A$72,"4192*",'BALANCE N-1'!$G$2:$G$72)</f>
        <v/>
      </c>
      <c r="D27" s="2998" t="n"/>
      <c r="E27" s="2998" t="n"/>
      <c r="F27" s="2998" t="n"/>
      <c r="G27" s="2999" t="n"/>
    </row>
    <row r="28" ht="15" customHeight="1" s="1354">
      <c r="A28" s="2102" t="inlineStr">
        <is>
          <t xml:space="preserve">Autres clients créditeurs  </t>
        </is>
      </c>
      <c r="B28" s="3002">
        <f>SUMIF('BALANCE N'!$A$2:$A$72,"419*",'BALANCE N'!$H$2:$H$72)-SUMIF('BALANCE N'!$A$2:$A$72,"419*",'BALANCE N'!$G$2:$G$72)-SUMIF('BALANCE N'!$A$2:$A$72,"4192*",'BALANCE N'!$H$2:$H$72)+SUMIF('BALANCE N'!$A$2:$A$72,"4192*",'BALANCE N'!$G$2:$G$72)-SUMIF('BALANCE N'!$A$2:$A$72,"4191*",'BALANCE N'!$H$2:$H$72)+SUMIF('BALANCE N'!$A$2:$A$72,"4191*",'BALANCE N'!$G$2:$G$72)</f>
        <v/>
      </c>
      <c r="C28" s="3002">
        <f>SUMIF('BALANCE N-1'!$A$2:$A$72,"419*",'BALANCE N-1'!$H$2:$H$72)-SUMIF('BALANCE N-1'!$A$2:$A$72,"419*",'BALANCE N-1'!$G$2:$G$72)-SUMIF('BALANCE N-1'!$A$2:$A$72,"4192*",'BALANCE N-1'!$H$2:$H$72)+SUMIF('BALANCE N-1'!$A$2:$A$72,"4192*",'BALANCE N-1'!$G$2:$G$72)-SUMIF('BALANCE N-1'!$A$2:$A$72,"4191*",'BALANCE N-1'!$H$2:$H$72)+SUMIF('BALANCE N-1'!$A$2:$A$72,"4191*",'BALANCE N-1'!$G$2:$G$72)</f>
        <v/>
      </c>
      <c r="D28" s="3002" t="n"/>
      <c r="E28" s="3002" t="n"/>
      <c r="F28" s="3002" t="n"/>
      <c r="G28" s="3003" t="n"/>
    </row>
    <row r="29" ht="15" customHeight="1" s="1354">
      <c r="A29" s="3226"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row r="36"/>
    <row r="37" ht="34" customHeight="1" s="1354">
      <c r="A37" s="3031">
        <f>IF(SUM(B12:B29,C12:C29,D13:D29,E12:E29,F12:F29,G12:G29)=0,"NÉANT","")</f>
        <v/>
      </c>
    </row>
    <row r="38" ht="34" customHeight="1" s="1354"/>
    <row r="39" ht="34" customHeight="1" s="1354"/>
  </sheetData>
  <mergeCells count="10">
    <mergeCell ref="A31:G35"/>
    <mergeCell ref="D8:D11"/>
    <mergeCell ref="A8:A11"/>
    <mergeCell ref="B8:B11"/>
    <mergeCell ref="A6:G6"/>
    <mergeCell ref="C8:C11"/>
    <mergeCell ref="E8:E11"/>
    <mergeCell ref="G8:G11"/>
    <mergeCell ref="A7:G7"/>
    <mergeCell ref="A37:G39"/>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5" t="inlineStr">
        <is>
          <t xml:space="preserve">Créances à plus </t>
        </is>
      </c>
      <c r="G10" s="2984" t="inlineStr">
        <is>
          <t xml:space="preserve">Créances à plus de deux ans </t>
        </is>
      </c>
    </row>
    <row r="11" ht="11.5" customHeight="1" s="1354">
      <c r="A11" s="1600" t="n"/>
      <c r="B11" s="1600" t="n"/>
      <c r="C11" s="1600" t="n"/>
      <c r="D11" s="1600" t="n"/>
      <c r="E11" s="1600" t="n"/>
      <c r="F11" s="3239" t="inlineStr">
        <is>
          <t xml:space="preserve">d'un an </t>
        </is>
      </c>
      <c r="G11" s="1600" t="n"/>
    </row>
    <row r="12" ht="11.5" customHeight="1" s="1354">
      <c r="A12" s="1600" t="n"/>
      <c r="B12" s="1600" t="n"/>
      <c r="C12" s="1600" t="n"/>
      <c r="D12" s="1600" t="n"/>
      <c r="E12" s="1600" t="n"/>
      <c r="F12" s="3239" t="inlineStr">
        <is>
          <t xml:space="preserve">et à deux </t>
        </is>
      </c>
      <c r="G12" s="1600" t="n"/>
    </row>
    <row r="13" ht="12" customHeight="1" s="1354">
      <c r="A13" s="1740" t="n"/>
      <c r="B13" s="1740" t="n"/>
      <c r="C13" s="1740" t="n"/>
      <c r="D13" s="1740" t="n"/>
      <c r="E13" s="1740" t="n"/>
      <c r="F13" s="3137" t="inlineStr">
        <is>
          <t xml:space="preserve">ans au plus </t>
        </is>
      </c>
      <c r="G13" s="1740" t="n"/>
    </row>
    <row r="14" ht="12" customHeight="1" s="1354">
      <c r="A14" s="1950" t="inlineStr">
        <is>
          <t xml:space="preserve">Personnel </t>
        </is>
      </c>
      <c r="B14" s="3240">
        <f>SUMIF('BALANCE N'!$A$2:$A$72,"42*",'BALANCE N'!$G$2:$G$72)</f>
        <v/>
      </c>
      <c r="C14" s="3240">
        <f>SUMIF('BALANCE N-1'!$A$2:$A$72,"42*",'BALANCE N-1'!$G$2:$G$72)</f>
        <v/>
      </c>
      <c r="D14" s="3240" t="n"/>
      <c r="E14" s="3240" t="n"/>
      <c r="F14" s="3240" t="n"/>
      <c r="G14" s="3240" t="n"/>
    </row>
    <row r="15" ht="12" customHeight="1" s="1354">
      <c r="A15" s="1950" t="inlineStr">
        <is>
          <t xml:space="preserve">Organismes sociaux </t>
        </is>
      </c>
      <c r="B15" s="3240">
        <f>SUMIF('BALANCE N'!$A$2:$A$72,"43*",'BALANCE N'!$G$2:$G$72)</f>
        <v/>
      </c>
      <c r="C15" s="3240">
        <f>SUMIF('BALANCE N-1'!$A$2:$A$72,"43*",'BALANCE N-1'!$G$2:$G$72)</f>
        <v/>
      </c>
      <c r="D15" s="3240" t="n"/>
      <c r="E15" s="3240" t="n"/>
      <c r="F15" s="3240" t="n"/>
      <c r="G15" s="3240" t="n"/>
    </row>
    <row r="16" ht="12" customHeight="1" s="1354">
      <c r="A16" s="1950" t="inlineStr">
        <is>
          <t xml:space="preserve">Etat et Collectivités publiques </t>
        </is>
      </c>
      <c r="B16" s="3241">
        <f>SUMIF('BALANCE N'!$A$2:$A$72,"44*",'BALANCE N'!$G$2:$G$72)</f>
        <v/>
      </c>
      <c r="C16" s="3241">
        <f>SUMIF('BALANCE N-1'!$A$2:$A$72,"44*",'BALANCE N-1'!$G$2:$G$72)</f>
        <v/>
      </c>
      <c r="D16" s="3242" t="n"/>
      <c r="E16" s="3241" t="n"/>
      <c r="F16" s="3241" t="n"/>
      <c r="G16" s="3240" t="n"/>
    </row>
    <row r="17" ht="12" customHeight="1" s="1354">
      <c r="A17" s="1950" t="inlineStr">
        <is>
          <t xml:space="preserve">Organismes internationaux </t>
        </is>
      </c>
      <c r="B17" s="3240">
        <f>SUMIF('BALANCE N'!$A$2:$A$72,"451*",'BALANCE N'!$G$2:$G$72)+SUMIF('BALANCE N'!$A$2:$A$72,"452*",'BALANCE N'!$G$2:$G$72)+SUMIF('BALANCE N'!$A$2:$A$72,"458*",'BALANCE N'!$G$2:$G$72)</f>
        <v/>
      </c>
      <c r="C17" s="3240">
        <f>SUMIF('BALANCE N-1'!$A$2:$A$72,"451*",'BALANCE N-1'!$G$2:$G$72)+SUMIF('BALANCE N-1'!$A$2:$A$72,"452*",'BALANCE N-1'!$G$2:$G$72)+SUMIF('BALANCE N-1'!$A$2:$A$72,"458*",'BALANCE N-1'!$G$2:$G$72)</f>
        <v/>
      </c>
      <c r="D17" s="3240" t="n"/>
      <c r="E17" s="3240" t="n"/>
      <c r="F17" s="3240" t="n"/>
      <c r="G17" s="3240" t="n"/>
    </row>
    <row r="18" ht="12" customHeight="1" s="1354">
      <c r="A18" s="1950" t="inlineStr">
        <is>
          <t xml:space="preserve">Apporteurs, associés et groupe </t>
        </is>
      </c>
      <c r="B18" s="3240">
        <f>SUMIF('BALANCE N'!$A$2:$A$72,"46*",'BALANCE N'!$G$2:$G$72)</f>
        <v/>
      </c>
      <c r="C18" s="3240">
        <f>SUMIF('BALANCE N-1'!$A$2:$A$72,"46*",'BALANCE N-1'!$G$2:$G$72)</f>
        <v/>
      </c>
      <c r="D18" s="3240" t="n"/>
      <c r="E18" s="3240" t="n"/>
      <c r="F18" s="3240" t="n"/>
      <c r="G18" s="3240" t="n"/>
    </row>
    <row r="19" ht="12" customHeight="1" s="1354">
      <c r="A19" s="1950" t="inlineStr">
        <is>
          <t xml:space="preserve">Compte transitoire ajustement spécial lié à la révision du SYSCOHADA </t>
        </is>
      </c>
      <c r="B19" s="3240">
        <f>SUMIF('BALANCE N'!$A$2:$A$72,"475*",'BALANCE N'!$G$2:$G$72)</f>
        <v/>
      </c>
      <c r="C19" s="3240">
        <f>SUMIF('BALANCE N-1'!$A$2:$A$72,"475*",'BALANCE N-1'!$G$2:$G$72)</f>
        <v/>
      </c>
      <c r="D19" s="3240" t="n"/>
      <c r="E19" s="3240" t="n"/>
      <c r="F19" s="3240" t="n"/>
      <c r="G19" s="3240" t="n"/>
    </row>
    <row r="20" ht="12" customHeight="1" s="1354">
      <c r="A20" s="1950" t="inlineStr">
        <is>
          <t xml:space="preserve">Autres débiteurs divers </t>
        </is>
      </c>
      <c r="B20" s="3240">
        <f>SUMIF('BALANCE N'!$A$2:$A$72,"473*",'BALANCE N'!$G$2:$G$72)+SUMIF('BALANCE N'!$A$2:$A$72,"471*",'BALANCE N'!$G$2:$G$72)+SUMIF('BALANCE N'!$A$2:$A$72,"472*",'BALANCE N'!$G$2:$G$72)+SUMIF('BALANCE N'!$A$2:$A$72,"476*",'BALANCE N'!$G$2:$G$72)+SUMIF('BALANCE N'!$A$2:$A$72,"474*",'BALANCE N'!$G$2:$G$72)</f>
        <v/>
      </c>
      <c r="C20" s="3240">
        <f>SUMIF('BALANCE N-1'!$A$2:$A$72,"473*",'BALANCE N-1'!$G$2:$G$72)+SUMIF('BALANCE N-1'!$A$2:$A$72,"471*",'BALANCE N-1'!$G$2:$G$72)+SUMIF('BALANCE N-1'!$A$2:$A$72,"472*",'BALANCE N-1'!$G$2:$G$72)+SUMIF('BALANCE N-1'!$A$2:$A$72,"476*",'BALANCE N-1'!$G$2:$G$72)+SUMIF('BALANCE N-1'!$A$2:$A$72,"474*",'BALANCE N-1'!$G$2:$G$72)</f>
        <v/>
      </c>
      <c r="D20" s="3243" t="n"/>
      <c r="E20" s="3240">
        <f>B20</f>
        <v/>
      </c>
      <c r="F20" s="3240" t="n"/>
      <c r="G20" s="3240" t="n"/>
    </row>
    <row r="21" ht="12" customHeight="1" s="1354">
      <c r="A21" s="1950" t="inlineStr">
        <is>
          <t xml:space="preserve">Comptes permanents non bloqués des établissements et des succursales </t>
        </is>
      </c>
      <c r="B21" s="3240">
        <f>SUMIF('BALANCE N'!$A$2:$A$72,"185*",'BALANCE N'!$G$2:$G$72)</f>
        <v/>
      </c>
      <c r="C21" s="3240">
        <f>SUMIF('BALANCE N-1'!$A$2:$A$72,"185*",'BALANCE N-1'!$G$2:$G$72)</f>
        <v/>
      </c>
      <c r="D21" s="3240" t="n"/>
      <c r="E21" s="3240" t="n"/>
      <c r="F21" s="3240" t="n"/>
      <c r="G21" s="3240" t="n"/>
    </row>
    <row r="22" ht="12" customHeight="1" s="1354">
      <c r="A22" s="1950" t="inlineStr">
        <is>
          <t xml:space="preserve">Comptes de liaison charges et produits </t>
        </is>
      </c>
      <c r="B22" s="3240">
        <f>SUMIF('BALANCE N'!$A$2:$A$72,"186*",'BALANCE N'!$G$2:$G$72)+SUMIF('BALANCE N'!$A$2:$A$72,"187*",'BALANCE N'!$G$2:$G$72)</f>
        <v/>
      </c>
      <c r="C22" s="3240">
        <f>SUMIF('BALANCE N-1'!$A$2:$A$72,"186*",'BALANCE N-1'!$G$2:$G$72)+SUMIF('BALANCE N-1'!$A$2:$A$72,"187*",'BALANCE N-1'!$G$2:$G$72)</f>
        <v/>
      </c>
      <c r="D22" s="3240" t="n"/>
      <c r="E22" s="3240" t="n"/>
      <c r="F22" s="3240" t="n"/>
      <c r="G22" s="3240" t="n"/>
    </row>
    <row r="23" ht="12" customHeight="1" s="1354">
      <c r="A23" s="1950" t="inlineStr">
        <is>
          <t xml:space="preserve">Comptes de liaison des sociétés en participation </t>
        </is>
      </c>
      <c r="B23" s="3241">
        <f>SUMIF('BALANCE N'!$A$2:$A$72,"188*",'BALANCE N'!$G$2:$G$72)</f>
        <v/>
      </c>
      <c r="C23" s="3241">
        <f>SUMIF('BALANCE N-1'!$A$2:$A$72,"188*",'BALANCE N-1'!$G$2:$G$72)</f>
        <v/>
      </c>
      <c r="D23" s="3241" t="n"/>
      <c r="E23" s="3241" t="n"/>
      <c r="F23" s="3241" t="n"/>
      <c r="G23" s="3241" t="n"/>
    </row>
    <row r="24" ht="12" customHeight="1" s="1354">
      <c r="A24" s="3244" t="inlineStr">
        <is>
          <t xml:space="preserve">TOTAL BRUT AUTRES CREANCES </t>
        </is>
      </c>
      <c r="B24" s="3245">
        <f>SUM(B14:B23)</f>
        <v/>
      </c>
      <c r="C24" s="3245">
        <f>SUM(C14:C23)</f>
        <v/>
      </c>
      <c r="D24" s="3245">
        <f>SUM(D14:D23)</f>
        <v/>
      </c>
      <c r="E24" s="3245">
        <f>SUM(E14:E23)</f>
        <v/>
      </c>
      <c r="F24" s="3245">
        <f>SUM(F14:F23)</f>
        <v/>
      </c>
      <c r="G24" s="3245">
        <f>SUM(G14:G23)</f>
        <v/>
      </c>
    </row>
    <row r="25" ht="12" customHeight="1" s="1354">
      <c r="A25" s="1950" t="inlineStr">
        <is>
          <t>  </t>
        </is>
      </c>
      <c r="B25" s="3240" t="n"/>
      <c r="C25" s="3240" t="n"/>
      <c r="D25" s="3240" t="n"/>
      <c r="E25" s="3240" t="n"/>
      <c r="F25" s="3240" t="n"/>
      <c r="G25" s="3240" t="n"/>
    </row>
    <row r="26" ht="12" customHeight="1" s="1354">
      <c r="A26" s="1950" t="inlineStr">
        <is>
          <t xml:space="preserve">Dépréciations des autres créances </t>
        </is>
      </c>
      <c r="B26" s="3240">
        <f>SUMIF('BALANCE N'!$A$2:$A$72,"496*",'BALANCE N'!$H$2:$H$72)-SUMIF('BALANCE N'!$A$2:$A$72,"496*",'BALANCE N'!$G$2:$G$72)+SUMIF('BALANCE N'!$A$2:$A$72,"494*",'BALANCE N'!$H$2:$H$72)-SUMIF('BALANCE N'!$A$2:$A$72,"494*",'BALANCE N'!$G$2:$G$72)+SUMIF('BALANCE N'!$A$2:$A$72,"497*",'BALANCE N'!$H$2:$H$72)-SUMIF('BALANCE N'!$A$2:$A$72,"497*",'BALANCE N'!$G$2:$G$72)+SUMIF('BALANCE N'!$A$2:$A$72,"495*",'BALANCE N'!$H$2:$H$72)-SUMIF('BALANCE N'!$A$2:$A$72,"495*",'BALANCE N'!$G$2:$G$72)+SUMIF('BALANCE N'!$A$2:$A$72,"493*",'BALANCE N'!$H$2:$H$72)-SUMIF('BALANCE N'!$A$2:$A$72,"493*",'BALANCE N'!$G$2:$G$72)+SUMIF('BALANCE N'!$A$2:$A$72,"492*",'BALANCE N'!$H$2:$H$72)-SUMIF('BALANCE N'!$A$2:$A$72,"492*",'BALANCE N'!$G$2:$G$72)</f>
        <v/>
      </c>
      <c r="C26" s="3240">
        <f>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f>
        <v/>
      </c>
      <c r="D26" s="3240" t="n"/>
      <c r="E26" s="3240" t="n"/>
      <c r="F26" s="3240" t="n"/>
      <c r="G26" s="3240" t="n"/>
    </row>
    <row r="27" ht="12" customHeight="1" s="1354">
      <c r="A27" s="1950" t="inlineStr">
        <is>
          <t>  </t>
        </is>
      </c>
      <c r="B27" s="3240" t="n"/>
      <c r="C27" s="3240" t="n"/>
      <c r="D27" s="3240" t="n"/>
      <c r="E27" s="3240" t="n"/>
      <c r="F27" s="3240" t="n"/>
      <c r="G27" s="3240" t="n"/>
    </row>
    <row r="28" ht="12" customHeight="1" s="1354">
      <c r="A28" s="3139" t="inlineStr">
        <is>
          <t xml:space="preserve">TOTAL NET DE DEPRECIATION </t>
        </is>
      </c>
      <c r="B28" s="3245">
        <f>B24-B26</f>
        <v/>
      </c>
      <c r="C28" s="3245">
        <f>C24-C26</f>
        <v/>
      </c>
      <c r="D28" s="3245">
        <f>D24</f>
        <v/>
      </c>
      <c r="E28" s="3245">
        <f>E24</f>
        <v/>
      </c>
      <c r="F28" s="3246" t="n"/>
      <c r="G28" s="3246"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row r="36"/>
    <row r="37" ht="34" customHeight="1" s="1354">
      <c r="A37" s="3031">
        <f>IF(SUM(B14:B28,C14:C28,D14:D28,E14:E28,F14:F28,G14:G28)=0,"NÉANT","")</f>
        <v/>
      </c>
    </row>
    <row r="38" ht="34" customHeight="1" s="1354"/>
    <row r="39" ht="34" customHeight="1" s="1354"/>
  </sheetData>
  <mergeCells count="9">
    <mergeCell ref="G10:G13"/>
    <mergeCell ref="A9:G9"/>
    <mergeCell ref="A8:G8"/>
    <mergeCell ref="A37:G39"/>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7" t="inlineStr">
        <is>
          <t xml:space="preserve">Libellés </t>
        </is>
      </c>
      <c r="B11" s="3247" t="inlineStr">
        <is>
          <t xml:space="preserve">Frais d'établissement </t>
        </is>
      </c>
      <c r="C11" s="1754" t="n"/>
      <c r="D11" s="3247" t="inlineStr">
        <is>
          <t xml:space="preserve">Charges à repartir sur plusieurs exercices </t>
        </is>
      </c>
      <c r="E11" s="1754" t="n"/>
      <c r="F11" s="3247"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8" t="n"/>
      <c r="D15" s="2160" t="inlineStr">
        <is>
          <t xml:space="preserve">60... </t>
        </is>
      </c>
      <c r="E15" s="3138" t="n"/>
      <c r="F15" s="2160" t="n">
        <v>6714</v>
      </c>
      <c r="G15" s="2160" t="n"/>
    </row>
    <row r="16" ht="15" customHeight="1" s="1354">
      <c r="A16" s="1600" t="n"/>
      <c r="B16" s="2160" t="inlineStr">
        <is>
          <t xml:space="preserve">61... </t>
        </is>
      </c>
      <c r="C16" s="3138" t="n"/>
      <c r="D16" s="2160" t="inlineStr">
        <is>
          <t xml:space="preserve">61... </t>
        </is>
      </c>
      <c r="E16" s="3138" t="n"/>
      <c r="F16" s="3248" t="n"/>
      <c r="G16" s="3248" t="n"/>
    </row>
    <row r="17" ht="15" customHeight="1" s="1354">
      <c r="A17" s="1600" t="n"/>
      <c r="B17" s="2160" t="inlineStr">
        <is>
          <t xml:space="preserve">62... </t>
        </is>
      </c>
      <c r="C17" s="3138" t="n"/>
      <c r="D17" s="2160" t="inlineStr">
        <is>
          <t xml:space="preserve">62... </t>
        </is>
      </c>
      <c r="E17" s="3138" t="n"/>
      <c r="F17" s="3248" t="n"/>
      <c r="G17" s="3248" t="n"/>
    </row>
    <row r="18" ht="15" customHeight="1" s="1354">
      <c r="A18" s="1600" t="n"/>
      <c r="B18" s="2160" t="inlineStr">
        <is>
          <t xml:space="preserve">63... </t>
        </is>
      </c>
      <c r="C18" s="3138" t="n"/>
      <c r="D18" s="2160" t="inlineStr">
        <is>
          <t xml:space="preserve">63... </t>
        </is>
      </c>
      <c r="E18" s="3138" t="n"/>
      <c r="F18" s="3248" t="n"/>
      <c r="G18" s="3248" t="n"/>
    </row>
    <row r="19" ht="15" customHeight="1" s="1354">
      <c r="A19" s="1740" t="n"/>
      <c r="B19" s="2160" t="inlineStr">
        <is>
          <t xml:space="preserve">... </t>
        </is>
      </c>
      <c r="C19" s="3138" t="n"/>
      <c r="D19" s="2160" t="inlineStr">
        <is>
          <t xml:space="preserve">... </t>
        </is>
      </c>
      <c r="E19" s="3138" t="n"/>
      <c r="F19" s="3248" t="n"/>
      <c r="G19" s="3248" t="n"/>
    </row>
    <row r="20" ht="15" customHeight="1" s="1354">
      <c r="A20" s="2156" t="inlineStr">
        <is>
          <t xml:space="preserve">Total exercice 2018 </t>
        </is>
      </c>
      <c r="B20" s="2163" t="inlineStr">
        <is>
          <t>  </t>
        </is>
      </c>
      <c r="C20" s="3138" t="n"/>
      <c r="D20" s="2160" t="inlineStr">
        <is>
          <t>  </t>
        </is>
      </c>
      <c r="E20" s="3138" t="n"/>
      <c r="F20" s="2160" t="inlineStr">
        <is>
          <t>  </t>
        </is>
      </c>
      <c r="G20" s="2160" t="n"/>
    </row>
    <row r="21" ht="15" customHeight="1" s="1354">
      <c r="A21" s="2156" t="inlineStr">
        <is>
          <t xml:space="preserve">Total exercice 2019 </t>
        </is>
      </c>
      <c r="B21" s="2160" t="inlineStr">
        <is>
          <t>  </t>
        </is>
      </c>
      <c r="C21" s="3138" t="n"/>
      <c r="D21" s="2160" t="inlineStr">
        <is>
          <t>  </t>
        </is>
      </c>
      <c r="E21" s="3138" t="n"/>
      <c r="F21" s="2160" t="inlineStr">
        <is>
          <t>  </t>
        </is>
      </c>
      <c r="G21" s="2160" t="n"/>
    </row>
    <row r="22" ht="15" customHeight="1" s="1354">
      <c r="A22" s="2156" t="inlineStr">
        <is>
          <t xml:space="preserve">Total exercice 2020 </t>
        </is>
      </c>
      <c r="B22" s="2160" t="inlineStr">
        <is>
          <t>  </t>
        </is>
      </c>
      <c r="C22" s="3138" t="n"/>
      <c r="D22" s="2160" t="inlineStr">
        <is>
          <t>  </t>
        </is>
      </c>
      <c r="E22" s="3138" t="n"/>
      <c r="F22" s="2160" t="inlineStr">
        <is>
          <t>  </t>
        </is>
      </c>
      <c r="G22" s="2160" t="n"/>
    </row>
    <row r="23" ht="15" customHeight="1" s="1354">
      <c r="A23" s="2156" t="inlineStr">
        <is>
          <t xml:space="preserve">Total exercice 2021 </t>
        </is>
      </c>
      <c r="B23" s="2160" t="inlineStr">
        <is>
          <t>  </t>
        </is>
      </c>
      <c r="C23" s="3138" t="n"/>
      <c r="D23" s="2160" t="inlineStr">
        <is>
          <t>  </t>
        </is>
      </c>
      <c r="E23" s="3138" t="n"/>
      <c r="F23" s="2160" t="inlineStr">
        <is>
          <t>  </t>
        </is>
      </c>
      <c r="G23" s="2160" t="n"/>
    </row>
    <row r="24" ht="15" customHeight="1" s="1354">
      <c r="A24" s="2156" t="inlineStr">
        <is>
          <t xml:space="preserve">Total exercice 2022 </t>
        </is>
      </c>
      <c r="B24" s="2160" t="inlineStr">
        <is>
          <t>  </t>
        </is>
      </c>
      <c r="C24" s="3138" t="n"/>
      <c r="D24" s="2160" t="inlineStr">
        <is>
          <t>  </t>
        </is>
      </c>
      <c r="E24" s="3138" t="n"/>
      <c r="F24" s="2160" t="inlineStr">
        <is>
          <t>  </t>
        </is>
      </c>
      <c r="G24" s="2160" t="n"/>
    </row>
    <row r="25" ht="15" customHeight="1" s="1354">
      <c r="A25" s="2164" t="inlineStr">
        <is>
          <t xml:space="preserve">TOTAL GENERAL </t>
        </is>
      </c>
      <c r="B25" s="2163" t="inlineStr">
        <is>
          <t>  </t>
        </is>
      </c>
      <c r="C25" s="3141" t="n"/>
      <c r="D25" s="2165" t="inlineStr">
        <is>
          <t>  </t>
        </is>
      </c>
      <c r="E25" s="3141" t="n"/>
      <c r="F25" s="2165" t="inlineStr">
        <is>
          <t>  </t>
        </is>
      </c>
      <c r="G25" s="2165" t="n"/>
    </row>
    <row r="26" ht="13.5" customHeight="1" s="1354">
      <c r="A26" s="3234" t="inlineStr">
        <is>
          <t> </t>
        </is>
      </c>
      <c r="C26" s="3249" t="inlineStr">
        <is>
          <t> </t>
        </is>
      </c>
    </row>
    <row r="27"/>
    <row r="28" ht="34" customHeight="1" s="1354">
      <c r="A28" s="3031">
        <f>IF(SUM(C15:C25,E15:E25)=0,"NÉANT","")</f>
        <v/>
      </c>
    </row>
    <row r="29" ht="34" customHeight="1" s="1354"/>
    <row r="30" ht="34" customHeight="1" s="1354"/>
  </sheetData>
  <mergeCells count="13">
    <mergeCell ref="B13:C13"/>
    <mergeCell ref="F11:G11"/>
    <mergeCell ref="F12:G12"/>
    <mergeCell ref="A9:G9"/>
    <mergeCell ref="B11:C11"/>
    <mergeCell ref="D11:E11"/>
    <mergeCell ref="D13:E13"/>
    <mergeCell ref="A28:G30"/>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50" t="inlineStr">
        <is>
          <t xml:space="preserve"> Libellés </t>
        </is>
      </c>
      <c r="B9" s="2984" t="inlineStr">
        <is>
          <t>Année N</t>
        </is>
      </c>
      <c r="C9" s="3135" t="inlineStr">
        <is>
          <t>Année</t>
        </is>
      </c>
      <c r="D9" s="2984" t="inlineStr">
        <is>
          <t>Variation en %</t>
        </is>
      </c>
    </row>
    <row r="10" ht="12.5" customHeight="1" s="1354">
      <c r="A10" s="1740" t="n"/>
      <c r="B10" s="1740" t="n"/>
      <c r="C10" s="3137" t="inlineStr">
        <is>
          <t>N-1</t>
        </is>
      </c>
      <c r="D10" s="1740" t="n"/>
    </row>
    <row r="11" ht="12.5" customHeight="1" s="1354">
      <c r="A11" s="1950" t="inlineStr">
        <is>
          <t xml:space="preserve">Titres de trésor et bons de caisse à court terme </t>
        </is>
      </c>
      <c r="B11" s="3251">
        <f>SUMIF('BALANCE N'!$A$2:$A$72,"501*",'BALANCE N'!$G$2:$G$72)-SUMIF('BALANCE N'!$A$2:$A$72,"501*",'BALANCE N'!$H$2:$H$72)</f>
        <v/>
      </c>
      <c r="C11" s="3251">
        <f>SUMIF('BALANCE N-1'!$A$2:$A$72,"501*",'BALANCE N-1'!$G$2:$G$72)-SUMIF('BALANCE N-1'!$A$2:$A$72,"501*",'BALANCE N-1'!$H$2:$H$72)</f>
        <v/>
      </c>
      <c r="D11" s="2160" t="n"/>
    </row>
    <row r="12" ht="12.5" customHeight="1" s="1354">
      <c r="A12" s="1950" t="inlineStr">
        <is>
          <t xml:space="preserve">Actions </t>
        </is>
      </c>
      <c r="B12" s="3251">
        <f>SUMIF('BALANCE N'!$A$2:$A$72,"502*",'BALANCE N'!$G$2:$G$72)-SUMIF('BALANCE N'!$A$2:$A$72,"502*",'BALANCE N'!$H$2:$H$72)</f>
        <v/>
      </c>
      <c r="C12" s="3251">
        <f>SUMIF('BALANCE N-1'!$A$2:$A$72,"502*",'BALANCE N-1'!$G$2:$G$72)-SUMIF('BALANCE N-1'!$A$2:$A$72,"502*",'BALANCE N-1'!$H$2:$H$72)</f>
        <v/>
      </c>
      <c r="D12" s="2160" t="n"/>
    </row>
    <row r="13" ht="12.5" customHeight="1" s="1354">
      <c r="A13" s="1950" t="inlineStr">
        <is>
          <t xml:space="preserve">Obligations </t>
        </is>
      </c>
      <c r="B13" s="3251">
        <f>SUMIF('BALANCE N'!$A$2:$A$72,"503*",'BALANCE N'!$G$2:$G$72)-SUMIF('BALANCE N'!$A$2:$A$72,"503*",'BALANCE N'!$H$2:$H$72)</f>
        <v/>
      </c>
      <c r="C13" s="3251">
        <f>SUMIF('BALANCE N-1'!$A$2:$A$72,"503*",'BALANCE N-1'!$G$2:$G$72)-SUMIF('BALANCE N-1'!$A$2:$A$72,"503*",'BALANCE N-1'!$H$2:$H$72)</f>
        <v/>
      </c>
      <c r="D13" s="2160" t="n"/>
    </row>
    <row r="14" ht="12.5" customHeight="1" s="1354">
      <c r="A14" s="1950" t="inlineStr">
        <is>
          <t xml:space="preserve">Bons de souscription </t>
        </is>
      </c>
      <c r="B14" s="3251">
        <f>SUMIF('BALANCE N'!$A$2:$A$72,"504*",'BALANCE N'!$G$2:$G$72)-SUMIF('BALANCE N'!$A$2:$A$72,"504*",'BALANCE N'!$H$2:$H$72)</f>
        <v/>
      </c>
      <c r="C14" s="3251">
        <f>SUMIF('BALANCE N-1'!$A$2:$A$72,"504*",'BALANCE N-1'!$G$2:$G$72)-SUMIF('BALANCE N-1'!$A$2:$A$72,"504*",'BALANCE N-1'!$H$2:$H$72)</f>
        <v/>
      </c>
      <c r="D14" s="2160" t="n"/>
    </row>
    <row r="15" ht="12.5" customHeight="1" s="1354">
      <c r="A15" s="1950" t="inlineStr">
        <is>
          <t xml:space="preserve">Titres négociables hors régions </t>
        </is>
      </c>
      <c r="B15" s="3251">
        <f>SUMIF('BALANCE N'!$A$2:$A$72,"505*",'BALANCE N'!$G$2:$G$72)-SUMIF('BALANCE N'!$A$2:$A$72,"505*",'BALANCE N'!$H$2:$H$72)</f>
        <v/>
      </c>
      <c r="C15" s="3251">
        <f>SUMIF('BALANCE N-1'!$A$2:$A$72,"505*",'BALANCE N-1'!$G$2:$G$72)-SUMIF('BALANCE N-1'!$A$2:$A$72,"505*",'BALANCE N-1'!$H$2:$H$72)</f>
        <v/>
      </c>
      <c r="D15" s="2160" t="n"/>
    </row>
    <row r="16" ht="12.5" customHeight="1" s="1354">
      <c r="A16" s="1950" t="inlineStr">
        <is>
          <t xml:space="preserve">Intérêts courus </t>
        </is>
      </c>
      <c r="B16" s="3251">
        <f>SUMIF('BALANCE N'!$A$2:$A$72,"506*",'BALANCE N'!$G$2:$G$72)-SUMIF('BALANCE N'!$A$2:$A$72,"506*",'BALANCE N'!$H$2:$H$72)</f>
        <v/>
      </c>
      <c r="C16" s="3251">
        <f>SUMIF('BALANCE N-1'!$A$2:$A$72,"506*",'BALANCE N-1'!$G$2:$G$72)-SUMIF('BALANCE N-1'!$A$2:$A$72,"506*",'BALANCE N-1'!$H$2:$H$72)</f>
        <v/>
      </c>
      <c r="D16" s="2160" t="n"/>
    </row>
    <row r="17" ht="12.5" customHeight="1" s="1354">
      <c r="A17" s="1950" t="inlineStr">
        <is>
          <t xml:space="preserve">Autres valeurs assimilés </t>
        </is>
      </c>
      <c r="B17" s="3251">
        <f>SUMIF('BALANCE N'!$A$2:$A$72,"508*",'BALANCE N'!$G$2:$G$72)-SUMIF('BALANCE N'!$A$2:$A$72,"508*",'BALANCE N'!$H$2:$H$72)</f>
        <v/>
      </c>
      <c r="C17" s="3251">
        <f>SUMIF('BALANCE N-1'!$A$2:$A$72,"508*",'BALANCE N-1'!$G$2:$G$72)-SUMIF('BALANCE N-1'!$A$2:$A$72,"508*",'BALANCE N-1'!$H$2:$H$72)</f>
        <v/>
      </c>
      <c r="D17" s="2160" t="n"/>
    </row>
    <row r="18" ht="12.5" customHeight="1" s="1354">
      <c r="A18" s="3139" t="inlineStr">
        <is>
          <t xml:space="preserve">TOTAL BRUT TITRES </t>
        </is>
      </c>
      <c r="B18" s="3252">
        <f>SUM(B11:B17)</f>
        <v/>
      </c>
      <c r="C18" s="3252">
        <f>SUM(C11:C17)</f>
        <v/>
      </c>
      <c r="D18" s="3253" t="n"/>
    </row>
    <row r="19" ht="12.5" customHeight="1" s="1354">
      <c r="A19" s="1950" t="inlineStr">
        <is>
          <t xml:space="preserve">Dépréciations des titres  </t>
        </is>
      </c>
      <c r="B19" s="3251">
        <f>SUMIF('BALANCE N'!$A$2:$A$72,"590*",'BALANCE N'!$H$2:$H$72)-SUMIF('BALANCE N'!$A$2:$A$72,"590*",'BALANCE N'!$G$2:$G$72)</f>
        <v/>
      </c>
      <c r="C19" s="3251">
        <f>SUMIF('BALANCE N-1'!$A$2:$A$72,"590*",'BALANCE N-1'!$H$2:$H$72)-SUMIF('BALANCE N-1'!$A$2:$A$72,"590*",'BALANCE N-1'!$G$2:$G$72)</f>
        <v/>
      </c>
      <c r="D19" s="2160" t="n"/>
    </row>
    <row r="20" ht="12.5" customHeight="1" s="1354">
      <c r="A20" s="1950" t="inlineStr">
        <is>
          <t>  </t>
        </is>
      </c>
      <c r="B20" s="2160" t="n"/>
      <c r="C20" s="2160" t="n"/>
      <c r="D20" s="2160" t="n"/>
    </row>
    <row r="21" ht="12.5" customHeight="1" s="1354">
      <c r="A21" s="3254" t="inlineStr">
        <is>
          <t xml:space="preserve">TOTAL NET DE DEPRECIATION </t>
        </is>
      </c>
      <c r="B21" s="3255">
        <f>B18-B19</f>
        <v/>
      </c>
      <c r="C21" s="3255">
        <f>C18-C19</f>
        <v/>
      </c>
      <c r="D21" s="3248"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row r="30"/>
    <row r="31" ht="34" customHeight="1" s="1354">
      <c r="A31" s="3031">
        <f>IF(SUM(B11:B21,C11:C21)=0,"NÉANT","")</f>
        <v/>
      </c>
    </row>
    <row r="32" ht="34" customHeight="1" s="1354"/>
    <row r="33" ht="34" customHeight="1" s="1354"/>
  </sheetData>
  <mergeCells count="9">
    <mergeCell ref="A25:C25"/>
    <mergeCell ref="B9:B10"/>
    <mergeCell ref="D9:D10"/>
    <mergeCell ref="A8:D8"/>
    <mergeCell ref="A31:F33"/>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6" t="inlineStr">
        <is>
          <t xml:space="preserve">Variation en % </t>
        </is>
      </c>
    </row>
    <row r="10" ht="12" customHeight="1" s="1354">
      <c r="A10" s="1765" t="inlineStr">
        <is>
          <t xml:space="preserve">Effets à encaisser </t>
        </is>
      </c>
      <c r="B10" s="3256">
        <f>SUMIF('BALANCE N'!$A$2:$A$72,"511*",'BALANCE N'!$G$2:$G$72)-SUMIF('BALANCE N'!$A$2:$A$72,"511*",'BALANCE N'!$H$2:$H$72)</f>
        <v/>
      </c>
      <c r="C10" s="3256">
        <f>SUMIF('BALANCE N-1'!$A$2:$A$72,"511*",'BALANCE N-1'!$G$2:$G$72)-SUMIF('BALANCE N-1'!$A$2:$A$72,"511*",'BALANCE N-1'!$H$2:$H$72)</f>
        <v/>
      </c>
      <c r="D10" s="2653" t="n"/>
    </row>
    <row r="11" ht="12" customHeight="1" s="1354">
      <c r="A11" s="1675" t="inlineStr">
        <is>
          <t xml:space="preserve">Effets à l'encaissement </t>
        </is>
      </c>
      <c r="B11" s="3257">
        <f>SUMIF('BALANCE N'!$A$2:$A$72,"512*",'BALANCE N'!$G$2:$G$72)-SUMIF('BALANCE N'!$A$2:$A$72,"512*",'BALANCE N'!$H$2:$H$72)</f>
        <v/>
      </c>
      <c r="C11" s="3257">
        <f>SUMIF('BALANCE N-1'!$A$2:$A$72,"512*",'BALANCE N-1'!$G$2:$G$72)-SUMIF('BALANCE N-1'!$A$2:$A$72,"512*",'BALANCE N-1'!$H$2:$H$72)</f>
        <v/>
      </c>
      <c r="D11" s="1613" t="n"/>
    </row>
    <row r="12" ht="12" customHeight="1" s="1354">
      <c r="A12" s="1675" t="inlineStr">
        <is>
          <t xml:space="preserve">Chèques à encaisser </t>
        </is>
      </c>
      <c r="B12" s="3257">
        <f>SUMIF('BALANCE N'!$A$2:$A$72,"513*",'BALANCE N'!$G$2:$G$72)-SUMIF('BALANCE N'!$A$2:$A$72,"513*",'BALANCE N'!$H$2:$H$72)</f>
        <v/>
      </c>
      <c r="C12" s="3257">
        <f>SUMIF('BALANCE N-1'!$A$2:$A$72,"513*",'BALANCE N-1'!$G$2:$G$72)-SUMIF('BALANCE N-1'!$A$2:$A$72,"513*",'BALANCE N-1'!$H$2:$H$72)</f>
        <v/>
      </c>
      <c r="D12" s="1613" t="n"/>
    </row>
    <row r="13" ht="12" customHeight="1" s="1354">
      <c r="A13" s="1675" t="inlineStr">
        <is>
          <t xml:space="preserve">Chèques à l'encaissement </t>
        </is>
      </c>
      <c r="B13" s="3257">
        <f>SUMIF('BALANCE N'!$A$2:$A$72,"514*",'BALANCE N'!$G$2:$G$72)-SUMIF('BALANCE N'!$A$2:$A$72,"514*",'BALANCE N'!$H$2:$H$72)</f>
        <v/>
      </c>
      <c r="C13" s="3257">
        <f>SUMIF('BALANCE N-1'!$A$2:$A$72,"514*",'BALANCE N-1'!$G$2:$G$72)-SUMIF('BALANCE N-1'!$A$2:$A$72,"514*",'BALANCE N-1'!$H$2:$H$72)</f>
        <v/>
      </c>
      <c r="D13" s="1613" t="n"/>
    </row>
    <row r="14" ht="12" customHeight="1" s="1354">
      <c r="A14" s="1675" t="inlineStr">
        <is>
          <t xml:space="preserve">Cartes de crédit à encaisser </t>
        </is>
      </c>
      <c r="B14" s="3257">
        <f>SUMIF('BALANCE N'!$A$2:$A$72,"515*",'BALANCE N'!$G$2:$G$72)-SUMIF('BALANCE N'!$A$2:$A$72,"515*",'BALANCE N'!$H$2:$H$72)</f>
        <v/>
      </c>
      <c r="C14" s="3257">
        <f>SUMIF('BALANCE N-1'!$A$2:$A$72,"515*",'BALANCE N-1'!$G$2:$G$72)-SUMIF('BALANCE N-1'!$A$2:$A$72,"515*",'BALANCE N-1'!$H$2:$H$72)</f>
        <v/>
      </c>
      <c r="D14" s="1613" t="n"/>
    </row>
    <row r="15" ht="12.5" customHeight="1" s="1354">
      <c r="A15" s="1623" t="inlineStr">
        <is>
          <t xml:space="preserve">Autres valeurs à encaisser </t>
        </is>
      </c>
      <c r="B15" s="3258">
        <f>SUMIF('BALANCE N'!$A$2:$A$72,"518*",'BALANCE N'!$G$2:$G$72)-SUMIF('BALANCE N'!$A$2:$A$72,"518*",'BALANCE N'!$H$2:$H$72)</f>
        <v/>
      </c>
      <c r="C15" s="3258">
        <f>SUMIF('BALANCE N-1'!$A$2:$A$72,"518*",'BALANCE N-1'!$G$2:$G$72)-SUMIF('BALANCE N-1'!$A$2:$A$72,"518*",'BALANCE N-1'!$H$2:$H$72)</f>
        <v/>
      </c>
      <c r="D15" s="2184" t="n"/>
    </row>
    <row r="16" ht="12.5" customHeight="1" s="1354">
      <c r="A16" s="3259" t="inlineStr">
        <is>
          <t xml:space="preserve">TOTAL BRUT VALEURS A ENCAISSER </t>
        </is>
      </c>
      <c r="B16" s="3260">
        <f>SUM(B10:B15)</f>
        <v/>
      </c>
      <c r="C16" s="3260">
        <f>SUM(C10:C15)</f>
        <v/>
      </c>
      <c r="D16" s="3261" t="n"/>
    </row>
    <row r="17" ht="12" customHeight="1" s="1354">
      <c r="A17" s="1765" t="inlineStr">
        <is>
          <t xml:space="preserve">Dépréciations des valeurs à encaisser </t>
        </is>
      </c>
      <c r="B17" s="3256">
        <f>SUMIF('BALANCE N'!$A$2:$A$72,"591*",'BALANCE N'!$H$2:$H$72)-SUMIF('BALANCE N'!$A$2:$A$72,"591*",'BALANCE N'!$G$2:$G$72)</f>
        <v/>
      </c>
      <c r="C17" s="3256">
        <f>SUMIF('BALANCE N-1'!$A$2:$A$72,"591*",'BALANCE N-1'!$H$2:$H$72)-SUMIF('BALANCE N-1'!$A$2:$A$72,"591*",'BALANCE N-1'!$G$2:$G$72)</f>
        <v/>
      </c>
      <c r="D17" s="2653" t="n"/>
    </row>
    <row r="18" ht="12.5" customHeight="1" s="1354">
      <c r="A18" s="1623" t="inlineStr">
        <is>
          <t>  </t>
        </is>
      </c>
      <c r="B18" s="1623" t="n"/>
      <c r="C18" s="1623" t="n"/>
      <c r="D18" s="2184" t="n"/>
    </row>
    <row r="19" ht="12.5" customHeight="1" s="1354">
      <c r="A19" s="3262" t="inlineStr">
        <is>
          <t xml:space="preserve">TOTAL NET DE DEPRECIATION </t>
        </is>
      </c>
      <c r="B19" s="3263">
        <f>B16-B17</f>
        <v/>
      </c>
      <c r="C19" s="3263">
        <f>C16-C17</f>
        <v/>
      </c>
      <c r="D19" s="3264"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E3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4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5" t="inlineStr">
        <is>
          <t xml:space="preserve"> Libellés </t>
        </is>
      </c>
      <c r="C10" s="3167" t="inlineStr">
        <is>
          <t>Année N</t>
        </is>
      </c>
      <c r="D10" s="3168" t="inlineStr">
        <is>
          <t>Année</t>
        </is>
      </c>
      <c r="E10" s="3266" t="inlineStr">
        <is>
          <t xml:space="preserve">Variation </t>
        </is>
      </c>
    </row>
    <row r="11" ht="20.25" customHeight="1" s="1354">
      <c r="B11" s="2007" t="n"/>
      <c r="C11" s="2008" t="n"/>
      <c r="D11" s="3170" t="inlineStr">
        <is>
          <t>N-1</t>
        </is>
      </c>
      <c r="E11" s="3267" t="inlineStr">
        <is>
          <t xml:space="preserve">en % </t>
        </is>
      </c>
    </row>
    <row r="12" ht="12" customHeight="1" s="1354">
      <c r="B12" s="2096" t="inlineStr">
        <is>
          <t xml:space="preserve">Banques locales </t>
        </is>
      </c>
      <c r="C12" s="3081">
        <f>SUMIF('BALANCE N'!$A$2:$A$72,"521*",'BALANCE N'!$G$2:$G$72)</f>
        <v/>
      </c>
      <c r="D12" s="3081">
        <f>SUMIF('BALANCE N-1'!$A$2:$A$72,"521*",'BALANCE N-1'!$G$2:$G$72)</f>
        <v/>
      </c>
      <c r="E12" s="3268">
        <f>(C12-D12)/D12</f>
        <v/>
      </c>
    </row>
    <row r="13" ht="12" customHeight="1" s="1354">
      <c r="B13" s="2099" t="inlineStr">
        <is>
          <t xml:space="preserve">Banques autres états région </t>
        </is>
      </c>
      <c r="C13" s="2998">
        <f>SUMIF('BALANCE N'!$A$2:$A$72,"522*",'BALANCE N'!$G$2:$G$72)</f>
        <v/>
      </c>
      <c r="D13" s="2998">
        <f>SUMIF('BALANCE N-1'!$A$2:$A$72,"522*",'BALANCE N-1'!$G$2:$G$72)</f>
        <v/>
      </c>
      <c r="E13" s="3269" t="n"/>
    </row>
    <row r="14" ht="12" customHeight="1" s="1354">
      <c r="B14" s="2099" t="inlineStr">
        <is>
          <t xml:space="preserve">Banques, dépôt à terme </t>
        </is>
      </c>
      <c r="C14" s="2998">
        <f>SUMIF('BALANCE N'!$A$2:$A$72,"525*",'BALANCE N'!$G$2:$G$72)</f>
        <v/>
      </c>
      <c r="D14" s="2998">
        <f>SUMIF('BALANCE N-1'!$A$2:$A$72,"525*",'BALANCE N-1'!$G$2:$G$72)</f>
        <v/>
      </c>
      <c r="E14" s="3269" t="n"/>
    </row>
    <row r="15" ht="12" customHeight="1" s="1354">
      <c r="B15" s="2099" t="inlineStr">
        <is>
          <t xml:space="preserve">Autres Banques </t>
        </is>
      </c>
      <c r="C15" s="2998">
        <f>SUMIF('BALANCE N'!$A$2:$A$72,"523*",'BALANCE N'!$G$2:$G$72)+SUMIF('BALANCE N'!$A$2:$A$72,"524*",'BALANCE N'!$G$2:$G$72)</f>
        <v/>
      </c>
      <c r="D15" s="2998">
        <f>SUMIF('BALANCE N-1'!$A$2:$A$72,"523*",'BALANCE N-1'!$G$2:$G$72)+SUMIF('BALANCE N-1'!$A$2:$A$72,"524*",'BALANCE N-1'!$G$2:$G$72)</f>
        <v/>
      </c>
      <c r="E15" s="3269" t="n"/>
    </row>
    <row r="16" ht="12" customHeight="1" s="1354">
      <c r="B16" s="2099" t="inlineStr">
        <is>
          <t xml:space="preserve">Banques intérêts courus </t>
        </is>
      </c>
      <c r="C16" s="2998">
        <f>SUMIF('BALANCE N'!$A$2:$A$72,"526*",'BALANCE N'!$G$2:$G$72)</f>
        <v/>
      </c>
      <c r="D16" s="2998">
        <f>SUMIF('BALANCE N-1'!$A$2:$A$72,"526*",'BALANCE N-1'!$G$2:$G$72)</f>
        <v/>
      </c>
      <c r="E16" s="3269" t="n"/>
    </row>
    <row r="17" ht="12" customHeight="1" s="1354">
      <c r="B17" s="2099" t="inlineStr">
        <is>
          <t xml:space="preserve">Chèques postaux </t>
        </is>
      </c>
      <c r="C17" s="2998">
        <f>SUMIF('BALANCE N'!$A$2:$A$72,"532*",'BALANCE N'!$G$2:$G$72)+SUMIF('BALANCE N'!$A$2:$A$72,"531*",'BALANCE N'!$G$2:$G$72)</f>
        <v/>
      </c>
      <c r="D17" s="2998">
        <f>SUMIF('BALANCE N-1'!$A$2:$A$72,"532*",'BALANCE N-1'!$G$2:$G$72)+SUMIF('BALANCE N-1'!$A$2:$A$72,"531*",'BALANCE N-1'!$G$2:$G$72)</f>
        <v/>
      </c>
      <c r="E17" s="3269" t="n"/>
    </row>
    <row r="18" ht="12" customHeight="1" s="1354">
      <c r="B18" s="2099" t="inlineStr">
        <is>
          <t xml:space="preserve">Autres établissement financiers </t>
        </is>
      </c>
      <c r="C18" s="2998">
        <f>SUMIF('BALANCE N'!$A$2:$A$72,"533*",'BALANCE N'!$G$2:$G$72)+SUMIF('BALANCE N'!$A$2:$A$72,"538*",'BALANCE N'!$G$2:$G$72)</f>
        <v/>
      </c>
      <c r="D18" s="2998">
        <f>SUMIF('BALANCE N-1'!$A$2:$A$72,"533*",'BALANCE N-1'!$G$2:$G$72)+SUMIF('BALANCE N-1'!$A$2:$A$72,"538*",'BALANCE N-1'!$G$2:$G$72)</f>
        <v/>
      </c>
      <c r="E18" s="3269" t="n"/>
    </row>
    <row r="19" ht="12" customHeight="1" s="1354">
      <c r="B19" s="2132" t="inlineStr">
        <is>
          <t xml:space="preserve">Etablissement financiers intérêts courus </t>
        </is>
      </c>
      <c r="C19" s="2998">
        <f>SUMIF('BALANCE N'!$A$2:$A$72,"536*",'BALANCE N'!$G$2:$G$72)</f>
        <v/>
      </c>
      <c r="D19" s="2998">
        <f>SUMIF('BALANCE N-1'!$A$2:$A$72,"536*",'BALANCE N-1'!$G$2:$G$72)</f>
        <v/>
      </c>
      <c r="E19" s="3269" t="n"/>
    </row>
    <row r="20" ht="12" customHeight="1" s="1354">
      <c r="B20" s="2099" t="inlineStr">
        <is>
          <t xml:space="preserve">Instruments de trésorerie </t>
        </is>
      </c>
      <c r="C20" s="2998">
        <f>SUMIF('BALANCE N'!$A$2:$A$72,"54*",'BALANCE N'!$G$2:$G$72)</f>
        <v/>
      </c>
      <c r="D20" s="2998">
        <f>SUMIF('BALANCE N-1'!$A$2:$A$72,"54*",'BALANCE N-1'!$G$2:$G$72)</f>
        <v/>
      </c>
      <c r="E20" s="3269" t="n"/>
    </row>
    <row r="21" ht="12" customHeight="1" s="1354">
      <c r="B21" s="2099" t="inlineStr">
        <is>
          <t xml:space="preserve">Caisse  </t>
        </is>
      </c>
      <c r="C21" s="3087">
        <f>SUMIF('BALANCE N'!$A$2:$A$72,"57*",'BALANCE N'!$G$2:$G$72)-SUMIF('BALANCE N'!$A$2:$A$72,"57*",'BALANCE N'!$H$2:$H$72)</f>
        <v/>
      </c>
      <c r="D21" s="3087">
        <f>SUMIF('BALANCE N-1'!$A$2:$A$72,"57*",'BALANCE N-1'!$G$2:$G$72)-SUMIF('BALANCE N-1'!$A$2:$A$72,"57*",'BALANCE N-1'!$H$2:$H$72)</f>
        <v/>
      </c>
      <c r="E21" s="3269" t="n"/>
    </row>
    <row r="22" ht="12" customHeight="1" s="1354">
      <c r="B22" s="2099" t="inlineStr">
        <is>
          <t xml:space="preserve">Caisse électronique mobile </t>
        </is>
      </c>
      <c r="C22" s="2998">
        <f>SUMIF('BALANCE N'!$A$2:$A$72,"55*",'BALANCE N'!$G$2:$G$72)-SUMIF('BALANCE N'!$A$2:$A$72,"55*",'BALANCE N'!$H$2:$H$72)</f>
        <v/>
      </c>
      <c r="D22" s="2998">
        <f>SUMIF('BALANCE N-1'!$A$2:$A$72,"55*",'BALANCE N-1'!$G$2:$G$72)-SUMIF('BALANCE N-1'!$A$2:$A$72,"55*",'BALANCE N-1'!$H$2:$H$72)</f>
        <v/>
      </c>
      <c r="E22" s="3269" t="n"/>
    </row>
    <row r="23" ht="12.5" customHeight="1" s="1354">
      <c r="B23" s="2102" t="inlineStr">
        <is>
          <t xml:space="preserve">Régies d'avances et virements accréditifs </t>
        </is>
      </c>
      <c r="C23" s="3002">
        <f>SUMIF('BALANCE N'!$A$2:$A$72,"582*",'BALANCE N'!$G$2:$G$72)-SUMIF('BALANCE N'!$A$2:$A$72,"582*",'BALANCE N'!$H$2:$H$72)+SUMIF('BALANCE N'!$A$2:$A$72,"581*",'BALANCE N'!$G$2:$G$72)-SUMIF('BALANCE N'!$A$2:$A$72,"581*",'BALANCE N'!$H$2:$H$72)</f>
        <v/>
      </c>
      <c r="D23" s="3002">
        <f>SUMIF('BALANCE N-1'!$A$2:$A$72,"582*",'BALANCE N-1'!$G$2:$G$72)-SUMIF('BALANCE N-1'!$A$2:$A$72,"582*",'BALANCE N-1'!$H$2:$H$72)+SUMIF('BALANCE N-1'!$A$2:$A$72,"581*",'BALANCE N-1'!$G$2:$G$72)-SUMIF('BALANCE N-1'!$A$2:$A$72,"581*",'BALANCE N-1'!$H$2:$H$72)</f>
        <v/>
      </c>
      <c r="E23" s="2201" t="n"/>
    </row>
    <row r="24" ht="12.5" customHeight="1" s="1354">
      <c r="B24" s="3226" t="inlineStr">
        <is>
          <t xml:space="preserve">TOTAL BRUT DISPONIBILITES </t>
        </is>
      </c>
      <c r="C24" s="3099">
        <f>SUM(C12:C23)</f>
        <v/>
      </c>
      <c r="D24" s="3099">
        <f>SUM(D12:D23)</f>
        <v/>
      </c>
      <c r="E24" s="3270">
        <f>(C24-D24)/D24</f>
        <v/>
      </c>
    </row>
    <row r="25" ht="12" customHeight="1" s="1354">
      <c r="B25" s="2096" t="inlineStr">
        <is>
          <t xml:space="preserve">Dépréciations </t>
        </is>
      </c>
      <c r="C25" s="2995">
        <f>SUMIF('BALANCE N'!$A$2:$A$72,"592*",'BALANCE N'!$H$2:$H$72)-SUMIF('BALANCE N'!$A$2:$A$72,"592*",'BALANCE N'!$G$2:$G$72)+SUMIF('BALANCE N'!$A$2:$A$72,"594*",'BALANCE N'!$H$2:$H$72)-SUMIF('BALANCE N'!$A$2:$A$72,"594*",'BALANCE N'!$G$2:$G$72)+SUMIF('BALANCE N'!$A$2:$A$72,"593*",'BALANCE N'!$H$2:$H$72)-SUMIF('BALANCE N'!$A$2:$A$72,"593*",'BALANCE N'!$G$2:$G$72)</f>
        <v/>
      </c>
      <c r="D25" s="2995">
        <f>SUMIF('BALANCE N-1'!$A$2:$A$72,"592*",'BALANCE N-1'!$H$2:$H$72)-SUMIF('BALANCE N-1'!$A$2:$A$72,"592*",'BALANCE N-1'!$G$2:$G$72)+SUMIF('BALANCE N-1'!$A$2:$A$72,"594*",'BALANCE N-1'!$H$2:$H$72)-SUMIF('BALANCE N-1'!$A$2:$A$72,"594*",'BALANCE N-1'!$G$2:$G$72)+SUMIF('BALANCE N-1'!$A$2:$A$72,"593*",'BALANCE N-1'!$H$2:$H$72)-SUMIF('BALANCE N-1'!$A$2:$A$72,"593*",'BALANCE N-1'!$G$2:$G$72)</f>
        <v/>
      </c>
      <c r="E25" s="3271" t="n"/>
    </row>
    <row r="26" ht="12.5" customHeight="1" s="1354">
      <c r="B26" s="2102" t="inlineStr">
        <is>
          <t>  </t>
        </is>
      </c>
      <c r="C26" s="3002" t="n"/>
      <c r="D26" s="3002" t="n"/>
      <c r="E26" s="2201" t="n"/>
    </row>
    <row r="27" ht="12.5" customHeight="1" s="1354">
      <c r="B27" s="3272" t="inlineStr">
        <is>
          <t xml:space="preserve">TOTAL NET DE DEPRECIATIONS </t>
        </is>
      </c>
      <c r="C27" s="3099">
        <f>C24-C25</f>
        <v/>
      </c>
      <c r="D27" s="3099">
        <f>D24-D25</f>
        <v/>
      </c>
      <c r="E27" s="3238">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row r="38"/>
    <row r="39" ht="34" customHeight="1" s="1354">
      <c r="A39" s="3031">
        <f>IF(SUM(C12:C27,D12:D27)=0,"NÉANT","")</f>
        <v/>
      </c>
    </row>
    <row r="40" ht="34" customHeight="1" s="1354"/>
    <row r="41" ht="34" customHeight="1" s="1354"/>
  </sheetData>
  <mergeCells count="6">
    <mergeCell ref="B9:E9"/>
    <mergeCell ref="B8:E8"/>
    <mergeCell ref="A39:E41"/>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3"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6" t="inlineStr">
        <is>
          <t xml:space="preserve">Variation en valeur absolue </t>
        </is>
      </c>
    </row>
    <row r="10" ht="15" customHeight="1" s="1354">
      <c r="A10" s="1755" t="n"/>
      <c r="B10" s="1600" t="n"/>
      <c r="C10" s="1600" t="n"/>
      <c r="D10" s="3274" t="inlineStr">
        <is>
          <t xml:space="preserve">UML </t>
        </is>
      </c>
      <c r="E10" s="3274" t="inlineStr">
        <is>
          <t xml:space="preserve">UML </t>
        </is>
      </c>
      <c r="F10" s="1816" t="n"/>
    </row>
    <row r="11" ht="15" customHeight="1" s="1354">
      <c r="A11" s="2037" t="n"/>
      <c r="B11" s="1740" t="n"/>
      <c r="C11" s="1740" t="n"/>
      <c r="D11" s="3275" t="inlineStr">
        <is>
          <t xml:space="preserve">Année acquisition </t>
        </is>
      </c>
      <c r="E11" s="3276"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3" t="inlineStr">
        <is>
          <t xml:space="preserve">Libellés </t>
        </is>
      </c>
      <c r="B24" s="2984" t="inlineStr">
        <is>
          <t xml:space="preserve">Année N </t>
        </is>
      </c>
      <c r="C24" s="2984" t="inlineStr">
        <is>
          <t xml:space="preserve">Année N-1 </t>
        </is>
      </c>
      <c r="D24" s="3236" t="inlineStr">
        <is>
          <t xml:space="preserve">Variation en % </t>
        </is>
      </c>
    </row>
    <row r="25" ht="15" customHeight="1" s="1354">
      <c r="A25" s="1764" t="inlineStr">
        <is>
          <t xml:space="preserve">Transferts de charges d'exploitation : </t>
        </is>
      </c>
      <c r="B25" s="3256">
        <f>SUMIF('BALANCE N'!$A$2:$A$72,"781*",'BALANCE N'!$H$2:$H$72)-SUMIF('BALANCE N'!$A$2:$A$72,"781*",'BALANCE N'!$G$2:$G$72)</f>
        <v/>
      </c>
      <c r="C25" s="3256">
        <f>SUMIF('BALANCE N-1'!$A$2:$A$72,"781*",'BALANCE N-1'!$H$2:$H$72)-SUMIF('BALANCE N-1'!$A$2:$A$72,"781*",'BALANCE N-1'!$G$2:$G$72)</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7">
        <f>SUMIF('BALANCE N'!$A$2:$A$72,"787*",'BALANCE N'!$H$2:$H$72)-SUMIF('BALANCE N'!$A$2:$A$72,"787*",'BALANCE N'!$G$2:$G$72)</f>
        <v/>
      </c>
      <c r="C29" s="3257">
        <f>SUMIF('BALANCE N-1'!$A$2:$A$72,"787*",'BALANCE N-1'!$H$2:$H$72)-SUMIF('BALANCE N-1'!$A$2:$A$72,"787*",'BALANCE N-1'!$G$2:$G$72)</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row r="40"/>
    <row r="41" ht="34" customHeight="1" s="1354">
      <c r="A41" s="3031">
        <f>IF(SUM(B25:B29,C25:C29)=0,"NÉANT","")</f>
        <v/>
      </c>
    </row>
    <row r="42" ht="34" customHeight="1" s="1354"/>
    <row r="43" ht="34" customHeight="1" s="1354"/>
  </sheetData>
  <mergeCells count="16">
    <mergeCell ref="F9:F11"/>
    <mergeCell ref="A7:F7"/>
    <mergeCell ref="A41:F43"/>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7" t="inlineStr">
        <is>
          <t>CAPITAL</t>
        </is>
      </c>
    </row>
    <row r="10" ht="12" customHeight="1" s="1354">
      <c r="B10" s="2216" t="n"/>
      <c r="D10" s="2217" t="inlineStr">
        <is>
          <t>Valeur nominale des actions ou parts :</t>
        </is>
      </c>
      <c r="F10" s="1816" t="n"/>
      <c r="G10" s="327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9"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80" t="n"/>
      <c r="D23" s="3280" t="n"/>
      <c r="E23" s="3280" t="n"/>
      <c r="F23" s="3280" t="n"/>
      <c r="G23" s="3281" t="n"/>
    </row>
    <row r="24" ht="12.5" customHeight="1" s="1354">
      <c r="B24" s="2230" t="inlineStr">
        <is>
          <t>TOTAL</t>
        </is>
      </c>
      <c r="C24" s="1753" t="n"/>
      <c r="D24" s="2231" t="n"/>
      <c r="E24" s="2232" t="n"/>
      <c r="F24" s="3282">
        <f>SUM(F15:F22)</f>
        <v/>
      </c>
      <c r="G24" s="3282">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row r="35"/>
    <row r="36" ht="34" customHeight="1" s="1354">
      <c r="A36" s="3031">
        <f>IF(SUM(E15:E15,F15:F24,G10:G24)=0,"NÉANT","")</f>
        <v/>
      </c>
    </row>
    <row r="37" ht="34" customHeight="1" s="1354"/>
    <row r="38" ht="34" customHeight="1" s="1354"/>
  </sheetData>
  <mergeCells count="12">
    <mergeCell ref="F12:F14"/>
    <mergeCell ref="C12:C14"/>
    <mergeCell ref="D12:D14"/>
    <mergeCell ref="B12:B14"/>
    <mergeCell ref="E12:E14"/>
    <mergeCell ref="B10:C10"/>
    <mergeCell ref="B9:G9"/>
    <mergeCell ref="B8:G8"/>
    <mergeCell ref="D10:F11"/>
    <mergeCell ref="A36:H38"/>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5" t="inlineStr">
        <is>
          <t xml:space="preserve"> Libellés </t>
        </is>
      </c>
      <c r="C9" s="3167" t="inlineStr">
        <is>
          <t xml:space="preserve">Année N </t>
        </is>
      </c>
      <c r="D9" s="3167" t="inlineStr">
        <is>
          <t xml:space="preserve">Année    N-1 </t>
        </is>
      </c>
      <c r="E9" s="3169" t="inlineStr">
        <is>
          <t xml:space="preserve">Variation en valeur absolue </t>
        </is>
      </c>
    </row>
    <row r="10" ht="15" customHeight="1" s="1354">
      <c r="B10" s="2096" t="inlineStr">
        <is>
          <t xml:space="preserve">Prime d'apport  </t>
        </is>
      </c>
      <c r="C10" s="3279">
        <f>SUMIF('BALANCE N'!$A$2:$A$72,"1052*",'BALANCE N'!$H$2:$H$72)-SUMIF('BALANCE N'!$A$2:$A$72,"1052*",'BALANCE N'!$G$2:$G$72)</f>
        <v/>
      </c>
      <c r="D10" s="3279">
        <f>SUMIF('BALANCE N-1'!$A$2:$A$72,"1052*",'BALANCE N-1'!$H$2:$H$72)-SUMIF('BALANCE N-1'!$A$2:$A$72,"1052*",'BALANCE N-1'!$G$2:$G$72)</f>
        <v/>
      </c>
      <c r="E10" s="3283" t="n"/>
    </row>
    <row r="11" ht="15" customHeight="1" s="1354">
      <c r="B11" s="2099" t="inlineStr">
        <is>
          <t xml:space="preserve">Primes d'émission </t>
        </is>
      </c>
      <c r="C11" s="3223">
        <f>SUMIF('BALANCE N'!$A$2:$A$72,"1051*",'BALANCE N'!$H$2:$H$72)-SUMIF('BALANCE N'!$A$2:$A$72,"1051*",'BALANCE N'!$G$2:$G$72)</f>
        <v/>
      </c>
      <c r="D11" s="3223">
        <f>SUMIF('BALANCE N-1'!$A$2:$A$72,"1051*",'BALANCE N-1'!$H$2:$H$72)-SUMIF('BALANCE N-1'!$A$2:$A$72,"1051*",'BALANCE N-1'!$G$2:$G$72)</f>
        <v/>
      </c>
      <c r="E11" s="3229" t="n"/>
    </row>
    <row r="12" ht="15" customHeight="1" s="1354">
      <c r="B12" s="2099" t="inlineStr">
        <is>
          <t xml:space="preserve">Prime de fusion </t>
        </is>
      </c>
      <c r="C12" s="3223">
        <f>SUMIF('BALANCE N'!$A$2:$A$72,"1053*",'BALANCE N'!$H$2:$H$72)-SUMIF('BALANCE N'!$A$2:$A$72,"1053*",'BALANCE N'!$G$2:$G$72)</f>
        <v/>
      </c>
      <c r="D12" s="3223">
        <f>SUMIF('BALANCE N-1'!$A$2:$A$72,"1053*",'BALANCE N-1'!$H$2:$H$72)-SUMIF('BALANCE N-1'!$A$2:$A$72,"1053*",'BALANCE N-1'!$G$2:$G$72)</f>
        <v/>
      </c>
      <c r="E12" s="3229" t="n"/>
    </row>
    <row r="13" ht="15" customHeight="1" s="1354">
      <c r="B13" s="2099" t="inlineStr">
        <is>
          <t xml:space="preserve">Prime de conversion </t>
        </is>
      </c>
      <c r="C13" s="3223">
        <f>SUMIF('BALANCE N'!$A$2:$A$72,"1054*",'BALANCE N'!$H$2:$H$72)-SUMIF('BALANCE N'!$A$2:$A$72,"1054*",'BALANCE N'!$G$2:$G$72)</f>
        <v/>
      </c>
      <c r="D13" s="3223">
        <f>SUMIF('BALANCE N-1'!$A$2:$A$72,"1054*",'BALANCE N-1'!$H$2:$H$72)-SUMIF('BALANCE N-1'!$A$2:$A$72,"1054*",'BALANCE N-1'!$G$2:$G$72)</f>
        <v/>
      </c>
      <c r="E13" s="3229" t="n"/>
    </row>
    <row r="14" ht="15" customHeight="1" s="1354">
      <c r="B14" s="2099" t="inlineStr">
        <is>
          <t xml:space="preserve">Autres primes </t>
        </is>
      </c>
      <c r="C14" s="3223">
        <f>SUMIF('BALANCE N'!$A$2:$A$72,"1058*",'BALANCE N'!$H$2:$H$72)-SUMIF('BALANCE N'!$A$2:$A$72,"1058*",'BALANCE N'!$G$2:$G$72)</f>
        <v/>
      </c>
      <c r="D14" s="3223">
        <f>SUMIF('BALANCE N-1'!$A$2:$A$72,"1058*",'BALANCE N-1'!$H$2:$H$72)-SUMIF('BALANCE N-1'!$A$2:$A$72,"1058*",'BALANCE N-1'!$G$2:$G$72)</f>
        <v/>
      </c>
      <c r="E14" s="3229" t="n"/>
    </row>
    <row r="15" ht="15" customHeight="1" s="1354">
      <c r="B15" s="3284" t="inlineStr">
        <is>
          <t xml:space="preserve">TOTAL PRIMES </t>
        </is>
      </c>
      <c r="C15" s="3285">
        <f>SUM(C10:C14)</f>
        <v/>
      </c>
      <c r="D15" s="3285">
        <f>SUM(D10:D14)</f>
        <v/>
      </c>
      <c r="E15" s="3286" t="n"/>
    </row>
    <row r="16" ht="15" customHeight="1" s="1354">
      <c r="B16" s="2099" t="inlineStr">
        <is>
          <t> </t>
        </is>
      </c>
      <c r="C16" s="3223" t="n"/>
      <c r="D16" s="3223" t="n"/>
      <c r="E16" s="3229" t="n"/>
    </row>
    <row r="17" ht="15" customHeight="1" s="1354">
      <c r="B17" s="2099" t="inlineStr">
        <is>
          <t xml:space="preserve">Réserves légales </t>
        </is>
      </c>
      <c r="C17" s="3223">
        <f>SUMIF('BALANCE N'!$A$2:$A$72,"111*",'BALANCE N'!$H$2:$H$72)-SUMIF('BALANCE N'!$A$2:$A$72,"111*",'BALANCE N'!$G$2:$G$72)</f>
        <v/>
      </c>
      <c r="D17" s="3223">
        <f>SUMIF('BALANCE N-1'!$A$2:$A$72,"111*",'BALANCE N-1'!$H$2:$H$72)-SUMIF('BALANCE N-1'!$A$2:$A$72,"111*",'BALANCE N-1'!$G$2:$G$72)</f>
        <v/>
      </c>
      <c r="E17" s="3229" t="n"/>
    </row>
    <row r="18" ht="15" customHeight="1" s="1354">
      <c r="B18" s="2099" t="inlineStr">
        <is>
          <t xml:space="preserve">Réserves statutaires </t>
        </is>
      </c>
      <c r="C18" s="3223">
        <f>SUMIF('BALANCE N'!$A$2:$A$72,"112*",'BALANCE N'!$H$2:$H$72)-SUMIF('BALANCE N'!$A$2:$A$72,"112*",'BALANCE N'!$G$2:$G$72)</f>
        <v/>
      </c>
      <c r="D18" s="3223">
        <f>SUMIF('BALANCE N-1'!$A$2:$A$72,"112*",'BALANCE N-1'!$H$2:$H$72)-SUMIF('BALANCE N-1'!$A$2:$A$72,"112*",'BALANCE N-1'!$G$2:$G$72)</f>
        <v/>
      </c>
      <c r="E18" s="3229" t="n"/>
    </row>
    <row r="19" ht="15" customHeight="1" s="1354">
      <c r="B19" s="2099" t="inlineStr">
        <is>
          <t xml:space="preserve">Réserves de plus-values nettes à long terme </t>
        </is>
      </c>
      <c r="C19" s="3223">
        <f>SUMIF('BALANCE N'!$A$2:$A$72,"1131*",'BALANCE N'!$H$2:$H$72)-SUMIF('BALANCE N'!$A$2:$A$72,"1131*",'BALANCE N'!$G$2:$G$72)</f>
        <v/>
      </c>
      <c r="D19" s="3223">
        <f>SUMIF('BALANCE N-1'!$A$2:$A$72,"1131*",'BALANCE N-1'!$H$2:$H$72)-SUMIF('BALANCE N-1'!$A$2:$A$72,"1131*",'BALANCE N-1'!$G$2:$G$72)</f>
        <v/>
      </c>
      <c r="E19" s="3229" t="n"/>
    </row>
    <row r="20" ht="28.5" customHeight="1" s="1354">
      <c r="B20" s="2099" t="inlineStr">
        <is>
          <t xml:space="preserve">Réserves d’attribution gratuite d’actions au personnel salarié et aux dirigeants </t>
        </is>
      </c>
      <c r="C20" s="3223">
        <f>SUMIF('BALANCE N'!$A$2:$A$72,"1132*",'BALANCE N'!$H$2:$H$72)-SUMIF('BALANCE N'!$A$2:$A$72,"1132*",'BALANCE N'!$G$2:$G$72)</f>
        <v/>
      </c>
      <c r="D20" s="3223">
        <f>SUMIF('BALANCE N-1'!$A$2:$A$72,"1132*",'BALANCE N-1'!$H$2:$H$72)-SUMIF('BALANCE N-1'!$A$2:$A$72,"1132*",'BALANCE N-1'!$G$2:$G$72)</f>
        <v/>
      </c>
      <c r="E20" s="3229" t="n"/>
    </row>
    <row r="21" ht="15" customHeight="1" s="1354">
      <c r="B21" s="2099" t="inlineStr">
        <is>
          <t xml:space="preserve">Autres réserves réglementées </t>
        </is>
      </c>
      <c r="C21" s="3223">
        <f>SUMIF('BALANCE N'!$A$2:$A$72,"1138*",'BALANCE N'!$H$2:$H$72)-SUMIF('BALANCE N'!$A$2:$A$72,"1138*",'BALANCE N'!$G$2:$G$72)+SUMIF('BALANCE N'!$A$2:$A$72,"1133*",'BALANCE N'!$H$2:$H$72)-SUMIF('BALANCE N'!$A$2:$A$72,"1133*",'BALANCE N'!$G$2:$G$72)+SUMIF('BALANCE N'!$A$2:$A$72,"1134*",'BALANCE N'!$H$2:$H$72)-SUMIF('BALANCE N'!$A$2:$A$72,"1134*",'BALANCE N'!$G$2:$G$72)</f>
        <v/>
      </c>
      <c r="D21" s="3223">
        <f>SUMIF('BALANCE N-1'!$A$2:$A$72,"1138*",'BALANCE N-1'!$H$2:$H$72)-SUMIF('BALANCE N-1'!$A$2:$A$72,"1138*",'BALANCE N-1'!$G$2:$G$72)+SUMIF('BALANCE N-1'!$A$2:$A$72,"1133*",'BALANCE N-1'!$H$2:$H$72)-SUMIF('BALANCE N-1'!$A$2:$A$72,"1133*",'BALANCE N-1'!$G$2:$G$72)+SUMIF('BALANCE N-1'!$A$2:$A$72,"1134*",'BALANCE N-1'!$H$2:$H$72)-SUMIF('BALANCE N-1'!$A$2:$A$72,"1134*",'BALANCE N-1'!$G$2:$G$72)</f>
        <v/>
      </c>
      <c r="E21" s="3229" t="n"/>
    </row>
    <row r="22" ht="15" customHeight="1" s="1354">
      <c r="B22" s="3284" t="inlineStr">
        <is>
          <t xml:space="preserve">TOTAL RESERVES INDISPONIBLES </t>
        </is>
      </c>
      <c r="C22" s="3287">
        <f>SUM(C17:C21)</f>
        <v/>
      </c>
      <c r="D22" s="3287">
        <f>SUM(D17:D21)</f>
        <v/>
      </c>
      <c r="E22" s="3288" t="n"/>
    </row>
    <row r="23" ht="15" customHeight="1" s="1354">
      <c r="B23" s="2099" t="inlineStr">
        <is>
          <t> </t>
        </is>
      </c>
      <c r="C23" s="3223" t="n"/>
      <c r="D23" s="3223" t="n"/>
      <c r="E23" s="3229" t="n"/>
    </row>
    <row r="24" ht="15" customHeight="1" s="1354">
      <c r="B24" s="2247" t="inlineStr">
        <is>
          <t xml:space="preserve">Réserves libres </t>
        </is>
      </c>
      <c r="C24" s="3223">
        <f>SUMIF('BALANCE N'!$A$2:$A$72,"118*",'BALANCE N'!$H$2:$H$72)-SUMIF('BALANCE N'!$A$2:$A$72,"118*",'BALANCE N'!$G$2:$G$72)</f>
        <v/>
      </c>
      <c r="D24" s="3223">
        <f>SUMIF('BALANCE N-1'!$A$2:$A$72,"118*",'BALANCE N-1'!$H$2:$H$72)-SUMIF('BALANCE N-1'!$A$2:$A$72,"118*",'BALANCE N-1'!$G$2:$G$72)</f>
        <v/>
      </c>
      <c r="E24" s="3229" t="n"/>
    </row>
    <row r="25" ht="15" customHeight="1" s="1354">
      <c r="B25" s="2099" t="inlineStr">
        <is>
          <t> </t>
        </is>
      </c>
      <c r="C25" s="3223" t="n"/>
      <c r="D25" s="3223" t="n"/>
      <c r="E25" s="3229" t="n"/>
    </row>
    <row r="26" ht="15" customHeight="1" s="1354">
      <c r="B26" s="2248" t="inlineStr">
        <is>
          <t xml:space="preserve">Report à nouveau </t>
        </is>
      </c>
      <c r="C26" s="3289">
        <f>PASSIF!D16</f>
        <v/>
      </c>
      <c r="D26" s="328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row r="35"/>
    <row r="36" ht="34" customHeight="1" s="1354">
      <c r="A36" s="3031">
        <f>IF(SUM(C10:C26,D10:D26,E10:E25)=0,"NÉANT","")</f>
        <v/>
      </c>
    </row>
    <row r="37" ht="34" customHeight="1" s="1354"/>
    <row r="38" ht="34" customHeight="1" s="1354"/>
  </sheetData>
  <mergeCells count="3">
    <mergeCell ref="B7:E7"/>
    <mergeCell ref="B8:E8"/>
    <mergeCell ref="A36:G3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90" t="inlineStr">
        <is>
          <t xml:space="preserve">Libellés </t>
        </is>
      </c>
      <c r="B9" s="3291" t="inlineStr">
        <is>
          <t xml:space="preserve">NOTE </t>
        </is>
      </c>
      <c r="C9" s="3291" t="inlineStr">
        <is>
          <t xml:space="preserve">Année N </t>
        </is>
      </c>
      <c r="D9" s="3291" t="inlineStr">
        <is>
          <t xml:space="preserve">Année N-1 </t>
        </is>
      </c>
      <c r="E9" s="3291" t="inlineStr">
        <is>
          <t xml:space="preserve">Variation en valeur absolue </t>
        </is>
      </c>
      <c r="F9" s="3291" t="inlineStr">
        <is>
          <t xml:space="preserve">Variation en % </t>
        </is>
      </c>
      <c r="G9" s="3291" t="inlineStr">
        <is>
          <t xml:space="preserve">Régime fiscal </t>
        </is>
      </c>
      <c r="H9" s="3292" t="inlineStr">
        <is>
          <t xml:space="preserve">Echéances </t>
        </is>
      </c>
    </row>
    <row r="10" ht="15" customHeight="1" s="1354">
      <c r="A10" s="2257" t="inlineStr">
        <is>
          <t xml:space="preserve">État </t>
        </is>
      </c>
      <c r="B10" s="2258" t="inlineStr">
        <is>
          <t>  </t>
        </is>
      </c>
      <c r="C10" s="3293">
        <f>SUMIF('BALANCE N'!$A$2:$A$72,"1411*",'BALANCE N'!$H$2:$H$72)-SUMIF('BALANCE N'!$A$2:$A$72,"1411*",'BALANCE N'!$G$2:$G$72)</f>
        <v/>
      </c>
      <c r="D10" s="3293">
        <f>SUMIF('BALANCE N-1'!$A$2:$A$72,"1411*",'BALANCE N-1'!$H$2:$H$72)-SUMIF('BALANCE N-1'!$A$2:$A$72,"1411*",'BALANCE N-1'!$G$2:$G$72)</f>
        <v/>
      </c>
      <c r="E10" s="2276" t="n"/>
      <c r="F10" s="2276" t="n"/>
      <c r="G10" s="2258" t="n"/>
      <c r="H10" s="2277" t="n"/>
    </row>
    <row r="11" ht="15" customHeight="1" s="1354">
      <c r="A11" s="2262" t="inlineStr">
        <is>
          <t xml:space="preserve">Régions </t>
        </is>
      </c>
      <c r="B11" s="2263" t="inlineStr">
        <is>
          <t>  </t>
        </is>
      </c>
      <c r="C11" s="3294">
        <f>SUMIF('BALANCE N'!$A$2:$A$72,"1412*",'BALANCE N'!$H$2:$H$72)-SUMIF('BALANCE N'!$A$2:$A$72,"1412*",'BALANCE N'!$G$2:$G$72)</f>
        <v/>
      </c>
      <c r="D11" s="3294">
        <f>SUMIF('BALANCE N-1'!$A$2:$A$72,"1412*",'BALANCE N-1'!$H$2:$H$72)-SUMIF('BALANCE N-1'!$A$2:$A$72,"1412*",'BALANCE N-1'!$G$2:$G$72)</f>
        <v/>
      </c>
      <c r="E11" s="2736" t="n"/>
      <c r="F11" s="2736" t="n"/>
      <c r="G11" s="2263" t="n"/>
      <c r="H11" s="3295" t="n"/>
    </row>
    <row r="12" ht="15" customHeight="1" s="1354">
      <c r="A12" s="2262" t="inlineStr">
        <is>
          <t xml:space="preserve">Départements </t>
        </is>
      </c>
      <c r="B12" s="2263" t="inlineStr">
        <is>
          <t>  </t>
        </is>
      </c>
      <c r="C12" s="3294">
        <f>SUMIF('BALANCE N'!$A$2:$A$72,"1413*",'BALANCE N'!$H$2:$H$72)-SUMIF('BALANCE N'!$A$2:$A$72,"1413*",'BALANCE N'!$G$2:$G$72)</f>
        <v/>
      </c>
      <c r="D12" s="3294">
        <f>SUMIF('BALANCE N-1'!$A$2:$A$72,"1413*",'BALANCE N-1'!$H$2:$H$72)-SUMIF('BALANCE N-1'!$A$2:$A$72,"1413*",'BALANCE N-1'!$G$2:$G$72)</f>
        <v/>
      </c>
      <c r="E12" s="2736" t="n"/>
      <c r="F12" s="2736" t="n"/>
      <c r="G12" s="2263" t="n"/>
      <c r="H12" s="3295" t="n"/>
    </row>
    <row r="13" ht="14.5" customHeight="1" s="1354">
      <c r="A13" s="2262" t="inlineStr">
        <is>
          <t xml:space="preserve">Communes et collectivités publiques décentralisées </t>
        </is>
      </c>
      <c r="B13" s="2263" t="inlineStr">
        <is>
          <t>  </t>
        </is>
      </c>
      <c r="C13" s="3294">
        <f>SUMIF('BALANCE N'!$A$2:$A$72,"1414*",'BALANCE N'!$H$2:$H$72)-SUMIF('BALANCE N'!$A$2:$A$72,"1414*",'BALANCE N'!$G$2:$G$72)</f>
        <v/>
      </c>
      <c r="D13" s="3294">
        <f>SUMIF('BALANCE N-1'!$A$2:$A$72,"1414*",'BALANCE N-1'!$H$2:$H$72)-SUMIF('BALANCE N-1'!$A$2:$A$72,"1414*",'BALANCE N-1'!$G$2:$G$72)</f>
        <v/>
      </c>
      <c r="E13" s="2736" t="n"/>
      <c r="F13" s="2736" t="n"/>
      <c r="G13" s="2263" t="n"/>
      <c r="H13" s="3295" t="n"/>
    </row>
    <row r="14" ht="15" customHeight="1" s="1354">
      <c r="A14" s="2262" t="inlineStr">
        <is>
          <t xml:space="preserve">Entités publiques ou mixtes </t>
        </is>
      </c>
      <c r="B14" s="2263" t="inlineStr">
        <is>
          <t>  </t>
        </is>
      </c>
      <c r="C14" s="3294">
        <f>SUMIF('BALANCE N'!$A$2:$A$72,"1415*",'BALANCE N'!$H$2:$H$72)-SUMIF('BALANCE N'!$A$2:$A$72,"1415*",'BALANCE N'!$G$2:$G$72)</f>
        <v/>
      </c>
      <c r="D14" s="3294">
        <f>SUMIF('BALANCE N-1'!$A$2:$A$72,"1415*",'BALANCE N-1'!$H$2:$H$72)-SUMIF('BALANCE N-1'!$A$2:$A$72,"1415*",'BALANCE N-1'!$G$2:$G$72)</f>
        <v/>
      </c>
      <c r="E14" s="2736" t="n"/>
      <c r="F14" s="2736" t="n"/>
      <c r="G14" s="2263" t="n"/>
      <c r="H14" s="3295" t="n"/>
    </row>
    <row r="15" ht="15" customHeight="1" s="1354">
      <c r="A15" s="2262" t="inlineStr">
        <is>
          <t xml:space="preserve">Entités  et organismes privés </t>
        </is>
      </c>
      <c r="B15" s="2263" t="inlineStr">
        <is>
          <t>  </t>
        </is>
      </c>
      <c r="C15" s="3294">
        <f>SUMIF('BALANCE N'!$A$2:$A$72,"1416*",'BALANCE N'!$H$2:$H$72)-SUMIF('BALANCE N'!$A$2:$A$72,"1416*",'BALANCE N'!$G$2:$G$72)</f>
        <v/>
      </c>
      <c r="D15" s="3294">
        <f>SUMIF('BALANCE N-1'!$A$2:$A$72,"1416*",'BALANCE N-1'!$H$2:$H$72)-SUMIF('BALANCE N-1'!$A$2:$A$72,"1416*",'BALANCE N-1'!$G$2:$G$72)</f>
        <v/>
      </c>
      <c r="E15" s="2736" t="n"/>
      <c r="F15" s="2736" t="n"/>
      <c r="G15" s="2263" t="n"/>
      <c r="H15" s="3295" t="n"/>
    </row>
    <row r="16" ht="15" customHeight="1" s="1354">
      <c r="A16" s="2262" t="inlineStr">
        <is>
          <t xml:space="preserve">Organismes internationaux </t>
        </is>
      </c>
      <c r="B16" s="2263" t="inlineStr">
        <is>
          <t>  </t>
        </is>
      </c>
      <c r="C16" s="3294">
        <f>SUMIF('BALANCE N'!$A$2:$A$72,"1417*",'BALANCE N'!$H$2:$H$72)-SUMIF('BALANCE N'!$A$2:$A$72,"1417*",'BALANCE N'!$G$2:$G$72)</f>
        <v/>
      </c>
      <c r="D16" s="3294">
        <f>SUMIF('BALANCE N-1'!$A$2:$A$72,"1417*",'BALANCE N-1'!$H$2:$H$72)-SUMIF('BALANCE N-1'!$A$2:$A$72,"1417*",'BALANCE N-1'!$G$2:$G$72)</f>
        <v/>
      </c>
      <c r="E16" s="2736" t="n"/>
      <c r="F16" s="2736" t="n"/>
      <c r="G16" s="2263" t="n"/>
      <c r="H16" s="3295" t="n"/>
    </row>
    <row r="17" ht="15" customHeight="1" s="1354">
      <c r="A17" s="2267" t="inlineStr">
        <is>
          <t xml:space="preserve">Autres  </t>
        </is>
      </c>
      <c r="B17" s="2268" t="inlineStr">
        <is>
          <t>  </t>
        </is>
      </c>
      <c r="C17" s="3296">
        <f>SUMIF('BALANCE N'!$A$2:$A$72,"148*",'BALANCE N'!$H$2:$H$72)-SUMIF('BALANCE N'!$A$2:$A$72,"148*",'BALANCE N'!$G$2:$G$72)+SUMIF('BALANCE N'!$A$2:$A$72,"1418*",'BALANCE N'!$H$2:$H$72)-SUMIF('BALANCE N'!$A$2:$A$72,"1418*",'BALANCE N'!$G$2:$G$72)</f>
        <v/>
      </c>
      <c r="D17" s="3296">
        <f>SUMIF('BALANCE N-1'!$A$2:$A$72,"148*",'BALANCE N-1'!$H$2:$H$72)-SUMIF('BALANCE N-1'!$A$2:$A$72,"148*",'BALANCE N-1'!$G$2:$G$72)+SUMIF('BALANCE N-1'!$A$2:$A$72,"1418*",'BALANCE N-1'!$H$2:$H$72)-SUMIF('BALANCE N-1'!$A$2:$A$72,"1418*",'BALANCE N-1'!$G$2:$G$72)</f>
        <v/>
      </c>
      <c r="E17" s="3297" t="n"/>
      <c r="F17" s="3297" t="n"/>
      <c r="G17" s="2268" t="n"/>
      <c r="H17" s="3298" t="n"/>
    </row>
    <row r="18" ht="15" customHeight="1" s="1354">
      <c r="A18" s="3299" t="inlineStr">
        <is>
          <t xml:space="preserve">TOTAL SUBVENTIONS  </t>
        </is>
      </c>
      <c r="B18" s="3300" t="inlineStr">
        <is>
          <t>  </t>
        </is>
      </c>
      <c r="C18" s="3301">
        <f>SUM(C10:C17)</f>
        <v/>
      </c>
      <c r="D18" s="3301">
        <f>SUM(D10:D17)</f>
        <v/>
      </c>
      <c r="E18" s="3302" t="n"/>
      <c r="F18" s="3302" t="n"/>
      <c r="G18" s="3302" t="n"/>
      <c r="H18" s="3303"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4">
        <f>SUMIF('BALANCE N'!$A$2:$A$72,"151*",'BALANCE N'!$H$2:$H$72)-SUMIF('BALANCE N'!$A$2:$A$72,"151*",'BALANCE N'!$G$2:$G$72)</f>
        <v/>
      </c>
      <c r="D20" s="3294">
        <f>SUMIF('BALANCE N-1'!$A$2:$A$72,"151*",'BALANCE N-1'!$H$2:$H$72)-SUMIF('BALANCE N-1'!$A$2:$A$72,"151*",'BALANCE N-1'!$G$2:$G$72)</f>
        <v/>
      </c>
      <c r="E20" s="2736" t="n"/>
      <c r="F20" s="2736" t="n"/>
      <c r="G20" s="2736" t="n"/>
      <c r="H20" s="3295" t="n"/>
    </row>
    <row r="21" ht="15" customHeight="1" s="1354">
      <c r="A21" s="2262" t="inlineStr">
        <is>
          <t xml:space="preserve">Plus-value de cession à réinvestir </t>
        </is>
      </c>
      <c r="B21" s="2263" t="inlineStr">
        <is>
          <t>  </t>
        </is>
      </c>
      <c r="C21" s="3294">
        <f>SUMIF('BALANCE N'!$A$2:$A$72,"152*",'BALANCE N'!$H$2:$H$72)-SUMIF('BALANCE N'!$A$2:$A$72,"152*",'BALANCE N'!$G$2:$G$72)</f>
        <v/>
      </c>
      <c r="D21" s="3294">
        <f>SUMIF('BALANCE N-1'!$A$2:$A$72,"152*",'BALANCE N-1'!$H$2:$H$72)-SUMIF('BALANCE N-1'!$A$2:$A$72,"152*",'BALANCE N-1'!$G$2:$G$72)</f>
        <v/>
      </c>
      <c r="E21" s="2736" t="n"/>
      <c r="F21" s="2736" t="n"/>
      <c r="G21" s="2736" t="n"/>
      <c r="H21" s="3295" t="n"/>
    </row>
    <row r="22" ht="15" customHeight="1" s="1354">
      <c r="A22" s="2262" t="inlineStr">
        <is>
          <t xml:space="preserve">Provision spéciale de réévaluation </t>
        </is>
      </c>
      <c r="B22" s="2263" t="n"/>
      <c r="C22" s="3294">
        <f>SUMIF('BALANCE N'!$A$2:$A$72,"154*",'BALANCE N'!$H$2:$H$72)-SUMIF('BALANCE N'!$A$2:$A$72,"154*",'BALANCE N'!$G$2:$G$72)</f>
        <v/>
      </c>
      <c r="D22" s="3294">
        <f>SUMIF('BALANCE N-1'!$A$2:$A$72,"154*",'BALANCE N-1'!$H$2:$H$72)-SUMIF('BALANCE N-1'!$A$2:$A$72,"154*",'BALANCE N-1'!$G$2:$G$72)</f>
        <v/>
      </c>
      <c r="E22" s="2736" t="n"/>
      <c r="F22" s="2736" t="n"/>
      <c r="G22" s="2736" t="n"/>
      <c r="H22" s="3295" t="n"/>
    </row>
    <row r="23" ht="15" customHeight="1" s="1354">
      <c r="A23" s="2262" t="inlineStr">
        <is>
          <t xml:space="preserve">Provisions réglementées relatives aux immobilisations </t>
        </is>
      </c>
      <c r="B23" s="2263" t="inlineStr">
        <is>
          <t>  </t>
        </is>
      </c>
      <c r="C23" s="3294">
        <f>SUMIF('BALANCE N'!$A$2:$A$72,"155*",'BALANCE N'!$H$2:$H$72)-SUMIF('BALANCE N'!$A$2:$A$72,"155*",'BALANCE N'!$G$2:$G$72)</f>
        <v/>
      </c>
      <c r="D23" s="3294">
        <f>SUMIF('BALANCE N-1'!$A$2:$A$72,"155*",'BALANCE N-1'!$H$2:$H$72)-SUMIF('BALANCE N-1'!$A$2:$A$72,"155*",'BALANCE N-1'!$G$2:$G$72)</f>
        <v/>
      </c>
      <c r="E23" s="2736" t="n"/>
      <c r="F23" s="2736" t="n"/>
      <c r="G23" s="2736" t="n"/>
      <c r="H23" s="3295" t="n"/>
    </row>
    <row r="24" ht="15" customHeight="1" s="1354">
      <c r="A24" s="2262" t="inlineStr">
        <is>
          <t xml:space="preserve">Provisions réglementés relatives aux stocks </t>
        </is>
      </c>
      <c r="B24" s="2263" t="inlineStr">
        <is>
          <t>  </t>
        </is>
      </c>
      <c r="C24" s="3294">
        <f>SUMIF('BALANCE N'!$A$2:$A$72,"156*",'BALANCE N'!$H$2:$H$72)-SUMIF('BALANCE N'!$A$2:$A$72,"156*",'BALANCE N'!$G$2:$G$72)</f>
        <v/>
      </c>
      <c r="D24" s="3294">
        <f>SUMIF('BALANCE N-1'!$A$2:$A$72,"156*",'BALANCE N-1'!$H$2:$H$72)-SUMIF('BALANCE N-1'!$A$2:$A$72,"156*",'BALANCE N-1'!$G$2:$G$72)</f>
        <v/>
      </c>
      <c r="E24" s="2736" t="n"/>
      <c r="F24" s="2736" t="n"/>
      <c r="G24" s="2736" t="n"/>
      <c r="H24" s="3295" t="n"/>
    </row>
    <row r="25" ht="15" customHeight="1" s="1354">
      <c r="A25" s="2262" t="inlineStr">
        <is>
          <t xml:space="preserve">Provisions pour investissement </t>
        </is>
      </c>
      <c r="B25" s="2263" t="inlineStr">
        <is>
          <t>  </t>
        </is>
      </c>
      <c r="C25" s="3294">
        <f>SUMIF('BALANCE N'!$A$2:$A$72,"157*",'BALANCE N'!$H$2:$H$72)-SUMIF('BALANCE N'!$A$2:$A$72,"157*",'BALANCE N'!$G$2:$G$72)</f>
        <v/>
      </c>
      <c r="D25" s="3294">
        <f>SUMIF('BALANCE N-1'!$A$2:$A$72,"157*",'BALANCE N-1'!$H$2:$H$72)-SUMIF('BALANCE N-1'!$A$2:$A$72,"157*",'BALANCE N-1'!$G$2:$G$72)</f>
        <v/>
      </c>
      <c r="E25" s="2736" t="n"/>
      <c r="F25" s="2736" t="n"/>
      <c r="G25" s="2736" t="n"/>
      <c r="H25" s="3295" t="n"/>
    </row>
    <row r="26" ht="15" customHeight="1" s="1354">
      <c r="A26" s="2267" t="inlineStr">
        <is>
          <t xml:space="preserve">Autres provisions et fonds réglementées </t>
        </is>
      </c>
      <c r="B26" s="2268" t="inlineStr">
        <is>
          <t>  </t>
        </is>
      </c>
      <c r="C26" s="3296">
        <f>SUMIF('BALANCE N'!$A$2:$A$72,"158*",'BALANCE N'!$H$2:$H$72)-SUMIF('BALANCE N'!$A$2:$A$72,"158*",'BALANCE N'!$G$2:$G$72)+SUMIF('BALANCE N'!$A$2:$A$72,"153*",'BALANCE N'!$H$2:$H$72)-SUMIF('BALANCE N'!$A$2:$A$72,"153*",'BALANCE N'!$G$2:$G$72)</f>
        <v/>
      </c>
      <c r="D26" s="3296">
        <f>SUMIF('BALANCE N-1'!$A$2:$A$72,"158*",'BALANCE N-1'!$H$2:$H$72)-SUMIF('BALANCE N-1'!$A$2:$A$72,"158*",'BALANCE N-1'!$G$2:$G$72)+SUMIF('BALANCE N-1'!$A$2:$A$72,"153*",'BALANCE N-1'!$H$2:$H$72)-SUMIF('BALANCE N-1'!$A$2:$A$72,"153*",'BALANCE N-1'!$G$2:$G$72)</f>
        <v/>
      </c>
      <c r="E26" s="3297" t="n"/>
      <c r="F26" s="3297" t="n"/>
      <c r="G26" s="3297" t="n"/>
      <c r="H26" s="3298" t="n"/>
    </row>
    <row r="27" ht="15" customHeight="1" s="1354">
      <c r="A27" s="3299" t="inlineStr">
        <is>
          <t xml:space="preserve">TOTAL PROVISIONS REGLEMENTEES </t>
        </is>
      </c>
      <c r="B27" s="3300" t="inlineStr">
        <is>
          <t>  </t>
        </is>
      </c>
      <c r="C27" s="3301">
        <f>SUM(C20:C26)</f>
        <v/>
      </c>
      <c r="D27" s="3301">
        <f>SUM(D20:D26)</f>
        <v/>
      </c>
      <c r="E27" s="3302" t="n"/>
      <c r="F27" s="3302" t="n"/>
      <c r="G27" s="3302" t="n"/>
      <c r="H27" s="3303" t="n"/>
    </row>
    <row r="28" ht="15" customHeight="1" s="1354">
      <c r="A28" s="2279" t="inlineStr">
        <is>
          <t>  </t>
        </is>
      </c>
      <c r="B28" s="2280" t="inlineStr">
        <is>
          <t>  </t>
        </is>
      </c>
      <c r="C28" s="2281" t="n"/>
      <c r="D28" s="2281" t="n"/>
      <c r="E28" s="2281" t="n"/>
      <c r="F28" s="2281" t="n"/>
      <c r="G28" s="2281" t="n"/>
      <c r="H28" s="2282" t="n"/>
    </row>
    <row r="29" ht="15" customHeight="1" s="1354">
      <c r="A29" s="3304" t="inlineStr">
        <is>
          <t xml:space="preserve">TOTAL SUBVENTIONS ET </t>
        </is>
      </c>
      <c r="B29" s="3305" t="inlineStr">
        <is>
          <t>  </t>
        </is>
      </c>
      <c r="C29" s="3306">
        <f>C18+C27</f>
        <v/>
      </c>
      <c r="D29" s="3306">
        <f>D18+D27</f>
        <v/>
      </c>
      <c r="E29" s="3307" t="n"/>
      <c r="F29" s="3307" t="n"/>
      <c r="G29" s="3308" t="n"/>
      <c r="H29" s="3309" t="n"/>
    </row>
    <row r="30" ht="15" customHeight="1" s="1354">
      <c r="A30" s="3310"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row r="36"/>
    <row r="37" ht="34" customHeight="1" s="1354">
      <c r="A37" s="3031">
        <f>IF(SUM(C10:C29,D10:D29,E29:E29,F29:F29)=0,"NÉANT","")</f>
        <v/>
      </c>
    </row>
    <row r="38" ht="34" customHeight="1" s="1354"/>
    <row r="39" ht="34" customHeight="1" s="1354"/>
  </sheetData>
  <mergeCells count="11">
    <mergeCell ref="F29:F30"/>
    <mergeCell ref="H29:H30"/>
    <mergeCell ref="A7:H7"/>
    <mergeCell ref="C29:C30"/>
    <mergeCell ref="A37:H39"/>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11" t="inlineStr">
        <is>
          <t xml:space="preserve"> Libellés </t>
        </is>
      </c>
      <c r="B9" s="3312" t="inlineStr">
        <is>
          <t xml:space="preserve">NOTE </t>
        </is>
      </c>
      <c r="C9" s="3312" t="inlineStr">
        <is>
          <t xml:space="preserve">Année N </t>
        </is>
      </c>
      <c r="D9" s="3312" t="inlineStr">
        <is>
          <t xml:space="preserve">Année N-1 </t>
        </is>
      </c>
      <c r="E9" s="3312" t="inlineStr">
        <is>
          <t xml:space="preserve">Variation en valeur absolue </t>
        </is>
      </c>
      <c r="F9" s="3312" t="inlineStr">
        <is>
          <t xml:space="preserve">Variation en % </t>
        </is>
      </c>
      <c r="G9" s="3313"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4">
        <f>SUMIF('BALANCE N'!$A$2:$A$72,"167*",'BALANCE N'!$H$2:$H$72)-SUMIF('BALANCE N'!$A$2:$A$72,"167*",'BALANCE N'!$G$2:$G$72)</f>
        <v/>
      </c>
      <c r="D11" s="3314">
        <f>SUMIF('BALANCE N-1'!$A$2:$A$72,"167*",'BALANCE N-1'!$H$2:$H$72)-SUMIF('BALANCE N-1'!$A$2:$A$72,"167*",'BALANCE N-1'!$G$2:$G$72)</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5" t="inlineStr">
        <is>
          <t xml:space="preserve">TOTAL AUTRES FONDS PROPRES </t>
        </is>
      </c>
      <c r="B15" s="3316" t="inlineStr">
        <is>
          <t>  </t>
        </is>
      </c>
      <c r="C15" s="3317">
        <f>SUM(C10:C14)</f>
        <v/>
      </c>
      <c r="D15" s="3317">
        <f>SUM(D10:D14)</f>
        <v/>
      </c>
      <c r="E15" s="3318" t="n"/>
      <c r="F15" s="3318" t="n"/>
      <c r="G15" s="3318"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row r="25"/>
    <row r="26" ht="34" customHeight="1" s="1354">
      <c r="A26" s="3031">
        <f>IF(SUM(C11:C15,D11:D15)=0,"NÉANT","")</f>
        <v/>
      </c>
    </row>
    <row r="27" ht="34" customHeight="1" s="1354"/>
    <row r="28" ht="34" customHeight="1" s="1354"/>
  </sheetData>
  <mergeCells count="6">
    <mergeCell ref="A17:G17"/>
    <mergeCell ref="A26:G28"/>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52"/>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N'!$A$2:$A$72,"161*",'BALANCE N'!$H$2:$H$72)-SUMIF('BALANCE N'!$A$2:$A$72,"161*",'BALANCE N'!$G$2:$G$72)</f>
        <v/>
      </c>
      <c r="C7" s="2995">
        <f>SUMIF('BALANCE N-1'!$A$2:$A$72,"161*",'BALANCE N-1'!$H$2:$H$72)-SUMIF('BALANCE N-1'!$A$2:$A$72,"161*",'BALANCE N-1'!$G$2:$G$72)</f>
        <v/>
      </c>
      <c r="D7" s="2995" t="n"/>
      <c r="E7" s="2995" t="n"/>
      <c r="F7" s="2995" t="n"/>
      <c r="G7" s="2995" t="n"/>
      <c r="H7" s="2996" t="n"/>
    </row>
    <row r="8" ht="12" customHeight="1" s="1354">
      <c r="A8" s="2099" t="inlineStr">
        <is>
          <t>Emprunts et dettes auprès des établissements de crédit</t>
        </is>
      </c>
      <c r="B8" s="2998">
        <f>SUMIF('BALANCE N'!$A$2:$A$72,"162*",'BALANCE N'!$H$2:$H$72)-SUMIF('BALANCE N'!$A$2:$A$72,"162*",'BALANCE N'!$G$2:$G$72)</f>
        <v/>
      </c>
      <c r="C8" s="2998">
        <f>SUMIF('BALANCE N-1'!$A$2:$A$72,"162*",'BALANCE N-1'!$H$2:$H$72)-SUMIF('BALANCE N-1'!$A$2:$A$72,"162*",'BALANCE N-1'!$G$2:$G$72)</f>
        <v/>
      </c>
      <c r="D8" s="3319">
        <f>B8-C8</f>
        <v/>
      </c>
      <c r="E8" s="3320">
        <f>D8/C8</f>
        <v/>
      </c>
      <c r="F8" s="2998">
        <f>0</f>
        <v/>
      </c>
      <c r="G8" s="2998" t="n"/>
      <c r="H8" s="2999">
        <f>B8-G8</f>
        <v/>
      </c>
    </row>
    <row r="9" ht="12" customHeight="1" s="1354">
      <c r="A9" s="2099" t="inlineStr">
        <is>
          <t>Avances reçues de l’Etat</t>
        </is>
      </c>
      <c r="B9" s="2998">
        <f>SUMIF('BALANCE N'!$A$2:$A$72,"163*",'BALANCE N'!$H$2:$H$72)-SUMIF('BALANCE N'!$A$2:$A$72,"163*",'BALANCE N'!$G$2:$G$72)</f>
        <v/>
      </c>
      <c r="C9" s="2998">
        <f>SUMIF('BALANCE N-1'!$A$2:$A$72,"163*",'BALANCE N-1'!$H$2:$H$72)-SUMIF('BALANCE N-1'!$A$2:$A$72,"163*",'BALANCE N-1'!$G$2:$G$72)</f>
        <v/>
      </c>
      <c r="D9" s="2998" t="n"/>
      <c r="E9" s="2998" t="n"/>
      <c r="F9" s="2998" t="n"/>
      <c r="G9" s="2998" t="n"/>
      <c r="H9" s="2999" t="n"/>
    </row>
    <row r="10" ht="12" customHeight="1" s="1354">
      <c r="A10" s="2099" t="inlineStr">
        <is>
          <t>Avances reçues et comptes courants bloqués</t>
        </is>
      </c>
      <c r="B10" s="2998">
        <f>SUMIF('BALANCE N'!$A$2:$A$72,"164*",'BALANCE N'!$H$2:$H$72)-SUMIF('BALANCE N'!$A$2:$A$72,"164*",'BALANCE N'!$G$2:$G$72)</f>
        <v/>
      </c>
      <c r="C10" s="2998">
        <f>SUMIF('BALANCE N-1'!$A$2:$A$72,"164*",'BALANCE N-1'!$H$2:$H$72)-SUMIF('BALANCE N-1'!$A$2:$A$72,"164*",'BALANCE N-1'!$G$2:$G$72)</f>
        <v/>
      </c>
      <c r="D10" s="2998" t="n"/>
      <c r="E10" s="2998" t="n"/>
      <c r="F10" s="2998" t="n"/>
      <c r="G10" s="2998" t="n"/>
      <c r="H10" s="2999" t="n"/>
    </row>
    <row r="11" ht="12" customHeight="1" s="1354">
      <c r="A11" s="2099" t="inlineStr">
        <is>
          <t>Dépôts et cautionnements reçus</t>
        </is>
      </c>
      <c r="B11" s="2998">
        <f>SUMIF('BALANCE N'!$A$2:$A$72,"165*",'BALANCE N'!$H$2:$H$72)-SUMIF('BALANCE N'!$A$2:$A$72,"165*",'BALANCE N'!$G$2:$G$72)</f>
        <v/>
      </c>
      <c r="C11" s="2998">
        <f>SUMIF('BALANCE N-1'!$A$2:$A$72,"165*",'BALANCE N-1'!$H$2:$H$72)-SUMIF('BALANCE N-1'!$A$2:$A$72,"165*",'BALANCE N-1'!$G$2:$G$72)</f>
        <v/>
      </c>
      <c r="D11" s="2998" t="n"/>
      <c r="E11" s="2998" t="n"/>
      <c r="F11" s="2998" t="n"/>
      <c r="G11" s="2998" t="n"/>
      <c r="H11" s="2999" t="n"/>
    </row>
    <row r="12" ht="12" customHeight="1" s="1354">
      <c r="A12" s="2099" t="inlineStr">
        <is>
          <t xml:space="preserve">Intérêt courus </t>
        </is>
      </c>
      <c r="B12" s="2998">
        <f>SUMIF('BALANCE N'!$A$2:$A$72,"166*",'BALANCE N'!$H$2:$H$72)-SUMIF('BALANCE N'!$A$2:$A$72,"166*",'BALANCE N'!$G$2:$G$72)</f>
        <v/>
      </c>
      <c r="C12" s="2998">
        <f>SUMIF('BALANCE N-1'!$A$2:$A$72,"166*",'BALANCE N-1'!$H$2:$H$72)-SUMIF('BALANCE N-1'!$A$2:$A$72,"166*",'BALANCE N-1'!$G$2:$G$72)</f>
        <v/>
      </c>
      <c r="D12" s="2998" t="n"/>
      <c r="E12" s="2998" t="n"/>
      <c r="F12" s="2998" t="n"/>
      <c r="G12" s="2998" t="n"/>
      <c r="H12" s="2999" t="n"/>
    </row>
    <row r="13" ht="12" customHeight="1" s="1354">
      <c r="A13" s="2099" t="inlineStr">
        <is>
          <t>Avances assorties de conditions particulières</t>
        </is>
      </c>
      <c r="B13" s="2998">
        <f>SUMIF('BALANCE N'!$A$2:$A$72,"167*",'BALANCE N'!$H$2:$H$72)-SUMIF('BALANCE N'!$A$2:$A$72,"167*",'BALANCE N'!$G$2:$G$72)</f>
        <v/>
      </c>
      <c r="C13" s="2998">
        <f>SUMIF('BALANCE N-1'!$A$2:$A$72,"167*",'BALANCE N-1'!$H$2:$H$72)-SUMIF('BALANCE N-1'!$A$2:$A$72,"167*",'BALANCE N-1'!$G$2:$G$72)</f>
        <v/>
      </c>
      <c r="D13" s="2998" t="n"/>
      <c r="E13" s="2998" t="n"/>
      <c r="F13" s="2998" t="n"/>
      <c r="G13" s="2998" t="n"/>
      <c r="H13" s="2999" t="n"/>
    </row>
    <row r="14" ht="12" customHeight="1" s="1354">
      <c r="A14" s="2099" t="inlineStr">
        <is>
          <t>Autres emprunts et dettes</t>
        </is>
      </c>
      <c r="B14" s="2998">
        <f>SUMIF('BALANCE N'!$A$2:$A$72,"168*",'BALANCE N'!$H$2:$H$72)-SUMIF('BALANCE N'!$A$2:$A$72,"168*",'BALANCE N'!$G$2:$G$72)</f>
        <v/>
      </c>
      <c r="C14" s="2998">
        <f>SUMIF('BALANCE N-1'!$A$2:$A$72,"168*",'BALANCE N-1'!$H$2:$H$72)-SUMIF('BALANCE N-1'!$A$2:$A$72,"168*",'BALANCE N-1'!$G$2:$G$72)</f>
        <v/>
      </c>
      <c r="D14" s="2998" t="n">
        <v>0</v>
      </c>
      <c r="E14" s="2998" t="n">
        <v>0</v>
      </c>
      <c r="F14" s="2998" t="n"/>
      <c r="G14" s="2998" t="n">
        <v>0</v>
      </c>
      <c r="H14" s="2999">
        <f>C14</f>
        <v/>
      </c>
    </row>
    <row r="15" ht="12" customHeight="1" s="1354">
      <c r="A15" s="2099" t="inlineStr">
        <is>
          <t>Dettes liées à des participations</t>
        </is>
      </c>
      <c r="B15" s="2998">
        <f>SUMIF('BALANCE N'!$A$2:$A$72,"183*",'BALANCE N'!$H$2:$H$72)-SUMIF('BALANCE N'!$A$2:$A$72,"183*",'BALANCE N'!$G$2:$G$72)+SUMIF('BALANCE N'!$A$2:$A$72,"181*",'BALANCE N'!$H$2:$H$72)-SUMIF('BALANCE N'!$A$2:$A$72,"181*",'BALANCE N'!$G$2:$G$72)+SUMIF('BALANCE N'!$A$2:$A$72,"182*",'BALANCE N'!$H$2:$H$72)-SUMIF('BALANCE N'!$A$2:$A$72,"182*",'BALANCE N'!$G$2:$G$72)</f>
        <v/>
      </c>
      <c r="C15" s="2998">
        <f>SUMIF('BALANCE N-1'!$A$2:$A$72,"183*",'BALANCE N-1'!$H$2:$H$72)-SUMIF('BALANCE N-1'!$A$2:$A$72,"183*",'BALANCE N-1'!$G$2:$G$72)+SUMIF('BALANCE N-1'!$A$2:$A$72,"181*",'BALANCE N-1'!$H$2:$H$72)-SUMIF('BALANCE N-1'!$A$2:$A$72,"181*",'BALANCE N-1'!$G$2:$G$72)+SUMIF('BALANCE N-1'!$A$2:$A$72,"182*",'BALANCE N-1'!$H$2:$H$72)-SUMIF('BALANCE N-1'!$A$2:$A$72,"182*",'BALANCE N-1'!$G$2:$G$72)</f>
        <v/>
      </c>
      <c r="D15" s="2998" t="n"/>
      <c r="E15" s="2998" t="n"/>
      <c r="F15" s="2998" t="n"/>
      <c r="G15" s="2998" t="n"/>
      <c r="H15" s="2999" t="n"/>
    </row>
    <row r="16" ht="12.5" customHeight="1" s="1354">
      <c r="A16" s="2102" t="inlineStr">
        <is>
          <t>Comptes permanents bloqués des établissements et succursales</t>
        </is>
      </c>
      <c r="B16" s="3002">
        <f>SUMIF('BALANCE N'!$A$2:$A$72,"184*",'BALANCE N'!$H$2:$H$72)-SUMIF('BALANCE N'!$A$2:$A$72,"184*",'BALANCE N'!$G$2:$G$72)</f>
        <v/>
      </c>
      <c r="C16" s="3002">
        <f>SUMIF('BALANCE N-1'!$A$2:$A$72,"184*",'BALANCE N-1'!$H$2:$H$72)-SUMIF('BALANCE N-1'!$A$2:$A$72,"184*",'BALANCE N-1'!$G$2:$G$72)</f>
        <v/>
      </c>
      <c r="D16" s="3002" t="n"/>
      <c r="E16" s="3002" t="n"/>
      <c r="F16" s="3002" t="n"/>
      <c r="G16" s="3002" t="n"/>
      <c r="H16" s="3003" t="n"/>
    </row>
    <row r="17" ht="12.5" customHeight="1" s="1354">
      <c r="A17" s="3226" t="inlineStr">
        <is>
          <t>TOTAL EMPRUNTS ET DETTES FINANCIERES</t>
        </is>
      </c>
      <c r="B17" s="3099">
        <f>SUM(B7:B16)</f>
        <v/>
      </c>
      <c r="C17" s="3099">
        <f>SUM(C7:C16)</f>
        <v/>
      </c>
      <c r="D17" s="3099">
        <f>SUM(D7:D16)</f>
        <v/>
      </c>
      <c r="E17" s="3099">
        <f>SUM(E7:E16)</f>
        <v/>
      </c>
      <c r="F17" s="3099">
        <f>SUM(F7:F16)</f>
        <v/>
      </c>
      <c r="G17" s="3099">
        <f>SUM(G7:G16)</f>
        <v/>
      </c>
      <c r="H17" s="3099">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N'!$A$2:$A$72,"172*",'BALANCE N'!$H$2:$H$72)-SUMIF('BALANCE N'!$A$2:$A$72,"172*",'BALANCE N'!$G$2:$G$72)</f>
        <v/>
      </c>
      <c r="C19" s="2998">
        <f>SUMIF('BALANCE N-1'!$A$2:$A$72,"172*",'BALANCE N-1'!$H$2:$H$72)-SUMIF('BALANCE N-1'!$A$2:$A$72,"172*",'BALANCE N-1'!$G$2:$G$72)</f>
        <v/>
      </c>
      <c r="D19" s="2998" t="n"/>
      <c r="E19" s="2998" t="n"/>
      <c r="F19" s="2998" t="n"/>
      <c r="G19" s="2998" t="n"/>
      <c r="H19" s="2999" t="n"/>
    </row>
    <row r="20" ht="12" customHeight="1" s="1354">
      <c r="A20" s="2099" t="inlineStr">
        <is>
          <t>Crédit-bail mobilier</t>
        </is>
      </c>
      <c r="B20" s="2998">
        <f>SUMIF('BALANCE N'!$A$2:$A$72,"173*",'BALANCE N'!$H$2:$H$72)-SUMIF('BALANCE N'!$A$2:$A$72,"173*",'BALANCE N'!$G$2:$G$72)</f>
        <v/>
      </c>
      <c r="C20" s="2998">
        <f>SUMIF('BALANCE N-1'!$A$2:$A$72,"173*",'BALANCE N-1'!$H$2:$H$72)-SUMIF('BALANCE N-1'!$A$2:$A$72,"173*",'BALANCE N-1'!$G$2:$G$72)</f>
        <v/>
      </c>
      <c r="D20" s="2998" t="n"/>
      <c r="E20" s="2998" t="n"/>
      <c r="F20" s="2998" t="n"/>
      <c r="G20" s="2998" t="n"/>
      <c r="H20" s="2999" t="n"/>
    </row>
    <row r="21" ht="12" customHeight="1" s="1354">
      <c r="A21" s="2099" t="inlineStr">
        <is>
          <t>Location-vente</t>
        </is>
      </c>
      <c r="B21" s="2998">
        <f>SUMIF('BALANCE N'!$A$2:$A$72,"174*",'BALANCE N'!$H$2:$H$72)-SUMIF('BALANCE N'!$A$2:$A$72,"174*",'BALANCE N'!$G$2:$G$72)</f>
        <v/>
      </c>
      <c r="C21" s="2998">
        <f>SUMIF('BALANCE N-1'!$A$2:$A$72,"174*",'BALANCE N-1'!$H$2:$H$72)-SUMIF('BALANCE N-1'!$A$2:$A$72,"174*",'BALANCE N-1'!$G$2:$G$72)</f>
        <v/>
      </c>
      <c r="D21" s="2998" t="n"/>
      <c r="E21" s="2998" t="n"/>
      <c r="F21" s="2998" t="n"/>
      <c r="G21" s="2998" t="n"/>
      <c r="H21" s="2999" t="n"/>
    </row>
    <row r="22" ht="12" customHeight="1" s="1354">
      <c r="A22" s="2099" t="inlineStr">
        <is>
          <t>Intérêts courus</t>
        </is>
      </c>
      <c r="B22" s="2998">
        <f>SUMIF('BALANCE N'!$A$2:$A$72,"176*",'BALANCE N'!$H$2:$H$72)-SUMIF('BALANCE N'!$A$2:$A$72,"176*",'BALANCE N'!$G$2:$G$72)</f>
        <v/>
      </c>
      <c r="C22" s="2998">
        <f>SUMIF('BALANCE N-1'!$A$2:$A$72,"176*",'BALANCE N-1'!$H$2:$H$72)-SUMIF('BALANCE N-1'!$A$2:$A$72,"176*",'BALANCE N-1'!$G$2:$G$72)</f>
        <v/>
      </c>
      <c r="D22" s="2998" t="n"/>
      <c r="E22" s="2998" t="n"/>
      <c r="F22" s="2998" t="n"/>
      <c r="G22" s="2998" t="n"/>
      <c r="H22" s="2999" t="n"/>
    </row>
    <row r="23" ht="12.5" customHeight="1" s="1354">
      <c r="A23" s="2102" t="inlineStr">
        <is>
          <t>Autres dettes de location acquisition</t>
        </is>
      </c>
      <c r="B23" s="3002">
        <f>SUMIF('BALANCE N'!$A$2:$A$72,"178*",'BALANCE N'!$H$2:$H$72)-SUMIF('BALANCE N'!$A$2:$A$72,"178*",'BALANCE N'!$G$2:$G$72)</f>
        <v/>
      </c>
      <c r="C23" s="3002">
        <f>SUMIF('BALANCE N-1'!$A$2:$A$72,"178*",'BALANCE N-1'!$H$2:$H$72)-SUMIF('BALANCE N-1'!$A$2:$A$72,"178*",'BALANCE N-1'!$G$2:$G$72)</f>
        <v/>
      </c>
      <c r="D23" s="3002" t="n"/>
      <c r="E23" s="3002" t="n"/>
      <c r="F23" s="3002" t="n"/>
      <c r="G23" s="3002" t="n"/>
      <c r="H23" s="3003" t="n"/>
    </row>
    <row r="24" ht="12.5" customHeight="1" s="1354">
      <c r="A24" s="3226"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N'!$A$2:$A$72,"191*",'BALANCE N'!$H$2:$H$72)-SUMIF('BALANCE N'!$A$2:$A$72,"191*",'BALANCE N'!$G$2:$G$72)</f>
        <v/>
      </c>
      <c r="C26" s="2998">
        <f>SUMIF('BALANCE N-1'!$A$2:$A$72,"191*",'BALANCE N-1'!$H$2:$H$72)-SUMIF('BALANCE N-1'!$A$2:$A$72,"191*",'BALANCE N-1'!$G$2:$G$72)</f>
        <v/>
      </c>
      <c r="D26" s="2998">
        <f>B26-C26</f>
        <v/>
      </c>
      <c r="E26" s="2998" t="n">
        <v>0</v>
      </c>
      <c r="F26" s="3321" t="n"/>
      <c r="G26" s="3321" t="n"/>
      <c r="H26" s="3322" t="n"/>
    </row>
    <row r="27" ht="12" customHeight="1" s="1354">
      <c r="A27" s="2099" t="inlineStr">
        <is>
          <t>Provisions pour garantie donnés aux clients</t>
        </is>
      </c>
      <c r="B27" s="2998">
        <f>SUMIF('BALANCE N'!$A$2:$A$72,"192*",'BALANCE N'!$H$2:$H$72)-SUMIF('BALANCE N'!$A$2:$A$72,"192*",'BALANCE N'!$G$2:$G$72)</f>
        <v/>
      </c>
      <c r="C27" s="2998">
        <f>SUMIF('BALANCE N-1'!$A$2:$A$72,"192*",'BALANCE N-1'!$H$2:$H$72)-SUMIF('BALANCE N-1'!$A$2:$A$72,"192*",'BALANCE N-1'!$G$2:$G$72)</f>
        <v/>
      </c>
      <c r="D27" s="2998" t="n"/>
      <c r="E27" s="2998" t="n"/>
      <c r="F27" s="3321" t="n"/>
      <c r="G27" s="3321" t="n"/>
      <c r="H27" s="3322" t="n"/>
    </row>
    <row r="28" ht="12" customHeight="1" s="1354">
      <c r="A28" s="2099" t="inlineStr">
        <is>
          <t>Provisions pour pertes sur marchés à achèvement futur</t>
        </is>
      </c>
      <c r="B28" s="2998">
        <f>SUMIF('BALANCE N'!$A$2:$A$72,"193*",'BALANCE N'!$H$2:$H$72)-SUMIF('BALANCE N'!$A$2:$A$72,"193*",'BALANCE N'!$G$2:$G$72)</f>
        <v/>
      </c>
      <c r="C28" s="2998">
        <f>SUMIF('BALANCE N-1'!$A$2:$A$72,"193*",'BALANCE N-1'!$H$2:$H$72)-SUMIF('BALANCE N-1'!$A$2:$A$72,"193*",'BALANCE N-1'!$G$2:$G$72)</f>
        <v/>
      </c>
      <c r="D28" s="2998" t="n"/>
      <c r="E28" s="2998" t="n"/>
      <c r="F28" s="3321" t="n"/>
      <c r="G28" s="3321" t="n"/>
      <c r="H28" s="3322" t="n"/>
    </row>
    <row r="29" ht="12" customHeight="1" s="1354">
      <c r="A29" s="2099" t="inlineStr">
        <is>
          <t>Provisions pour pertes de change</t>
        </is>
      </c>
      <c r="B29" s="2998">
        <f>SUMIF('BALANCE N'!$A$2:$A$72,"194*",'BALANCE N'!$H$2:$H$72)-SUMIF('BALANCE N'!$A$2:$A$72,"194*",'BALANCE N'!$G$2:$G$72)</f>
        <v/>
      </c>
      <c r="C29" s="2998">
        <f>SUMIF('BALANCE N-1'!$A$2:$A$72,"194*",'BALANCE N-1'!$H$2:$H$72)-SUMIF('BALANCE N-1'!$A$2:$A$72,"194*",'BALANCE N-1'!$G$2:$G$72)</f>
        <v/>
      </c>
      <c r="D29" s="2998" t="n"/>
      <c r="E29" s="2998" t="n"/>
      <c r="F29" s="3321" t="n"/>
      <c r="G29" s="3321" t="n"/>
      <c r="H29" s="3322" t="n"/>
    </row>
    <row r="30" ht="12" customHeight="1" s="1354">
      <c r="A30" s="2099" t="inlineStr">
        <is>
          <t>Provisions pour impôts</t>
        </is>
      </c>
      <c r="B30" s="2998">
        <f>SUMIF('BALANCE N'!$A$2:$A$72,"195*",'BALANCE N'!$H$2:$H$72)-SUMIF('BALANCE N'!$A$2:$A$72,"195*",'BALANCE N'!$G$2:$G$72)</f>
        <v/>
      </c>
      <c r="C30" s="2998">
        <f>SUMIF('BALANCE N-1'!$A$2:$A$72,"195*",'BALANCE N-1'!$H$2:$H$72)-SUMIF('BALANCE N-1'!$A$2:$A$72,"195*",'BALANCE N-1'!$G$2:$G$72)</f>
        <v/>
      </c>
      <c r="D30" s="2998" t="n"/>
      <c r="E30" s="2998" t="n"/>
      <c r="F30" s="3321" t="n"/>
      <c r="G30" s="3321" t="n"/>
      <c r="H30" s="3322" t="n"/>
    </row>
    <row r="31" ht="12" customHeight="1" s="1354">
      <c r="A31" s="2099" t="inlineStr">
        <is>
          <t>Provisions pour pensions et obligations assimilées</t>
        </is>
      </c>
      <c r="B31" s="2998">
        <f>SUMIF('BALANCE N'!$A$2:$A$72,"196*",'BALANCE N'!$H$2:$H$72)-SUMIF('BALANCE N'!$A$2:$A$72,"196*",'BALANCE N'!$G$2:$G$72)</f>
        <v/>
      </c>
      <c r="C31" s="2998">
        <f>SUMIF('BALANCE N-1'!$A$2:$A$72,"196*",'BALANCE N-1'!$H$2:$H$72)-SUMIF('BALANCE N-1'!$A$2:$A$72,"196*",'BALANCE N-1'!$G$2:$G$72)</f>
        <v/>
      </c>
      <c r="D31" s="2998" t="n"/>
      <c r="E31" s="2998" t="n"/>
      <c r="F31" s="3321" t="n"/>
      <c r="G31" s="3321" t="n"/>
      <c r="H31" s="3322" t="n"/>
    </row>
    <row r="32" ht="12" customHeight="1" s="1354">
      <c r="A32" s="2099" t="inlineStr">
        <is>
          <t>Actif du régime de retraite</t>
        </is>
      </c>
      <c r="B32" s="2998" t="n"/>
      <c r="C32" s="2998" t="n"/>
      <c r="D32" s="2998" t="n"/>
      <c r="E32" s="2998" t="n"/>
      <c r="F32" s="3321" t="n"/>
      <c r="G32" s="3321" t="n"/>
      <c r="H32" s="3322" t="n"/>
    </row>
    <row r="33" ht="12" customHeight="1" s="1354">
      <c r="A33" s="2099" t="inlineStr">
        <is>
          <t xml:space="preserve">Provisions pour restructuration </t>
        </is>
      </c>
      <c r="B33" s="2998">
        <f>SUMIF('BALANCE N'!$A$2:$A$72,"197*",'BALANCE N'!$H$2:$H$72)-SUMIF('BALANCE N'!$A$2:$A$72,"197*",'BALANCE N'!$G$2:$G$72)</f>
        <v/>
      </c>
      <c r="C33" s="2998">
        <f>SUMIF('BALANCE N-1'!$A$2:$A$72,"197*",'BALANCE N-1'!$H$2:$H$72)-SUMIF('BALANCE N-1'!$A$2:$A$72,"197*",'BALANCE N-1'!$G$2:$G$72)</f>
        <v/>
      </c>
      <c r="D33" s="2998" t="n"/>
      <c r="E33" s="2998" t="n"/>
      <c r="F33" s="3321" t="n"/>
      <c r="G33" s="3321" t="n"/>
      <c r="H33" s="3322" t="n"/>
    </row>
    <row r="34" ht="12" customHeight="1" s="1354">
      <c r="A34" s="2099" t="inlineStr">
        <is>
          <t>Provisions pour amendes et pénalités</t>
        </is>
      </c>
      <c r="B34" s="2998" t="n"/>
      <c r="C34" s="2998" t="n"/>
      <c r="D34" s="2998" t="n"/>
      <c r="E34" s="2998" t="n"/>
      <c r="F34" s="3321" t="n"/>
      <c r="G34" s="3321" t="n"/>
      <c r="H34" s="3322" t="n"/>
    </row>
    <row r="35" ht="12" customHeight="1" s="1354">
      <c r="A35" s="2099" t="inlineStr">
        <is>
          <t>Provisions de propre assureur</t>
        </is>
      </c>
      <c r="B35" s="2998" t="n"/>
      <c r="C35" s="2998" t="n"/>
      <c r="D35" s="2998" t="n"/>
      <c r="E35" s="2998" t="n"/>
      <c r="F35" s="3321" t="n"/>
      <c r="G35" s="3321" t="n"/>
      <c r="H35" s="3322" t="n"/>
    </row>
    <row r="36" ht="12" customHeight="1" s="1354">
      <c r="A36" s="2099" t="inlineStr">
        <is>
          <t>Provisions pour démantèlement et remise en état</t>
        </is>
      </c>
      <c r="B36" s="2998" t="n"/>
      <c r="C36" s="2998" t="n"/>
      <c r="D36" s="2998" t="n"/>
      <c r="E36" s="2998" t="n"/>
      <c r="F36" s="3321" t="n"/>
      <c r="G36" s="3321" t="n"/>
      <c r="H36" s="3322" t="n"/>
    </row>
    <row r="37" ht="12" customHeight="1" s="1354">
      <c r="A37" s="2099" t="inlineStr">
        <is>
          <t>Provisions de droits à déduction</t>
        </is>
      </c>
      <c r="B37" s="2998" t="n"/>
      <c r="C37" s="2998" t="n"/>
      <c r="D37" s="2998" t="n"/>
      <c r="E37" s="2998" t="n"/>
      <c r="F37" s="3321" t="n"/>
      <c r="G37" s="3321" t="n"/>
      <c r="H37" s="3322" t="n"/>
    </row>
    <row r="38" ht="12.5" customHeight="1" s="1354">
      <c r="A38" s="2102" t="inlineStr">
        <is>
          <t>Autres provisions</t>
        </is>
      </c>
      <c r="B38" s="3002">
        <f>SUMIF('BALANCE N'!$A$2:$A$72,"198*",'BALANCE N'!$H$2:$H$72)-SUMIF('BALANCE N'!$A$2:$A$72,"198*",'BALANCE N'!$G$2:$G$72)</f>
        <v/>
      </c>
      <c r="C38" s="3002">
        <f>SUMIF('BALANCE N-1'!$A$2:$A$72,"198*",'BALANCE N-1'!$H$2:$H$72)-SUMIF('BALANCE N-1'!$A$2:$A$72,"198*",'BALANCE N-1'!$G$2:$G$72)</f>
        <v/>
      </c>
      <c r="D38" s="3002" t="n"/>
      <c r="E38" s="3002" t="n"/>
      <c r="F38" s="3323" t="n"/>
      <c r="G38" s="3323" t="n"/>
      <c r="H38" s="3324" t="n"/>
    </row>
    <row r="39" ht="12.5" customHeight="1" s="1354">
      <c r="A39" s="3226" t="inlineStr">
        <is>
          <t>TOTAL PROVISIONS POUR RISQUES ET CHARGES</t>
        </is>
      </c>
      <c r="B39" s="3099">
        <f>SUM(B26:B38)</f>
        <v/>
      </c>
      <c r="C39" s="3099">
        <f>SUM(C26:C38)</f>
        <v/>
      </c>
      <c r="D39" s="3099">
        <f>SUM(D26:D38)</f>
        <v/>
      </c>
      <c r="E39" s="3099">
        <f>SUM(E26:E38)</f>
        <v/>
      </c>
      <c r="F39" s="3325" t="n"/>
      <c r="G39" s="3325" t="n"/>
      <c r="H39" s="3326"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row r="49"/>
    <row r="50" ht="34" customHeight="1" s="1354">
      <c r="A50" s="3031">
        <f>IF(SUM(B8:B39,C8:C39,D8:D39,E9:E39,F8:F24,G8:G24,H8:H24)=0,"NÉANT","")</f>
        <v/>
      </c>
    </row>
    <row r="51" ht="34" customHeight="1" s="1354"/>
    <row r="52" ht="34" customHeight="1" s="1354"/>
  </sheetData>
  <mergeCells count="3">
    <mergeCell ref="A50:K5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7" t="inlineStr">
        <is>
          <t>HYPOTHESES ACTUARIELLES</t>
        </is>
      </c>
      <c r="B9" s="3328" t="n"/>
      <c r="C9" s="3329" t="n"/>
    </row>
    <row r="10" ht="12.5" customHeight="1" s="1354">
      <c r="A10" s="3330" t="inlineStr">
        <is>
          <t xml:space="preserve">Libellés </t>
        </is>
      </c>
      <c r="B10" s="3331" t="inlineStr">
        <is>
          <t xml:space="preserve">Année N </t>
        </is>
      </c>
      <c r="C10" s="3332"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6" t="inlineStr">
        <is>
          <t xml:space="preserve">Libellés </t>
        </is>
      </c>
      <c r="B21" s="3167" t="inlineStr">
        <is>
          <t xml:space="preserve">Année N </t>
        </is>
      </c>
      <c r="C21" s="3169" t="inlineStr">
        <is>
          <t xml:space="preserve">Année N-1 </t>
        </is>
      </c>
    </row>
    <row r="22" ht="12" customHeight="1" s="1354">
      <c r="A22" s="3333" t="inlineStr">
        <is>
          <t xml:space="preserve">Obligation au titre des engagements de retraite  à l'ouverture </t>
        </is>
      </c>
      <c r="B22" s="3334" t="n"/>
      <c r="C22" s="3335"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6" t="n"/>
      <c r="C27" s="2628" t="n"/>
    </row>
    <row r="28" ht="12.5" customHeight="1" s="1354">
      <c r="A28" s="3226" t="inlineStr">
        <is>
          <t xml:space="preserve">Obligation au titre des engagements de retraite à la clôture </t>
        </is>
      </c>
      <c r="B28" s="3337" t="n"/>
      <c r="C28" s="3338" t="n"/>
    </row>
    <row r="29" ht="12" customHeight="1" s="1354">
      <c r="A29" s="3339" t="n"/>
      <c r="B29" s="3340" t="n"/>
      <c r="C29" s="3341"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2" t="inlineStr">
        <is>
          <t xml:space="preserve">Libellés </t>
        </is>
      </c>
      <c r="B34" s="3343" t="inlineStr">
        <is>
          <t xml:space="preserve">Année N </t>
        </is>
      </c>
      <c r="C34" s="2231" t="n"/>
      <c r="D34" s="3344" t="inlineStr">
        <is>
          <t xml:space="preserve">Année N-1 </t>
        </is>
      </c>
      <c r="E34" s="1754" t="n"/>
    </row>
    <row r="35" ht="12" customHeight="1" s="1354">
      <c r="A35" s="3345" t="inlineStr">
        <is>
          <t>  </t>
        </is>
      </c>
      <c r="B35" s="3346" t="inlineStr">
        <is>
          <t xml:space="preserve">Augmentation </t>
        </is>
      </c>
      <c r="C35" s="3346" t="inlineStr">
        <is>
          <t xml:space="preserve">Diminution </t>
        </is>
      </c>
      <c r="D35" s="3346" t="inlineStr">
        <is>
          <t xml:space="preserve">Augmentation </t>
        </is>
      </c>
      <c r="E35" s="3347"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row r="44"/>
    <row r="45" ht="26" customHeight="1" s="1354">
      <c r="A45" s="3037" t="inlineStr">
        <is>
          <t>NOTE À COMPLÉTER</t>
        </is>
      </c>
    </row>
    <row r="46" ht="26" customHeight="1" s="1354"/>
    <row r="47" ht="26" customHeight="1" s="1354"/>
  </sheetData>
  <mergeCells count="14">
    <mergeCell ref="A8:D8"/>
    <mergeCell ref="B36:B37"/>
    <mergeCell ref="D34:E34"/>
    <mergeCell ref="B34:C34"/>
    <mergeCell ref="C36:C37"/>
    <mergeCell ref="A33:E33"/>
    <mergeCell ref="E36:E37"/>
    <mergeCell ref="A18:C18"/>
    <mergeCell ref="D36:D37"/>
    <mergeCell ref="A43:D43"/>
    <mergeCell ref="A45:E47"/>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4" t="inlineStr">
        <is>
          <t xml:space="preserve">Libellés </t>
        </is>
      </c>
      <c r="B12" s="3137" t="inlineStr">
        <is>
          <t xml:space="preserve">Année N </t>
        </is>
      </c>
      <c r="C12" s="3137" t="inlineStr">
        <is>
          <t xml:space="preserve">Année N-1 </t>
        </is>
      </c>
    </row>
    <row r="13" ht="15" customHeight="1" s="1354">
      <c r="A13" s="1950" t="inlineStr">
        <is>
          <t xml:space="preserve">Valeur actuelle de l'obligation résultant de régimes financés </t>
        </is>
      </c>
      <c r="B13" s="3348" t="n"/>
      <c r="C13" s="3348" t="n"/>
    </row>
    <row r="14" ht="15" customHeight="1" s="1354">
      <c r="A14" s="1950" t="inlineStr">
        <is>
          <t xml:space="preserve">Valeur actuelle des actifs affectés aux plans de retraite </t>
        </is>
      </c>
      <c r="B14" s="3349" t="n"/>
      <c r="C14" s="3349" t="n"/>
    </row>
    <row r="15" ht="15" customHeight="1" s="1354">
      <c r="A15" s="3139" t="inlineStr">
        <is>
          <t xml:space="preserve">Excédent / Déficit de régime </t>
        </is>
      </c>
      <c r="B15" s="3350" t="n"/>
      <c r="C15" s="3350"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4"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50" t="inlineStr">
        <is>
          <t xml:space="preserve">Rendement attendu </t>
        </is>
      </c>
      <c r="C21" s="3350" t="inlineStr">
        <is>
          <t xml:space="preserve">Juste valeur des actifs </t>
        </is>
      </c>
      <c r="D21" s="3350" t="inlineStr">
        <is>
          <t xml:space="preserve">Rendement attendu </t>
        </is>
      </c>
      <c r="E21" s="3350"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51" t="inlineStr">
        <is>
          <t xml:space="preserve">Total </t>
        </is>
      </c>
      <c r="B25" s="3248" t="n"/>
      <c r="C25" s="3248" t="n"/>
      <c r="D25" s="3248" t="n"/>
      <c r="E25" s="3248"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row r="35"/>
    <row r="36" ht="26" customHeight="1" s="1354">
      <c r="A36" s="3037" t="inlineStr">
        <is>
          <t>NOTE À COMPLÉTER</t>
        </is>
      </c>
    </row>
    <row r="37" ht="26" customHeight="1" s="1354"/>
    <row r="38" ht="26" customHeight="1" s="1354"/>
  </sheetData>
  <mergeCells count="6">
    <mergeCell ref="D20:E20"/>
    <mergeCell ref="A11:C11"/>
    <mergeCell ref="B20:C20"/>
    <mergeCell ref="A36:F38"/>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2" t="inlineStr">
        <is>
          <t xml:space="preserve"> Libellés </t>
        </is>
      </c>
      <c r="B12" s="3167" t="inlineStr">
        <is>
          <t xml:space="preserve">Année N </t>
        </is>
      </c>
      <c r="C12" s="3169" t="inlineStr">
        <is>
          <t xml:space="preserve">Année N-1 </t>
        </is>
      </c>
    </row>
    <row r="13" ht="12" customHeight="1" s="1354">
      <c r="A13" s="3226" t="inlineStr">
        <is>
          <t xml:space="preserve">Actif éventuel </t>
        </is>
      </c>
      <c r="B13" s="3353" t="n"/>
      <c r="C13" s="3354"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6" t="inlineStr">
        <is>
          <t xml:space="preserve">Passif éventuel </t>
        </is>
      </c>
      <c r="B17" s="3353" t="n"/>
      <c r="C17" s="3354"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row r="27"/>
    <row r="28" ht="26" customHeight="1" s="1354">
      <c r="A28" s="3037" t="inlineStr">
        <is>
          <t>NOTE À COMPLÉTER</t>
        </is>
      </c>
    </row>
    <row r="29" ht="26" customHeight="1" s="1354"/>
    <row r="30" ht="26" customHeight="1" s="1354"/>
  </sheetData>
  <mergeCells count="4">
    <mergeCell ref="A10:C10"/>
    <mergeCell ref="A28:E3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6" t="inlineStr">
        <is>
          <t xml:space="preserve">Libellés </t>
        </is>
      </c>
      <c r="B9" s="3167" t="inlineStr">
        <is>
          <t xml:space="preserve">Année N </t>
        </is>
      </c>
      <c r="C9" s="3167" t="inlineStr">
        <is>
          <t xml:space="preserve"> Année N-1 </t>
        </is>
      </c>
      <c r="D9" s="3167" t="inlineStr">
        <is>
          <t xml:space="preserve"> Variation en % </t>
        </is>
      </c>
      <c r="E9" s="3167" t="inlineStr">
        <is>
          <t xml:space="preserve">Dettes à un an au plus </t>
        </is>
      </c>
      <c r="F9" s="3167" t="inlineStr">
        <is>
          <t xml:space="preserve">Dettes à plus d'un an et à deux ans au plus </t>
        </is>
      </c>
      <c r="G9" s="3355" t="inlineStr">
        <is>
          <t xml:space="preserve">Dettes à plus de deux ans </t>
        </is>
      </c>
    </row>
    <row r="10" ht="15" customHeight="1" s="1354">
      <c r="A10" s="2382" t="inlineStr">
        <is>
          <t xml:space="preserve">Fournisseurs dettes en compte  (hors groupe) </t>
        </is>
      </c>
      <c r="B10" s="3081">
        <f>SUMIF('BALANCE N'!$A$2:$A$72,"404*",'BALANCE N'!$H$2:$H$72)-SUMIF('BALANCE N'!$A$2:$A$72,"404*",'BALANCE N'!$G$2:$G$72)+SUMIF('BALANCE N'!$A$2:$A$72,"401*",'BALANCE N'!$H$2:$H$72)-SUMIF('BALANCE N'!$A$2:$A$72,"401*",'BALANCE N'!$G$2:$G$72)</f>
        <v/>
      </c>
      <c r="C10" s="3081">
        <f>SUMIF('BALANCE N-1'!$A$2:$A$72,"404*",'BALANCE N-1'!$H$2:$H$72)-SUMIF('BALANCE N-1'!$A$2:$A$72,"404*",'BALANCE N-1'!$G$2:$G$72)+SUMIF('BALANCE N-1'!$A$2:$A$72,"401*",'BALANCE N-1'!$H$2:$H$72)-SUMIF('BALANCE N-1'!$A$2:$A$72,"401*",'BALANCE N-1'!$G$2:$G$72)</f>
        <v/>
      </c>
      <c r="D10" s="3356">
        <f>(B10-C10)/C10</f>
        <v/>
      </c>
      <c r="E10" s="3081">
        <f>B10</f>
        <v/>
      </c>
      <c r="F10" s="3081" t="n"/>
      <c r="G10" s="2996" t="n"/>
    </row>
    <row r="11" ht="15" customHeight="1" s="1354">
      <c r="A11" s="2099" t="inlineStr">
        <is>
          <t xml:space="preserve">Fournisseurs effets à payer  (hors groupe) </t>
        </is>
      </c>
      <c r="B11" s="2998">
        <f>SUMIF('BALANCE N'!$A$2:$A$72,"402*",'BALANCE N'!$H$2:$H$72)-SUMIF('BALANCE N'!$A$2:$A$72,"402*",'BALANCE N'!$G$2:$G$72)</f>
        <v/>
      </c>
      <c r="C11" s="2998">
        <f>SUMIF('BALANCE N-1'!$A$2:$A$72,"402*",'BALANCE N-1'!$H$2:$H$72)-SUMIF('BALANCE N-1'!$A$2:$A$72,"402*",'BALANCE N-1'!$G$2:$G$72)</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N'!$A$2:$A$72,"408*",'BALANCE N'!$H$2:$H$72)-SUMIF('BALANCE N'!$A$2:$A$72,"408*",'BALANCE N'!$G$2:$G$72)</f>
        <v/>
      </c>
      <c r="C13" s="2998">
        <f>SUMIF('BALANCE N-1'!$A$2:$A$72,"408*",'BALANCE N-1'!$H$2:$H$72)-SUMIF('BALANCE N-1'!$A$2:$A$72,"408*",'BALANCE N-1'!$G$2:$G$72)</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31" t="inlineStr">
        <is>
          <t xml:space="preserve">TOTAL FOURNISSEURS </t>
        </is>
      </c>
      <c r="B15" s="3099">
        <f>SUM(B10:B14)</f>
        <v/>
      </c>
      <c r="C15" s="3099">
        <f>SUM(C10:C14)</f>
        <v/>
      </c>
      <c r="D15" s="3099" t="n"/>
      <c r="E15" s="3099">
        <f>SUM(E10:E14)</f>
        <v/>
      </c>
      <c r="F15" s="3099" t="n"/>
      <c r="G15" s="3357" t="n"/>
    </row>
    <row r="16" ht="15" customHeight="1" s="1354">
      <c r="A16" s="2096" t="inlineStr">
        <is>
          <t>  </t>
        </is>
      </c>
      <c r="B16" s="3279" t="n"/>
      <c r="C16" s="3279" t="n"/>
      <c r="D16" s="3279" t="n"/>
      <c r="E16" s="3279" t="n"/>
      <c r="F16" s="3279" t="n"/>
      <c r="G16" s="3283" t="n"/>
    </row>
    <row r="17" ht="15" customHeight="1" s="1354">
      <c r="A17" s="2099" t="inlineStr">
        <is>
          <t xml:space="preserve">Fournisseurs, avances et acomptes  (hors groupe) </t>
        </is>
      </c>
      <c r="B17" s="3223">
        <f>SUMIF('BALANCE N'!$A$2:$A$72,"4093*",'BALANCE N'!$G$2:$G$72)+SUMIF('BALANCE N'!$A$2:$A$72,"4091*",'BALANCE N'!$G$2:$G$72)</f>
        <v/>
      </c>
      <c r="C17" s="3223">
        <f>SUMIF('BALANCE N-1'!$A$2:$A$72,"4093*",'BALANCE N-1'!$G$2:$G$72)+SUMIF('BALANCE N-1'!$A$2:$A$72,"4091*",'BALANCE N-1'!$G$2:$G$72)</f>
        <v/>
      </c>
      <c r="D17" s="3223" t="n"/>
      <c r="E17" s="3223" t="n"/>
      <c r="F17" s="3223" t="n"/>
      <c r="G17" s="3229" t="n"/>
    </row>
    <row r="18" ht="11.5" customHeight="1" s="1354">
      <c r="A18" s="2099" t="inlineStr">
        <is>
          <t xml:space="preserve">Fournisseurs, avances et acomptes groupe </t>
        </is>
      </c>
      <c r="B18" s="3223">
        <f>SUMIF('BALANCE N'!$A$2:$A$72,"4092*",'BALANCE N'!$G$2:$G$72)</f>
        <v/>
      </c>
      <c r="C18" s="3223">
        <f>SUMIF('BALANCE N-1'!$A$2:$A$72,"4092*",'BALANCE N-1'!$G$2:$G$72)</f>
        <v/>
      </c>
      <c r="D18" s="3223" t="n"/>
      <c r="E18" s="3223" t="n"/>
      <c r="F18" s="3223" t="n"/>
      <c r="G18" s="3229" t="n"/>
    </row>
    <row r="19" ht="15" customHeight="1" s="1354">
      <c r="A19" s="2102" t="inlineStr">
        <is>
          <t xml:space="preserve">Autres fournisseurs débiteurs </t>
        </is>
      </c>
      <c r="B19" s="3225">
        <f>SUMIF('BALANCE N'!$A$2:$A$72,"4098*",'BALANCE N'!$G$2:$G$72)+SUMIF('BALANCE N'!$A$2:$A$72,"4094*",'BALANCE N'!$G$2:$G$72)</f>
        <v/>
      </c>
      <c r="C19" s="3225">
        <f>SUMIF('BALANCE N-1'!$A$2:$A$72,"4098*",'BALANCE N-1'!$G$2:$G$72)+SUMIF('BALANCE N-1'!$A$2:$A$72,"4094*",'BALANCE N-1'!$G$2:$G$72)</f>
        <v/>
      </c>
      <c r="D19" s="3225" t="n"/>
      <c r="E19" s="3225" t="n"/>
      <c r="F19" s="3225" t="n"/>
      <c r="G19" s="3230" t="n"/>
    </row>
    <row r="20" ht="15" customHeight="1" s="1354">
      <c r="A20" s="3231" t="inlineStr">
        <is>
          <t xml:space="preserve">TOTAL FOURNISSEURS DEBITEURS </t>
        </is>
      </c>
      <c r="B20" s="3232">
        <f>SUM(B17:B19)</f>
        <v/>
      </c>
      <c r="C20" s="3232">
        <f>SUM(C17:C19)</f>
        <v/>
      </c>
      <c r="D20" s="3232" t="n"/>
      <c r="E20" s="3232" t="n"/>
      <c r="F20" s="3232" t="n"/>
      <c r="G20" s="3358"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row r="27"/>
    <row r="28" ht="34" customHeight="1" s="1354">
      <c r="A28" s="3031">
        <f>IF(SUM(B10:B20,C10:C20,D11:D20,E10:E20,F10:F20,G10:G20)=0,"NÉANT","")</f>
        <v/>
      </c>
    </row>
    <row r="29" ht="34" customHeight="1" s="1354"/>
    <row r="30" ht="34" customHeight="1" s="1354"/>
  </sheetData>
  <mergeCells count="4">
    <mergeCell ref="A8:G8"/>
    <mergeCell ref="A22:D26"/>
    <mergeCell ref="A28:G30"/>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53"/>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6" t="inlineStr">
        <is>
          <t xml:space="preserve">Libellés </t>
        </is>
      </c>
      <c r="B9" s="3167" t="inlineStr">
        <is>
          <t xml:space="preserve">Année N </t>
        </is>
      </c>
      <c r="C9" s="3167" t="inlineStr">
        <is>
          <t xml:space="preserve"> Année N-1 </t>
        </is>
      </c>
      <c r="D9" s="3167" t="inlineStr">
        <is>
          <t>Variation en valeur absolue</t>
        </is>
      </c>
      <c r="E9" s="3167" t="inlineStr">
        <is>
          <t xml:space="preserve"> Variation en % </t>
        </is>
      </c>
      <c r="F9" s="3235" t="inlineStr">
        <is>
          <t xml:space="preserve">Dettes à un an au plus </t>
        </is>
      </c>
      <c r="G9" s="3168" t="inlineStr">
        <is>
          <t xml:space="preserve">Dettes à plus d'un </t>
        </is>
      </c>
      <c r="H9" s="3359" t="inlineStr">
        <is>
          <t xml:space="preserve">Dettes à plus de deux ans </t>
        </is>
      </c>
    </row>
    <row r="10" ht="23.5" customFormat="1" customHeight="1" s="1577">
      <c r="A10" s="2007" t="n"/>
      <c r="B10" s="2008" t="n"/>
      <c r="C10" s="2008" t="n"/>
      <c r="D10" s="2008" t="n"/>
      <c r="E10" s="2008" t="n"/>
      <c r="F10" s="2126" t="n"/>
      <c r="G10" s="3170" t="inlineStr">
        <is>
          <t xml:space="preserve">an et à deux ans au plus </t>
        </is>
      </c>
      <c r="H10" s="1998" t="n"/>
    </row>
    <row r="11" ht="20.15" customFormat="1" customHeight="1" s="1577">
      <c r="A11" s="2382" t="inlineStr">
        <is>
          <t>Personnel avances et acomptes</t>
        </is>
      </c>
      <c r="B11" s="2995">
        <f>SUMIF('BALANCE N'!$A$2:$A$72,"421*",'BALANCE N'!$H$2:$H$72)</f>
        <v/>
      </c>
      <c r="C11" s="2995">
        <f>SUMIF('BALANCE N-1'!$A$2:$A$72,"421*",'BALANCE N-1'!$H$2:$H$72)</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N'!$A$2:$A$72,"422*",'BALANCE N'!$H$2:$H$72)</f>
        <v/>
      </c>
      <c r="C12" s="2998">
        <f>SUMIF('BALANCE N-1'!$A$2:$A$72,"422*",'BALANCE N-1'!$H$2:$H$72)</f>
        <v/>
      </c>
      <c r="D12" s="2998">
        <f>B12-C12</f>
        <v/>
      </c>
      <c r="E12" s="3320" t="n"/>
      <c r="F12" s="2998" t="inlineStr">
        <is>
          <t>  </t>
        </is>
      </c>
      <c r="G12" s="2998" t="inlineStr">
        <is>
          <t>  </t>
        </is>
      </c>
      <c r="H12" s="2999" t="inlineStr">
        <is>
          <t>  </t>
        </is>
      </c>
    </row>
    <row r="13" ht="20.15" customFormat="1" customHeight="1" s="1577">
      <c r="A13" s="2099" t="inlineStr">
        <is>
          <t>Autres personnel</t>
        </is>
      </c>
      <c r="B13" s="2998">
        <f>SUMIF('BALANCE N'!$A$2:$A$72,"427*",'BALANCE N'!$H$2:$H$72)+SUMIF('BALANCE N'!$A$2:$A$72,"423*",'BALANCE N'!$H$2:$H$72)+SUMIF('BALANCE N'!$A$2:$A$72,"426*",'BALANCE N'!$H$2:$H$72)+SUMIF('BALANCE N'!$A$2:$A$72,"424*",'BALANCE N'!$H$2:$H$72)+SUMIF('BALANCE N'!$A$2:$A$72,"425*",'BALANCE N'!$H$2:$H$72)+SUMIF('BALANCE N'!$A$2:$A$72,"428*",'BALANCE N'!$H$2:$H$72)</f>
        <v/>
      </c>
      <c r="C13" s="2998">
        <f>SUMIF('BALANCE N-1'!$A$2:$A$72,"427*",'BALANCE N-1'!$H$2:$H$72)+SUMIF('BALANCE N-1'!$A$2:$A$72,"423*",'BALANCE N-1'!$H$2:$H$72)+SUMIF('BALANCE N-1'!$A$2:$A$72,"426*",'BALANCE N-1'!$H$2:$H$72)+SUMIF('BALANCE N-1'!$A$2:$A$72,"424*",'BALANCE N-1'!$H$2:$H$72)+SUMIF('BALANCE N-1'!$A$2:$A$72,"425*",'BALANCE N-1'!$H$2:$H$72)+SUMIF('BALANCE N-1'!$A$2:$A$72,"428*",'BALANCE N-1'!$H$2:$H$72)</f>
        <v/>
      </c>
      <c r="D13" s="2998" t="n">
        <v>0</v>
      </c>
      <c r="E13" s="3320" t="n"/>
      <c r="F13" s="2998" t="inlineStr">
        <is>
          <t> </t>
        </is>
      </c>
      <c r="G13" s="2998" t="inlineStr">
        <is>
          <t> </t>
        </is>
      </c>
      <c r="H13" s="2999" t="inlineStr">
        <is>
          <t> </t>
        </is>
      </c>
    </row>
    <row r="14" ht="20.15" customFormat="1" customHeight="1" s="1577">
      <c r="A14" s="2099" t="inlineStr">
        <is>
          <t>Caisse de sécurité sociale</t>
        </is>
      </c>
      <c r="B14" s="3087">
        <f>SUMIF('BALANCE N'!$A$2:$A$72,"431*",'BALANCE N'!$H$2:$H$72)</f>
        <v/>
      </c>
      <c r="C14" s="3087">
        <f>SUMIF('BALANCE N-1'!$A$2:$A$72,"431*",'BALANCE N-1'!$H$2:$H$72)</f>
        <v/>
      </c>
      <c r="D14" s="3087" t="n">
        <v>0</v>
      </c>
      <c r="E14" s="3360">
        <f>D14/C14</f>
        <v/>
      </c>
      <c r="F14" s="3087">
        <f>B14</f>
        <v/>
      </c>
      <c r="G14" s="2998" t="n">
        <v>0</v>
      </c>
      <c r="H14" s="2999" t="n">
        <v>0</v>
      </c>
    </row>
    <row r="15" ht="20.15" customFormat="1" customHeight="1" s="1577">
      <c r="A15" s="2099" t="inlineStr">
        <is>
          <t>Caisse de retraite</t>
        </is>
      </c>
      <c r="B15" s="2998">
        <f>SUMIF('BALANCE N'!$A$2:$A$72,"432*",'BALANCE N'!$H$2:$H$72)</f>
        <v/>
      </c>
      <c r="C15" s="2998">
        <f>SUMIF('BALANCE N-1'!$A$2:$A$72,"432*",'BALANCE N-1'!$H$2:$H$72)</f>
        <v/>
      </c>
      <c r="D15" s="2998">
        <f>B15-C15</f>
        <v/>
      </c>
      <c r="E15" s="3361" t="n"/>
      <c r="F15" s="2998" t="inlineStr">
        <is>
          <t>  </t>
        </is>
      </c>
      <c r="G15" s="2998" t="inlineStr">
        <is>
          <t>  </t>
        </is>
      </c>
      <c r="H15" s="2999" t="inlineStr">
        <is>
          <t>  </t>
        </is>
      </c>
    </row>
    <row r="16" ht="20.15" customFormat="1" customHeight="1" s="1577">
      <c r="A16" s="2102" t="inlineStr">
        <is>
          <t>Autres organisme sociaux</t>
        </is>
      </c>
      <c r="B16" s="3002">
        <f>SUMIF('BALANCE N'!$A$2:$A$72,"438*",'BALANCE N'!$H$2:$H$72)+SUMIF('BALANCE N'!$A$2:$A$72,"433*",'BALANCE N'!$H$2:$H$72)</f>
        <v/>
      </c>
      <c r="C16" s="3002">
        <f>SUMIF('BALANCE N-1'!$A$2:$A$72,"438*",'BALANCE N-1'!$H$2:$H$72)+SUMIF('BALANCE N-1'!$A$2:$A$72,"433*",'BALANCE N-1'!$H$2:$H$72)</f>
        <v/>
      </c>
      <c r="D16" s="2998">
        <f>B16-C16</f>
        <v/>
      </c>
      <c r="E16" s="3002" t="n"/>
      <c r="F16" s="3002" t="n"/>
      <c r="G16" s="3002" t="n"/>
      <c r="H16" s="3003" t="n"/>
    </row>
    <row r="17" ht="20.15" customFormat="1" customHeight="1" s="1577">
      <c r="A17" s="3231" t="inlineStr">
        <is>
          <t>TOTAL DETTES SOCIALES</t>
        </is>
      </c>
      <c r="B17" s="3099">
        <f>SUM(B11:B16)</f>
        <v/>
      </c>
      <c r="C17" s="3099">
        <f>SUM(C11:C16)</f>
        <v/>
      </c>
      <c r="D17" s="3099">
        <f>SUM(D11:D16)</f>
        <v/>
      </c>
      <c r="E17" s="3099" t="n"/>
      <c r="F17" s="3099">
        <f>SUM(F11:F16)</f>
        <v/>
      </c>
      <c r="G17" s="3099">
        <f>SUM(G11:G16)</f>
        <v/>
      </c>
      <c r="H17" s="3357">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7">
        <f>SUMIF('BALANCE N'!$A$2:$A$72,"441*",'BALANCE N'!$H$2:$H$72)</f>
        <v/>
      </c>
      <c r="C19" s="3087">
        <f>SUMIF('BALANCE N-1'!$A$2:$A$72,"441*",'BALANCE N-1'!$H$2:$H$72)</f>
        <v/>
      </c>
      <c r="D19" s="3087">
        <f>B19-C19</f>
        <v/>
      </c>
      <c r="E19" s="3360">
        <f>D19/C19</f>
        <v/>
      </c>
      <c r="F19" s="3087">
        <f>B19</f>
        <v/>
      </c>
      <c r="G19" s="2998" t="n">
        <v>0</v>
      </c>
      <c r="H19" s="2999" t="n">
        <v>0</v>
      </c>
    </row>
    <row r="20" ht="20.15" customFormat="1" customHeight="1" s="1577">
      <c r="A20" s="2099" t="inlineStr">
        <is>
          <t>Etat, impôts et taxes</t>
        </is>
      </c>
      <c r="B20" s="2998">
        <f>SUMIF('BALANCE N'!$A$2:$A$72,"442*",'BALANCE N'!$H$2:$H$72)+SUMIF('BALANCE N'!$A$2:$A$72,"446*",'BALANCE N'!$H$2:$H$72)</f>
        <v/>
      </c>
      <c r="C20" s="2998">
        <f>SUMIF('BALANCE N-1'!$A$2:$A$72,"442*",'BALANCE N-1'!$H$2:$H$72)+SUMIF('BALANCE N-1'!$A$2:$A$72,"446*",'BALANCE N-1'!$H$2:$H$72)</f>
        <v/>
      </c>
      <c r="D20" s="2998">
        <f>B20-C20</f>
        <v/>
      </c>
      <c r="E20" s="3361" t="n"/>
      <c r="F20" s="2998" t="n"/>
      <c r="G20" s="2998">
        <f>B20-F20</f>
        <v/>
      </c>
      <c r="H20" s="2999" t="n">
        <v>0</v>
      </c>
    </row>
    <row r="21" ht="20.15" customFormat="1" customHeight="1" s="1577">
      <c r="A21" s="2099" t="inlineStr">
        <is>
          <t>Etat, TVA</t>
        </is>
      </c>
      <c r="B21" s="2998">
        <f>SUMIF('BALANCE N'!$A$2:$A$72,"444*",'BALANCE N'!$H$2:$H$72)+SUMIF('BALANCE N'!$A$2:$A$72,"445*",'BALANCE N'!$H$2:$H$72)+SUMIF('BALANCE N'!$A$2:$A$72,"443*",'BALANCE N'!$H$2:$H$72)</f>
        <v/>
      </c>
      <c r="C21" s="2998">
        <f>SUMIF('BALANCE N-1'!$A$2:$A$72,"444*",'BALANCE N-1'!$H$2:$H$72)+SUMIF('BALANCE N-1'!$A$2:$A$72,"445*",'BALANCE N-1'!$H$2:$H$72)+SUMIF('BALANCE N-1'!$A$2:$A$72,"443*",'BALANCE N-1'!$H$2:$H$72)</f>
        <v/>
      </c>
      <c r="D21" s="2998">
        <f>B21-C21</f>
        <v/>
      </c>
      <c r="E21" s="3361" t="n"/>
      <c r="F21" s="2998" t="inlineStr">
        <is>
          <t>  </t>
        </is>
      </c>
      <c r="G21" s="2998" t="inlineStr">
        <is>
          <t>  </t>
        </is>
      </c>
      <c r="H21" s="2999" t="inlineStr">
        <is>
          <t>  </t>
        </is>
      </c>
    </row>
    <row r="22" ht="20.15" customFormat="1" customHeight="1" s="1577">
      <c r="A22" s="2099" t="inlineStr">
        <is>
          <t>Etat, impôts retenus à la source</t>
        </is>
      </c>
      <c r="B22" s="2998">
        <f>SUMIF('BALANCE N'!$A$2:$A$72,"447*",'BALANCE N'!$H$2:$H$72)</f>
        <v/>
      </c>
      <c r="C22" s="2998">
        <f>SUMIF('BALANCE N-1'!$A$2:$A$72,"447*",'BALANCE N-1'!$H$2:$H$72)</f>
        <v/>
      </c>
      <c r="D22" s="2998" t="n"/>
      <c r="E22" s="2998" t="n"/>
      <c r="F22" s="2998" t="n"/>
      <c r="G22" s="2998" t="n"/>
      <c r="H22" s="2999" t="n"/>
    </row>
    <row r="23" ht="20.15" customFormat="1" customHeight="1" s="1577">
      <c r="A23" s="2102" t="inlineStr">
        <is>
          <t>Autres dettes Etat</t>
        </is>
      </c>
      <c r="B23" s="3002">
        <f>SUMIF('BALANCE N'!$A$2:$A$72,"449*",'BALANCE N'!$H$2:$H$72)+SUMIF('BALANCE N'!$A$2:$A$72,"448*",'BALANCE N'!$H$2:$H$72)</f>
        <v/>
      </c>
      <c r="C23" s="3002">
        <f>SUMIF('BALANCE N-1'!$A$2:$A$72,"449*",'BALANCE N-1'!$H$2:$H$72)+SUMIF('BALANCE N-1'!$A$2:$A$72,"448*",'BALANCE N-1'!$H$2:$H$72)</f>
        <v/>
      </c>
      <c r="D23" s="3002" t="n"/>
      <c r="E23" s="3002" t="n"/>
      <c r="F23" s="3002" t="n"/>
      <c r="G23" s="3002" t="n"/>
      <c r="H23" s="3003" t="n"/>
    </row>
    <row r="24" ht="20.15" customFormat="1" customHeight="1" s="1577">
      <c r="A24" s="3231" t="inlineStr">
        <is>
          <t>TOTAL DETTES FISCALES</t>
        </is>
      </c>
      <c r="B24" s="3099">
        <f>SUM(B18:B23)</f>
        <v/>
      </c>
      <c r="C24" s="3099">
        <f>SUM(C18:C23)</f>
        <v/>
      </c>
      <c r="D24" s="3099">
        <f>SUM(D18:D23)</f>
        <v/>
      </c>
      <c r="E24" s="3238">
        <f>D24/C24</f>
        <v/>
      </c>
      <c r="F24" s="3099">
        <f>SUM(F18:F23)</f>
        <v/>
      </c>
      <c r="G24" s="3099">
        <f>SUM(G18:G23)</f>
        <v/>
      </c>
      <c r="H24" s="3357">
        <f>SUM(H18:H23)</f>
        <v/>
      </c>
    </row>
    <row r="25" ht="12.75" customFormat="1" customHeight="1" s="1577">
      <c r="A25" s="2392" t="n"/>
      <c r="B25" s="3362" t="n"/>
      <c r="C25" s="3362" t="n"/>
      <c r="D25" s="3362" t="n"/>
      <c r="E25" s="3362" t="n"/>
      <c r="F25" s="3362" t="n"/>
      <c r="G25" s="3362" t="n"/>
      <c r="H25" s="3363" t="n"/>
    </row>
    <row r="26" ht="20.15" customHeight="1" s="1354">
      <c r="A26" s="3364" t="inlineStr">
        <is>
          <t>TOTAL DETTES SOCIALES ET FISCALES</t>
        </is>
      </c>
      <c r="B26" s="3365">
        <f>B17+B24</f>
        <v/>
      </c>
      <c r="C26" s="3365">
        <f>C17+C24</f>
        <v/>
      </c>
      <c r="D26" s="3365">
        <f>D17+D24</f>
        <v/>
      </c>
      <c r="E26" s="3366">
        <f>E17+E24</f>
        <v/>
      </c>
      <c r="F26" s="3365">
        <f>F17+F24</f>
        <v/>
      </c>
      <c r="G26" s="3365">
        <f>G17+G24</f>
        <v/>
      </c>
      <c r="H26" s="3367">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row r="50"/>
    <row r="51" ht="34" customHeight="1" s="1354">
      <c r="A51" s="3031">
        <f>IF(SUM(B11:B26,C11:C26,D11:D26,E11:E25,F11:F26,G11:G26,H11:H26)=0,"NÉANT","")</f>
        <v/>
      </c>
    </row>
    <row r="52" ht="34" customHeight="1" s="1354"/>
    <row r="53" ht="34" customHeight="1" s="1354"/>
  </sheetData>
  <mergeCells count="10">
    <mergeCell ref="C9:C10"/>
    <mergeCell ref="B9:B10"/>
    <mergeCell ref="D9:D10"/>
    <mergeCell ref="E9:E10"/>
    <mergeCell ref="H9:H10"/>
    <mergeCell ref="F9:F10"/>
    <mergeCell ref="A7:H7"/>
    <mergeCell ref="A9:A10"/>
    <mergeCell ref="A51:H53"/>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6" t="inlineStr">
        <is>
          <t xml:space="preserve">Libellés </t>
        </is>
      </c>
      <c r="B8" s="3167" t="inlineStr">
        <is>
          <t xml:space="preserve">Année N </t>
        </is>
      </c>
      <c r="C8" s="3167" t="inlineStr">
        <is>
          <t xml:space="preserve">Année N-1 </t>
        </is>
      </c>
      <c r="D8" s="3167" t="inlineStr">
        <is>
          <t xml:space="preserve">Variation en valeur absolue </t>
        </is>
      </c>
      <c r="E8" s="3167" t="inlineStr">
        <is>
          <t xml:space="preserve">Variation en % </t>
        </is>
      </c>
      <c r="F8" s="3167" t="inlineStr">
        <is>
          <t xml:space="preserve">Dettes à un an au plus </t>
        </is>
      </c>
      <c r="G8" s="3167" t="inlineStr">
        <is>
          <t>Dettes à plus d'un an et à  deux ans au plus</t>
        </is>
      </c>
      <c r="H8" s="3169"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8">
        <f>SUMIF('BALANCE N'!$A$2:$A$72,"451*",'BALANCE N'!$H$2:$H$72)+SUMIF('BALANCE N'!$A$2:$A$72,"452*",'BALANCE N'!$H$2:$H$72)+SUMIF('BALANCE N'!$A$2:$A$72,"458*",'BALANCE N'!$H$2:$H$72)</f>
        <v/>
      </c>
      <c r="C10" s="3368">
        <f>SUMIF('BALANCE N-1'!$A$2:$A$72,"451*",'BALANCE N-1'!$H$2:$H$72)+SUMIF('BALANCE N-1'!$A$2:$A$72,"452*",'BALANCE N-1'!$H$2:$H$72)+SUMIF('BALANCE N-1'!$A$2:$A$72,"458*",'BALANCE N-1'!$H$2:$H$72)</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9">
        <f>SUMIF('BALANCE N'!$A$2:$A$72,"461*",'BALANCE N'!$H$2:$H$72)</f>
        <v/>
      </c>
      <c r="C12" s="3369">
        <f>SUMIF('BALANCE N-1'!$A$2:$A$72,"461*",'BALANCE N-1'!$H$2:$H$72)</f>
        <v/>
      </c>
      <c r="D12" s="2226" t="n"/>
      <c r="E12" s="2226" t="n"/>
      <c r="F12" s="2226" t="n"/>
      <c r="G12" s="2226" t="n"/>
      <c r="H12" s="2226" t="n"/>
    </row>
    <row r="13" ht="15" customHeight="1" s="1354">
      <c r="A13" s="2226" t="inlineStr">
        <is>
          <t xml:space="preserve">Associés, compte courant </t>
        </is>
      </c>
      <c r="B13" s="3369">
        <f>SUMIF('BALANCE N'!$A$2:$A$72,"462*",'BALANCE N'!$H$2:$H$72)</f>
        <v/>
      </c>
      <c r="C13" s="3369">
        <f>SUMIF('BALANCE N-1'!$A$2:$A$72,"462*",'BALANCE N-1'!$H$2:$H$72)</f>
        <v/>
      </c>
      <c r="D13" s="2226" t="n"/>
      <c r="E13" s="2226" t="n"/>
      <c r="F13" s="2226" t="n"/>
      <c r="G13" s="2226" t="n"/>
      <c r="H13" s="2226" t="n"/>
    </row>
    <row r="14" ht="15" customHeight="1" s="1354">
      <c r="A14" s="2226" t="inlineStr">
        <is>
          <t xml:space="preserve">Associés dividendes à payer </t>
        </is>
      </c>
      <c r="B14" s="3369">
        <f>SUMIF('BALANCE N'!$A$2:$A$72,"465*",'BALANCE N'!$H$2:$H$72)</f>
        <v/>
      </c>
      <c r="C14" s="3369">
        <f>SUMIF('BALANCE N-1'!$A$2:$A$72,"465*",'BALANCE N-1'!$H$2:$H$72)</f>
        <v/>
      </c>
      <c r="D14" s="2226" t="n"/>
      <c r="E14" s="2226" t="n"/>
      <c r="F14" s="2226" t="n"/>
      <c r="G14" s="2226" t="n"/>
      <c r="H14" s="2226" t="n"/>
    </row>
    <row r="15" ht="15" customHeight="1" s="1354">
      <c r="A15" s="2226" t="inlineStr">
        <is>
          <t xml:space="preserve">Groupe, comptes courants </t>
        </is>
      </c>
      <c r="B15" s="3369">
        <f>SUMIF('BALANCE N'!$A$2:$A$72,"466*",'BALANCE N'!$H$2:$H$72)</f>
        <v/>
      </c>
      <c r="C15" s="3369">
        <f>SUMIF('BALANCE N-1'!$A$2:$A$72,"466*",'BALANCE N-1'!$H$2:$H$72)</f>
        <v/>
      </c>
      <c r="D15" s="2226" t="n"/>
      <c r="E15" s="2226" t="n"/>
      <c r="F15" s="2226" t="n"/>
      <c r="G15" s="2226" t="n"/>
      <c r="H15" s="2226" t="n"/>
    </row>
    <row r="16" ht="15" customHeight="1" s="1354">
      <c r="A16" s="2376" t="inlineStr">
        <is>
          <t xml:space="preserve">Autres dettes associés </t>
        </is>
      </c>
      <c r="B16" s="3370">
        <f>SUMIF('BALANCE N'!$A$2:$A$72,"463*",'BALANCE N'!$H$2:$H$72)+SUMIF('BALANCE N'!$A$2:$A$72,"467*",'BALANCE N'!$H$2:$H$72)</f>
        <v/>
      </c>
      <c r="C16" s="3370">
        <f>SUMIF('BALANCE N-1'!$A$2:$A$72,"463*",'BALANCE N-1'!$H$2:$H$72)+SUMIF('BALANCE N-1'!$A$2:$A$72,"467*",'BALANCE N-1'!$H$2:$H$72)</f>
        <v/>
      </c>
      <c r="D16" s="2376" t="n"/>
      <c r="E16" s="2376" t="n"/>
      <c r="F16" s="2376" t="n"/>
      <c r="G16" s="2376" t="n"/>
      <c r="H16" s="2376" t="n"/>
    </row>
    <row r="17" ht="15" customHeight="1" s="1354">
      <c r="A17" s="3226" t="inlineStr">
        <is>
          <t xml:space="preserve">TOTAL DETTES ASSOCIES </t>
        </is>
      </c>
      <c r="B17" s="3371">
        <f>SUM(B12:B16)</f>
        <v/>
      </c>
      <c r="C17" s="3371">
        <f>SUM(C12:C16)</f>
        <v/>
      </c>
      <c r="D17" s="3372" t="n"/>
      <c r="E17" s="3372" t="n"/>
      <c r="F17" s="3372" t="n"/>
      <c r="G17" s="3372" t="n"/>
      <c r="H17" s="3373"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4">
        <f>SUMIF('BALANCE N'!$A$2:$A$72,"471*",'BALANCE N'!$H$2:$H$72)</f>
        <v/>
      </c>
      <c r="C19" s="3374">
        <f>SUMIF('BALANCE N-1'!$A$2:$A$72,"471*",'BALANCE N-1'!$H$2:$H$72)</f>
        <v/>
      </c>
      <c r="D19" s="3374">
        <f>B19-C19</f>
        <v/>
      </c>
      <c r="E19" s="3375">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9">
        <f>SUMIF('BALANCE N'!$A$2:$A$72,"472*",'BALANCE N'!$H$2:$H$72)</f>
        <v/>
      </c>
      <c r="C23" s="3369">
        <f>SUMIF('BALANCE N-1'!$A$2:$A$72,"472*",'BALANCE N-1'!$H$2:$H$72)</f>
        <v/>
      </c>
      <c r="D23" s="2226" t="n"/>
      <c r="E23" s="2226" t="n"/>
      <c r="F23" s="2226" t="n"/>
      <c r="G23" s="2226" t="n"/>
      <c r="H23" s="2226" t="n"/>
    </row>
    <row r="24" ht="11.5" customHeight="1" s="1354">
      <c r="A24" s="2226" t="inlineStr">
        <is>
          <t xml:space="preserve">Compte transitoire ajustement spécial lié à la révision du SYSCOHADA </t>
        </is>
      </c>
      <c r="B24" s="3369">
        <f>SUMIF('BALANCE N'!$A$2:$A$72,"475*",'BALANCE N'!$H$2:$H$72)</f>
        <v/>
      </c>
      <c r="C24" s="3369">
        <f>SUMIF('BALANCE N-1'!$A$2:$A$72,"475*",'BALANCE N-1'!$H$2:$H$72)</f>
        <v/>
      </c>
      <c r="D24" s="2226" t="n"/>
      <c r="E24" s="2226" t="n"/>
      <c r="F24" s="2226" t="n"/>
      <c r="G24" s="2226" t="n"/>
      <c r="H24" s="2226" t="n"/>
    </row>
    <row r="25" ht="15" customHeight="1" s="1354">
      <c r="A25" s="2376" t="inlineStr">
        <is>
          <t xml:space="preserve">Autres créditeurs divers </t>
        </is>
      </c>
      <c r="B25" s="3370">
        <f>SUMIF('BALANCE N'!$A$2:$A$72,"473*",'BALANCE N'!$H$2:$H$72)+SUMIF('BALANCE N'!$A$2:$A$72,"474*",'BALANCE N'!$H$2:$H$72)+SUMIF('BALANCE N'!$A$2:$A$72,"476*",'BALANCE N'!$H$2:$H$72)+SUMIF('BALANCE N'!$A$2:$A$72,"477*",'BALANCE N'!$H$2:$H$72)</f>
        <v/>
      </c>
      <c r="C25" s="3370">
        <f>SUMIF('BALANCE N-1'!$A$2:$A$72,"473*",'BALANCE N-1'!$H$2:$H$72)+SUMIF('BALANCE N-1'!$A$2:$A$72,"474*",'BALANCE N-1'!$H$2:$H$72)+SUMIF('BALANCE N-1'!$A$2:$A$72,"476*",'BALANCE N-1'!$H$2:$H$72)+SUMIF('BALANCE N-1'!$A$2:$A$72,"477*",'BALANCE N-1'!$H$2:$H$72)</f>
        <v/>
      </c>
      <c r="D25" s="2376" t="n"/>
      <c r="E25" s="2376" t="n"/>
      <c r="F25" s="2376" t="n"/>
      <c r="G25" s="2376" t="n"/>
      <c r="H25" s="2376" t="n"/>
    </row>
    <row r="26" ht="15" customHeight="1" s="1354">
      <c r="A26" s="3226" t="inlineStr">
        <is>
          <t xml:space="preserve">TOTAL  CREDITEURS DIVERS </t>
        </is>
      </c>
      <c r="B26" s="3376">
        <f>SUM(B19:B25)</f>
        <v/>
      </c>
      <c r="C26" s="3376">
        <f>SUM(C19:C25)</f>
        <v/>
      </c>
      <c r="D26" s="3376">
        <f>D19</f>
        <v/>
      </c>
      <c r="E26" s="3233">
        <f>E19</f>
        <v/>
      </c>
      <c r="F26" s="3372" t="n"/>
      <c r="G26" s="3372" t="n"/>
      <c r="H26" s="3373"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9">
        <f>SUMIF('BALANCE N'!$A$2:$A$72,"185*",'BALANCE N'!$H$2:$H$72)</f>
        <v/>
      </c>
      <c r="C28" s="3369">
        <f>SUMIF('BALANCE N-1'!$A$2:$A$72,"185*",'BALANCE N-1'!$H$2:$H$72)</f>
        <v/>
      </c>
      <c r="D28" s="2226" t="n"/>
      <c r="E28" s="2226" t="n"/>
      <c r="F28" s="2226" t="n"/>
      <c r="G28" s="2226" t="n"/>
      <c r="H28" s="2226" t="n"/>
    </row>
    <row r="29" ht="11.5" customHeight="1" s="1354">
      <c r="A29" s="2414" t="inlineStr">
        <is>
          <t xml:space="preserve">Comptes de liaison charges et produits </t>
        </is>
      </c>
      <c r="B29" s="3369">
        <f>SUMIF('BALANCE N'!$A$2:$A$72,"186*",'BALANCE N'!$H$2:$H$72)+SUMIF('BALANCE N'!$A$2:$A$72,"187*",'BALANCE N'!$H$2:$H$72)</f>
        <v/>
      </c>
      <c r="C29" s="3369">
        <f>SUMIF('BALANCE N-1'!$A$2:$A$72,"186*",'BALANCE N-1'!$H$2:$H$72)+SUMIF('BALANCE N-1'!$A$2:$A$72,"187*",'BALANCE N-1'!$H$2:$H$72)</f>
        <v/>
      </c>
      <c r="D29" s="2226" t="n"/>
      <c r="E29" s="2226" t="n"/>
      <c r="F29" s="2226" t="n"/>
      <c r="G29" s="2226" t="n"/>
      <c r="H29" s="2226" t="n"/>
    </row>
    <row r="30" ht="11.5" customHeight="1" s="1354">
      <c r="A30" s="2226" t="inlineStr">
        <is>
          <t xml:space="preserve">Comptes de liaison des sociétés en participation </t>
        </is>
      </c>
      <c r="B30" s="3369">
        <f>SUMIF('BALANCE N'!$A$2:$A$72,"188*",'BALANCE N'!$H$2:$H$72)</f>
        <v/>
      </c>
      <c r="C30" s="3369">
        <f>SUMIF('BALANCE N-1'!$A$2:$A$72,"188*",'BALANCE N-1'!$H$2:$H$72)</f>
        <v/>
      </c>
      <c r="D30" s="2226" t="n"/>
      <c r="E30" s="2226" t="n"/>
      <c r="F30" s="2226" t="n"/>
      <c r="G30" s="2226" t="n"/>
      <c r="H30" s="2226" t="n"/>
    </row>
    <row r="31" ht="15" customHeight="1" s="1354">
      <c r="A31" s="3377" t="inlineStr">
        <is>
          <t xml:space="preserve">TOTAL  COMPTES DE LIAISON </t>
        </is>
      </c>
      <c r="B31" s="3378">
        <f>SUM(B28:B30)</f>
        <v/>
      </c>
      <c r="C31" s="3378">
        <f>SUM(C28:C30)</f>
        <v/>
      </c>
      <c r="D31" s="3379" t="n"/>
      <c r="E31" s="3379" t="n"/>
      <c r="F31" s="3379" t="n"/>
      <c r="G31" s="3379" t="n"/>
      <c r="H31" s="3379" t="n"/>
    </row>
    <row r="32" ht="15" customHeight="1" s="1354">
      <c r="A32" s="2376" t="inlineStr">
        <is>
          <t>  </t>
        </is>
      </c>
      <c r="B32" s="2376" t="n"/>
      <c r="C32" s="2376" t="n"/>
      <c r="D32" s="2376" t="n"/>
      <c r="E32" s="2376" t="n"/>
      <c r="F32" s="2376" t="n"/>
      <c r="G32" s="2376" t="n"/>
      <c r="H32" s="2376" t="n"/>
    </row>
    <row r="33" ht="15" customHeight="1" s="1354">
      <c r="A33" s="3380" t="inlineStr">
        <is>
          <t xml:space="preserve">TOTAL  AUTRES DETTES </t>
        </is>
      </c>
      <c r="B33" s="3381">
        <f>B10+B17+B26+B31</f>
        <v/>
      </c>
      <c r="C33" s="3381">
        <f>C10+C17+C26+C31</f>
        <v/>
      </c>
      <c r="D33" s="3381">
        <f>D26</f>
        <v/>
      </c>
      <c r="E33" s="3382">
        <f>E26</f>
        <v/>
      </c>
      <c r="F33" s="3383" t="n"/>
      <c r="G33" s="3383" t="n"/>
      <c r="H33" s="3384"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9">
        <f>SUMIF('BALANCE N'!$A$2:$A$72,"499*",'BALANCE N'!$H$2:$H$72)-SUMIF('BALANCE N'!$A$2:$A$72,"499*",'BALANCE N'!$G$2:$G$72)-SUMIF('BALANCE N'!$A$2:$A$72,"599*",'BALANCE N'!$H$2:$H$72)+SUMIF('BALANCE N'!$A$2:$A$72,"599*",'BALANCE N'!$G$2:$G$72)-SUMIF('BALANCE N'!$A$2:$A$72,"4998*",'BALANCE N'!$H$2:$H$72)+SUMIF('BALANCE N'!$A$2:$A$72,"4998*",'BALANCE N'!$G$2:$G$72)</f>
        <v/>
      </c>
      <c r="C35" s="3369">
        <f>SUMIF('BALANCE N-1'!$A$2:$A$72,"499*",'BALANCE N-1'!$H$2:$H$72)-SUMIF('BALANCE N-1'!$A$2:$A$72,"499*",'BALANCE N-1'!$G$2:$G$72)-SUMIF('BALANCE N-1'!$A$2:$A$72,"599*",'BALANCE N-1'!$H$2:$H$72)+SUMIF('BALANCE N-1'!$A$2:$A$72,"599*",'BALANCE N-1'!$G$2:$G$72)-SUMIF('BALANCE N-1'!$A$2:$A$72,"4998*",'BALANCE N-1'!$H$2:$H$72)+SUMIF('BALANCE N-1'!$A$2:$A$72,"4998*",'BALANCE N-1'!$G$2:$G$72)</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row r="42"/>
    <row r="43" ht="34" customHeight="1" s="1354">
      <c r="A43" s="3031">
        <f>IF(SUM(B10:B35,C10:C35,D19:D33)=0,"NÉANT","")</f>
        <v/>
      </c>
    </row>
    <row r="44" ht="34" customHeight="1" s="1354"/>
    <row r="45" ht="34" customHeight="1" s="1354"/>
  </sheetData>
  <mergeCells count="11">
    <mergeCell ref="A43:H45"/>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5" t="inlineStr">
        <is>
          <t xml:space="preserve"> Libellés </t>
        </is>
      </c>
      <c r="B10" s="3167" t="inlineStr">
        <is>
          <t xml:space="preserve">Année  N </t>
        </is>
      </c>
      <c r="C10" s="3167" t="inlineStr">
        <is>
          <t xml:space="preserve">Année  N-1 </t>
        </is>
      </c>
      <c r="D10" s="3169"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5">
        <f>SUMIF('BALANCE N'!$A$2:$A$72,"564*",'BALANCE N'!$H$2:$H$72)</f>
        <v/>
      </c>
      <c r="C12" s="3385">
        <f>SUMIF('BALANCE N-1'!$A$2:$A$72,"564*",'BALANCE N-1'!$H$2:$H$72)</f>
        <v/>
      </c>
      <c r="D12" s="2431" t="n"/>
    </row>
    <row r="13" ht="15" customHeight="1" s="1354">
      <c r="A13" s="2102" t="inlineStr">
        <is>
          <t xml:space="preserve">Escomptes de crédit ordinaires </t>
        </is>
      </c>
      <c r="B13" s="3386">
        <f>SUMIF('BALANCE N'!$A$2:$A$72,"565*",'BALANCE N'!$H$2:$H$72)</f>
        <v/>
      </c>
      <c r="C13" s="3386">
        <f>SUMIF('BALANCE N-1'!$A$2:$A$72,"565*",'BALANCE N-1'!$H$2:$H$72)</f>
        <v/>
      </c>
      <c r="D13" s="3387" t="n"/>
    </row>
    <row r="14" ht="15" customHeight="1" s="1354">
      <c r="A14" s="3388" t="inlineStr">
        <is>
          <t xml:space="preserve">TOTAL: BANQUES, CREDITS </t>
        </is>
      </c>
      <c r="B14" s="3389">
        <f>B12+B13</f>
        <v/>
      </c>
      <c r="C14" s="3389">
        <f>C12+C13</f>
        <v/>
      </c>
      <c r="D14" s="3390" t="n"/>
    </row>
    <row r="15" ht="15" customHeight="1" s="1354">
      <c r="A15" s="3391"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2">
        <f>SUMIF('BALANCE N'!$A$2:$A$72,"521*",'BALANCE N'!$H$2:$H$72)</f>
        <v/>
      </c>
      <c r="C17" s="3392">
        <f>SUMIF('BALANCE N-1'!$A$2:$A$72,"521*",'BALANCE N-1'!$H$2:$H$72)</f>
        <v/>
      </c>
      <c r="D17" s="3393" t="n"/>
    </row>
    <row r="18" ht="15" customHeight="1" s="1354">
      <c r="A18" s="2099" t="inlineStr">
        <is>
          <t xml:space="preserve">Banques autres états région </t>
        </is>
      </c>
      <c r="B18" s="3392">
        <f>SUMIF('BALANCE N'!$A$2:$A$72,"522*",'BALANCE N'!$H$2:$H$72)</f>
        <v/>
      </c>
      <c r="C18" s="3392">
        <f>SUMIF('BALANCE N-1'!$A$2:$A$72,"522*",'BALANCE N-1'!$H$2:$H$72)</f>
        <v/>
      </c>
      <c r="D18" s="3393" t="n"/>
    </row>
    <row r="19" ht="15" customHeight="1" s="1354">
      <c r="A19" s="2099" t="inlineStr">
        <is>
          <t xml:space="preserve">Autres Banques </t>
        </is>
      </c>
      <c r="B19" s="3392">
        <f>SUMIF('BALANCE N'!$A$2:$A$72,"523*",'BALANCE N'!$H$2:$H$72)+SUMIF('BALANCE N'!$A$2:$A$72,"525*",'BALANCE N'!$H$2:$H$72)+SUMIF('BALANCE N'!$A$2:$A$72,"524*",'BALANCE N'!$H$2:$H$72)</f>
        <v/>
      </c>
      <c r="C19" s="3392">
        <f>SUMIF('BALANCE N-1'!$A$2:$A$72,"523*",'BALANCE N-1'!$H$2:$H$72)+SUMIF('BALANCE N-1'!$A$2:$A$72,"525*",'BALANCE N-1'!$H$2:$H$72)+SUMIF('BALANCE N-1'!$A$2:$A$72,"524*",'BALANCE N-1'!$H$2:$H$72)</f>
        <v/>
      </c>
      <c r="D19" s="3393" t="n"/>
    </row>
    <row r="20" ht="15" customHeight="1" s="1354">
      <c r="A20" s="2099" t="inlineStr">
        <is>
          <t xml:space="preserve">Banques intérêts courus </t>
        </is>
      </c>
      <c r="B20" s="3392">
        <f>SUMIF('BALANCE N'!$A$2:$A$72,"526*",'BALANCE N'!$H$2:$H$72)+SUMIF('BALANCE N'!$A$2:$A$72,"566*",'BALANCE N'!$H$2:$H$72)</f>
        <v/>
      </c>
      <c r="C20" s="3392">
        <f>SUMIF('BALANCE N-1'!$A$2:$A$72,"526*",'BALANCE N-1'!$H$2:$H$72)+SUMIF('BALANCE N-1'!$A$2:$A$72,"566*",'BALANCE N-1'!$H$2:$H$72)</f>
        <v/>
      </c>
      <c r="D20" s="3393" t="n"/>
    </row>
    <row r="21" ht="15" customHeight="1" s="1354">
      <c r="A21" s="2102" t="inlineStr">
        <is>
          <t xml:space="preserve">Crédit de trésorerie </t>
        </is>
      </c>
      <c r="B21" s="3394">
        <f>SUMIF('BALANCE N'!$A$2:$A$72,"561*",'BALANCE N'!$H$2:$H$72)</f>
        <v/>
      </c>
      <c r="C21" s="3394">
        <f>SUMIF('BALANCE N-1'!$A$2:$A$72,"561*",'BALANCE N-1'!$H$2:$H$72)</f>
        <v/>
      </c>
      <c r="D21" s="3395">
        <f>(B21-C21)/C21</f>
        <v/>
      </c>
    </row>
    <row r="22" ht="15" customHeight="1" s="1354">
      <c r="A22" s="3226" t="inlineStr">
        <is>
          <t xml:space="preserve">TOTAL: BANQUES, CREDITS DE TRESORERIE </t>
        </is>
      </c>
      <c r="B22" s="3376">
        <f>SUM(B17:B21)</f>
        <v/>
      </c>
      <c r="C22" s="3376">
        <f>SUM(C17:C21)</f>
        <v/>
      </c>
      <c r="D22" s="3233">
        <f>D21</f>
        <v/>
      </c>
    </row>
    <row r="23" ht="15" customHeight="1" s="1354">
      <c r="A23" s="2096" t="inlineStr">
        <is>
          <t>  </t>
        </is>
      </c>
      <c r="B23" s="2224" t="n"/>
      <c r="C23" s="2224" t="n"/>
      <c r="D23" s="2316" t="n"/>
    </row>
    <row r="24" ht="15" customHeight="1" s="1354">
      <c r="A24" s="3396" t="inlineStr">
        <is>
          <t xml:space="preserve">TOTAL GENERAL </t>
        </is>
      </c>
      <c r="B24" s="3397">
        <f>B14+B22</f>
        <v/>
      </c>
      <c r="C24" s="3397">
        <f>C14+C22</f>
        <v/>
      </c>
      <c r="D24" s="3398">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row r="34"/>
    <row r="35" ht="34" customHeight="1" s="1354">
      <c r="A35" s="3031">
        <f>IF(SUM(B12:B24,C12:C24)=0,"NÉANT","")</f>
        <v/>
      </c>
    </row>
    <row r="36" ht="34" customHeight="1" s="1354"/>
    <row r="37" ht="34" customHeight="1" s="1354"/>
  </sheetData>
  <mergeCells count="10">
    <mergeCell ref="A9:D9"/>
    <mergeCell ref="D10:D11"/>
    <mergeCell ref="A8:D8"/>
    <mergeCell ref="A10:A11"/>
    <mergeCell ref="C14:C15"/>
    <mergeCell ref="C10:C11"/>
    <mergeCell ref="B10:B11"/>
    <mergeCell ref="D14:D15"/>
    <mergeCell ref="B14:B15"/>
    <mergeCell ref="A35:H37"/>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6" t="inlineStr">
        <is>
          <t xml:space="preserve">Libellés </t>
        </is>
      </c>
      <c r="B11" s="3167" t="inlineStr">
        <is>
          <t xml:space="preserve">Année N </t>
        </is>
      </c>
      <c r="C11" s="3167" t="inlineStr">
        <is>
          <t xml:space="preserve">Année  N-1 </t>
        </is>
      </c>
      <c r="D11" s="3169"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9">
        <f>SUMIF('BALANCE N'!$A$2:$A$72,"7011*",'BALANCE N'!$H$2:$H$72)-SUMIF('BALANCE N'!$A$2:$A$72,"7011*",'BALANCE N'!$G$2:$G$72)</f>
        <v/>
      </c>
      <c r="C13" s="3399">
        <f>SUMIF('BALANCE N-1'!$A$2:$A$72,"7011*",'BALANCE N-1'!$H$2:$H$72)-SUMIF('BALANCE N-1'!$A$2:$A$72,"7011*",'BALANCE N-1'!$G$2:$G$72)</f>
        <v/>
      </c>
      <c r="D13" s="2444">
        <f>(B13-C13)/C13</f>
        <v/>
      </c>
    </row>
    <row r="14" ht="20.15" customHeight="1" s="1354">
      <c r="A14" s="2099" t="inlineStr">
        <is>
          <t xml:space="preserve">Ventes hors région </t>
        </is>
      </c>
      <c r="B14" s="3087">
        <f>SUMIF('BALANCE N'!$A$2:$A$72,"7012*",'BALANCE N'!$H$2:$H$72)-SUMIF('BALANCE N'!$A$2:$A$72,"7012*",'BALANCE N'!$G$2:$G$72)</f>
        <v/>
      </c>
      <c r="C14" s="3087">
        <f>SUMIF('BALANCE N-1'!$A$2:$A$72,"7012*",'BALANCE N-1'!$H$2:$H$72)-SUMIF('BALANCE N-1'!$A$2:$A$72,"7012*",'BALANCE N-1'!$G$2:$G$72)</f>
        <v/>
      </c>
      <c r="D14" s="2444" t="n"/>
    </row>
    <row r="15" ht="20.15" customHeight="1" s="1354">
      <c r="A15" s="2099" t="inlineStr">
        <is>
          <t xml:space="preserve">Ventes groupe </t>
        </is>
      </c>
      <c r="B15" s="3087">
        <f>SUMIF('BALANCE N'!$A$2:$A$72,"7014*",'BALANCE N'!$H$2:$H$72)-SUMIF('BALANCE N'!$A$2:$A$72,"7014*",'BALANCE N'!$G$2:$G$72)+SUMIF('BALANCE N'!$A$2:$A$72,"7013*",'BALANCE N'!$H$2:$H$72)-SUMIF('BALANCE N'!$A$2:$A$72,"7013*",'BALANCE N'!$G$2:$G$72)</f>
        <v/>
      </c>
      <c r="C15" s="3087">
        <f>SUMIF('BALANCE N-1'!$A$2:$A$72,"7014*",'BALANCE N-1'!$H$2:$H$72)-SUMIF('BALANCE N-1'!$A$2:$A$72,"7014*",'BALANCE N-1'!$G$2:$G$72)+SUMIF('BALANCE N-1'!$A$2:$A$72,"7013*",'BALANCE N-1'!$H$2:$H$72)-SUMIF('BALANCE N-1'!$A$2:$A$72,"7013*",'BALANCE N-1'!$G$2:$G$72)</f>
        <v/>
      </c>
      <c r="D15" s="2444" t="n"/>
    </row>
    <row r="16" ht="20.15" customHeight="1" s="1354">
      <c r="A16" s="2102" t="inlineStr">
        <is>
          <t xml:space="preserve">Ventes sur internet </t>
        </is>
      </c>
      <c r="B16" s="3093">
        <f>SUMIF('BALANCE N'!$A$2:$A$72,"7015*",'BALANCE N'!$H$2:$H$72)-SUMIF('BALANCE N'!$A$2:$A$72,"7015*",'BALANCE N'!$G$2:$G$72)+SUMIF('BALANCE N'!$A$2:$A$72,"7019*",'BALANCE N'!$H$2:$H$72)-SUMIF('BALANCE N'!$A$2:$A$72,"7019*",'BALANCE N'!$G$2:$G$72)</f>
        <v/>
      </c>
      <c r="C16" s="3093">
        <f>SUMIF('BALANCE N-1'!$A$2:$A$72,"7015*",'BALANCE N-1'!$H$2:$H$72)-SUMIF('BALANCE N-1'!$A$2:$A$72,"7015*",'BALANCE N-1'!$G$2:$G$72)+SUMIF('BALANCE N-1'!$A$2:$A$72,"7019*",'BALANCE N-1'!$H$2:$H$72)-SUMIF('BALANCE N-1'!$A$2:$A$72,"7019*",'BALANCE N-1'!$G$2:$G$72)</f>
        <v/>
      </c>
      <c r="D16" s="2444" t="n"/>
    </row>
    <row r="17" ht="20.15" customHeight="1" s="1354">
      <c r="A17" s="3226" t="inlineStr">
        <is>
          <t xml:space="preserve">TOTAL : VENTES MARCHANDISES </t>
        </is>
      </c>
      <c r="B17" s="3099">
        <f>SUM(B13:B16)</f>
        <v/>
      </c>
      <c r="C17" s="3099">
        <f>SUM(C13:C16)</f>
        <v/>
      </c>
      <c r="D17" s="2444">
        <f>(B17-C17)/C17</f>
        <v/>
      </c>
    </row>
    <row r="18" ht="20.15" customHeight="1" s="1354">
      <c r="A18" s="2107" t="inlineStr">
        <is>
          <t>  </t>
        </is>
      </c>
      <c r="B18" s="3081" t="n"/>
      <c r="C18" s="3081" t="n"/>
      <c r="D18" s="2444" t="n"/>
    </row>
    <row r="19" ht="20.15" customHeight="1" s="1354">
      <c r="A19" s="2099" t="inlineStr">
        <is>
          <t xml:space="preserve">Ventes dans la région </t>
        </is>
      </c>
      <c r="B19" s="3087">
        <f>SUMIF('BALANCE N'!$A$2:$A$72,"702*",'BALANCE N'!$H$2:$H$72)-SUMIF('BALANCE N'!$A$2:$A$72,"702*",'BALANCE N'!$G$2:$G$72)+SUMIF('BALANCE N'!$A$2:$A$72,"704*",'BALANCE N'!$H$2:$H$72)-SUMIF('BALANCE N'!$A$2:$A$72,"704*",'BALANCE N'!$G$2:$G$72)+SUMIF('BALANCE N'!$A$2:$A$72,"703*",'BALANCE N'!$H$2:$H$72)-SUMIF('BALANCE N'!$A$2:$A$72,"703*",'BALANCE N'!$G$2:$G$72)</f>
        <v/>
      </c>
      <c r="C19" s="3087">
        <f>SUMIF('BALANCE N-1'!$A$2:$A$72,"702*",'BALANCE N-1'!$H$2:$H$72)-SUMIF('BALANCE N-1'!$A$2:$A$72,"702*",'BALANCE N-1'!$G$2:$G$72)+SUMIF('BALANCE N-1'!$A$2:$A$72,"704*",'BALANCE N-1'!$H$2:$H$72)-SUMIF('BALANCE N-1'!$A$2:$A$72,"704*",'BALANCE N-1'!$G$2:$G$72)+SUMIF('BALANCE N-1'!$A$2:$A$72,"703*",'BALANCE N-1'!$H$2:$H$72)-SUMIF('BALANCE N-1'!$A$2:$A$72,"703*",'BALANCE N-1'!$G$2:$G$72)</f>
        <v/>
      </c>
      <c r="D19" s="2444" t="n"/>
    </row>
    <row r="20" ht="20.15" customHeight="1" s="1354">
      <c r="A20" s="2099" t="inlineStr">
        <is>
          <t xml:space="preserve">Ventes hors région </t>
        </is>
      </c>
      <c r="B20" s="3087" t="n"/>
      <c r="C20" s="3087" t="n"/>
      <c r="D20" s="2444" t="n"/>
    </row>
    <row r="21" ht="20.15" customHeight="1" s="1354">
      <c r="A21" s="2099" t="inlineStr">
        <is>
          <t xml:space="preserve">Ventes groupe </t>
        </is>
      </c>
      <c r="B21" s="3087" t="n"/>
      <c r="C21" s="3087" t="n"/>
      <c r="D21" s="2444" t="n"/>
    </row>
    <row r="22" ht="20.15" customHeight="1" s="1354">
      <c r="A22" s="2102" t="inlineStr">
        <is>
          <t xml:space="preserve">Ventes sur internet </t>
        </is>
      </c>
      <c r="B22" s="3093" t="n"/>
      <c r="C22" s="3093" t="n"/>
      <c r="D22" s="2444" t="n"/>
    </row>
    <row r="23" ht="20.15" customHeight="1" s="1354">
      <c r="A23" s="3226" t="inlineStr">
        <is>
          <t xml:space="preserve">TOTAL : VENTES DE PRODUITS FABRIQUES </t>
        </is>
      </c>
      <c r="B23" s="3099">
        <f>SUM(B19:B22)</f>
        <v/>
      </c>
      <c r="C23" s="3099">
        <f>SUM(C19:C22)</f>
        <v/>
      </c>
      <c r="D23" s="2444" t="n"/>
    </row>
    <row r="24" ht="20.15" customHeight="1" s="1354">
      <c r="A24" s="2107" t="inlineStr">
        <is>
          <t>  </t>
        </is>
      </c>
      <c r="B24" s="3081" t="n"/>
      <c r="C24" s="3081" t="n"/>
      <c r="D24" s="2444" t="n"/>
    </row>
    <row r="25" ht="20.15" customHeight="1" s="1354">
      <c r="A25" s="2099" t="inlineStr">
        <is>
          <t xml:space="preserve">Ventes dans la région </t>
        </is>
      </c>
      <c r="B25" s="3081">
        <f>SUMIF('BALANCE N'!$A$2:$A$72,"7051*",'BALANCE N'!$H$2:$H$72)-SUMIF('BALANCE N'!$A$2:$A$72,"7051*",'BALANCE N'!$G$2:$G$72)+SUMIF('BALANCE N'!$A$2:$A$72,"7061*",'BALANCE N'!$H$2:$H$72)-SUMIF('BALANCE N'!$A$2:$A$72,"7061*",'BALANCE N'!$G$2:$G$72)</f>
        <v/>
      </c>
      <c r="C25" s="3081">
        <f>SUMIF('BALANCE N-1'!$A$2:$A$72,"7051*",'BALANCE N-1'!$H$2:$H$72)-SUMIF('BALANCE N-1'!$A$2:$A$72,"7051*",'BALANCE N-1'!$G$2:$G$72)+SUMIF('BALANCE N-1'!$A$2:$A$72,"7061*",'BALANCE N-1'!$H$2:$H$72)-SUMIF('BALANCE N-1'!$A$2:$A$72,"7061*",'BALANCE N-1'!$G$2:$G$72)</f>
        <v/>
      </c>
      <c r="D25" s="2444">
        <f>(B25-C25)/C25</f>
        <v/>
      </c>
    </row>
    <row r="26" ht="20.15" customHeight="1" s="1354">
      <c r="A26" s="2099" t="inlineStr">
        <is>
          <t xml:space="preserve">Ventes hors région </t>
        </is>
      </c>
      <c r="B26" s="3087">
        <f>SUMIF('BALANCE N'!$A$2:$A$72,"7062*",'BALANCE N'!$H$2:$H$72)-SUMIF('BALANCE N'!$A$2:$A$72,"7062*",'BALANCE N'!$G$2:$G$72)+SUMIF('BALANCE N'!$A$2:$A$72,"7052*",'BALANCE N'!$H$2:$H$72)-SUMIF('BALANCE N'!$A$2:$A$72,"7052*",'BALANCE N'!$G$2:$G$72)</f>
        <v/>
      </c>
      <c r="C26" s="3087">
        <f>SUMIF('BALANCE N-1'!$A$2:$A$72,"7062*",'BALANCE N-1'!$H$2:$H$72)-SUMIF('BALANCE N-1'!$A$2:$A$72,"7062*",'BALANCE N-1'!$G$2:$G$72)+SUMIF('BALANCE N-1'!$A$2:$A$72,"7052*",'BALANCE N-1'!$H$2:$H$72)-SUMIF('BALANCE N-1'!$A$2:$A$72,"7052*",'BALANCE N-1'!$G$2:$G$72)</f>
        <v/>
      </c>
      <c r="D26" s="2444" t="n"/>
    </row>
    <row r="27" ht="20.15" customHeight="1" s="1354">
      <c r="A27" s="2099" t="inlineStr">
        <is>
          <t xml:space="preserve">Ventes groupe </t>
        </is>
      </c>
      <c r="B27" s="3087">
        <f>SUMIF('BALANCE N'!$A$2:$A$72,"7054*",'BALANCE N'!$H$2:$H$72)-SUMIF('BALANCE N'!$A$2:$A$72,"7054*",'BALANCE N'!$G$2:$G$72)+SUMIF('BALANCE N'!$A$2:$A$72,"7064*",'BALANCE N'!$H$2:$H$72)-SUMIF('BALANCE N'!$A$2:$A$72,"7064*",'BALANCE N'!$G$2:$G$72)+SUMIF('BALANCE N'!$A$2:$A$72,"7063*",'BALANCE N'!$H$2:$H$72)-SUMIF('BALANCE N'!$A$2:$A$72,"7063*",'BALANCE N'!$G$2:$G$72)+SUMIF('BALANCE N'!$A$2:$A$72,"7053*",'BALANCE N'!$H$2:$H$72)-SUMIF('BALANCE N'!$A$2:$A$72,"7053*",'BALANCE N'!$G$2:$G$72)</f>
        <v/>
      </c>
      <c r="C27" s="3087">
        <f>SUMIF('BALANCE N-1'!$A$2:$A$72,"7054*",'BALANCE N-1'!$H$2:$H$72)-SUMIF('BALANCE N-1'!$A$2:$A$72,"7054*",'BALANCE N-1'!$G$2:$G$72)+SUMIF('BALANCE N-1'!$A$2:$A$72,"7064*",'BALANCE N-1'!$H$2:$H$72)-SUMIF('BALANCE N-1'!$A$2:$A$72,"7064*",'BALANCE N-1'!$G$2:$G$72)+SUMIF('BALANCE N-1'!$A$2:$A$72,"7063*",'BALANCE N-1'!$H$2:$H$72)-SUMIF('BALANCE N-1'!$A$2:$A$72,"7063*",'BALANCE N-1'!$G$2:$G$72)+SUMIF('BALANCE N-1'!$A$2:$A$72,"7053*",'BALANCE N-1'!$H$2:$H$72)-SUMIF('BALANCE N-1'!$A$2:$A$72,"7053*",'BALANCE N-1'!$G$2:$G$72)</f>
        <v/>
      </c>
      <c r="D27" s="2444" t="n"/>
    </row>
    <row r="28" ht="20.15" customHeight="1" s="1354">
      <c r="A28" s="2102" t="inlineStr">
        <is>
          <t xml:space="preserve">Ventes sur internet </t>
        </is>
      </c>
      <c r="B28" s="3093">
        <f>SUMIF('BALANCE N'!$A$2:$A$72,"7069*",'BALANCE N'!$H$2:$H$72)-SUMIF('BALANCE N'!$A$2:$A$72,"7069*",'BALANCE N'!$G$2:$G$72)+SUMIF('BALANCE N'!$A$2:$A$72,"7059*",'BALANCE N'!$H$2:$H$72)-SUMIF('BALANCE N'!$A$2:$A$72,"7059*",'BALANCE N'!$G$2:$G$72)+SUMIF('BALANCE N'!$A$2:$A$72,"7055*",'BALANCE N'!$H$2:$H$72)-SUMIF('BALANCE N'!$A$2:$A$72,"7055*",'BALANCE N'!$G$2:$G$72)+SUMIF('BALANCE N'!$A$2:$A$72,"7065*",'BALANCE N'!$H$2:$H$72)-SUMIF('BALANCE N'!$A$2:$A$72,"7065*",'BALANCE N'!$G$2:$G$72)</f>
        <v/>
      </c>
      <c r="C28" s="3093">
        <f>SUMIF('BALANCE N-1'!$A$2:$A$72,"7069*",'BALANCE N-1'!$H$2:$H$72)-SUMIF('BALANCE N-1'!$A$2:$A$72,"7069*",'BALANCE N-1'!$G$2:$G$72)+SUMIF('BALANCE N-1'!$A$2:$A$72,"7059*",'BALANCE N-1'!$H$2:$H$72)-SUMIF('BALANCE N-1'!$A$2:$A$72,"7059*",'BALANCE N-1'!$G$2:$G$72)+SUMIF('BALANCE N-1'!$A$2:$A$72,"7055*",'BALANCE N-1'!$H$2:$H$72)-SUMIF('BALANCE N-1'!$A$2:$A$72,"7055*",'BALANCE N-1'!$G$2:$G$72)+SUMIF('BALANCE N-1'!$A$2:$A$72,"7065*",'BALANCE N-1'!$H$2:$H$72)-SUMIF('BALANCE N-1'!$A$2:$A$72,"7065*",'BALANCE N-1'!$G$2:$G$72)</f>
        <v/>
      </c>
      <c r="D28" s="2444" t="n"/>
    </row>
    <row r="29" ht="15.75" customHeight="1" s="1354">
      <c r="A29" s="3226" t="inlineStr">
        <is>
          <t xml:space="preserve">TOTAL : VENTES DE TRAVAUX ET SERVICES VENDUS </t>
        </is>
      </c>
      <c r="B29" s="3099">
        <f>SUM(B25:B28)</f>
        <v/>
      </c>
      <c r="C29" s="3099">
        <f>SUM(C25:C28)</f>
        <v/>
      </c>
      <c r="D29" s="2444">
        <f>(B29-C29)/C29</f>
        <v/>
      </c>
    </row>
    <row r="30" ht="20.15" customHeight="1" s="1354">
      <c r="A30" s="2107" t="inlineStr">
        <is>
          <t>  </t>
        </is>
      </c>
      <c r="B30" s="3081" t="n"/>
      <c r="C30" s="3081" t="n"/>
      <c r="D30" s="2444" t="n"/>
    </row>
    <row r="31" ht="20.15" customHeight="1" s="1354">
      <c r="A31" s="2247" t="inlineStr">
        <is>
          <t xml:space="preserve">Produits accessoires </t>
        </is>
      </c>
      <c r="B31" s="3087">
        <f>SUMIF('BALANCE N'!$A$2:$A$72,"707*",'BALANCE N'!$H$2:$H$72)-SUMIF('BALANCE N'!$A$2:$A$72,"707*",'BALANCE N'!$G$2:$G$72)</f>
        <v/>
      </c>
      <c r="C31" s="3087">
        <f>SUMIF('BALANCE N-1'!$A$2:$A$72,"707*",'BALANCE N-1'!$H$2:$H$72)-SUMIF('BALANCE N-1'!$A$2:$A$72,"707*",'BALANCE N-1'!$G$2:$G$72)</f>
        <v/>
      </c>
      <c r="D31" s="2444">
        <f>(B31-C31)/C31</f>
        <v/>
      </c>
    </row>
    <row r="32" ht="20.15" customHeight="1" s="1354">
      <c r="A32" s="2099" t="inlineStr">
        <is>
          <t>  </t>
        </is>
      </c>
      <c r="B32" s="3087" t="n"/>
      <c r="C32" s="3087" t="n"/>
      <c r="D32" s="2444" t="n"/>
    </row>
    <row r="33" ht="20.15" customHeight="1" s="1354">
      <c r="A33" s="2102" t="inlineStr">
        <is>
          <t>  </t>
        </is>
      </c>
      <c r="B33" s="3093" t="n"/>
      <c r="C33" s="3093" t="n"/>
      <c r="D33" s="2444" t="n"/>
    </row>
    <row r="34" ht="20.15" customHeight="1" s="1354">
      <c r="A34" s="3400" t="inlineStr">
        <is>
          <t xml:space="preserve">TOTAL : CHIFFRES D'AFFAIRES </t>
        </is>
      </c>
      <c r="B34" s="3401">
        <f>B17+B23+B29+B31</f>
        <v/>
      </c>
      <c r="C34" s="3401">
        <f>C17+C23+C29+C31</f>
        <v/>
      </c>
      <c r="D34" s="2444">
        <f>(B34-C34)/C34</f>
        <v/>
      </c>
    </row>
    <row r="35" ht="20.15" customHeight="1" s="1354">
      <c r="A35" s="2096" t="inlineStr">
        <is>
          <t>  </t>
        </is>
      </c>
      <c r="B35" s="3081" t="n"/>
      <c r="C35" s="3081" t="n"/>
      <c r="D35" s="2444" t="n"/>
    </row>
    <row r="36" ht="20.15" customHeight="1" s="1354">
      <c r="A36" s="2099" t="inlineStr">
        <is>
          <t xml:space="preserve">Production immobilisée </t>
        </is>
      </c>
      <c r="B36" s="3087">
        <f>SUMIF('BALANCE N'!$A$2:$A$72,"72*",'BALANCE N'!$H$2:$H$72)-SUMIF('BALANCE N'!$A$2:$A$72,"72*",'BALANCE N'!$G$2:$G$72)</f>
        <v/>
      </c>
      <c r="C36" s="3087">
        <f>SUMIF('BALANCE N-1'!$A$2:$A$72,"72*",'BALANCE N-1'!$H$2:$H$72)-SUMIF('BALANCE N-1'!$A$2:$A$72,"72*",'BALANCE N-1'!$G$2:$G$72)</f>
        <v/>
      </c>
      <c r="D36" s="2444" t="n"/>
    </row>
    <row r="37" ht="20.15" customHeight="1" s="1354">
      <c r="A37" s="2099" t="inlineStr">
        <is>
          <t xml:space="preserve">Subventions d'exploitation </t>
        </is>
      </c>
      <c r="B37" s="3087">
        <f>'Compte de Résultat'!E19</f>
        <v/>
      </c>
      <c r="C37" s="3087" t="n">
        <v>0</v>
      </c>
      <c r="D37" s="2444" t="n"/>
    </row>
    <row r="38" ht="20.15" customHeight="1" s="1354">
      <c r="A38" s="2102" t="inlineStr">
        <is>
          <t xml:space="preserve">Autres produits </t>
        </is>
      </c>
      <c r="B38" s="3093">
        <f>SUMIF('BALANCE N'!$A$2:$A$72,"75*",'BALANCE N'!$H$2:$H$72)-SUMIF('BALANCE N'!$A$2:$A$72,"75*",'BALANCE N'!$G$2:$G$72)</f>
        <v/>
      </c>
      <c r="C38" s="3093">
        <f>SUMIF('BALANCE N-1'!$A$2:$A$72,"75*",'BALANCE N-1'!$H$2:$H$72)-SUMIF('BALANCE N-1'!$A$2:$A$72,"75*",'BALANCE N-1'!$G$2:$G$72)</f>
        <v/>
      </c>
      <c r="D38" s="2444">
        <f>(B38-C38)/C38</f>
        <v/>
      </c>
    </row>
    <row r="39" ht="20.15" customHeight="1" s="1354">
      <c r="A39" s="3400" t="inlineStr">
        <is>
          <t xml:space="preserve">TOTAL : AUTRES PRODUITS </t>
        </is>
      </c>
      <c r="B39" s="3401">
        <f>SUM(B36:B38)</f>
        <v/>
      </c>
      <c r="C39" s="3401">
        <f>SUM(C36:C38)</f>
        <v/>
      </c>
      <c r="D39" s="2444">
        <f>(B39-C39)/C39</f>
        <v/>
      </c>
    </row>
    <row r="40" ht="20.15" customHeight="1" s="1354">
      <c r="A40" s="2447" t="inlineStr">
        <is>
          <t>  </t>
        </is>
      </c>
      <c r="B40" s="3402" t="n"/>
      <c r="C40" s="3402" t="n"/>
      <c r="D40" s="2444" t="n"/>
    </row>
    <row r="41" ht="20.15" customHeight="1" s="1354">
      <c r="A41" s="3380" t="inlineStr">
        <is>
          <t xml:space="preserve">TOTAL </t>
        </is>
      </c>
      <c r="B41" s="3403">
        <f>B34+B39</f>
        <v/>
      </c>
      <c r="C41" s="3403">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row r="45"/>
    <row r="46" ht="34" customHeight="1" s="1354">
      <c r="A46" s="3031">
        <f>IF(SUM(B13:B41,C13:C41)=0,"NÉANT","")</f>
        <v/>
      </c>
    </row>
    <row r="47" ht="34" customHeight="1" s="1354"/>
    <row r="48" ht="34" customHeight="1" s="1354"/>
  </sheetData>
  <mergeCells count="8">
    <mergeCell ref="A9:D9"/>
    <mergeCell ref="A46:E48"/>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7" t="inlineStr">
        <is>
          <t xml:space="preserve">Libellés </t>
        </is>
      </c>
      <c r="B10" s="3404" t="inlineStr">
        <is>
          <t xml:space="preserve">Année  N </t>
        </is>
      </c>
      <c r="C10" s="3404" t="inlineStr">
        <is>
          <t xml:space="preserve">Année  N-1 </t>
        </is>
      </c>
      <c r="D10" s="3405" t="inlineStr">
        <is>
          <t xml:space="preserve"> Variation en % </t>
        </is>
      </c>
    </row>
    <row r="11" ht="20.15" customHeight="1" s="1354">
      <c r="A11" s="2099" t="inlineStr">
        <is>
          <t xml:space="preserve">Achats dans la région </t>
        </is>
      </c>
      <c r="B11" s="3087">
        <f>SUMIF('BALANCE N'!$A$2:$A$72,"6011*",'BALANCE N'!$G$2:$G$72)-SUMIF('BALANCE N'!$A$2:$A$72,"6011*",'BALANCE N'!$H$2:$H$72)</f>
        <v/>
      </c>
      <c r="C11" s="3087">
        <f>SUMIF('BALANCE N-1'!$A$2:$A$72,"6011*",'BALANCE N-1'!$G$2:$G$72)-SUMIF('BALANCE N-1'!$A$2:$A$72,"6011*",'BALANCE N-1'!$H$2:$H$72)</f>
        <v/>
      </c>
      <c r="D11" s="3406">
        <f>(B11-C11)/C11</f>
        <v/>
      </c>
    </row>
    <row r="12" ht="20.15" customHeight="1" s="1354">
      <c r="A12" s="2099" t="inlineStr">
        <is>
          <t xml:space="preserve">Achats hors région </t>
        </is>
      </c>
      <c r="B12" s="3087">
        <f>SUMIF('BALANCE N'!$A$2:$A$72,"6012*",'BALANCE N'!$G$2:$G$72)-SUMIF('BALANCE N'!$A$2:$A$72,"6012*",'BALANCE N'!$H$2:$H$72)</f>
        <v/>
      </c>
      <c r="C12" s="3087">
        <f>SUMIF('BALANCE N-1'!$A$2:$A$72,"6012*",'BALANCE N-1'!$G$2:$G$72)-SUMIF('BALANCE N-1'!$A$2:$A$72,"6012*",'BALANCE N-1'!$H$2:$H$72)</f>
        <v/>
      </c>
      <c r="D12" s="3407" t="n"/>
    </row>
    <row r="13" ht="20.15" customHeight="1" s="1354">
      <c r="A13" s="2102" t="inlineStr">
        <is>
          <t xml:space="preserve">Achats groupe </t>
        </is>
      </c>
      <c r="B13" s="3093">
        <f>SUMIF('BALANCE N'!$A$2:$A$72,"6019*",'BALANCE N'!$G$2:$G$72)-SUMIF('BALANCE N'!$A$2:$A$72,"6019*",'BALANCE N'!$H$2:$H$72)+SUMIF('BALANCE N'!$A$2:$A$72,"6015*",'BALANCE N'!$G$2:$G$72)-SUMIF('BALANCE N'!$A$2:$A$72,"6015*",'BALANCE N'!$H$2:$H$72)+SUMIF('BALANCE N'!$A$2:$A$72,"6014*",'BALANCE N'!$G$2:$G$72)-SUMIF('BALANCE N'!$A$2:$A$72,"6014*",'BALANCE N'!$H$2:$H$72)+SUMIF('BALANCE N'!$A$2:$A$72,"6013*",'BALANCE N'!$G$2:$G$72)-SUMIF('BALANCE N'!$A$2:$A$72,"6013*",'BALANCE N'!$H$2:$H$72)</f>
        <v/>
      </c>
      <c r="C13" s="3093">
        <f>SUMIF('BALANCE N-1'!$A$2:$A$72,"6019*",'BALANCE N-1'!$G$2:$G$72)-SUMIF('BALANCE N-1'!$A$2:$A$72,"6019*",'BALANCE N-1'!$H$2:$H$72)+SUMIF('BALANCE N-1'!$A$2:$A$72,"6015*",'BALANCE N-1'!$G$2:$G$72)-SUMIF('BALANCE N-1'!$A$2:$A$72,"6015*",'BALANCE N-1'!$H$2:$H$72)+SUMIF('BALANCE N-1'!$A$2:$A$72,"6014*",'BALANCE N-1'!$G$2:$G$72)-SUMIF('BALANCE N-1'!$A$2:$A$72,"6014*",'BALANCE N-1'!$H$2:$H$72)+SUMIF('BALANCE N-1'!$A$2:$A$72,"6013*",'BALANCE N-1'!$G$2:$G$72)-SUMIF('BALANCE N-1'!$A$2:$A$72,"6013*",'BALANCE N-1'!$H$2:$H$72)</f>
        <v/>
      </c>
      <c r="D13" s="3408" t="n"/>
    </row>
    <row r="14" ht="20.15" customHeight="1" s="1354">
      <c r="A14" s="3226" t="inlineStr">
        <is>
          <t xml:space="preserve">TOTAL : ACHATS DE MARCHANDISES </t>
        </is>
      </c>
      <c r="B14" s="3099">
        <f>SUM(B11:B13)</f>
        <v/>
      </c>
      <c r="C14" s="3099">
        <f>SUM(C11:C13)</f>
        <v/>
      </c>
      <c r="D14" s="3270">
        <f>SUM(D11:D13)</f>
        <v/>
      </c>
    </row>
    <row r="15" ht="20.15" customHeight="1" s="1354">
      <c r="A15" s="2107" t="inlineStr">
        <is>
          <t>  </t>
        </is>
      </c>
      <c r="B15" s="3081" t="n"/>
      <c r="C15" s="3081" t="n"/>
      <c r="D15" s="3409" t="n"/>
    </row>
    <row r="16" ht="20.15" customHeight="1" s="1354">
      <c r="A16" s="2099" t="inlineStr">
        <is>
          <t xml:space="preserve">Achats dans la région </t>
        </is>
      </c>
      <c r="B16" s="3087">
        <f>SUMIF('BALANCE N'!$A$2:$A$72,"6021*",'BALANCE N'!$G$2:$G$72)-SUMIF('BALANCE N'!$A$2:$A$72,"6021*",'BALANCE N'!$H$2:$H$72)</f>
        <v/>
      </c>
      <c r="C16" s="3087">
        <f>SUMIF('BALANCE N-1'!$A$2:$A$72,"6021*",'BALANCE N-1'!$G$2:$G$72)-SUMIF('BALANCE N-1'!$A$2:$A$72,"6021*",'BALANCE N-1'!$H$2:$H$72)</f>
        <v/>
      </c>
      <c r="D16" s="3407" t="n"/>
    </row>
    <row r="17" ht="20.15" customHeight="1" s="1354">
      <c r="A17" s="2099" t="inlineStr">
        <is>
          <t xml:space="preserve">Achats hors région </t>
        </is>
      </c>
      <c r="B17" s="3087">
        <f>SUMIF('BALANCE N'!$A$2:$A$72,"6022*",'BALANCE N'!$G$2:$G$72)-SUMIF('BALANCE N'!$A$2:$A$72,"6022*",'BALANCE N'!$H$2:$H$72)</f>
        <v/>
      </c>
      <c r="C17" s="3087">
        <f>SUMIF('BALANCE N-1'!$A$2:$A$72,"6022*",'BALANCE N-1'!$G$2:$G$72)-SUMIF('BALANCE N-1'!$A$2:$A$72,"6022*",'BALANCE N-1'!$H$2:$H$72)</f>
        <v/>
      </c>
      <c r="D17" s="3407" t="n"/>
    </row>
    <row r="18" ht="20.15" customHeight="1" s="1354">
      <c r="A18" s="2102" t="inlineStr">
        <is>
          <t xml:space="preserve">Achats groupe </t>
        </is>
      </c>
      <c r="B18" s="3093">
        <f>SUMIF('BALANCE N'!$A$2:$A$72,"6024*",'BALANCE N'!$G$2:$G$72)-SUMIF('BALANCE N'!$A$2:$A$72,"6024*",'BALANCE N'!$H$2:$H$72)+SUMIF('BALANCE N'!$A$2:$A$72,"6029*",'BALANCE N'!$G$2:$G$72)-SUMIF('BALANCE N'!$A$2:$A$72,"6029*",'BALANCE N'!$H$2:$H$72)+SUMIF('BALANCE N'!$A$2:$A$72,"6025*",'BALANCE N'!$G$2:$G$72)-SUMIF('BALANCE N'!$A$2:$A$72,"6025*",'BALANCE N'!$H$2:$H$72)+SUMIF('BALANCE N'!$A$2:$A$72,"6023*",'BALANCE N'!$G$2:$G$72)-SUMIF('BALANCE N'!$A$2:$A$72,"6023*",'BALANCE N'!$H$2:$H$72)</f>
        <v/>
      </c>
      <c r="C18" s="3093">
        <f>SUMIF('BALANCE N-1'!$A$2:$A$72,"6024*",'BALANCE N-1'!$G$2:$G$72)-SUMIF('BALANCE N-1'!$A$2:$A$72,"6024*",'BALANCE N-1'!$H$2:$H$72)+SUMIF('BALANCE N-1'!$A$2:$A$72,"6029*",'BALANCE N-1'!$G$2:$G$72)-SUMIF('BALANCE N-1'!$A$2:$A$72,"6029*",'BALANCE N-1'!$H$2:$H$72)+SUMIF('BALANCE N-1'!$A$2:$A$72,"6025*",'BALANCE N-1'!$G$2:$G$72)-SUMIF('BALANCE N-1'!$A$2:$A$72,"6025*",'BALANCE N-1'!$H$2:$H$72)+SUMIF('BALANCE N-1'!$A$2:$A$72,"6023*",'BALANCE N-1'!$G$2:$G$72)-SUMIF('BALANCE N-1'!$A$2:$A$72,"6023*",'BALANCE N-1'!$H$2:$H$72)</f>
        <v/>
      </c>
      <c r="D18" s="3408" t="n"/>
    </row>
    <row r="19" ht="20.15" customHeight="1" s="1354">
      <c r="A19" s="3226" t="inlineStr">
        <is>
          <t xml:space="preserve">TOTAL : ACHATS MATIERES PREMIERES ET FOURNITURES LIEES </t>
        </is>
      </c>
      <c r="B19" s="3099">
        <f>SUM(B15:B18)</f>
        <v/>
      </c>
      <c r="C19" s="3099">
        <f>SUM(C15:C18)</f>
        <v/>
      </c>
      <c r="D19" s="3357">
        <f>SUM(D15:D18)</f>
        <v/>
      </c>
    </row>
    <row r="20" ht="20.15" customHeight="1" s="1354">
      <c r="A20" s="2107" t="inlineStr">
        <is>
          <t>  </t>
        </is>
      </c>
      <c r="B20" s="3081" t="n"/>
      <c r="C20" s="3081" t="n"/>
      <c r="D20" s="3409" t="n"/>
    </row>
    <row r="21" ht="20.15" customHeight="1" s="1354">
      <c r="A21" s="2099" t="inlineStr">
        <is>
          <t xml:space="preserve">Matières consommables  </t>
        </is>
      </c>
      <c r="B21" s="3087">
        <f>SUMIF('BALANCE N'!$A$2:$A$72,"6041*",'BALANCE N'!$G$2:$G$72)-SUMIF('BALANCE N'!$A$2:$A$72,"6041*",'BALANCE N'!$H$2:$H$72)</f>
        <v/>
      </c>
      <c r="C21" s="3087">
        <f>SUMIF('BALANCE N-1'!$A$2:$A$72,"6041*",'BALANCE N-1'!$G$2:$G$72)-SUMIF('BALANCE N-1'!$A$2:$A$72,"6041*",'BALANCE N-1'!$H$2:$H$72)</f>
        <v/>
      </c>
      <c r="D21" s="3410" t="n"/>
    </row>
    <row r="22" ht="20.15" customHeight="1" s="1354">
      <c r="A22" s="2099" t="inlineStr">
        <is>
          <t xml:space="preserve">Matières combustibles </t>
        </is>
      </c>
      <c r="B22" s="3087">
        <f>SUMIF('BALANCE N'!$A$2:$A$72,"6042*",'BALANCE N'!$G$2:$G$72)-SUMIF('BALANCE N'!$A$2:$A$72,"6042*",'BALANCE N'!$H$2:$H$72)</f>
        <v/>
      </c>
      <c r="C22" s="3087">
        <f>SUMIF('BALANCE N-1'!$A$2:$A$72,"6042*",'BALANCE N-1'!$G$2:$G$72)-SUMIF('BALANCE N-1'!$A$2:$A$72,"6042*",'BALANCE N-1'!$H$2:$H$72)</f>
        <v/>
      </c>
      <c r="D22" s="3411" t="n"/>
    </row>
    <row r="23" ht="20.15" customHeight="1" s="1354">
      <c r="A23" s="2099" t="inlineStr">
        <is>
          <t xml:space="preserve">Produits d'entretien </t>
        </is>
      </c>
      <c r="B23" s="3087">
        <f>SUMIF('BALANCE N'!$A$2:$A$72,"6043*",'BALANCE N'!$G$2:$G$72)-SUMIF('BALANCE N'!$A$2:$A$72,"6043*",'BALANCE N'!$H$2:$H$72)</f>
        <v/>
      </c>
      <c r="C23" s="3087">
        <f>SUMIF('BALANCE N-1'!$A$2:$A$72,"6043*",'BALANCE N-1'!$G$2:$G$72)-SUMIF('BALANCE N-1'!$A$2:$A$72,"6043*",'BALANCE N-1'!$H$2:$H$72)</f>
        <v/>
      </c>
      <c r="D23" s="3411" t="n"/>
    </row>
    <row r="24" ht="20.15" customHeight="1" s="1354">
      <c r="A24" s="2099" t="inlineStr">
        <is>
          <t xml:space="preserve">Fournitures d'atelier, d'usine et de magasin  </t>
        </is>
      </c>
      <c r="B24" s="3087">
        <f>SUMIF('BALANCE N'!$A$2:$A$72,"6044*",'BALANCE N'!$G$2:$G$72)-SUMIF('BALANCE N'!$A$2:$A$72,"6044*",'BALANCE N'!$H$2:$H$72)+SUMIF('BALANCE N'!$A$2:$A$72,"6046*",'BALANCE N'!$G$2:$G$72)-SUMIF('BALANCE N'!$A$2:$A$72,"6046*",'BALANCE N'!$H$2:$H$72)</f>
        <v/>
      </c>
      <c r="C24" s="3087">
        <f>SUMIF('BALANCE N-1'!$A$2:$A$72,"6044*",'BALANCE N-1'!$G$2:$G$72)-SUMIF('BALANCE N-1'!$A$2:$A$72,"6044*",'BALANCE N-1'!$H$2:$H$72)+SUMIF('BALANCE N-1'!$A$2:$A$72,"6046*",'BALANCE N-1'!$G$2:$G$72)-SUMIF('BALANCE N-1'!$A$2:$A$72,"6046*",'BALANCE N-1'!$H$2:$H$72)</f>
        <v/>
      </c>
      <c r="D24" s="3411" t="n"/>
    </row>
    <row r="25" ht="20.15" customHeight="1" s="1354">
      <c r="A25" s="2099" t="inlineStr">
        <is>
          <t xml:space="preserve">Eau </t>
        </is>
      </c>
      <c r="B25" s="3087">
        <f>SUMIF('BALANCE N'!$A$2:$A$72,"6051*",'BALANCE N'!$G$2:$G$72)-SUMIF('BALANCE N'!$A$2:$A$72,"6051*",'BALANCE N'!$H$2:$H$72)</f>
        <v/>
      </c>
      <c r="C25" s="3087">
        <f>SUMIF('BALANCE N-1'!$A$2:$A$72,"6051*",'BALANCE N-1'!$G$2:$G$72)-SUMIF('BALANCE N-1'!$A$2:$A$72,"6051*",'BALANCE N-1'!$H$2:$H$72)</f>
        <v/>
      </c>
      <c r="D25" s="3406">
        <f>(B25-C25)/C25</f>
        <v/>
      </c>
    </row>
    <row r="26" ht="20.15" customHeight="1" s="1354">
      <c r="A26" s="2099" t="inlineStr">
        <is>
          <t xml:space="preserve">Electricité </t>
        </is>
      </c>
      <c r="B26" s="3087">
        <f>SUMIF('BALANCE N'!$A$2:$A$72,"6052*",'BALANCE N'!$G$2:$G$72)-SUMIF('BALANCE N'!$A$2:$A$72,"6052*",'BALANCE N'!$H$2:$H$72)</f>
        <v/>
      </c>
      <c r="C26" s="3087">
        <f>SUMIF('BALANCE N-1'!$A$2:$A$72,"6052*",'BALANCE N-1'!$G$2:$G$72)-SUMIF('BALANCE N-1'!$A$2:$A$72,"6052*",'BALANCE N-1'!$H$2:$H$72)</f>
        <v/>
      </c>
      <c r="D26" s="3406">
        <f>(B26-C26)/C26</f>
        <v/>
      </c>
    </row>
    <row r="27" ht="20.15" customHeight="1" s="1354">
      <c r="A27" s="2099" t="inlineStr">
        <is>
          <t xml:space="preserve">Autres énergies </t>
        </is>
      </c>
      <c r="B27" s="3087">
        <f>SUMIF('BALANCE N'!$A$2:$A$72,"6053*",'BALANCE N'!$G$2:$G$72)-SUMIF('BALANCE N'!$A$2:$A$72,"6053*",'BALANCE N'!$H$2:$H$72)</f>
        <v/>
      </c>
      <c r="C27" s="3087">
        <f>SUMIF('BALANCE N-1'!$A$2:$A$72,"6053*",'BALANCE N-1'!$G$2:$G$72)-SUMIF('BALANCE N-1'!$A$2:$A$72,"6053*",'BALANCE N-1'!$H$2:$H$72)</f>
        <v/>
      </c>
      <c r="D27" s="3406">
        <f>(B27-C27)/C27</f>
        <v/>
      </c>
    </row>
    <row r="28" ht="20.15" customHeight="1" s="1354">
      <c r="A28" s="2099" t="inlineStr">
        <is>
          <t xml:space="preserve">Fourniture d'entretien </t>
        </is>
      </c>
      <c r="B28" s="3087">
        <f>SUMIF('BALANCE N'!$A$2:$A$72,"6054*",'BALANCE N'!$G$2:$G$72)-SUMIF('BALANCE N'!$A$2:$A$72,"6054*",'BALANCE N'!$H$2:$H$72)</f>
        <v/>
      </c>
      <c r="C28" s="3087">
        <f>SUMIF('BALANCE N-1'!$A$2:$A$72,"6054*",'BALANCE N-1'!$G$2:$G$72)-SUMIF('BALANCE N-1'!$A$2:$A$72,"6054*",'BALANCE N-1'!$H$2:$H$72)</f>
        <v/>
      </c>
      <c r="D28" s="3406">
        <f>(B28-C28)/C28</f>
        <v/>
      </c>
    </row>
    <row r="29" ht="20.15" customHeight="1" s="1354">
      <c r="A29" s="2099" t="inlineStr">
        <is>
          <t xml:space="preserve">Fourniture de bureau </t>
        </is>
      </c>
      <c r="B29" s="3087">
        <f>SUMIF('BALANCE N'!$A$2:$A$72,"6055*",'BALANCE N'!$G$2:$G$72)-SUMIF('BALANCE N'!$A$2:$A$72,"6055*",'BALANCE N'!$H$2:$H$72)+SUMIF('BALANCE N'!$A$2:$A$72,"6047*",'BALANCE N'!$G$2:$G$72)-SUMIF('BALANCE N'!$A$2:$A$72,"6047*",'BALANCE N'!$H$2:$H$72)</f>
        <v/>
      </c>
      <c r="C29" s="3087">
        <f>SUMIF('BALANCE N-1'!$A$2:$A$72,"6055*",'BALANCE N-1'!$G$2:$G$72)-SUMIF('BALANCE N-1'!$A$2:$A$72,"6055*",'BALANCE N-1'!$H$2:$H$72)+SUMIF('BALANCE N-1'!$A$2:$A$72,"6047*",'BALANCE N-1'!$G$2:$G$72)-SUMIF('BALANCE N-1'!$A$2:$A$72,"6047*",'BALANCE N-1'!$H$2:$H$72)</f>
        <v/>
      </c>
      <c r="D29" s="3412">
        <f>(B29-C29)/C29</f>
        <v/>
      </c>
    </row>
    <row r="30" ht="20.15" customHeight="1" s="1354">
      <c r="A30" s="2099" t="inlineStr">
        <is>
          <t xml:space="preserve">Petit matériel et outillages </t>
        </is>
      </c>
      <c r="B30" s="3087">
        <f>SUMIF('BALANCE N'!$A$2:$A$72,"6056*",'BALANCE N'!$G$2:$G$72)-SUMIF('BALANCE N'!$A$2:$A$72,"6056*",'BALANCE N'!$H$2:$H$72)</f>
        <v/>
      </c>
      <c r="C30" s="3087">
        <f>SUMIF('BALANCE N-1'!$A$2:$A$72,"6056*",'BALANCE N-1'!$G$2:$G$72)-SUMIF('BALANCE N-1'!$A$2:$A$72,"6056*",'BALANCE N-1'!$H$2:$H$72)</f>
        <v/>
      </c>
      <c r="D30" s="3412">
        <f>(B30-C30)/C30</f>
        <v/>
      </c>
    </row>
    <row r="31" ht="26.25" customHeight="1" s="1354">
      <c r="A31" s="2099" t="inlineStr">
        <is>
          <t xml:space="preserve">Achats études, prestations de services, de travaux matériels et équipements </t>
        </is>
      </c>
      <c r="B31" s="3087">
        <f>SUMIF('BALANCE N'!$A$2:$A$72,"6057*",'BALANCE N'!$G$2:$G$72)-SUMIF('BALANCE N'!$A$2:$A$72,"6057*",'BALANCE N'!$H$2:$H$72)+SUMIF('BALANCE N'!$A$2:$A$72,"6058*",'BALANCE N'!$G$2:$G$72)-SUMIF('BALANCE N'!$A$2:$A$72,"6058*",'BALANCE N'!$H$2:$H$72)</f>
        <v/>
      </c>
      <c r="C31" s="3087">
        <f>SUMIF('BALANCE N-1'!$A$2:$A$72,"6057*",'BALANCE N-1'!$G$2:$G$72)-SUMIF('BALANCE N-1'!$A$2:$A$72,"6057*",'BALANCE N-1'!$H$2:$H$72)+SUMIF('BALANCE N-1'!$A$2:$A$72,"6058*",'BALANCE N-1'!$G$2:$G$72)-SUMIF('BALANCE N-1'!$A$2:$A$72,"6058*",'BALANCE N-1'!$H$2:$H$72)</f>
        <v/>
      </c>
      <c r="D31" s="3412">
        <f>(B31-C31)/C31</f>
        <v/>
      </c>
    </row>
    <row r="32" ht="20.15" customHeight="1" s="1354">
      <c r="A32" s="2099" t="inlineStr">
        <is>
          <t xml:space="preserve">Achats d'emballages </t>
        </is>
      </c>
      <c r="B32" s="3087">
        <f>SUMIF('BALANCE N'!$A$2:$A$72,"608*",'BALANCE N'!$G$2:$G$72)-SUMIF('BALANCE N'!$A$2:$A$72,"608*",'BALANCE N'!$H$2:$H$72)</f>
        <v/>
      </c>
      <c r="C32" s="3087">
        <f>SUMIF('BALANCE N-1'!$A$2:$A$72,"608*",'BALANCE N-1'!$G$2:$G$72)-SUMIF('BALANCE N-1'!$A$2:$A$72,"608*",'BALANCE N-1'!$H$2:$H$72)</f>
        <v/>
      </c>
      <c r="D32" s="3412" t="n"/>
    </row>
    <row r="33" ht="20.15" customHeight="1" s="1354">
      <c r="A33" s="2099" t="inlineStr">
        <is>
          <t xml:space="preserve">Frais sur achats </t>
        </is>
      </c>
      <c r="B33" s="3087">
        <f>SUMIF('BALANCE N'!$A$2:$A$72,"6045*",'BALANCE N'!$G$2:$G$72)-SUMIF('BALANCE N'!$A$2:$A$72,"6045*",'BALANCE N'!$H$2:$H$72)</f>
        <v/>
      </c>
      <c r="C33" s="3087">
        <f>SUMIF('BALANCE N-1'!$A$2:$A$72,"6045*",'BALANCE N-1'!$G$2:$G$72)-SUMIF('BALANCE N-1'!$A$2:$A$72,"6045*",'BALANCE N-1'!$H$2:$H$72)</f>
        <v/>
      </c>
      <c r="D33" s="3412" t="n"/>
    </row>
    <row r="34" ht="20.15" customHeight="1" s="1354">
      <c r="A34" s="2102" t="inlineStr">
        <is>
          <t xml:space="preserve">Remises rabais, remises et ristournes  </t>
        </is>
      </c>
      <c r="B34" s="3093">
        <f>SUMIF('BALANCE N'!$A$2:$A$72,"6049*",'BALANCE N'!$G$2:$G$72)-SUMIF('BALANCE N'!$A$2:$A$72,"6049*",'BALANCE N'!$H$2:$H$72)+SUMIF('BALANCE N'!$A$2:$A$72,"6059*",'BALANCE N'!$G$2:$G$72)-SUMIF('BALANCE N'!$A$2:$A$72,"6059*",'BALANCE N'!$H$2:$H$72)</f>
        <v/>
      </c>
      <c r="C34" s="3093">
        <f>SUMIF('BALANCE N-1'!$A$2:$A$72,"6049*",'BALANCE N-1'!$G$2:$G$72)-SUMIF('BALANCE N-1'!$A$2:$A$72,"6049*",'BALANCE N-1'!$H$2:$H$72)+SUMIF('BALANCE N-1'!$A$2:$A$72,"6059*",'BALANCE N-1'!$G$2:$G$72)-SUMIF('BALANCE N-1'!$A$2:$A$72,"6059*",'BALANCE N-1'!$H$2:$H$72)</f>
        <v/>
      </c>
      <c r="D34" s="3412" t="n"/>
    </row>
    <row r="35" ht="20.15" customHeight="1" s="1354">
      <c r="A35" s="3226" t="inlineStr">
        <is>
          <t xml:space="preserve">TOTAL : AUTRES ACHATS </t>
        </is>
      </c>
      <c r="B35" s="3099">
        <f>SUM(B21:B34)</f>
        <v/>
      </c>
      <c r="C35" s="3099">
        <f>SUM(C21:C34)</f>
        <v/>
      </c>
      <c r="D35" s="3270">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row r="39"/>
    <row r="40" ht="34" customHeight="1" s="1354">
      <c r="A40" s="3031">
        <f>IF(SUM(B11:B35,C11:C35,D12:D20)=0,"NÉANT","")</f>
        <v/>
      </c>
    </row>
    <row r="41" ht="34" customHeight="1" s="1354"/>
    <row r="42" ht="34" customHeight="1" s="1354"/>
  </sheetData>
  <mergeCells count="3">
    <mergeCell ref="A40:E4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3" t="inlineStr">
        <is>
          <t xml:space="preserve"> 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Transports sur ventes </t>
        </is>
      </c>
      <c r="B10" s="2998">
        <f>SUMIF('BALANCE N'!$A$2:$A$72,"612*",'BALANCE N'!$G$2:$G$72)-SUMIF('BALANCE N'!$A$2:$A$72,"612*",'BALANCE N'!$H$2:$H$72)</f>
        <v/>
      </c>
      <c r="C10" s="2998">
        <f>SUMIF('BALANCE N-1'!$A$2:$A$72,"612*",'BALANCE N-1'!$G$2:$G$72)-SUMIF('BALANCE N-1'!$A$2:$A$72,"612*",'BALANCE N-1'!$H$2:$H$72)</f>
        <v/>
      </c>
      <c r="D10" s="3414" t="n"/>
    </row>
    <row r="11" ht="20.15" customHeight="1" s="1354">
      <c r="A11" s="2099" t="inlineStr">
        <is>
          <t xml:space="preserve">Transports pour le compte de tiers </t>
        </is>
      </c>
      <c r="B11" s="2998">
        <f>SUMIF('BALANCE N'!$A$2:$A$72,"613*",'BALANCE N'!$G$2:$G$72)-SUMIF('BALANCE N'!$A$2:$A$72,"613*",'BALANCE N'!$H$2:$H$72)</f>
        <v/>
      </c>
      <c r="C11" s="2998">
        <f>SUMIF('BALANCE N-1'!$A$2:$A$72,"613*",'BALANCE N-1'!$G$2:$G$72)-SUMIF('BALANCE N-1'!$A$2:$A$72,"613*",'BALANCE N-1'!$H$2:$H$72)</f>
        <v/>
      </c>
      <c r="D11" s="3414" t="n"/>
    </row>
    <row r="12" ht="20.15" customHeight="1" s="1354">
      <c r="A12" s="2099" t="inlineStr">
        <is>
          <t xml:space="preserve">Transport du personnel </t>
        </is>
      </c>
      <c r="B12" s="2998">
        <f>SUMIF('BALANCE N'!$A$2:$A$72,"614*",'BALANCE N'!$G$2:$G$72)-SUMIF('BALANCE N'!$A$2:$A$72,"614*",'BALANCE N'!$H$2:$H$72)</f>
        <v/>
      </c>
      <c r="C12" s="2998">
        <f>SUMIF('BALANCE N-1'!$A$2:$A$72,"614*",'BALANCE N-1'!$G$2:$G$72)-SUMIF('BALANCE N-1'!$A$2:$A$72,"614*",'BALANCE N-1'!$H$2:$H$72)</f>
        <v/>
      </c>
      <c r="D12" s="3415" t="n"/>
    </row>
    <row r="13" ht="20.15" customHeight="1" s="1354">
      <c r="A13" s="2099" t="inlineStr">
        <is>
          <t xml:space="preserve">Transports de plis </t>
        </is>
      </c>
      <c r="B13" s="2998">
        <f>SUMIF('BALANCE N'!$A$2:$A$72,"616*",'BALANCE N'!$G$2:$G$72)-SUMIF('BALANCE N'!$A$2:$A$72,"616*",'BALANCE N'!$H$2:$H$72)</f>
        <v/>
      </c>
      <c r="C13" s="2998">
        <f>SUMIF('BALANCE N-1'!$A$2:$A$72,"616*",'BALANCE N-1'!$G$2:$G$72)-SUMIF('BALANCE N-1'!$A$2:$A$72,"616*",'BALANCE N-1'!$H$2:$H$72)</f>
        <v/>
      </c>
      <c r="D13" s="3416" t="n"/>
    </row>
    <row r="14" ht="20.15" customHeight="1" s="1354">
      <c r="A14" s="2099" t="inlineStr">
        <is>
          <t xml:space="preserve">Autres transports </t>
        </is>
      </c>
      <c r="B14" s="3087">
        <f>SUMIF('BALANCE N'!$A$2:$A$72,"618*",'BALANCE N'!$G$2:$G$72)-SUMIF('BALANCE N'!$A$2:$A$72,"618*",'BALANCE N'!$H$2:$H$72)</f>
        <v/>
      </c>
      <c r="C14" s="3087">
        <f>SUMIF('BALANCE N-1'!$A$2:$A$72,"618*",'BALANCE N-1'!$G$2:$G$72)-SUMIF('BALANCE N-1'!$A$2:$A$72,"618*",'BALANCE N-1'!$H$2:$H$72)</f>
        <v/>
      </c>
      <c r="D14" s="3417">
        <f>(B14-C14)/C14</f>
        <v/>
      </c>
    </row>
    <row r="15" ht="20.15" customHeight="1" s="1354">
      <c r="A15" s="3226" t="inlineStr">
        <is>
          <t xml:space="preserve">TOTAL </t>
        </is>
      </c>
      <c r="B15" s="3099">
        <f>SUM(B10:B14)</f>
        <v/>
      </c>
      <c r="C15" s="3099">
        <f>SUM(C10:C14)</f>
        <v/>
      </c>
      <c r="D15" s="3418">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row r="23"/>
    <row r="24" ht="34" customHeight="1" s="1354">
      <c r="A24" s="3031">
        <f>IF(SUM(B10:B15,C10:C15)=0,"NÉANT","")</f>
        <v/>
      </c>
    </row>
    <row r="25" ht="34" customHeight="1" s="1354"/>
    <row r="26" ht="34" customHeight="1" s="1354"/>
  </sheetData>
  <mergeCells count="3">
    <mergeCell ref="A7:D7"/>
    <mergeCell ref="A8:D8"/>
    <mergeCell ref="A24:G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7" t="inlineStr">
        <is>
          <t xml:space="preserve">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Sous-traitance générale </t>
        </is>
      </c>
      <c r="B10" s="3087">
        <f>SUMIF('BALANCE N'!$A$2:$A$72,"621*",'BALANCE N'!$G$2:$G$72)-SUMIF('BALANCE N'!$A$2:$A$72,"621*",'BALANCE N'!$H$2:$H$72)</f>
        <v/>
      </c>
      <c r="C10" s="3087">
        <f>SUMIF('BALANCE N-1'!$A$2:$A$72,"621*",'BALANCE N-1'!$G$2:$G$72)-SUMIF('BALANCE N-1'!$A$2:$A$72,"621*",'BALANCE N-1'!$H$2:$H$72)</f>
        <v/>
      </c>
      <c r="D10" s="3419" t="n"/>
    </row>
    <row r="11" ht="20.15" customHeight="1" s="1354">
      <c r="A11" s="2099" t="inlineStr">
        <is>
          <t xml:space="preserve">Locations et charges locatives </t>
        </is>
      </c>
      <c r="B11" s="3087">
        <f>SUMIF('BALANCE N'!$A$2:$A$72,"622*",'BALANCE N'!$G$2:$G$72)-SUMIF('BALANCE N'!$A$2:$A$72,"622*",'BALANCE N'!$H$2:$H$72)</f>
        <v/>
      </c>
      <c r="C11" s="3087">
        <f>SUMIF('BALANCE N-1'!$A$2:$A$72,"622*",'BALANCE N-1'!$G$2:$G$72)-SUMIF('BALANCE N-1'!$A$2:$A$72,"622*",'BALANCE N-1'!$H$2:$H$72)</f>
        <v/>
      </c>
      <c r="D11" s="3406">
        <f>(B11-C11)/C11</f>
        <v/>
      </c>
    </row>
    <row r="12" ht="20.15" customHeight="1" s="1354">
      <c r="A12" s="2099" t="inlineStr">
        <is>
          <t xml:space="preserve">Redevances de location acquisition </t>
        </is>
      </c>
      <c r="B12" s="3087">
        <f>SUMIF('BALANCE N'!$A$2:$A$72,"623*",'BALANCE N'!$G$2:$G$72)-SUMIF('BALANCE N'!$A$2:$A$72,"623*",'BALANCE N'!$H$2:$H$72)</f>
        <v/>
      </c>
      <c r="C12" s="3087">
        <f>SUMIF('BALANCE N-1'!$A$2:$A$72,"623*",'BALANCE N-1'!$G$2:$G$72)-SUMIF('BALANCE N-1'!$A$2:$A$72,"623*",'BALANCE N-1'!$H$2:$H$72)</f>
        <v/>
      </c>
      <c r="D12" s="3406" t="n"/>
    </row>
    <row r="13" ht="20.15" customHeight="1" s="1354">
      <c r="A13" s="2099" t="inlineStr">
        <is>
          <t xml:space="preserve">Entretien, réparations et maintenance </t>
        </is>
      </c>
      <c r="B13" s="3087">
        <f>SUMIF('BALANCE N'!$A$2:$A$72,"624*",'BALANCE N'!$G$2:$G$72)-SUMIF('BALANCE N'!$A$2:$A$72,"624*",'BALANCE N'!$H$2:$H$72)</f>
        <v/>
      </c>
      <c r="C13" s="3087">
        <f>SUMIF('BALANCE N-1'!$A$2:$A$72,"624*",'BALANCE N-1'!$G$2:$G$72)-SUMIF('BALANCE N-1'!$A$2:$A$72,"624*",'BALANCE N-1'!$H$2:$H$72)</f>
        <v/>
      </c>
      <c r="D13" s="3406">
        <f>(B13-C13)/C13</f>
        <v/>
      </c>
    </row>
    <row r="14" ht="20.15" customHeight="1" s="1354">
      <c r="A14" s="2099" t="inlineStr">
        <is>
          <t xml:space="preserve">Primes d'assurance </t>
        </is>
      </c>
      <c r="B14" s="3087">
        <f>SUMIF('BALANCE N'!$A$2:$A$72,"625*",'BALANCE N'!$G$2:$G$72)-SUMIF('BALANCE N'!$A$2:$A$72,"625*",'BALANCE N'!$H$2:$H$72)</f>
        <v/>
      </c>
      <c r="C14" s="3087">
        <f>SUMIF('BALANCE N-1'!$A$2:$A$72,"625*",'BALANCE N-1'!$G$2:$G$72)-SUMIF('BALANCE N-1'!$A$2:$A$72,"625*",'BALANCE N-1'!$H$2:$H$72)</f>
        <v/>
      </c>
      <c r="D14" s="3406">
        <f>(B14-C14)/C14</f>
        <v/>
      </c>
    </row>
    <row r="15" ht="20.15" customHeight="1" s="1354">
      <c r="A15" s="2099" t="inlineStr">
        <is>
          <t xml:space="preserve">Etudes, recherches et documentation </t>
        </is>
      </c>
      <c r="B15" s="3087">
        <f>SUMIF('BALANCE N'!$A$2:$A$72,"626*",'BALANCE N'!$G$2:$G$72)-SUMIF('BALANCE N'!$A$2:$A$72,"626*",'BALANCE N'!$H$2:$H$72)</f>
        <v/>
      </c>
      <c r="C15" s="3087">
        <f>SUMIF('BALANCE N-1'!$A$2:$A$72,"626*",'BALANCE N-1'!$G$2:$G$72)-SUMIF('BALANCE N-1'!$A$2:$A$72,"626*",'BALANCE N-1'!$H$2:$H$72)</f>
        <v/>
      </c>
      <c r="D15" s="3406" t="n"/>
    </row>
    <row r="16" ht="20.15" customHeight="1" s="1354">
      <c r="A16" s="2099" t="inlineStr">
        <is>
          <t xml:space="preserve">Publicité, publications, relations publiques </t>
        </is>
      </c>
      <c r="B16" s="3087">
        <f>SUMIF('BALANCE N'!$A$2:$A$72,"627*",'BALANCE N'!$G$2:$G$72)-SUMIF('BALANCE N'!$A$2:$A$72,"627*",'BALANCE N'!$H$2:$H$72)</f>
        <v/>
      </c>
      <c r="C16" s="3087">
        <f>SUMIF('BALANCE N-1'!$A$2:$A$72,"627*",'BALANCE N-1'!$G$2:$G$72)-SUMIF('BALANCE N-1'!$A$2:$A$72,"627*",'BALANCE N-1'!$H$2:$H$72)</f>
        <v/>
      </c>
      <c r="D16" s="3406" t="n"/>
    </row>
    <row r="17" ht="20.15" customHeight="1" s="1354">
      <c r="A17" s="2099" t="inlineStr">
        <is>
          <t xml:space="preserve">Frais de télécommunications </t>
        </is>
      </c>
      <c r="B17" s="3087">
        <f>SUMIF('BALANCE N'!$A$2:$A$72,"628*",'BALANCE N'!$G$2:$G$72)-SUMIF('BALANCE N'!$A$2:$A$72,"628*",'BALANCE N'!$H$2:$H$72)</f>
        <v/>
      </c>
      <c r="C17" s="3087">
        <f>SUMIF('BALANCE N-1'!$A$2:$A$72,"628*",'BALANCE N-1'!$G$2:$G$72)-SUMIF('BALANCE N-1'!$A$2:$A$72,"628*",'BALANCE N-1'!$H$2:$H$72)</f>
        <v/>
      </c>
      <c r="D17" s="3406">
        <f>(B17-C17)/C17</f>
        <v/>
      </c>
    </row>
    <row r="18" ht="20.15" customHeight="1" s="1354">
      <c r="A18" s="2099" t="inlineStr">
        <is>
          <t xml:space="preserve">Frais bancaires </t>
        </is>
      </c>
      <c r="B18" s="3087">
        <f>SUMIF('BALANCE N'!$A$2:$A$72,"631*",'BALANCE N'!$G$2:$G$72)-SUMIF('BALANCE N'!$A$2:$A$72,"631*",'BALANCE N'!$H$2:$H$72)</f>
        <v/>
      </c>
      <c r="C18" s="3087">
        <f>SUMIF('BALANCE N-1'!$A$2:$A$72,"631*",'BALANCE N-1'!$G$2:$G$72)-SUMIF('BALANCE N-1'!$A$2:$A$72,"631*",'BALANCE N-1'!$H$2:$H$72)</f>
        <v/>
      </c>
      <c r="D18" s="3406">
        <f>(B18-C18)/C18</f>
        <v/>
      </c>
    </row>
    <row r="19" ht="20.15" customHeight="1" s="1354">
      <c r="A19" s="2099" t="inlineStr">
        <is>
          <t xml:space="preserve">Rémunérations d'intermédiaires et de conseils </t>
        </is>
      </c>
      <c r="B19" s="3087">
        <f>SUMIF('BALANCE N'!$A$2:$A$72,"632*",'BALANCE N'!$G$2:$G$72)-SUMIF('BALANCE N'!$A$2:$A$72,"632*",'BALANCE N'!$H$2:$H$72)</f>
        <v/>
      </c>
      <c r="C19" s="3087">
        <f>SUMIF('BALANCE N-1'!$A$2:$A$72,"632*",'BALANCE N-1'!$G$2:$G$72)-SUMIF('BALANCE N-1'!$A$2:$A$72,"632*",'BALANCE N-1'!$H$2:$H$72)</f>
        <v/>
      </c>
      <c r="D19" s="3406">
        <f>(B19-C19)/C19</f>
        <v/>
      </c>
    </row>
    <row r="20" ht="20.15" customHeight="1" s="1354">
      <c r="A20" s="2099" t="inlineStr">
        <is>
          <t xml:space="preserve">Frais de formation du personnel </t>
        </is>
      </c>
      <c r="B20" s="3087">
        <f>SUMIF('BALANCE N'!$A$2:$A$72,"633*",'BALANCE N'!$G$2:$G$72)-SUMIF('BALANCE N'!$A$2:$A$72,"633*",'BALANCE N'!$H$2:$H$72)</f>
        <v/>
      </c>
      <c r="C20" s="3087">
        <f>SUMIF('BALANCE N-1'!$A$2:$A$72,"633*",'BALANCE N-1'!$G$2:$G$72)-SUMIF('BALANCE N-1'!$A$2:$A$72,"633*",'BALANCE N-1'!$H$2:$H$72)</f>
        <v/>
      </c>
      <c r="D20" s="3406" t="n"/>
    </row>
    <row r="21" ht="27" customHeight="1" s="1354">
      <c r="A21" s="2099" t="inlineStr">
        <is>
          <t xml:space="preserve">Redevances pour brevets, licences, logiciels, concession et droits similaires </t>
        </is>
      </c>
      <c r="B21" s="3087">
        <f>SUMIF('BALANCE N'!$A$2:$A$72,"634*",'BALANCE N'!$G$2:$G$72)-SUMIF('BALANCE N'!$A$2:$A$72,"634*",'BALANCE N'!$H$2:$H$72)</f>
        <v/>
      </c>
      <c r="C21" s="3087">
        <f>SUMIF('BALANCE N-1'!$A$2:$A$72,"634*",'BALANCE N-1'!$G$2:$G$72)-SUMIF('BALANCE N-1'!$A$2:$A$72,"634*",'BALANCE N-1'!$H$2:$H$72)</f>
        <v/>
      </c>
      <c r="D21" s="3406">
        <f>(B21-C21)/C21</f>
        <v/>
      </c>
    </row>
    <row r="22" ht="20.15" customHeight="1" s="1354">
      <c r="A22" s="2099" t="inlineStr">
        <is>
          <t xml:space="preserve">Cotisations </t>
        </is>
      </c>
      <c r="B22" s="3087">
        <f>SUMIF('BALANCE N'!$A$2:$A$72,"635*",'BALANCE N'!$G$2:$G$72)-SUMIF('BALANCE N'!$A$2:$A$72,"635*",'BALANCE N'!$H$2:$H$72)</f>
        <v/>
      </c>
      <c r="C22" s="3087">
        <f>SUMIF('BALANCE N-1'!$A$2:$A$72,"635*",'BALANCE N-1'!$G$2:$G$72)-SUMIF('BALANCE N-1'!$A$2:$A$72,"635*",'BALANCE N-1'!$H$2:$H$72)</f>
        <v/>
      </c>
      <c r="D22" s="3406">
        <f>(B22-C22)/C22</f>
        <v/>
      </c>
    </row>
    <row r="23" ht="20.15" customHeight="1" s="1354">
      <c r="A23" s="2099" t="inlineStr">
        <is>
          <t xml:space="preserve">Autres charges externes </t>
        </is>
      </c>
      <c r="B23" s="3087">
        <f>SUMIF('BALANCE N'!$A$2:$A$72,"637*",'BALANCE N'!$G$2:$G$72)-SUMIF('BALANCE N'!$A$2:$A$72,"637*",'BALANCE N'!$H$2:$H$72)+SUMIF('BALANCE N'!$A$2:$A$72,"638*",'BALANCE N'!$G$2:$G$72)-SUMIF('BALANCE N'!$A$2:$A$72,"638*",'BALANCE N'!$H$2:$H$72)</f>
        <v/>
      </c>
      <c r="C23" s="3087">
        <f>SUMIF('BALANCE N-1'!$A$2:$A$72,"637*",'BALANCE N-1'!$G$2:$G$72)-SUMIF('BALANCE N-1'!$A$2:$A$72,"637*",'BALANCE N-1'!$H$2:$H$72)+SUMIF('BALANCE N-1'!$A$2:$A$72,"638*",'BALANCE N-1'!$G$2:$G$72)-SUMIF('BALANCE N-1'!$A$2:$A$72,"638*",'BALANCE N-1'!$H$2:$H$72)</f>
        <v/>
      </c>
      <c r="D23" s="3406">
        <f>(B23-C23)/C23</f>
        <v/>
      </c>
    </row>
    <row r="24" ht="20.15" customHeight="1" s="1354">
      <c r="A24" s="3226" t="inlineStr">
        <is>
          <t xml:space="preserve">TOTAL </t>
        </is>
      </c>
      <c r="B24" s="3099">
        <f>SUM(B10:B23)</f>
        <v/>
      </c>
      <c r="C24" s="3099">
        <f>SUM(C10:C23)</f>
        <v/>
      </c>
      <c r="D24" s="3270">
        <f>(B24-C24)/C24</f>
        <v/>
      </c>
    </row>
    <row r="25" ht="12" customHeight="1" s="1354">
      <c r="A25" s="2090" t="inlineStr">
        <is>
          <t xml:space="preserve">Commentaire :  </t>
        </is>
      </c>
      <c r="C25" s="3051" t="n"/>
    </row>
    <row r="26" ht="12" customHeight="1" s="1354">
      <c r="A26" s="2086" t="inlineStr">
        <is>
          <t xml:space="preserve"> Commenter toute variation significative. </t>
        </is>
      </c>
    </row>
    <row r="27" ht="12" customHeight="1" s="1354">
      <c r="A27" s="2167" t="inlineStr">
        <is>
          <t> </t>
        </is>
      </c>
      <c r="B27" s="3051" t="n"/>
    </row>
    <row r="28" ht="12" customHeight="1" s="1354">
      <c r="A28" s="2167" t="inlineStr">
        <is>
          <t> </t>
        </is>
      </c>
    </row>
    <row r="29" ht="12" customHeight="1" s="1354">
      <c r="A29" s="2167" t="n"/>
    </row>
    <row r="30" ht="12" customHeight="1" s="1354">
      <c r="A30" s="2167" t="n"/>
    </row>
    <row r="31"/>
    <row r="32" ht="34" customHeight="1" s="1354">
      <c r="A32" s="3031">
        <f>IF(SUM(B10:B27,C10:C25)=0,"NÉANT","")</f>
        <v/>
      </c>
    </row>
    <row r="33" ht="34" customHeight="1" s="1354"/>
    <row r="34" ht="34" customHeight="1" s="1354"/>
  </sheetData>
  <mergeCells count="3">
    <mergeCell ref="A7:D7"/>
    <mergeCell ref="A8:D8"/>
    <mergeCell ref="A32:G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14.5" customHeight="1" s="1354">
      <c r="A11" s="2096" t="inlineStr">
        <is>
          <t xml:space="preserve">Impôts et taxes directs </t>
        </is>
      </c>
      <c r="B11" s="3420">
        <f>SUMIF('BALANCE N'!$A$2:$A$72,"641*",'BALANCE N'!$G$2:$G$72)-SUMIF('BALANCE N'!$A$2:$A$72,"641*",'BALANCE N'!$H$2:$H$72)</f>
        <v/>
      </c>
      <c r="C11" s="3420">
        <f>SUMIF('BALANCE N-1'!$A$2:$A$72,"641*",'BALANCE N-1'!$G$2:$G$72)-SUMIF('BALANCE N-1'!$A$2:$A$72,"641*",'BALANCE N-1'!$H$2:$H$72)</f>
        <v/>
      </c>
      <c r="D11" s="3421" t="n"/>
    </row>
    <row r="12" ht="14.5" customHeight="1" s="1354">
      <c r="A12" s="2099" t="inlineStr">
        <is>
          <t xml:space="preserve">Impôts et taxes indirects </t>
        </is>
      </c>
      <c r="B12" s="3422">
        <f>SUMIF('BALANCE N'!$A$2:$A$72,"645*",'BALANCE N'!$G$2:$G$72)-SUMIF('BALANCE N'!$A$2:$A$72,"645*",'BALANCE N'!$H$2:$H$72)</f>
        <v/>
      </c>
      <c r="C12" s="3422">
        <f>SUMIF('BALANCE N-1'!$A$2:$A$72,"645*",'BALANCE N-1'!$G$2:$G$72)-SUMIF('BALANCE N-1'!$A$2:$A$72,"645*",'BALANCE N-1'!$H$2:$H$72)</f>
        <v/>
      </c>
      <c r="D12" s="3421" t="n"/>
    </row>
    <row r="13" ht="14.5" customHeight="1" s="1354">
      <c r="A13" s="2099" t="inlineStr">
        <is>
          <t xml:space="preserve">Droits d'enregistrement </t>
        </is>
      </c>
      <c r="B13" s="3422">
        <f>SUMIF('BALANCE N'!$A$2:$A$72,"646*",'BALANCE N'!$G$2:$G$72)-SUMIF('BALANCE N'!$A$2:$A$72,"646*",'BALANCE N'!$H$2:$H$72)</f>
        <v/>
      </c>
      <c r="C13" s="3422">
        <f>SUMIF('BALANCE N-1'!$A$2:$A$72,"646*",'BALANCE N-1'!$G$2:$G$72)-SUMIF('BALANCE N-1'!$A$2:$A$72,"646*",'BALANCE N-1'!$H$2:$H$72)</f>
        <v/>
      </c>
      <c r="D13" s="3423">
        <f>(B13-C13)/C13</f>
        <v/>
      </c>
    </row>
    <row r="14" ht="14.5" customHeight="1" s="1354">
      <c r="A14" s="2099" t="inlineStr">
        <is>
          <t xml:space="preserve">Pénalités et amendes fiscales </t>
        </is>
      </c>
      <c r="B14" s="3374">
        <f>SUMIF('BALANCE N'!$A$2:$A$72,"647*",'BALANCE N'!$G$2:$G$72)-SUMIF('BALANCE N'!$A$2:$A$72,"647*",'BALANCE N'!$H$2:$H$72)</f>
        <v/>
      </c>
      <c r="C14" s="3374">
        <f>SUMIF('BALANCE N-1'!$A$2:$A$72,"647*",'BALANCE N-1'!$G$2:$G$72)-SUMIF('BALANCE N-1'!$A$2:$A$72,"647*",'BALANCE N-1'!$H$2:$H$72)</f>
        <v/>
      </c>
      <c r="D14" s="3421" t="n"/>
    </row>
    <row r="15" ht="15" customHeight="1" s="1354">
      <c r="A15" s="2099" t="inlineStr">
        <is>
          <t xml:space="preserve">Autres impôts et taxes </t>
        </is>
      </c>
      <c r="B15" s="3374">
        <f>SUMIF('BALANCE N'!$A$2:$A$72,"648*",'BALANCE N'!$G$2:$G$72)-SUMIF('BALANCE N'!$A$2:$A$72,"648*",'BALANCE N'!$H$2:$H$72)</f>
        <v/>
      </c>
      <c r="C15" s="3374">
        <f>SUMIF('BALANCE N-1'!$A$2:$A$72,"648*",'BALANCE N-1'!$G$2:$G$72)-SUMIF('BALANCE N-1'!$A$2:$A$72,"648*",'BALANCE N-1'!$H$2:$H$72)</f>
        <v/>
      </c>
      <c r="D15" s="3423">
        <f>(B15-C15)/C15</f>
        <v/>
      </c>
    </row>
    <row r="16" ht="15" customHeight="1" s="1354">
      <c r="A16" s="3226" t="inlineStr">
        <is>
          <t xml:space="preserve">TOTAL </t>
        </is>
      </c>
      <c r="B16" s="3227">
        <f>SUM(B11:B15)</f>
        <v/>
      </c>
      <c r="C16" s="3227">
        <f>SUM(C11:C15)</f>
        <v/>
      </c>
      <c r="D16" s="3227">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row r="21"/>
    <row r="22" ht="34" customHeight="1" s="1354">
      <c r="A22" s="3031">
        <f>IF(SUM(B11:B16,C11:C16,D16:D16)=0,"NÉANT","")</f>
        <v/>
      </c>
    </row>
    <row r="23" ht="34" customHeight="1" s="1354"/>
    <row r="24" ht="34" customHeight="1" s="1354"/>
  </sheetData>
  <mergeCells count="3">
    <mergeCell ref="A22:G24"/>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20.15" customHeight="1" s="1354">
      <c r="A10" s="2096" t="inlineStr">
        <is>
          <t xml:space="preserve">Pertes sur créances clients  </t>
        </is>
      </c>
      <c r="B10" s="2995">
        <f>SUMIF('BALANCE N'!$A$2:$A$72,"651*",'BALANCE N'!$G$2:$G$72)-SUMIF('BALANCE N'!$A$2:$A$72,"651*",'BALANCE N'!$H$2:$H$72)</f>
        <v/>
      </c>
      <c r="C10" s="2995">
        <f>SUMIF('BALANCE N-1'!$A$2:$A$72,"651*",'BALANCE N-1'!$G$2:$G$72)-SUMIF('BALANCE N-1'!$A$2:$A$72,"651*",'BALANCE N-1'!$H$2:$H$72)</f>
        <v/>
      </c>
      <c r="D10" s="3424" t="n"/>
    </row>
    <row r="11" ht="20.15" customHeight="1" s="1354">
      <c r="A11" s="2099" t="inlineStr">
        <is>
          <t xml:space="preserve">Pertes sur autres débiteurs </t>
        </is>
      </c>
      <c r="B11" s="2998" t="n"/>
      <c r="C11" s="2998" t="n"/>
      <c r="D11" s="3424" t="n"/>
    </row>
    <row r="12" ht="20.15" customHeight="1" s="1354">
      <c r="A12" s="2099" t="inlineStr">
        <is>
          <t xml:space="preserve">Quote-part de résultat sur opérations faites en commun </t>
        </is>
      </c>
      <c r="B12" s="2998">
        <f>SUMIF('BALANCE N'!$A$2:$A$72,"652*",'BALANCE N'!$G$2:$G$72)-SUMIF('BALANCE N'!$A$2:$A$72,"652*",'BALANCE N'!$H$2:$H$72)</f>
        <v/>
      </c>
      <c r="C12" s="2998">
        <f>SUMIF('BALANCE N-1'!$A$2:$A$72,"652*",'BALANCE N-1'!$G$2:$G$72)-SUMIF('BALANCE N-1'!$A$2:$A$72,"652*",'BALANCE N-1'!$H$2:$H$72)</f>
        <v/>
      </c>
      <c r="D12" s="3424" t="n"/>
    </row>
    <row r="13" ht="15.75" customHeight="1" s="1354">
      <c r="A13" s="2099" t="inlineStr">
        <is>
          <t xml:space="preserve">Valeur comptable des cessions courantes d'immobilisations </t>
        </is>
      </c>
      <c r="B13" s="2998">
        <f>SUMIF('BALANCE N'!$A$2:$A$72,"654*",'BALANCE N'!$G$2:$G$72)-SUMIF('BALANCE N'!$A$2:$A$72,"654*",'BALANCE N'!$H$2:$H$72)</f>
        <v/>
      </c>
      <c r="C13" s="2998">
        <f>SUMIF('BALANCE N-1'!$A$2:$A$72,"654*",'BALANCE N-1'!$G$2:$G$72)-SUMIF('BALANCE N-1'!$A$2:$A$72,"654*",'BALANCE N-1'!$H$2:$H$72)</f>
        <v/>
      </c>
      <c r="D13" s="3424" t="n"/>
    </row>
    <row r="14" ht="12" customHeight="1" s="1354">
      <c r="A14" s="2099" t="inlineStr">
        <is>
          <t xml:space="preserve">Indemnités de fonction et autres rémunérations d'administrateurs </t>
        </is>
      </c>
      <c r="B14" s="3087">
        <f>SUMIF('BALANCE N'!$A$2:$A$72,"6581*",'BALANCE N'!$G$2:$G$72)-SUMIF('BALANCE N'!$A$2:$A$72,"6581*",'BALANCE N'!$H$2:$H$72)</f>
        <v/>
      </c>
      <c r="C14" s="3087">
        <f>SUMIF('BALANCE N-1'!$A$2:$A$72,"6581*",'BALANCE N-1'!$G$2:$G$72)-SUMIF('BALANCE N-1'!$A$2:$A$72,"6581*",'BALANCE N-1'!$H$2:$H$72)</f>
        <v/>
      </c>
      <c r="D14" s="3425" t="n"/>
    </row>
    <row r="15" ht="20.15" customHeight="1" s="1354">
      <c r="A15" s="2099" t="inlineStr">
        <is>
          <t xml:space="preserve">Dons et mécénat </t>
        </is>
      </c>
      <c r="B15" s="3087">
        <f>SUMIF('BALANCE N'!$A$2:$A$72,"6582*",'BALANCE N'!$G$2:$G$72)-SUMIF('BALANCE N'!$A$2:$A$72,"6582*",'BALANCE N'!$H$2:$H$72)+SUMIF('BALANCE N'!$A$2:$A$72,"6583*",'BALANCE N'!$G$2:$G$72)-SUMIF('BALANCE N'!$A$2:$A$72,"6583*",'BALANCE N'!$H$2:$H$72)</f>
        <v/>
      </c>
      <c r="C15" s="3087">
        <f>SUMIF('BALANCE N-1'!$A$2:$A$72,"6582*",'BALANCE N-1'!$G$2:$G$72)-SUMIF('BALANCE N-1'!$A$2:$A$72,"6582*",'BALANCE N-1'!$H$2:$H$72)+SUMIF('BALANCE N-1'!$A$2:$A$72,"6583*",'BALANCE N-1'!$G$2:$G$72)-SUMIF('BALANCE N-1'!$A$2:$A$72,"6583*",'BALANCE N-1'!$H$2:$H$72)</f>
        <v/>
      </c>
      <c r="D15" s="3426">
        <f>(B15-C15)/C15</f>
        <v/>
      </c>
    </row>
    <row r="16" ht="20.15" customHeight="1" s="1354">
      <c r="A16" s="2099" t="inlineStr">
        <is>
          <t xml:space="preserve">Autres charges diverses </t>
        </is>
      </c>
      <c r="B16" s="3087">
        <f>SUMIF('BALANCE N'!$A$2:$A$72,"657*",'BALANCE N'!$G$2:$G$72)-SUMIF('BALANCE N'!$A$2:$A$72,"657*",'BALANCE N'!$H$2:$H$72)+SUMIF('BALANCE N'!$A$2:$A$72,"656*",'BALANCE N'!$G$2:$G$72)-SUMIF('BALANCE N'!$A$2:$A$72,"656*",'BALANCE N'!$H$2:$H$72)+SUMIF('BALANCE N'!$A$2:$A$72,"6588*",'BALANCE N'!$G$2:$G$72)-SUMIF('BALANCE N'!$A$2:$A$72,"6588*",'BALANCE N'!$H$2:$H$72)</f>
        <v/>
      </c>
      <c r="C16" s="3087">
        <f>SUMIF('BALANCE N-1'!$A$2:$A$72,"657*",'BALANCE N-1'!$G$2:$G$72)-SUMIF('BALANCE N-1'!$A$2:$A$72,"657*",'BALANCE N-1'!$H$2:$H$72)+SUMIF('BALANCE N-1'!$A$2:$A$72,"656*",'BALANCE N-1'!$G$2:$G$72)-SUMIF('BALANCE N-1'!$A$2:$A$72,"656*",'BALANCE N-1'!$H$2:$H$72)+SUMIF('BALANCE N-1'!$A$2:$A$72,"6588*",'BALANCE N-1'!$G$2:$G$72)-SUMIF('BALANCE N-1'!$A$2:$A$72,"6588*",'BALANCE N-1'!$H$2:$H$72)</f>
        <v/>
      </c>
      <c r="D16" s="3426">
        <f>(B16-C16)/C16</f>
        <v/>
      </c>
    </row>
    <row r="17" ht="25.5" customHeight="1" s="1354">
      <c r="A17" s="2099" t="inlineStr">
        <is>
          <t xml:space="preserve">Charges pour provisions et provisions pour risques à court terme d'exploitation (voir note 28) </t>
        </is>
      </c>
      <c r="B17" s="2998">
        <f>SUMIF('BALANCE N'!$A$2:$A$72,"659*",'BALANCE N'!$G$2:$G$72)-SUMIF('BALANCE N'!$A$2:$A$72,"659*",'BALANCE N'!$H$2:$H$72)</f>
        <v/>
      </c>
      <c r="C17" s="2998">
        <f>SUMIF('BALANCE N-1'!$A$2:$A$72,"659*",'BALANCE N-1'!$G$2:$G$72)-SUMIF('BALANCE N-1'!$A$2:$A$72,"659*",'BALANCE N-1'!$H$2:$H$72)</f>
        <v/>
      </c>
      <c r="D17" s="3424" t="n"/>
    </row>
    <row r="18" ht="20.15" customHeight="1" s="1354">
      <c r="A18" s="2102" t="inlineStr">
        <is>
          <t>  </t>
        </is>
      </c>
      <c r="B18" s="3002" t="n"/>
      <c r="C18" s="3002" t="n"/>
      <c r="D18" s="3424" t="n"/>
    </row>
    <row r="19" ht="20.15" customHeight="1" s="1354">
      <c r="A19" s="3226" t="inlineStr">
        <is>
          <t xml:space="preserve">TOTAL </t>
        </is>
      </c>
      <c r="B19" s="3099">
        <f>SUM(B10:B18)</f>
        <v/>
      </c>
      <c r="C19" s="3099">
        <f>SUM(C10:C18)</f>
        <v/>
      </c>
      <c r="D19" s="3270">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G30"/>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20.15" customHeight="1" s="1354">
      <c r="A11" s="2096" t="inlineStr">
        <is>
          <t xml:space="preserve">Rémunérations directes versées au personnel </t>
        </is>
      </c>
      <c r="B11" s="3081">
        <f>SUMIF('BALANCE N'!$A$2:$A$72,"662*",'BALANCE N'!$G$2:$G$72)-SUMIF('BALANCE N'!$A$2:$A$72,"662*",'BALANCE N'!$H$2:$H$72)+SUMIF('BALANCE N'!$A$2:$A$72,"661*",'BALANCE N'!$G$2:$G$72)-SUMIF('BALANCE N'!$A$2:$A$72,"661*",'BALANCE N'!$H$2:$H$72)</f>
        <v/>
      </c>
      <c r="C11" s="3081">
        <f>SUMIF('BALANCE N-1'!$A$2:$A$72,"662*",'BALANCE N-1'!$G$2:$G$72)-SUMIF('BALANCE N-1'!$A$2:$A$72,"662*",'BALANCE N-1'!$H$2:$H$72)+SUMIF('BALANCE N-1'!$A$2:$A$72,"661*",'BALANCE N-1'!$G$2:$G$72)-SUMIF('BALANCE N-1'!$A$2:$A$72,"661*",'BALANCE N-1'!$H$2:$H$72)</f>
        <v/>
      </c>
      <c r="D11" s="3268">
        <f>(B11-C11)/C11</f>
        <v/>
      </c>
    </row>
    <row r="12" ht="20.15" customHeight="1" s="1354">
      <c r="A12" s="2099" t="inlineStr">
        <is>
          <t xml:space="preserve">Indemnités forfaitaires versées au personnel </t>
        </is>
      </c>
      <c r="B12" s="3087">
        <f>SUMIF('BALANCE N'!$A$2:$A$72,"663*",'BALANCE N'!$G$2:$G$72)-SUMIF('BALANCE N'!$A$2:$A$72,"663*",'BALANCE N'!$H$2:$H$72)</f>
        <v/>
      </c>
      <c r="C12" s="3087">
        <f>SUMIF('BALANCE N-1'!$A$2:$A$72,"663*",'BALANCE N-1'!$G$2:$G$72)-SUMIF('BALANCE N-1'!$A$2:$A$72,"663*",'BALANCE N-1'!$H$2:$H$72)</f>
        <v/>
      </c>
      <c r="D12" s="3268" t="n"/>
    </row>
    <row r="13" ht="20.15" customHeight="1" s="1354">
      <c r="A13" s="2099" t="inlineStr">
        <is>
          <t xml:space="preserve">Charges sociales </t>
        </is>
      </c>
      <c r="B13" s="3087">
        <f>SUMIF('BALANCE N'!$A$2:$A$72,"664*",'BALANCE N'!$G$2:$G$72)-SUMIF('BALANCE N'!$A$2:$A$72,"664*",'BALANCE N'!$H$2:$H$72)</f>
        <v/>
      </c>
      <c r="C13" s="3087">
        <f>SUMIF('BALANCE N-1'!$A$2:$A$72,"664*",'BALANCE N-1'!$G$2:$G$72)-SUMIF('BALANCE N-1'!$A$2:$A$72,"664*",'BALANCE N-1'!$H$2:$H$72)</f>
        <v/>
      </c>
      <c r="D13" s="3268">
        <f>(B13-C13)/C13</f>
        <v/>
      </c>
    </row>
    <row r="14" ht="20.15" customHeight="1" s="1354">
      <c r="A14" s="2099" t="inlineStr">
        <is>
          <t xml:space="preserve">Rémunérations et charges sociales de l'exploitant individuel </t>
        </is>
      </c>
      <c r="B14" s="3087">
        <f>SUMIF('BALANCE N'!$A$2:$A$72,"666*",'BALANCE N'!$G$2:$G$72)-SUMIF('BALANCE N'!$A$2:$A$72,"666*",'BALANCE N'!$H$2:$H$72)</f>
        <v/>
      </c>
      <c r="C14" s="3087">
        <f>SUMIF('BALANCE N-1'!$A$2:$A$72,"666*",'BALANCE N-1'!$G$2:$G$72)-SUMIF('BALANCE N-1'!$A$2:$A$72,"666*",'BALANCE N-1'!$H$2:$H$72)</f>
        <v/>
      </c>
      <c r="D14" s="3268" t="n"/>
    </row>
    <row r="15" ht="20.15" customHeight="1" s="1354">
      <c r="A15" s="2099" t="inlineStr">
        <is>
          <t xml:space="preserve">Rémunération transférée de personnel extérieur </t>
        </is>
      </c>
      <c r="B15" s="3087">
        <f>SUMIF('BALANCE N'!$A$2:$A$72,"667*",'BALANCE N'!$G$2:$G$72)-SUMIF('BALANCE N'!$A$2:$A$72,"667*",'BALANCE N'!$H$2:$H$72)</f>
        <v/>
      </c>
      <c r="C15" s="3087">
        <f>SUMIF('BALANCE N-1'!$A$2:$A$72,"667*",'BALANCE N-1'!$G$2:$G$72)-SUMIF('BALANCE N-1'!$A$2:$A$72,"667*",'BALANCE N-1'!$H$2:$H$72)</f>
        <v/>
      </c>
      <c r="D15" s="3268" t="n"/>
    </row>
    <row r="16" ht="20.15" customHeight="1" s="1354">
      <c r="A16" s="2099" t="inlineStr">
        <is>
          <t xml:space="preserve">Autres charges sociales </t>
        </is>
      </c>
      <c r="B16" s="3087">
        <f>SUMIF('BALANCE N'!$A$2:$A$72,"668*",'BALANCE N'!$G$2:$G$72)-SUMIF('BALANCE N'!$A$2:$A$72,"668*",'BALANCE N'!$H$2:$H$72)</f>
        <v/>
      </c>
      <c r="C16" s="3087">
        <f>SUMIF('BALANCE N-1'!$A$2:$A$72,"668*",'BALANCE N-1'!$G$2:$G$72)-SUMIF('BALANCE N-1'!$A$2:$A$72,"668*",'BALANCE N-1'!$H$2:$H$72)</f>
        <v/>
      </c>
      <c r="D16" s="3268">
        <f>(B16-C16)/C16</f>
        <v/>
      </c>
    </row>
    <row r="17" ht="20.15" customHeight="1" s="1354">
      <c r="A17" s="2102" t="inlineStr">
        <is>
          <t>  </t>
        </is>
      </c>
      <c r="B17" s="3093" t="n"/>
      <c r="C17" s="3093" t="n"/>
      <c r="D17" s="3268" t="n"/>
    </row>
    <row r="18" ht="20.15" customHeight="1" s="1354">
      <c r="A18" s="3226" t="inlineStr">
        <is>
          <t xml:space="preserve">TOTAL </t>
        </is>
      </c>
      <c r="B18" s="3099">
        <f>SUM(B11:B17)</f>
        <v/>
      </c>
      <c r="C18" s="3099">
        <f>SUM(C11:C17)</f>
        <v/>
      </c>
      <c r="D18" s="3238">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row r="23"/>
    <row r="24" ht="34" customHeight="1" s="1354">
      <c r="A24" s="3031">
        <f>IF(SUM(B11:B18,C11:C18)=0,"NÉANT","")</f>
        <v/>
      </c>
    </row>
    <row r="25" ht="34" customHeight="1" s="1354"/>
    <row r="26" ht="34" customHeight="1" s="1354"/>
  </sheetData>
  <mergeCells count="3">
    <mergeCell ref="A9:D9"/>
    <mergeCell ref="A8:D8"/>
    <mergeCell ref="A24:G26"/>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41"/>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4"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7" t="inlineStr">
        <is>
          <t>YA</t>
        </is>
      </c>
      <c r="B12" s="2014" t="inlineStr">
        <is>
          <t>1. Cadres supérieurs</t>
        </is>
      </c>
      <c r="C12" s="2534" t="n"/>
      <c r="D12" s="2534" t="n"/>
      <c r="E12" s="2534" t="n">
        <v>0</v>
      </c>
      <c r="F12" s="2534" t="n">
        <v>0</v>
      </c>
      <c r="G12" s="2534" t="n">
        <v>0</v>
      </c>
      <c r="H12" s="2534" t="n">
        <v>0</v>
      </c>
      <c r="I12" s="2534">
        <f>SUM(C12:H12)</f>
        <v/>
      </c>
      <c r="J12" s="3173" t="n"/>
      <c r="K12" s="3173" t="n">
        <v>0</v>
      </c>
      <c r="L12" s="3173" t="n"/>
      <c r="M12" s="3173" t="n"/>
      <c r="N12" s="3173" t="n"/>
      <c r="O12" s="3173" t="n"/>
      <c r="P12" s="3174">
        <f>SUM(J12:O12)</f>
        <v/>
      </c>
    </row>
    <row r="13" ht="20.5" customHeight="1" s="1354">
      <c r="A13" s="3427" t="inlineStr">
        <is>
          <t>YB</t>
        </is>
      </c>
      <c r="B13" s="2014" t="inlineStr">
        <is>
          <t>2. Techniciens supérieurs et cadres moyens</t>
        </is>
      </c>
      <c r="C13" s="2534" t="n"/>
      <c r="D13" s="2534" t="n"/>
      <c r="E13" s="2534" t="n">
        <v>0</v>
      </c>
      <c r="F13" s="2534" t="n">
        <v>0</v>
      </c>
      <c r="G13" s="2534" t="n">
        <v>0</v>
      </c>
      <c r="H13" s="2534" t="n">
        <v>0</v>
      </c>
      <c r="I13" s="2534">
        <f>SUM(C13:H13)</f>
        <v/>
      </c>
      <c r="J13" s="3173" t="n">
        <v>0</v>
      </c>
      <c r="K13" s="3173" t="n">
        <v>0</v>
      </c>
      <c r="L13" s="3173" t="n"/>
      <c r="M13" s="3173" t="n"/>
      <c r="N13" s="3173" t="n"/>
      <c r="O13" s="3173" t="n"/>
      <c r="P13" s="3174">
        <f>SUM(J13:O13)</f>
        <v/>
      </c>
    </row>
    <row r="14" ht="20.5" customHeight="1" s="1354">
      <c r="A14" s="3427" t="inlineStr">
        <is>
          <t>YC</t>
        </is>
      </c>
      <c r="B14" s="2014" t="inlineStr">
        <is>
          <t>3. Techniciens, agents de maîtrise et ouvriers qualifiés</t>
        </is>
      </c>
      <c r="C14" s="2534" t="n"/>
      <c r="D14" s="2534" t="n"/>
      <c r="E14" s="2534" t="n">
        <v>0</v>
      </c>
      <c r="F14" s="2534" t="n">
        <v>0</v>
      </c>
      <c r="G14" s="2534" t="n">
        <v>0</v>
      </c>
      <c r="H14" s="2534" t="n">
        <v>0</v>
      </c>
      <c r="I14" s="2534">
        <f>SUM(C14:H14)</f>
        <v/>
      </c>
      <c r="J14" s="3173" t="n">
        <v>0</v>
      </c>
      <c r="K14" s="3173" t="n">
        <v>0</v>
      </c>
      <c r="L14" s="3173" t="n"/>
      <c r="M14" s="3173" t="n"/>
      <c r="N14" s="3173" t="n"/>
      <c r="O14" s="3173" t="n"/>
      <c r="P14" s="3174">
        <f>SUM(J14:O14)</f>
        <v/>
      </c>
    </row>
    <row r="15" ht="20.5" customHeight="1" s="1354">
      <c r="A15" s="3428" t="inlineStr">
        <is>
          <t>YD</t>
        </is>
      </c>
      <c r="B15" s="2019" t="inlineStr">
        <is>
          <t>4. Employés, manœuvres, ouvriers et apprentis</t>
        </is>
      </c>
      <c r="C15" s="2537" t="n"/>
      <c r="D15" s="2537" t="n"/>
      <c r="E15" s="2537" t="n">
        <v>0</v>
      </c>
      <c r="F15" s="2537" t="n">
        <v>0</v>
      </c>
      <c r="G15" s="2537" t="n">
        <v>0</v>
      </c>
      <c r="H15" s="2537" t="n">
        <v>0</v>
      </c>
      <c r="I15" s="2534">
        <f>SUM(C15:H15)</f>
        <v/>
      </c>
      <c r="J15" s="3177">
        <f>1069724*C15</f>
        <v/>
      </c>
      <c r="K15" s="3177" t="n"/>
      <c r="L15" s="3177" t="n"/>
      <c r="M15" s="3177" t="n"/>
      <c r="N15" s="3177" t="n"/>
      <c r="O15" s="3177" t="n"/>
      <c r="P15" s="3174">
        <f>SUM(J15:O15)</f>
        <v/>
      </c>
    </row>
    <row r="16" ht="20.15" customHeight="1" s="1354">
      <c r="A16" s="3429"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30">
        <f>SUM(J12:J15)</f>
        <v/>
      </c>
      <c r="K16" s="3430">
        <f>SUM(K12:K15)</f>
        <v/>
      </c>
      <c r="L16" s="3430">
        <f>SUM(L12:L15)</f>
        <v/>
      </c>
      <c r="M16" s="3430">
        <f>SUM(M12:M15)</f>
        <v/>
      </c>
      <c r="N16" s="3430">
        <f>SUM(N12:N15)</f>
        <v/>
      </c>
      <c r="O16" s="3430">
        <f>SUM(O12:O15)</f>
        <v/>
      </c>
      <c r="P16" s="3430">
        <f>SUM(P12:P15)</f>
        <v/>
      </c>
    </row>
    <row r="17" ht="20.15" customHeight="1" s="1354">
      <c r="A17" s="3427" t="n"/>
      <c r="B17" s="2011" t="n"/>
      <c r="C17" s="3431" t="n"/>
      <c r="D17" s="3431" t="n"/>
      <c r="E17" s="3431" t="n"/>
      <c r="F17" s="3431" t="n"/>
      <c r="G17" s="3431" t="n"/>
      <c r="H17" s="3431" t="n"/>
      <c r="I17" s="3431" t="n"/>
      <c r="J17" s="3171" t="n"/>
      <c r="K17" s="3171" t="n"/>
      <c r="L17" s="3171" t="n"/>
      <c r="M17" s="3171" t="n"/>
      <c r="N17" s="3171" t="n"/>
      <c r="O17" s="3171" t="n"/>
      <c r="P17" s="3172" t="n"/>
    </row>
    <row r="18" ht="20.15" customHeight="1" s="1354">
      <c r="A18" s="3427" t="inlineStr">
        <is>
          <t>YF</t>
        </is>
      </c>
      <c r="B18" s="2014" t="inlineStr">
        <is>
          <t xml:space="preserve">Permanents </t>
        </is>
      </c>
      <c r="C18" s="2535">
        <f>C16</f>
        <v/>
      </c>
      <c r="D18" s="2535">
        <f>D16</f>
        <v/>
      </c>
      <c r="E18" s="2535">
        <f>E16</f>
        <v/>
      </c>
      <c r="F18" s="2535">
        <f>F16</f>
        <v/>
      </c>
      <c r="G18" s="2535">
        <f>G16</f>
        <v/>
      </c>
      <c r="H18" s="2535">
        <f>H16</f>
        <v/>
      </c>
      <c r="I18" s="2535">
        <f>I16</f>
        <v/>
      </c>
      <c r="J18" s="3175">
        <f>J16</f>
        <v/>
      </c>
      <c r="K18" s="3175">
        <f>K16</f>
        <v/>
      </c>
      <c r="L18" s="3175">
        <f>L16</f>
        <v/>
      </c>
      <c r="M18" s="3175">
        <f>M16</f>
        <v/>
      </c>
      <c r="N18" s="3175">
        <f>N16</f>
        <v/>
      </c>
      <c r="O18" s="3175">
        <f>O16</f>
        <v/>
      </c>
      <c r="P18" s="3175">
        <f>P16</f>
        <v/>
      </c>
    </row>
    <row r="19" ht="20.15" customHeight="1" s="1354">
      <c r="A19" s="3427" t="inlineStr">
        <is>
          <t>YG</t>
        </is>
      </c>
      <c r="B19" s="2519" t="inlineStr">
        <is>
          <t xml:space="preserve">Saisonniers </t>
        </is>
      </c>
      <c r="C19" s="3432" t="n">
        <v>0</v>
      </c>
      <c r="D19" s="3432" t="n">
        <v>0</v>
      </c>
      <c r="E19" s="3432" t="n">
        <v>0</v>
      </c>
      <c r="F19" s="3432" t="n">
        <v>0</v>
      </c>
      <c r="G19" s="3432" t="n">
        <v>0</v>
      </c>
      <c r="H19" s="3432" t="n">
        <v>0</v>
      </c>
      <c r="I19" s="2535">
        <f>I17</f>
        <v/>
      </c>
      <c r="J19" s="3433" t="n"/>
      <c r="K19" s="3433" t="n"/>
      <c r="L19" s="3433" t="n"/>
      <c r="M19" s="3433" t="n"/>
      <c r="N19" s="3433" t="n"/>
      <c r="O19" s="3433" t="n"/>
      <c r="P19" s="3434"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5" t="n"/>
      <c r="N22" s="3436" t="n"/>
      <c r="O22" s="2486" t="n"/>
      <c r="P22" s="2486" t="n"/>
    </row>
    <row r="23" ht="20.15" customHeight="1" s="1354">
      <c r="A23" s="3437" t="inlineStr">
        <is>
          <t>YH</t>
        </is>
      </c>
      <c r="B23" s="2529" t="inlineStr">
        <is>
          <t>1. Cadres supérieurs</t>
        </is>
      </c>
      <c r="C23" s="2529" t="n"/>
      <c r="D23" s="2529" t="n"/>
      <c r="E23" s="2529" t="n"/>
      <c r="F23" s="2529" t="n"/>
      <c r="G23" s="2529" t="n"/>
      <c r="H23" s="2529" t="n"/>
      <c r="I23" s="2529" t="n"/>
      <c r="J23" s="3438" t="n"/>
      <c r="K23" s="3439" t="n">
        <v>0</v>
      </c>
      <c r="L23" s="2486" t="n"/>
      <c r="M23" s="2486" t="n"/>
      <c r="N23" s="3436" t="n"/>
      <c r="O23" s="2486" t="n"/>
      <c r="P23" s="2486" t="n"/>
    </row>
    <row r="24" ht="20" customHeight="1" s="1354">
      <c r="A24" s="3440" t="inlineStr">
        <is>
          <t>YI</t>
        </is>
      </c>
      <c r="B24" s="2534" t="inlineStr">
        <is>
          <t>2. Techniciens supérieurs et cadres moyens</t>
        </is>
      </c>
      <c r="C24" s="2534" t="n"/>
      <c r="D24" s="2534" t="n"/>
      <c r="E24" s="2534" t="n"/>
      <c r="F24" s="2534" t="n"/>
      <c r="G24" s="2534" t="n"/>
      <c r="H24" s="2534" t="n"/>
      <c r="I24" s="2534" t="n"/>
      <c r="J24" s="3173" t="n"/>
      <c r="K24" s="3174" t="n">
        <v>0</v>
      </c>
      <c r="L24" s="2486" t="n"/>
      <c r="M24" s="3436" t="n"/>
      <c r="N24" s="3436" t="n"/>
      <c r="O24" s="2486" t="n"/>
      <c r="P24" s="2486" t="n"/>
    </row>
    <row r="25" ht="20" customHeight="1" s="1354">
      <c r="A25" s="3440" t="inlineStr">
        <is>
          <t>YJ</t>
        </is>
      </c>
      <c r="B25" s="2534" t="inlineStr">
        <is>
          <t>3. Techniciens, agents de maîtrise et ouvriers qualifiés</t>
        </is>
      </c>
      <c r="C25" s="2534" t="n"/>
      <c r="D25" s="2534" t="n"/>
      <c r="E25" s="2534" t="n"/>
      <c r="F25" s="2534" t="n"/>
      <c r="G25" s="2534" t="n"/>
      <c r="H25" s="2534" t="n"/>
      <c r="I25" s="2534" t="n"/>
      <c r="J25" s="3173" t="n"/>
      <c r="K25" s="3174" t="n">
        <v>0</v>
      </c>
      <c r="L25" s="2486" t="n"/>
      <c r="M25" s="3436" t="n"/>
      <c r="N25" s="2486" t="n"/>
      <c r="O25" s="2486" t="n"/>
      <c r="P25" s="2486" t="n"/>
    </row>
    <row r="26" ht="20" customHeight="1" s="1354">
      <c r="A26" s="3440" t="inlineStr">
        <is>
          <t>YK</t>
        </is>
      </c>
      <c r="B26" s="2534" t="inlineStr">
        <is>
          <t>4. Employés, manœuvres, ouvriers et apprentis</t>
        </is>
      </c>
      <c r="C26" s="2534" t="n"/>
      <c r="D26" s="2534" t="n"/>
      <c r="E26" s="2534" t="n"/>
      <c r="F26" s="2534" t="n"/>
      <c r="G26" s="2534" t="n"/>
      <c r="H26" s="2534" t="n"/>
      <c r="I26" s="2534" t="n"/>
      <c r="J26" s="3173" t="n"/>
      <c r="K26" s="3174" t="n"/>
      <c r="L26" s="2486" t="n"/>
      <c r="M26" s="2486" t="n"/>
      <c r="N26" s="2486" t="inlineStr">
        <is>
          <t xml:space="preserve">M : Masculin           </t>
        </is>
      </c>
      <c r="O26" s="2486" t="n">
        <v>53</v>
      </c>
      <c r="P26" s="2486" t="n"/>
    </row>
    <row r="27" ht="20.15" customHeight="1" s="1354">
      <c r="A27" s="3440" t="inlineStr">
        <is>
          <t>YL</t>
        </is>
      </c>
      <c r="B27" s="2535" t="inlineStr">
        <is>
          <t>TOTAL (2)</t>
        </is>
      </c>
      <c r="C27" s="2535" t="n"/>
      <c r="D27" s="2535">
        <f>SUM(D23:D26)</f>
        <v/>
      </c>
      <c r="E27" s="2535">
        <f>SUM(E23:E26)</f>
        <v/>
      </c>
      <c r="F27" s="2535">
        <f>SUM(F23:F26)</f>
        <v/>
      </c>
      <c r="G27" s="2535">
        <f>SUM(G23:G26)</f>
        <v/>
      </c>
      <c r="H27" s="2535">
        <f>SUM(H23:H26)</f>
        <v/>
      </c>
      <c r="I27" s="2535">
        <f>SUM(I23:I26)</f>
        <v/>
      </c>
      <c r="J27" s="3175">
        <f>SUM(J23:J26)</f>
        <v/>
      </c>
      <c r="K27" s="3175">
        <f>SUM(K23:K26)</f>
        <v/>
      </c>
      <c r="L27" s="2486" t="n"/>
      <c r="M27" s="2486" t="n"/>
      <c r="N27" s="2486" t="inlineStr">
        <is>
          <t>F: Féminin</t>
        </is>
      </c>
      <c r="O27" s="2486" t="n">
        <v>71</v>
      </c>
      <c r="P27" s="2486" t="n"/>
    </row>
    <row r="28" ht="20.15" customHeight="1" s="1354">
      <c r="A28" s="3440" t="n"/>
      <c r="B28" s="2534" t="n"/>
      <c r="C28" s="2534" t="n"/>
      <c r="D28" s="2534" t="n"/>
      <c r="E28" s="2534" t="n"/>
      <c r="F28" s="2534" t="n"/>
      <c r="G28" s="2534" t="n"/>
      <c r="H28" s="2534" t="n"/>
      <c r="I28" s="2534" t="n"/>
      <c r="J28" s="3173" t="n"/>
      <c r="K28" s="3174" t="n"/>
      <c r="L28" s="2486" t="n"/>
      <c r="M28" s="2486" t="n"/>
      <c r="N28" s="2486" t="n"/>
      <c r="O28" s="2486" t="n"/>
      <c r="P28" s="2486" t="n"/>
    </row>
    <row r="29" ht="20.15" customHeight="1" s="1354">
      <c r="A29" s="3440" t="inlineStr">
        <is>
          <t>YM</t>
        </is>
      </c>
      <c r="B29" s="2534" t="inlineStr">
        <is>
          <t xml:space="preserve">Permanents </t>
        </is>
      </c>
      <c r="C29" s="2534" t="n"/>
      <c r="D29" s="2534" t="n"/>
      <c r="E29" s="2534" t="n"/>
      <c r="F29" s="2534" t="n"/>
      <c r="G29" s="2534" t="n"/>
      <c r="H29" s="2534" t="n"/>
      <c r="I29" s="2534" t="n"/>
      <c r="J29" s="3173" t="n"/>
      <c r="K29" s="3174" t="n"/>
      <c r="L29" s="2486" t="n"/>
      <c r="M29" s="2486" t="n"/>
      <c r="N29" s="2486" t="n"/>
      <c r="O29" s="2486" t="n"/>
      <c r="P29" s="2486" t="n"/>
    </row>
    <row r="30" ht="20.15" customHeight="1" s="1354">
      <c r="A30" s="3440" t="inlineStr">
        <is>
          <t>YN</t>
        </is>
      </c>
      <c r="B30" s="2534" t="inlineStr">
        <is>
          <t xml:space="preserve">Saisonniers </t>
        </is>
      </c>
      <c r="C30" s="2534" t="n"/>
      <c r="D30" s="2534" t="n"/>
      <c r="E30" s="2534" t="n"/>
      <c r="F30" s="2534" t="n"/>
      <c r="G30" s="2534" t="n"/>
      <c r="H30" s="2534" t="n"/>
      <c r="I30" s="2534" t="n"/>
      <c r="J30" s="3173" t="n"/>
      <c r="K30" s="3174" t="n"/>
    </row>
    <row r="31" ht="20.15" customHeight="1" s="1354">
      <c r="A31" s="3441" t="n"/>
      <c r="B31" s="2537" t="n"/>
      <c r="C31" s="2537" t="n"/>
      <c r="D31" s="2537" t="n"/>
      <c r="E31" s="2537" t="n"/>
      <c r="F31" s="2537" t="n"/>
      <c r="G31" s="2537" t="n"/>
      <c r="H31" s="2537" t="n"/>
      <c r="I31" s="2537" t="n"/>
      <c r="J31" s="3442" t="n"/>
      <c r="K31" s="3443" t="n"/>
      <c r="L31" s="2486" t="n"/>
      <c r="M31" s="2486" t="n"/>
      <c r="N31" s="2486" t="n"/>
      <c r="O31" s="2486" t="n"/>
      <c r="P31" s="2486" t="n"/>
    </row>
    <row r="32" ht="20.15" customHeight="1" s="1354">
      <c r="A32" s="3444" t="inlineStr">
        <is>
          <t>YO</t>
        </is>
      </c>
      <c r="B32" s="2512" t="inlineStr">
        <is>
          <t>TOTAL (1 + 2)</t>
        </is>
      </c>
      <c r="C32" s="2512">
        <f>C16+C27</f>
        <v/>
      </c>
      <c r="D32" s="2512">
        <f>D16+D27</f>
        <v/>
      </c>
      <c r="E32" s="2512">
        <f>E16+E27</f>
        <v/>
      </c>
      <c r="F32" s="2512">
        <f>F16+F27</f>
        <v/>
      </c>
      <c r="G32" s="2512">
        <f>G16+G27</f>
        <v/>
      </c>
      <c r="H32" s="2512">
        <f>H16+H27</f>
        <v/>
      </c>
      <c r="I32" s="2512">
        <f>I16+I27</f>
        <v/>
      </c>
      <c r="J32" s="3445" t="n"/>
      <c r="K32" s="3446"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row r="38"/>
    <row r="39" ht="34" customHeight="1" s="1354">
      <c r="A39" s="3031">
        <f>IF(SUM(J12:J30,K12:K30,L12:L19,M12:M25,N12:N24,O12:O19,P12:P19)=0,"NÉANT","")</f>
        <v/>
      </c>
    </row>
    <row r="40" ht="34" customHeight="1" s="1354"/>
    <row r="41" ht="34" customHeight="1" s="1354"/>
  </sheetData>
  <mergeCells count="19">
    <mergeCell ref="A5:P5"/>
    <mergeCell ref="J10:K10"/>
    <mergeCell ref="J7:P9"/>
    <mergeCell ref="J21:K22"/>
    <mergeCell ref="C10:D10"/>
    <mergeCell ref="E10:F10"/>
    <mergeCell ref="O29:O30"/>
    <mergeCell ref="G10:H10"/>
    <mergeCell ref="L29:L30"/>
    <mergeCell ref="N29:N30"/>
    <mergeCell ref="L10:M10"/>
    <mergeCell ref="A39:P41"/>
    <mergeCell ref="A6:P6"/>
    <mergeCell ref="N10:O10"/>
    <mergeCell ref="C7:H9"/>
    <mergeCell ref="A7:A9"/>
    <mergeCell ref="I7:I9"/>
    <mergeCell ref="M29:M30"/>
    <mergeCell ref="P29:P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4"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7">
        <f>SUMIF('BALANCE N-1'!$A$2:$A$72,"15*",'BALANCE N-1'!$H$2:$H$72)-SUMIF('BALANCE N-1'!$A$2:$A$72,"15*",'BALANCE N-1'!$G$2:$G$72)</f>
        <v/>
      </c>
      <c r="C12" s="3447" t="n"/>
      <c r="D12" s="3447" t="n"/>
      <c r="E12" s="3447">
        <f>MAX(0,(SUMIF('BALANCE N'!$A$2:$A$72,"15*",'BALANCE N'!$H$2:$H$72)-SUMIF('BALANCE N'!$A$2:$A$72,"15*",'BALANCE N'!$G$2:$G$72))-(SUMIF('BALANCE N-1'!$A$2:$A$72,"15*",'BALANCE N-1'!$H$2:$H$72)-SUMIF('BALANCE N-1'!$A$2:$A$72,"15*",'BALANCE N-1'!$G$2:$G$72)))</f>
        <v/>
      </c>
      <c r="F12" s="3447" t="n"/>
      <c r="G12" s="3447" t="n"/>
      <c r="H12" s="3447">
        <f>MAX(0,(SUMIF('BALANCE N-1'!$A$2:$A$72,"15*",'BALANCE N-1'!$H$2:$H$72)-SUMIF('BALANCE N-1'!$A$2:$A$72,"15*",'BALANCE N-1'!$G$2:$G$72))-(SUMIF('BALANCE N'!$A$2:$A$72,"15*",'BALANCE N'!$H$2:$H$72)-SUMIF('BALANCE N'!$A$2:$A$72,"15*",'BALANCE N'!$G$2:$G$72)))</f>
        <v/>
      </c>
      <c r="I12" s="3240">
        <f>B12+C12+D12+E12-F12-G12-H12</f>
        <v/>
      </c>
    </row>
    <row r="13" ht="18" customHeight="1" s="1354">
      <c r="A13" s="1950" t="inlineStr">
        <is>
          <t xml:space="preserve">2. Provisions financières pour risques et charges </t>
        </is>
      </c>
      <c r="B13" s="3240">
        <f>SUMIF('BALANCE N-1'!$A$2:$A$72,"19*",'BALANCE N-1'!$H$2:$H$72)-SUMIF('BALANCE N-1'!$A$2:$A$72,"19*",'BALANCE N-1'!$G$2:$G$72)</f>
        <v/>
      </c>
      <c r="C13" s="3240" t="n">
        <v>0</v>
      </c>
      <c r="D13" s="3240">
        <f>MAX(0,(SUMIF('BALANCE N'!$A$2:$A$72,"19*",'BALANCE N'!$H$2:$H$72)-SUMIF('BALANCE N'!$A$2:$A$72,"19*",'BALANCE N'!$G$2:$G$72))-(SUMIF('BALANCE N-1'!$A$2:$A$72,"19*",'BALANCE N-1'!$H$2:$H$72)-SUMIF('BALANCE N-1'!$A$2:$A$72,"19*",'BALANCE N-1'!$G$2:$G$72)))</f>
        <v/>
      </c>
      <c r="E13" s="3240" t="n">
        <v>0</v>
      </c>
      <c r="F13" s="3240" t="n">
        <v>0</v>
      </c>
      <c r="G13" s="3240">
        <f>MAX(0,(SUMIF('BALANCE N-1'!$A$2:$A$72,"19*",'BALANCE N-1'!$H$2:$H$72)-SUMIF('BALANCE N-1'!$A$2:$A$72,"19*",'BALANCE N-1'!$G$2:$G$72))-(SUMIF('BALANCE N'!$A$2:$A$72,"19*",'BALANCE N'!$H$2:$H$72)-SUMIF('BALANCE N'!$A$2:$A$72,"19*",'BALANCE N'!$G$2:$G$72)))</f>
        <v/>
      </c>
      <c r="H13" s="3240" t="n"/>
      <c r="I13" s="3240">
        <f>B13+C13+D13+E13-F13-G13-H13</f>
        <v/>
      </c>
    </row>
    <row r="14" ht="20.15" customHeight="1" s="1354">
      <c r="A14" s="1950" t="inlineStr">
        <is>
          <t>3. Dépréciation des immobilisations</t>
        </is>
      </c>
      <c r="B14" s="3240">
        <f>SUMIF('BALANCE N-1'!$A$2:$A$72,"29*",'BALANCE N-1'!$H$2:$H$72)-SUMIF('BALANCE N-1'!$A$2:$A$72,"29*",'BALANCE N-1'!$G$2:$G$72)</f>
        <v/>
      </c>
      <c r="C14" s="3240">
        <f>MAX(0,(SUMIF('BALANCE N'!$A$2:$A$72,"29*",'BALANCE N'!$H$2:$H$72)-SUMIF('BALANCE N'!$A$2:$A$72,"29*",'BALANCE N'!$G$2:$G$72))-(SUMIF('BALANCE N-1'!$A$2:$A$72,"29*",'BALANCE N-1'!$H$2:$H$72)-SUMIF('BALANCE N-1'!$A$2:$A$72,"29*",'BALANCE N-1'!$G$2:$G$72)))</f>
        <v/>
      </c>
      <c r="D14" s="3240" t="n"/>
      <c r="E14" s="3240" t="n"/>
      <c r="F14" s="3240">
        <f>MAX(0,(SUMIF('BALANCE N-1'!$A$2:$A$72,"29*",'BALANCE N-1'!$H$2:$H$72)-SUMIF('BALANCE N-1'!$A$2:$A$72,"29*",'BALANCE N-1'!$G$2:$G$72))-(SUMIF('BALANCE N'!$A$2:$A$72,"29*",'BALANCE N'!$H$2:$H$72)-SUMIF('BALANCE N'!$A$2:$A$72,"29*",'BALANCE N'!$G$2:$G$72)))</f>
        <v/>
      </c>
      <c r="G14" s="3240" t="n"/>
      <c r="H14" s="3240" t="n"/>
      <c r="I14" s="3240" t="n"/>
    </row>
    <row r="15" ht="20.15" customHeight="1" s="1354">
      <c r="A15" s="3139" t="inlineStr">
        <is>
          <t>TOTAL DOTATIONS</t>
        </is>
      </c>
      <c r="B15" s="3245">
        <f>SUM(B12:B14)</f>
        <v/>
      </c>
      <c r="C15" s="3448">
        <f>SUM(C12:C14)</f>
        <v/>
      </c>
      <c r="D15" s="1753" t="n"/>
      <c r="E15" s="1754" t="n"/>
      <c r="F15" s="3448">
        <f>SUM(F12:F14)</f>
        <v/>
      </c>
      <c r="G15" s="1753" t="n"/>
      <c r="H15" s="1754" t="n"/>
      <c r="I15" s="3245">
        <f>SUM(I12:I14)</f>
        <v/>
      </c>
    </row>
    <row r="16" ht="20.15" customHeight="1" s="1354">
      <c r="A16" s="1950" t="n"/>
      <c r="B16" s="3240" t="n"/>
      <c r="C16" s="3449" t="n"/>
      <c r="D16" s="1753" t="n"/>
      <c r="E16" s="1754" t="n"/>
      <c r="F16" s="3449" t="n"/>
      <c r="G16" s="1753" t="n"/>
      <c r="H16" s="1754" t="n"/>
      <c r="I16" s="3240" t="n"/>
    </row>
    <row r="17" ht="20.15" customHeight="1" s="1354">
      <c r="A17" s="1950" t="inlineStr">
        <is>
          <t>4. Dépréciations des stocks</t>
        </is>
      </c>
      <c r="B17" s="3240">
        <f>SUMIF('BALANCE N-1'!$A$2:$A$72,"39*",'BALANCE N-1'!$H$2:$H$72)-SUMIF('BALANCE N-1'!$A$2:$A$72,"39*",'BALANCE N-1'!$G$2:$G$72)</f>
        <v/>
      </c>
      <c r="C17" s="3449">
        <f>MAX(0,(SUMIF('BALANCE N'!$A$2:$A$72,"39*",'BALANCE N'!$H$2:$H$72)-SUMIF('BALANCE N'!$A$2:$A$72,"39*",'BALANCE N'!$G$2:$G$72))-(SUMIF('BALANCE N-1'!$A$2:$A$72,"39*",'BALANCE N-1'!$H$2:$H$72)-SUMIF('BALANCE N-1'!$A$2:$A$72,"39*",'BALANCE N-1'!$G$2:$G$72)))</f>
        <v/>
      </c>
      <c r="D17" s="1753" t="n"/>
      <c r="E17" s="1754" t="n"/>
      <c r="F17" s="3449">
        <f>MAX(0,(SUMIF('BALANCE N-1'!$A$2:$A$72,"39*",'BALANCE N-1'!$H$2:$H$72)-SUMIF('BALANCE N-1'!$A$2:$A$72,"39*",'BALANCE N-1'!$G$2:$G$72))-(SUMIF('BALANCE N'!$A$2:$A$72,"39*",'BALANCE N'!$H$2:$H$72)-SUMIF('BALANCE N'!$A$2:$A$72,"39*",'BALANCE N'!$G$2:$G$72)))</f>
        <v/>
      </c>
      <c r="G17" s="1753" t="n"/>
      <c r="H17" s="1754" t="n"/>
      <c r="I17" s="3240">
        <f>B17+C17-F17</f>
        <v/>
      </c>
    </row>
    <row r="18" ht="20.15" customHeight="1" s="1354">
      <c r="A18" s="1950" t="inlineStr">
        <is>
          <t>5. Dépréciations actif circulant HAO</t>
        </is>
      </c>
      <c r="B18" s="3240">
        <f>SUMIF('BALANCE N-1'!$A$2:$A$72,"498*",'BALANCE N-1'!$H$2:$H$72)-SUMIF('BALANCE N-1'!$A$2:$A$72,"498*",'BALANCE N-1'!$G$2:$G$72)</f>
        <v/>
      </c>
      <c r="C18" s="3449">
        <f>MAX(0,(SUMIF('BALANCE N'!$A$2:$A$72,"498*",'BALANCE N'!$H$2:$H$72)-SUMIF('BALANCE N'!$A$2:$A$72,"498*",'BALANCE N'!$G$2:$G$72))-(SUMIF('BALANCE N-1'!$A$2:$A$72,"498*",'BALANCE N-1'!$H$2:$H$72)-SUMIF('BALANCE N-1'!$A$2:$A$72,"498*",'BALANCE N-1'!$G$2:$G$72)))</f>
        <v/>
      </c>
      <c r="D18" s="1753" t="n"/>
      <c r="E18" s="1754" t="n"/>
      <c r="F18" s="3449">
        <f>MAX(0,(SUMIF('BALANCE N-1'!$A$2:$A$72,"498*",'BALANCE N-1'!$H$2:$H$72)-SUMIF('BALANCE N-1'!$A$2:$A$72,"498*",'BALANCE N-1'!$G$2:$G$72))-(SUMIF('BALANCE N'!$A$2:$A$72,"498*",'BALANCE N'!$H$2:$H$72)-SUMIF('BALANCE N'!$A$2:$A$72,"498*",'BALANCE N'!$G$2:$G$72)))</f>
        <v/>
      </c>
      <c r="G18" s="1753" t="n"/>
      <c r="H18" s="1754" t="n"/>
      <c r="I18" s="3240">
        <f>B18+C18-F18</f>
        <v/>
      </c>
    </row>
    <row r="19" ht="20.15" customHeight="1" s="1354">
      <c r="A19" s="1950" t="inlineStr">
        <is>
          <t>6. Dépréciations fournisseurs</t>
        </is>
      </c>
      <c r="B19" s="3240">
        <f>SUMIF('BALANCE N-1'!$A$2:$A$72,"490*",'BALANCE N-1'!$H$2:$H$72)-SUMIF('BALANCE N-1'!$A$2:$A$72,"490*",'BALANCE N-1'!$G$2:$G$72)</f>
        <v/>
      </c>
      <c r="C19" s="3449">
        <f>MAX(0,(SUMIF('BALANCE N'!$A$2:$A$72,"490*",'BALANCE N'!$H$2:$H$72)-SUMIF('BALANCE N'!$A$2:$A$72,"490*",'BALANCE N'!$G$2:$G$72))-(SUMIF('BALANCE N-1'!$A$2:$A$72,"490*",'BALANCE N-1'!$H$2:$H$72)-SUMIF('BALANCE N-1'!$A$2:$A$72,"490*",'BALANCE N-1'!$G$2:$G$72)))</f>
        <v/>
      </c>
      <c r="D19" s="1753" t="n"/>
      <c r="E19" s="1754" t="n"/>
      <c r="F19" s="3449">
        <f>MAX(0,(SUMIF('BALANCE N-1'!$A$2:$A$72,"490*",'BALANCE N-1'!$H$2:$H$72)-SUMIF('BALANCE N-1'!$A$2:$A$72,"490*",'BALANCE N-1'!$G$2:$G$72))-(SUMIF('BALANCE N'!$A$2:$A$72,"490*",'BALANCE N'!$H$2:$H$72)-SUMIF('BALANCE N'!$A$2:$A$72,"490*",'BALANCE N'!$G$2:$G$72)))</f>
        <v/>
      </c>
      <c r="G19" s="1753" t="n"/>
      <c r="H19" s="1754" t="n"/>
      <c r="I19" s="3240">
        <f>B19+C19-F19</f>
        <v/>
      </c>
    </row>
    <row r="20" ht="20.15" customHeight="1" s="1354">
      <c r="A20" s="1950" t="inlineStr">
        <is>
          <t>7. Dépréciations clients</t>
        </is>
      </c>
      <c r="B20" s="3240">
        <f>SUMIF('BALANCE N-1'!$A$2:$A$72,"491*",'BALANCE N-1'!$H$2:$H$72)-SUMIF('BALANCE N-1'!$A$2:$A$72,"491*",'BALANCE N-1'!$G$2:$G$72)</f>
        <v/>
      </c>
      <c r="C20" s="3449">
        <f>MAX(0,(SUMIF('BALANCE N'!$A$2:$A$72,"491*",'BALANCE N'!$H$2:$H$72)-SUMIF('BALANCE N'!$A$2:$A$72,"491*",'BALANCE N'!$G$2:$G$72))-(SUMIF('BALANCE N-1'!$A$2:$A$72,"491*",'BALANCE N-1'!$H$2:$H$72)-SUMIF('BALANCE N-1'!$A$2:$A$72,"491*",'BALANCE N-1'!$G$2:$G$72)))</f>
        <v/>
      </c>
      <c r="D20" s="1753" t="n"/>
      <c r="E20" s="1754" t="n"/>
      <c r="F20" s="3449">
        <f>MAX(0,(SUMIF('BALANCE N-1'!$A$2:$A$72,"491*",'BALANCE N-1'!$H$2:$H$72)-SUMIF('BALANCE N-1'!$A$2:$A$72,"491*",'BALANCE N-1'!$G$2:$G$72))-(SUMIF('BALANCE N'!$A$2:$A$72,"491*",'BALANCE N'!$H$2:$H$72)-SUMIF('BALANCE N'!$A$2:$A$72,"491*",'BALANCE N'!$G$2:$G$72)))</f>
        <v/>
      </c>
      <c r="G20" s="1753" t="n"/>
      <c r="H20" s="1754" t="n"/>
      <c r="I20" s="3240">
        <f>B20+C20-F20</f>
        <v/>
      </c>
    </row>
    <row r="21" ht="20.15" customHeight="1" s="1354">
      <c r="A21" s="1950" t="inlineStr">
        <is>
          <t>5. Dépréciations fournisseurs</t>
        </is>
      </c>
      <c r="B21" s="3240" t="n"/>
      <c r="C21" s="3449" t="n"/>
      <c r="D21" s="1753" t="n"/>
      <c r="E21" s="1754" t="n"/>
      <c r="F21" s="3449" t="n"/>
      <c r="G21" s="1753" t="n"/>
      <c r="H21" s="1754" t="n"/>
      <c r="I21" s="3240">
        <f>B21+C21-F21</f>
        <v/>
      </c>
    </row>
    <row r="22" ht="20.15" customHeight="1" s="1354">
      <c r="A22" s="1950" t="inlineStr">
        <is>
          <t>7. Dépréciations autres créances</t>
        </is>
      </c>
      <c r="B22" s="3240">
        <f>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f>
        <v/>
      </c>
      <c r="C22" s="3450">
        <f>MAX(0,(SUMIF('BALANCE N'!$A$2:$A$72,"496*",'BALANCE N'!$H$2:$H$72)-SUMIF('BALANCE N'!$A$2:$A$72,"496*",'BALANCE N'!$G$2:$G$72)+SUMIF('BALANCE N'!$A$2:$A$72,"494*",'BALANCE N'!$H$2:$H$72)-SUMIF('BALANCE N'!$A$2:$A$72,"494*",'BALANCE N'!$G$2:$G$72)+SUMIF('BALANCE N'!$A$2:$A$72,"497*",'BALANCE N'!$H$2:$H$72)-SUMIF('BALANCE N'!$A$2:$A$72,"497*",'BALANCE N'!$G$2:$G$72)+SUMIF('BALANCE N'!$A$2:$A$72,"495*",'BALANCE N'!$H$2:$H$72)-SUMIF('BALANCE N'!$A$2:$A$72,"495*",'BALANCE N'!$G$2:$G$72)+SUMIF('BALANCE N'!$A$2:$A$72,"493*",'BALANCE N'!$H$2:$H$72)-SUMIF('BALANCE N'!$A$2:$A$72,"493*",'BALANCE N'!$G$2:$G$72)+SUMIF('BALANCE N'!$A$2:$A$72,"492*",'BALANCE N'!$H$2:$H$72)-SUMIF('BALANCE N'!$A$2:$A$72,"492*",'BALANCE N'!$G$2:$G$72))-(SUMIF('BALANCE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f>
        <v/>
      </c>
      <c r="D22" s="3450" t="n"/>
      <c r="E22" s="3450" t="n"/>
      <c r="F22" s="3450">
        <f>MAX(0,(SUMIF('BALANCE N-1'!$A$2:$A$72,"496*",'BALANCE N-1'!$H$2:$H$72)-SUMIF('BALANCE N-1'!$A$2:$A$72,"496*",'BALANCE N-1'!$G$2:$G$72)+SUMIF('BALANCE N-1'!$A$2:$A$72,"494*",'BALANCE N-1'!$H$2:$H$72)-SUMIF('BALANCE N-1'!$A$2:$A$72,"494*",'BALANCE N-1'!$G$2:$G$72)+SUMIF('BALANCE N-1'!$A$2:$A$72,"497*",'BALANCE N-1'!$H$2:$H$72)-SUMIF('BALANCE N-1'!$A$2:$A$72,"497*",'BALANCE N-1'!$G$2:$G$72)+SUMIF('BALANCE N-1'!$A$2:$A$72,"495*",'BALANCE N-1'!$H$2:$H$72)-SUMIF('BALANCE N-1'!$A$2:$A$72,"495*",'BALANCE N-1'!$G$2:$G$72)+SUMIF('BALANCE N-1'!$A$2:$A$72,"493*",'BALANCE N-1'!$H$2:$H$72)-SUMIF('BALANCE N-1'!$A$2:$A$72,"493*",'BALANCE N-1'!$G$2:$G$72)+SUMIF('BALANCE N-1'!$A$2:$A$72,"492*",'BALANCE N-1'!$H$2:$H$72)-SUMIF('BALANCE N-1'!$A$2:$A$72,"492*",'BALANCE N-1'!$G$2:$G$72))-(SUMIF('BALANCE N'!$A$2:$A$72,"496*",'BALANCE N'!$H$2:$H$72)-SUMIF('BALANCE N'!$A$2:$A$72,"496*",'BALANCE N'!$G$2:$G$72)+SUMIF('BALANCE N'!$A$2:$A$72,"494*",'BALANCE N'!$H$2:$H$72)-SUMIF('BALANCE N'!$A$2:$A$72,"494*",'BALANCE N'!$G$2:$G$72)+SUMIF('BALANCE N'!$A$2:$A$72,"497*",'BALANCE N'!$H$2:$H$72)-SUMIF('BALANCE N'!$A$2:$A$72,"497*",'BALANCE N'!$G$2:$G$72)+SUMIF('BALANCE N'!$A$2:$A$72,"495*",'BALANCE N'!$H$2:$H$72)-SUMIF('BALANCE N'!$A$2:$A$72,"495*",'BALANCE N'!$G$2:$G$72)+SUMIF('BALANCE N'!$A$2:$A$72,"493*",'BALANCE N'!$H$2:$H$72)-SUMIF('BALANCE N'!$A$2:$A$72,"493*",'BALANCE N'!$G$2:$G$72)+SUMIF('BALANCE N'!$A$2:$A$72,"492*",'BALANCE N'!$H$2:$H$72)-SUMIF('BALANCE N'!$A$2:$A$72,"492*",'BALANCE N'!$G$2:$G$72)))</f>
        <v/>
      </c>
      <c r="G22" s="3450" t="n"/>
      <c r="H22" s="3450" t="n"/>
      <c r="I22" s="3450">
        <f>B22+C22+D22+E22-F22-G22-H22</f>
        <v/>
      </c>
    </row>
    <row r="23" ht="20.15" customHeight="1" s="1354">
      <c r="A23" s="1950" t="inlineStr">
        <is>
          <t>8. Dépréciations titres de placement</t>
        </is>
      </c>
      <c r="B23" s="3240">
        <f>SUMIF('BALANCE N-1'!$A$2:$A$72,"590*",'BALANCE N-1'!$H$2:$H$72)-SUMIF('BALANCE N-1'!$A$2:$A$72,"590*",'BALANCE N-1'!$G$2:$G$72)</f>
        <v/>
      </c>
      <c r="C23" s="3450" t="n"/>
      <c r="D23" s="3450">
        <f>MAX(0,(SUMIF('BALANCE N'!$A$2:$A$72,"590*",'BALANCE N'!$H$2:$H$72)-SUMIF('BALANCE N'!$A$2:$A$72,"590*",'BALANCE N'!$G$2:$G$72))-(SUMIF('BALANCE N-1'!$A$2:$A$72,"590*",'BALANCE N-1'!$H$2:$H$72)-SUMIF('BALANCE N-1'!$A$2:$A$72,"590*",'BALANCE N-1'!$G$2:$G$72)))</f>
        <v/>
      </c>
      <c r="E23" s="3450" t="n"/>
      <c r="F23" s="3450" t="n"/>
      <c r="G23" s="3450">
        <f>MAX(0,(SUMIF('BALANCE N-1'!$A$2:$A$72,"590*",'BALANCE N-1'!$H$2:$H$72)-SUMIF('BALANCE N-1'!$A$2:$A$72,"590*",'BALANCE N-1'!$G$2:$G$72))-(SUMIF('BALANCE N'!$A$2:$A$72,"590*",'BALANCE N'!$H$2:$H$72)-SUMIF('BALANCE N'!$A$2:$A$72,"590*",'BALANCE N'!$G$2:$G$72)))</f>
        <v/>
      </c>
      <c r="H23" s="3450" t="n"/>
      <c r="I23" s="3450" t="n"/>
    </row>
    <row r="24" ht="20.15" customHeight="1" s="1354">
      <c r="A24" s="1950" t="inlineStr">
        <is>
          <t>9. Dépréciations valeurs à encaisser</t>
        </is>
      </c>
      <c r="B24" s="3240">
        <f>SUMIF('BALANCE N-1'!$A$2:$A$72,"591*",'BALANCE N-1'!$H$2:$H$72)-SUMIF('BALANCE N-1'!$A$2:$A$72,"591*",'BALANCE N-1'!$G$2:$G$72)</f>
        <v/>
      </c>
      <c r="C24" s="3450" t="n"/>
      <c r="D24" s="3450">
        <f>MAX(0,(SUMIF('BALANCE N'!$A$2:$A$72,"591*",'BALANCE N'!$H$2:$H$72)-SUMIF('BALANCE N'!$A$2:$A$72,"591*",'BALANCE N'!$G$2:$G$72))-(SUMIF('BALANCE N-1'!$A$2:$A$72,"591*",'BALANCE N-1'!$H$2:$H$72)-SUMIF('BALANCE N-1'!$A$2:$A$72,"591*",'BALANCE N-1'!$G$2:$G$72)))</f>
        <v/>
      </c>
      <c r="E24" s="3450" t="n"/>
      <c r="F24" s="3450" t="n"/>
      <c r="G24" s="3450">
        <f>MAX(0,(SUMIF('BALANCE N-1'!$A$2:$A$72,"591*",'BALANCE N-1'!$H$2:$H$72)-SUMIF('BALANCE N-1'!$A$2:$A$72,"591*",'BALANCE N-1'!$G$2:$G$72))-(SUMIF('BALANCE N'!$A$2:$A$72,"591*",'BALANCE N'!$H$2:$H$72)-SUMIF('BALANCE N'!$A$2:$A$72,"591*",'BALANCE N'!$G$2:$G$72)))</f>
        <v/>
      </c>
      <c r="H24" s="3450" t="n"/>
      <c r="I24" s="3450" t="n"/>
    </row>
    <row r="25" ht="20.15" customHeight="1" s="1354">
      <c r="A25" s="1950" t="inlineStr">
        <is>
          <t xml:space="preserve">10. Dépréciations disponibilité </t>
        </is>
      </c>
      <c r="B25" s="3240">
        <f>SUMIF('BALANCE N-1'!$A$2:$A$72,"592*",'BALANCE N-1'!$H$2:$H$72)-SUMIF('BALANCE N-1'!$A$2:$A$72,"592*",'BALANCE N-1'!$G$2:$G$72)+SUMIF('BALANCE N-1'!$A$2:$A$72,"594*",'BALANCE N-1'!$H$2:$H$72)-SUMIF('BALANCE N-1'!$A$2:$A$72,"594*",'BALANCE N-1'!$G$2:$G$72)+SUMIF('BALANCE N-1'!$A$2:$A$72,"593*",'BALANCE N-1'!$H$2:$H$72)-SUMIF('BALANCE N-1'!$A$2:$A$72,"593*",'BALANCE N-1'!$G$2:$G$72)</f>
        <v/>
      </c>
      <c r="C25" s="3450" t="n"/>
      <c r="D25" s="3450">
        <f>MAX(0,(SUMIF('BALANCE N'!$A$2:$A$72,"592*",'BALANCE N'!$H$2:$H$72)-SUMIF('BALANCE N'!$A$2:$A$72,"592*",'BALANCE N'!$G$2:$G$72)+SUMIF('BALANCE N'!$A$2:$A$72,"594*",'BALANCE N'!$H$2:$H$72)-SUMIF('BALANCE N'!$A$2:$A$72,"594*",'BALANCE N'!$G$2:$G$72)+SUMIF('BALANCE N'!$A$2:$A$72,"593*",'BALANCE N'!$H$2:$H$72)-SUMIF('BALANCE N'!$A$2:$A$72,"593*",'BALANCE N'!$G$2:$G$72))-(SUMIF('BALANCE N-1'!$A$2:$A$72,"592*",'BALANCE N-1'!$H$2:$H$72)-SUMIF('BALANCE N-1'!$A$2:$A$72,"592*",'BALANCE N-1'!$G$2:$G$72)+SUMIF('BALANCE N-1'!$A$2:$A$72,"594*",'BALANCE N-1'!$H$2:$H$72)-SUMIF('BALANCE N-1'!$A$2:$A$72,"594*",'BALANCE N-1'!$G$2:$G$72)+SUMIF('BALANCE N-1'!$A$2:$A$72,"593*",'BALANCE N-1'!$H$2:$H$72)-SUMIF('BALANCE N-1'!$A$2:$A$72,"593*",'BALANCE N-1'!$G$2:$G$72)))</f>
        <v/>
      </c>
      <c r="E25" s="3450" t="n"/>
      <c r="F25" s="3450" t="n"/>
      <c r="G25" s="3450">
        <f>MAX(0,(SUMIF('BALANCE N-1'!$A$2:$A$72,"592*",'BALANCE N-1'!$H$2:$H$72)-SUMIF('BALANCE N-1'!$A$2:$A$72,"592*",'BALANCE N-1'!$G$2:$G$72)+SUMIF('BALANCE N-1'!$A$2:$A$72,"594*",'BALANCE N-1'!$H$2:$H$72)-SUMIF('BALANCE N-1'!$A$2:$A$72,"594*",'BALANCE N-1'!$G$2:$G$72)+SUMIF('BALANCE N-1'!$A$2:$A$72,"593*",'BALANCE N-1'!$H$2:$H$72)-SUMIF('BALANCE N-1'!$A$2:$A$72,"593*",'BALANCE N-1'!$G$2:$G$72))-(SUMIF('BALANCE N'!$A$2:$A$72,"592*",'BALANCE N'!$H$2:$H$72)-SUMIF('BALANCE N'!$A$2:$A$72,"592*",'BALANCE N'!$G$2:$G$72)+SUMIF('BALANCE N'!$A$2:$A$72,"594*",'BALANCE N'!$H$2:$H$72)-SUMIF('BALANCE N'!$A$2:$A$72,"594*",'BALANCE N'!$G$2:$G$72)+SUMIF('BALANCE N'!$A$2:$A$72,"593*",'BALANCE N'!$H$2:$H$72)-SUMIF('BALANCE N'!$A$2:$A$72,"593*",'BALANCE N'!$G$2:$G$72)))</f>
        <v/>
      </c>
      <c r="H25" s="3450" t="n"/>
      <c r="I25" s="3450" t="n"/>
    </row>
    <row r="26" ht="15" customHeight="1" s="1354">
      <c r="A26" s="1950" t="inlineStr">
        <is>
          <t xml:space="preserve">11. Dépréciations et provisions pour risques court termes d’exploitation </t>
        </is>
      </c>
      <c r="B26" s="3240">
        <f>SUMIF('BALANCE N-1'!$A$2:$A$72,"499*",'BALANCE N-1'!$H$2:$H$72)-SUMIF('BALANCE N-1'!$A$2:$A$72,"499*",'BALANCE N-1'!$G$2:$G$72)-SUMIF('BALANCE N-1'!$A$2:$A$72,"4998*",'BALANCE N-1'!$H$2:$H$72)+SUMIF('BALANCE N-1'!$A$2:$A$72,"4998*",'BALANCE N-1'!$G$2:$G$72)</f>
        <v/>
      </c>
      <c r="C26" s="3450">
        <f>MAX(0,(SUMIF('BALANCE N'!$A$2:$A$72,"499*",'BALANCE N'!$H$2:$H$72)-SUMIF('BALANCE N'!$A$2:$A$72,"499*",'BALANCE N'!$G$2:$G$72)-SUMIF('BALANCE N'!$A$2:$A$72,"4998*",'BALANCE N'!$H$2:$H$72)+SUMIF('BALANCE N'!$A$2:$A$72,"4998*",'BALANCE N'!$G$2:$G$72))-(SUMIF('BALANCE N-1'!$A$2:$A$72,"499*",'BALANCE N-1'!$H$2:$H$72)-SUMIF('BALANCE N-1'!$A$2:$A$72,"499*",'BALANCE N-1'!$G$2:$G$72)-SUMIF('BALANCE N-1'!$A$2:$A$72,"4998*",'BALANCE N-1'!$H$2:$H$72)+SUMIF('BALANCE N-1'!$A$2:$A$72,"4998*",'BALANCE N-1'!$G$2:$G$72)))</f>
        <v/>
      </c>
      <c r="D26" s="3450" t="n"/>
      <c r="E26" s="3450" t="n"/>
      <c r="F26" s="3450">
        <f>MAX(0,(SUMIF('BALANCE N-1'!$A$2:$A$72,"499*",'BALANCE N-1'!$H$2:$H$72)-SUMIF('BALANCE N-1'!$A$2:$A$72,"499*",'BALANCE N-1'!$G$2:$G$72)-SUMIF('BALANCE N-1'!$A$2:$A$72,"4998*",'BALANCE N-1'!$H$2:$H$72)+SUMIF('BALANCE N-1'!$A$2:$A$72,"4998*",'BALANCE N-1'!$G$2:$G$72))-(SUMIF('BALANCE N'!$A$2:$A$72,"499*",'BALANCE N'!$H$2:$H$72)-SUMIF('BALANCE N'!$A$2:$A$72,"499*",'BALANCE N'!$G$2:$G$72)-SUMIF('BALANCE N'!$A$2:$A$72,"4998*",'BALANCE N'!$H$2:$H$72)+SUMIF('BALANCE N'!$A$2:$A$72,"4998*",'BALANCE N'!$G$2:$G$72)))</f>
        <v/>
      </c>
      <c r="G26" s="3450" t="n"/>
      <c r="H26" s="3450" t="n"/>
      <c r="I26" s="3450" t="n"/>
    </row>
    <row r="27" ht="16.5" customHeight="1" s="1354">
      <c r="A27" s="1950" t="inlineStr">
        <is>
          <t>12. Dépréciations et provisions pour risques à court termes à caractère financiers</t>
        </is>
      </c>
      <c r="B27" s="3240">
        <f>SUMIF('BALANCE N-1'!$A$2:$A$72,"599*",'BALANCE N-1'!$H$2:$H$72)-SUMIF('BALANCE N-1'!$A$2:$A$72,"599*",'BALANCE N-1'!$G$2:$G$72)</f>
        <v/>
      </c>
      <c r="C27" s="3450" t="n"/>
      <c r="D27" s="3450">
        <f>MAX(0,(SUMIF('BALANCE N'!$A$2:$A$72,"599*",'BALANCE N'!$H$2:$H$72)-SUMIF('BALANCE N'!$A$2:$A$72,"599*",'BALANCE N'!$G$2:$G$72))-(SUMIF('BALANCE N-1'!$A$2:$A$72,"599*",'BALANCE N-1'!$H$2:$H$72)-SUMIF('BALANCE N-1'!$A$2:$A$72,"599*",'BALANCE N-1'!$G$2:$G$72)))</f>
        <v/>
      </c>
      <c r="E27" s="3450" t="n"/>
      <c r="F27" s="3450" t="n"/>
      <c r="G27" s="3450">
        <f>MAX(0,(SUMIF('BALANCE N-1'!$A$2:$A$72,"599*",'BALANCE N-1'!$H$2:$H$72)-SUMIF('BALANCE N-1'!$A$2:$A$72,"599*",'BALANCE N-1'!$G$2:$G$72))-(SUMIF('BALANCE N'!$A$2:$A$72,"599*",'BALANCE N'!$H$2:$H$72)-SUMIF('BALANCE N'!$A$2:$A$72,"599*",'BALANCE N'!$G$2:$G$72)))</f>
        <v/>
      </c>
      <c r="H27" s="3450" t="n"/>
      <c r="I27" s="3450" t="n"/>
    </row>
    <row r="28" ht="12.5" customHeight="1" s="1354">
      <c r="A28" s="3139" t="inlineStr">
        <is>
          <t>TOTAL : CHARGES POUR DEPRECIATIONS ET PROVISIONS A COURT TERME</t>
        </is>
      </c>
      <c r="B28" s="3245">
        <f>SUM(B17:B27)</f>
        <v/>
      </c>
      <c r="C28" s="3448">
        <f>SUM(C17:C27)</f>
        <v/>
      </c>
      <c r="D28" s="1753" t="n"/>
      <c r="E28" s="1754" t="n"/>
      <c r="F28" s="3448">
        <f>SUM(F17:F27)</f>
        <v/>
      </c>
      <c r="G28" s="1753" t="n"/>
      <c r="H28" s="1754" t="n"/>
      <c r="I28" s="3245">
        <f>SUM(I17:I27)</f>
        <v/>
      </c>
    </row>
    <row r="29" ht="10.5" customHeight="1" s="1354">
      <c r="A29" s="1950" t="n"/>
      <c r="B29" s="3241" t="n"/>
      <c r="C29" s="3451" t="n"/>
      <c r="D29" s="1753" t="n"/>
      <c r="E29" s="1754" t="n"/>
      <c r="F29" s="3451" t="n"/>
      <c r="G29" s="1753" t="n"/>
      <c r="H29" s="1754" t="n"/>
      <c r="I29" s="3241" t="n"/>
    </row>
    <row r="30" ht="12.5" customHeight="1" s="1354">
      <c r="A30" s="3452" t="inlineStr">
        <is>
          <t>TOTAL PROVISIONS ET DEPRECIATIONS</t>
        </is>
      </c>
      <c r="B30" s="3453">
        <f>B15+B28</f>
        <v/>
      </c>
      <c r="C30" s="3454">
        <f>C15+C28</f>
        <v/>
      </c>
      <c r="D30" s="1753" t="n"/>
      <c r="E30" s="1754" t="n"/>
      <c r="F30" s="3454">
        <f>F15+F28</f>
        <v/>
      </c>
      <c r="G30" s="1753" t="n"/>
      <c r="H30" s="1754" t="n"/>
      <c r="I30" s="3453">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row r="34"/>
    <row r="35" ht="34" customHeight="1" s="1354">
      <c r="A35" s="3031">
        <f>IF(SUM(B12:B30,C12:C30,D12:D27,E12:E27,F12:F30,G12:G27,H12:H27,I12:I30)=0,"NÉANT","")</f>
        <v/>
      </c>
    </row>
    <row r="36" ht="34" customHeight="1" s="1354"/>
    <row r="37" ht="34" customHeight="1" s="1354"/>
  </sheetData>
  <mergeCells count="30">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A35:I37"/>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5" t="inlineStr">
        <is>
          <t xml:space="preserve">Libellés </t>
        </is>
      </c>
      <c r="B9" s="3455" t="inlineStr">
        <is>
          <t xml:space="preserve">Année  N </t>
        </is>
      </c>
      <c r="C9" s="3455" t="inlineStr">
        <is>
          <t xml:space="preserve">Année  N-1 </t>
        </is>
      </c>
      <c r="D9" s="3455" t="inlineStr">
        <is>
          <t xml:space="preserve">Variation en % </t>
        </is>
      </c>
    </row>
    <row r="10" ht="20.15" customHeight="1" s="1354">
      <c r="A10" s="2226" t="inlineStr">
        <is>
          <t xml:space="preserve">Intérêts des emprunts </t>
        </is>
      </c>
      <c r="B10" s="3422">
        <f>SUMIF('BALANCE N'!$A$2:$A$72,"671*",'BALANCE N'!$G$2:$G$72)-SUMIF('BALANCE N'!$A$2:$A$72,"671*",'BALANCE N'!$H$2:$H$72)</f>
        <v/>
      </c>
      <c r="C10" s="3422">
        <f>SUMIF('BALANCE N-1'!$A$2:$A$72,"671*",'BALANCE N-1'!$G$2:$G$72)-SUMIF('BALANCE N-1'!$A$2:$A$72,"671*",'BALANCE N-1'!$H$2:$H$72)</f>
        <v/>
      </c>
      <c r="D10" s="3456" t="n"/>
    </row>
    <row r="11" ht="20.15" customHeight="1" s="1354">
      <c r="A11" s="2226" t="inlineStr">
        <is>
          <t xml:space="preserve">Intérêts dans loyers de locations acquisition </t>
        </is>
      </c>
      <c r="B11" s="3457">
        <f>SUMIF('BALANCE N'!$A$2:$A$72,"672*",'BALANCE N'!$G$2:$G$72)-SUMIF('BALANCE N'!$A$2:$A$72,"672*",'BALANCE N'!$H$2:$H$72)</f>
        <v/>
      </c>
      <c r="C11" s="3457">
        <f>SUMIF('BALANCE N-1'!$A$2:$A$72,"672*",'BALANCE N-1'!$G$2:$G$72)-SUMIF('BALANCE N-1'!$A$2:$A$72,"672*",'BALANCE N-1'!$H$2:$H$72)</f>
        <v/>
      </c>
      <c r="D11" s="3457" t="n"/>
    </row>
    <row r="12" ht="20.15" customHeight="1" s="1354">
      <c r="A12" s="2226" t="inlineStr">
        <is>
          <t xml:space="preserve">Escomptes accordés </t>
        </is>
      </c>
      <c r="B12" s="3457">
        <f>SUMIF('BALANCE N'!$A$2:$A$72,"673*",'BALANCE N'!$G$2:$G$72)-SUMIF('BALANCE N'!$A$2:$A$72,"673*",'BALANCE N'!$H$2:$H$72)</f>
        <v/>
      </c>
      <c r="C12" s="3457">
        <f>SUMIF('BALANCE N-1'!$A$2:$A$72,"673*",'BALANCE N-1'!$G$2:$G$72)-SUMIF('BALANCE N-1'!$A$2:$A$72,"673*",'BALANCE N-1'!$H$2:$H$72)</f>
        <v/>
      </c>
      <c r="D12" s="3457" t="n"/>
    </row>
    <row r="13" ht="20.15" customHeight="1" s="1354">
      <c r="A13" s="2226" t="inlineStr">
        <is>
          <t xml:space="preserve">Autres intérêts </t>
        </is>
      </c>
      <c r="B13" s="3223">
        <f>SUMIF('BALANCE N'!$A$2:$A$72,"674*",'BALANCE N'!$G$2:$G$72)-SUMIF('BALANCE N'!$A$2:$A$72,"674*",'BALANCE N'!$H$2:$H$72)</f>
        <v/>
      </c>
      <c r="C13" s="3223">
        <f>SUMIF('BALANCE N-1'!$A$2:$A$72,"674*",'BALANCE N-1'!$G$2:$G$72)-SUMIF('BALANCE N-1'!$A$2:$A$72,"674*",'BALANCE N-1'!$H$2:$H$72)</f>
        <v/>
      </c>
      <c r="D13" s="3360">
        <f>(B13-C13)/C13</f>
        <v/>
      </c>
    </row>
    <row r="14" ht="20.15" customHeight="1" s="1354">
      <c r="A14" s="2226" t="inlineStr">
        <is>
          <t xml:space="preserve">Escomptes des effets de commerce </t>
        </is>
      </c>
      <c r="B14" s="3223">
        <f>SUMIF('BALANCE N'!$A$2:$A$72,"675*",'BALANCE N'!$G$2:$G$72)-SUMIF('BALANCE N'!$A$2:$A$72,"675*",'BALANCE N'!$H$2:$H$72)</f>
        <v/>
      </c>
      <c r="C14" s="3223">
        <f>SUMIF('BALANCE N-1'!$A$2:$A$72,"675*",'BALANCE N-1'!$G$2:$G$72)-SUMIF('BALANCE N-1'!$A$2:$A$72,"675*",'BALANCE N-1'!$H$2:$H$72)</f>
        <v/>
      </c>
      <c r="D14" s="3360" t="n"/>
    </row>
    <row r="15" ht="20.15" customHeight="1" s="1354">
      <c r="A15" s="2226" t="inlineStr">
        <is>
          <t xml:space="preserve">Pertes de change </t>
        </is>
      </c>
      <c r="B15" s="3223">
        <f>SUMIF('BALANCE N'!$A$2:$A$72,"676*",'BALANCE N'!$G$2:$G$72)-SUMIF('BALANCE N'!$A$2:$A$72,"676*",'BALANCE N'!$H$2:$H$72)</f>
        <v/>
      </c>
      <c r="C15" s="3223">
        <f>SUMIF('BALANCE N-1'!$A$2:$A$72,"676*",'BALANCE N-1'!$G$2:$G$72)-SUMIF('BALANCE N-1'!$A$2:$A$72,"676*",'BALANCE N-1'!$H$2:$H$72)</f>
        <v/>
      </c>
      <c r="D15" s="3360" t="n"/>
    </row>
    <row r="16" ht="20.15" customHeight="1" s="1354">
      <c r="A16" s="2226" t="inlineStr">
        <is>
          <t xml:space="preserve">Pertes sur cessions de titres de placement </t>
        </is>
      </c>
      <c r="B16" s="3223">
        <f>SUMIF('BALANCE N'!$A$2:$A$72,"677*",'BALANCE N'!$G$2:$G$72)-SUMIF('BALANCE N'!$A$2:$A$72,"677*",'BALANCE N'!$H$2:$H$72)</f>
        <v/>
      </c>
      <c r="C16" s="3223">
        <f>SUMIF('BALANCE N-1'!$A$2:$A$72,"677*",'BALANCE N-1'!$G$2:$G$72)-SUMIF('BALANCE N-1'!$A$2:$A$72,"677*",'BALANCE N-1'!$H$2:$H$72)</f>
        <v/>
      </c>
      <c r="D16" s="3360" t="n"/>
    </row>
    <row r="17" ht="23" customHeight="1" s="1354">
      <c r="A17" s="2226" t="inlineStr">
        <is>
          <t xml:space="preserve">Malis provenant d’attribution gratuite d’actions au personnel salarié et aux dirigeants </t>
        </is>
      </c>
      <c r="B17" s="3223" t="n"/>
      <c r="C17" s="3223" t="n"/>
      <c r="D17" s="3360" t="n"/>
    </row>
    <row r="18" ht="20.15" customHeight="1" s="1354">
      <c r="A18" s="2226" t="inlineStr">
        <is>
          <t xml:space="preserve">Pertes sur risques financiers </t>
        </is>
      </c>
      <c r="B18" s="3223">
        <f>SUMIF('BALANCE N'!$A$2:$A$72,"678*",'BALANCE N'!$G$2:$G$72)-SUMIF('BALANCE N'!$A$2:$A$72,"678*",'BALANCE N'!$H$2:$H$72)</f>
        <v/>
      </c>
      <c r="C18" s="3223">
        <f>SUMIF('BALANCE N-1'!$A$2:$A$72,"678*",'BALANCE N-1'!$G$2:$G$72)-SUMIF('BALANCE N-1'!$A$2:$A$72,"678*",'BALANCE N-1'!$H$2:$H$72)</f>
        <v/>
      </c>
      <c r="D18" s="3360" t="n"/>
    </row>
    <row r="19" ht="23.5" customHeight="1" s="1354">
      <c r="A19" s="2376" t="inlineStr">
        <is>
          <t xml:space="preserve">Charges pour dépréciation et provisions à court terme à caractère financier (voir note 28) </t>
        </is>
      </c>
      <c r="B19" s="3225">
        <f>SUMIF('BALANCE N'!$A$2:$A$72,"679*",'BALANCE N'!$G$2:$G$72)-SUMIF('BALANCE N'!$A$2:$A$72,"679*",'BALANCE N'!$H$2:$H$72)</f>
        <v/>
      </c>
      <c r="C19" s="3225">
        <f>SUMIF('BALANCE N-1'!$A$2:$A$72,"679*",'BALANCE N-1'!$G$2:$G$72)-SUMIF('BALANCE N-1'!$A$2:$A$72,"679*",'BALANCE N-1'!$H$2:$H$72)</f>
        <v/>
      </c>
      <c r="D19" s="3458" t="n"/>
    </row>
    <row r="20" ht="20.15" customHeight="1" s="1354">
      <c r="A20" s="3226" t="inlineStr">
        <is>
          <t xml:space="preserve">SOUS TOTAL : FRAIS FINANCIERS </t>
        </is>
      </c>
      <c r="B20" s="3227">
        <f>SUM(B10:B19)</f>
        <v/>
      </c>
      <c r="C20" s="3227">
        <f>SUM(C10:C19)</f>
        <v/>
      </c>
      <c r="D20" s="3238">
        <f>SUM(D10:D19)</f>
        <v/>
      </c>
    </row>
    <row r="21" ht="20.15" customHeight="1" s="1354">
      <c r="A21" s="2224" t="inlineStr">
        <is>
          <t>  </t>
        </is>
      </c>
      <c r="B21" s="3279" t="n"/>
      <c r="C21" s="3279" t="n"/>
      <c r="D21" s="3279" t="n"/>
    </row>
    <row r="22" ht="20.15" customHeight="1" s="1354">
      <c r="A22" s="2226" t="inlineStr">
        <is>
          <t xml:space="preserve">Intérêts de prêts et créances diverses </t>
        </is>
      </c>
      <c r="B22" s="3223">
        <f>SUMIF('BALANCE N'!$A$2:$A$72,"771*",'BALANCE N'!$H$2:$H$72)-SUMIF('BALANCE N'!$A$2:$A$72,"771*",'BALANCE N'!$G$2:$G$72)+SUMIF('BALANCE N'!$A$2:$A$72,"775*",'BALANCE N'!$H$2:$H$72)-SUMIF('BALANCE N'!$A$2:$A$72,"775*",'BALANCE N'!$G$2:$G$72)</f>
        <v/>
      </c>
      <c r="C22" s="3223">
        <f>SUMIF('BALANCE N-1'!$A$2:$A$72,"771*",'BALANCE N-1'!$H$2:$H$72)-SUMIF('BALANCE N-1'!$A$2:$A$72,"771*",'BALANCE N-1'!$G$2:$G$72)+SUMIF('BALANCE N-1'!$A$2:$A$72,"775*",'BALANCE N-1'!$H$2:$H$72)-SUMIF('BALANCE N-1'!$A$2:$A$72,"775*",'BALANCE N-1'!$G$2:$G$72)</f>
        <v/>
      </c>
      <c r="D22" s="3223" t="n"/>
    </row>
    <row r="23" ht="20.15" customHeight="1" s="1354">
      <c r="A23" s="2226" t="inlineStr">
        <is>
          <t xml:space="preserve">Revenus de participations </t>
        </is>
      </c>
      <c r="B23" s="3223">
        <f>SUMIF('BALANCE N'!$A$2:$A$72,"772*",'BALANCE N'!$H$2:$H$72)-SUMIF('BALANCE N'!$A$2:$A$72,"772*",'BALANCE N'!$G$2:$G$72)</f>
        <v/>
      </c>
      <c r="C23" s="3223">
        <f>SUMIF('BALANCE N-1'!$A$2:$A$72,"772*",'BALANCE N-1'!$H$2:$H$72)-SUMIF('BALANCE N-1'!$A$2:$A$72,"772*",'BALANCE N-1'!$G$2:$G$72)</f>
        <v/>
      </c>
      <c r="D23" s="3223" t="n"/>
    </row>
    <row r="24" ht="20.15" customHeight="1" s="1354">
      <c r="A24" s="2226" t="inlineStr">
        <is>
          <t xml:space="preserve">Escomptes obtenus </t>
        </is>
      </c>
      <c r="B24" s="3223">
        <f>SUMIF('BALANCE N'!$A$2:$A$72,"773*",'BALANCE N'!$H$2:$H$72)-SUMIF('BALANCE N'!$A$2:$A$72,"773*",'BALANCE N'!$G$2:$G$72)</f>
        <v/>
      </c>
      <c r="C24" s="3223">
        <f>SUMIF('BALANCE N-1'!$A$2:$A$72,"773*",'BALANCE N-1'!$H$2:$H$72)-SUMIF('BALANCE N-1'!$A$2:$A$72,"773*",'BALANCE N-1'!$G$2:$G$72)</f>
        <v/>
      </c>
      <c r="D24" s="3223" t="n"/>
    </row>
    <row r="25" ht="20.15" customHeight="1" s="1354">
      <c r="A25" s="2226" t="inlineStr">
        <is>
          <t xml:space="preserve">Revenus de placement </t>
        </is>
      </c>
      <c r="B25" s="3223">
        <f>SUMIF('BALANCE N'!$A$2:$A$72,"774*",'BALANCE N'!$H$2:$H$72)-SUMIF('BALANCE N'!$A$2:$A$72,"774*",'BALANCE N'!$G$2:$G$72)</f>
        <v/>
      </c>
      <c r="C25" s="3223">
        <f>SUMIF('BALANCE N-1'!$A$2:$A$72,"774*",'BALANCE N-1'!$H$2:$H$72)-SUMIF('BALANCE N-1'!$A$2:$A$72,"774*",'BALANCE N-1'!$G$2:$G$72)</f>
        <v/>
      </c>
      <c r="D25" s="3223" t="n"/>
    </row>
    <row r="26" ht="20.15" customHeight="1" s="1354">
      <c r="A26" s="2226" t="inlineStr">
        <is>
          <t xml:space="preserve">Gains de change </t>
        </is>
      </c>
      <c r="B26" s="3223">
        <f>SUMIF('BALANCE N'!$A$2:$A$72,"776*",'BALANCE N'!$H$2:$H$72)-SUMIF('BALANCE N'!$A$2:$A$72,"776*",'BALANCE N'!$G$2:$G$72)</f>
        <v/>
      </c>
      <c r="C26" s="3223">
        <f>SUMIF('BALANCE N-1'!$A$2:$A$72,"776*",'BALANCE N-1'!$H$2:$H$72)-SUMIF('BALANCE N-1'!$A$2:$A$72,"776*",'BALANCE N-1'!$G$2:$G$72)</f>
        <v/>
      </c>
      <c r="D26" s="3223" t="n"/>
    </row>
    <row r="27" ht="20.15" customHeight="1" s="1354">
      <c r="A27" s="2226" t="inlineStr">
        <is>
          <t xml:space="preserve">Gains sur cessions de titres de placement </t>
        </is>
      </c>
      <c r="B27" s="3223">
        <f>SUMIF('BALANCE N'!$A$2:$A$72,"777*",'BALANCE N'!$H$2:$H$72)-SUMIF('BALANCE N'!$A$2:$A$72,"777*",'BALANCE N'!$G$2:$G$72)</f>
        <v/>
      </c>
      <c r="C27" s="3223">
        <f>SUMIF('BALANCE N-1'!$A$2:$A$72,"777*",'BALANCE N-1'!$H$2:$H$72)-SUMIF('BALANCE N-1'!$A$2:$A$72,"777*",'BALANCE N-1'!$G$2:$G$72)</f>
        <v/>
      </c>
      <c r="D27" s="3223" t="n"/>
    </row>
    <row r="28" ht="20.15" customHeight="1" s="1354">
      <c r="A28" s="2226" t="inlineStr">
        <is>
          <t xml:space="preserve">Gains sur risques financiers </t>
        </is>
      </c>
      <c r="B28" s="3223">
        <f>SUMIF('BALANCE N'!$A$2:$A$72,"778*",'BALANCE N'!$H$2:$H$72)-SUMIF('BALANCE N'!$A$2:$A$72,"778*",'BALANCE N'!$G$2:$G$72)</f>
        <v/>
      </c>
      <c r="C28" s="3223">
        <f>SUMIF('BALANCE N-1'!$A$2:$A$72,"778*",'BALANCE N-1'!$H$2:$H$72)-SUMIF('BALANCE N-1'!$A$2:$A$72,"778*",'BALANCE N-1'!$G$2:$G$72)</f>
        <v/>
      </c>
      <c r="D28" s="3223" t="n"/>
    </row>
    <row r="29" ht="23.5" customHeight="1" s="1354">
      <c r="A29" s="2376" t="inlineStr">
        <is>
          <t xml:space="preserve">Reprises de charges pour dépréciation et provisions à court terme à caractère financier (voir note 28) </t>
        </is>
      </c>
      <c r="B29" s="3225">
        <f>SUMIF('BALANCE N'!$A$2:$A$72,"779*",'BALANCE N'!$H$2:$H$72)-SUMIF('BALANCE N'!$A$2:$A$72,"779*",'BALANCE N'!$G$2:$G$72)</f>
        <v/>
      </c>
      <c r="C29" s="3225">
        <f>SUMIF('BALANCE N-1'!$A$2:$A$72,"779*",'BALANCE N-1'!$H$2:$H$72)-SUMIF('BALANCE N-1'!$A$2:$A$72,"779*",'BALANCE N-1'!$G$2:$G$72)</f>
        <v/>
      </c>
      <c r="D29" s="3225" t="n"/>
    </row>
    <row r="30" ht="20.15" customHeight="1" s="1354">
      <c r="A30" s="3226" t="inlineStr">
        <is>
          <t xml:space="preserve">SOUS TOTAL : REVENUS FINANCIERS </t>
        </is>
      </c>
      <c r="B30" s="3232">
        <f>SUM(B22:B29)</f>
        <v/>
      </c>
      <c r="C30" s="3232">
        <f>SUM(C22:C29)</f>
        <v/>
      </c>
      <c r="D30" s="3358" t="n"/>
    </row>
    <row r="31" ht="20.15" customHeight="1" s="1354">
      <c r="A31" s="2569" t="inlineStr">
        <is>
          <t>  </t>
        </is>
      </c>
      <c r="B31" s="3459" t="n"/>
      <c r="C31" s="3459" t="n"/>
      <c r="D31" s="3459" t="n"/>
    </row>
    <row r="32" ht="20.15" customHeight="1" s="1354">
      <c r="A32" s="3380" t="inlineStr">
        <is>
          <t xml:space="preserve">TOTAL </t>
        </is>
      </c>
      <c r="B32" s="3020">
        <f>B20-B30</f>
        <v/>
      </c>
      <c r="C32" s="3020">
        <f>C20-C30</f>
        <v/>
      </c>
      <c r="D32" s="3382">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row r="36"/>
    <row r="37" ht="34" customHeight="1" s="1354">
      <c r="A37" s="3031">
        <f>IF(SUM(B10:B32,C10:C32,D11:D31)=0,"NÉANT","")</f>
        <v/>
      </c>
    </row>
    <row r="38" ht="34" customHeight="1" s="1354"/>
    <row r="39" ht="34" customHeight="1" s="1354"/>
  </sheetData>
  <mergeCells count="3">
    <mergeCell ref="A7:D7"/>
    <mergeCell ref="A37:F3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12" customHeight="1" s="1354">
      <c r="A10" s="2096" t="inlineStr">
        <is>
          <t xml:space="preserve">Charges HAO constatées (1) à détailler </t>
        </is>
      </c>
      <c r="B10" s="3368">
        <f>SUMIF('BALANCE N'!$A$2:$A$72,"831*",'BALANCE N'!$G$2:$G$72)-SUMIF('BALANCE N'!$A$2:$A$72,"831*",'BALANCE N'!$H$2:$H$72)+SUMIF('BALANCE N'!$A$2:$A$72,"833*",'BALANCE N'!$G$2:$G$72)-SUMIF('BALANCE N'!$A$2:$A$72,"833*",'BALANCE N'!$H$2:$H$72)+SUMIF('BALANCE N'!$A$2:$A$72,"837*",'BALANCE N'!$G$2:$G$72)-SUMIF('BALANCE N'!$A$2:$A$72,"837*",'BALANCE N'!$H$2:$H$72)</f>
        <v/>
      </c>
      <c r="C10" s="3368">
        <f>SUMIF('BALANCE N-1'!$A$2:$A$72,"831*",'BALANCE N-1'!$G$2:$G$72)-SUMIF('BALANCE N-1'!$A$2:$A$72,"831*",'BALANCE N-1'!$H$2:$H$72)+SUMIF('BALANCE N-1'!$A$2:$A$72,"833*",'BALANCE N-1'!$G$2:$G$72)-SUMIF('BALANCE N-1'!$A$2:$A$72,"833*",'BALANCE N-1'!$H$2:$H$72)+SUMIF('BALANCE N-1'!$A$2:$A$72,"837*",'BALANCE N-1'!$G$2:$G$72)-SUMIF('BALANCE N-1'!$A$2:$A$72,"837*",'BALANCE N-1'!$H$2:$H$72)</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60">
        <f>SUMIF('BALANCE N'!$A$2:$A$72,"834*",'BALANCE N'!$G$2:$G$72)-SUMIF('BALANCE N'!$A$2:$A$72,"834*",'BALANCE N'!$H$2:$H$72)</f>
        <v/>
      </c>
      <c r="C13" s="3460">
        <f>SUMIF('BALANCE N-1'!$A$2:$A$72,"834*",'BALANCE N-1'!$G$2:$G$72)-SUMIF('BALANCE N-1'!$A$2:$A$72,"834*",'BALANCE N-1'!$H$2:$H$72)</f>
        <v/>
      </c>
      <c r="D13" s="2622" t="n"/>
    </row>
    <row r="14" ht="12" customHeight="1" s="1354">
      <c r="A14" s="2099" t="inlineStr">
        <is>
          <t xml:space="preserve">Dons et libéralités accordés </t>
        </is>
      </c>
      <c r="B14" s="3460">
        <f>SUMIF('BALANCE N'!$A$2:$A$72,"835*",'BALANCE N'!$G$2:$G$72)-SUMIF('BALANCE N'!$A$2:$A$72,"835*",'BALANCE N'!$H$2:$H$72)</f>
        <v/>
      </c>
      <c r="C14" s="3460">
        <f>SUMIF('BALANCE N-1'!$A$2:$A$72,"835*",'BALANCE N-1'!$G$2:$G$72)-SUMIF('BALANCE N-1'!$A$2:$A$72,"835*",'BALANCE N-1'!$H$2:$H$72)</f>
        <v/>
      </c>
      <c r="D14" s="2622" t="n"/>
    </row>
    <row r="15" ht="12" customHeight="1" s="1354">
      <c r="A15" s="2099" t="inlineStr">
        <is>
          <t xml:space="preserve">Abandons de créances consentis </t>
        </is>
      </c>
      <c r="B15" s="3369">
        <f>SUMIF('BALANCE N'!$A$2:$A$72,"836*",'BALANCE N'!$G$2:$G$72)-SUMIF('BALANCE N'!$A$2:$A$72,"836*",'BALANCE N'!$H$2:$H$72)</f>
        <v/>
      </c>
      <c r="C15" s="3369">
        <f>SUMIF('BALANCE N-1'!$A$2:$A$72,"836*",'BALANCE N-1'!$G$2:$G$72)-SUMIF('BALANCE N-1'!$A$2:$A$72,"836*",'BALANCE N-1'!$H$2:$H$72)</f>
        <v/>
      </c>
      <c r="D15" s="2375" t="n"/>
    </row>
    <row r="16" ht="12" customHeight="1" s="1354">
      <c r="A16" s="2099" t="inlineStr">
        <is>
          <t xml:space="preserve">Charges provisionnées HAO </t>
        </is>
      </c>
      <c r="B16" s="3369">
        <f>SUMIF('BALANCE N'!$A$2:$A$72,"839*",'BALANCE N'!$G$2:$G$72)-SUMIF('BALANCE N'!$A$2:$A$72,"839*",'BALANCE N'!$H$2:$H$72)</f>
        <v/>
      </c>
      <c r="C16" s="3369">
        <f>SUMIF('BALANCE N-1'!$A$2:$A$72,"839*",'BALANCE N-1'!$G$2:$G$72)-SUMIF('BALANCE N-1'!$A$2:$A$72,"839*",'BALANCE N-1'!$H$2:$H$72)</f>
        <v/>
      </c>
      <c r="D16" s="2375" t="n"/>
    </row>
    <row r="17" ht="12" customHeight="1" s="1354">
      <c r="A17" s="2099" t="inlineStr">
        <is>
          <t xml:space="preserve">Dotations hors activités ordinaires </t>
        </is>
      </c>
      <c r="B17" s="3369">
        <f>SUMIF('BALANCE N'!$A$2:$A$72,"85*",'BALANCE N'!$G$2:$G$72)-SUMIF('BALANCE N'!$A$2:$A$72,"85*",'BALANCE N'!$H$2:$H$72)</f>
        <v/>
      </c>
      <c r="C17" s="3369">
        <f>SUMIF('BALANCE N-1'!$A$2:$A$72,"85*",'BALANCE N-1'!$G$2:$G$72)-SUMIF('BALANCE N-1'!$A$2:$A$72,"85*",'BALANCE N-1'!$H$2:$H$72)</f>
        <v/>
      </c>
      <c r="D17" s="2375" t="n"/>
    </row>
    <row r="18" ht="12" customHeight="1" s="1354">
      <c r="A18" s="2099" t="inlineStr">
        <is>
          <t xml:space="preserve">Participation des travailleurs </t>
        </is>
      </c>
      <c r="B18" s="3369">
        <f>SUMIF('BALANCE N'!$A$2:$A$72,"87*",'BALANCE N'!$G$2:$G$72)-SUMIF('BALANCE N'!$A$2:$A$72,"87*",'BALANCE N'!$H$2:$H$72)</f>
        <v/>
      </c>
      <c r="C18" s="3369">
        <f>SUMIF('BALANCE N-1'!$A$2:$A$72,"87*",'BALANCE N-1'!$G$2:$G$72)-SUMIF('BALANCE N-1'!$A$2:$A$72,"87*",'BALANCE N-1'!$H$2:$H$72)</f>
        <v/>
      </c>
      <c r="D18" s="2375" t="n"/>
    </row>
    <row r="19" ht="12.5" customHeight="1" s="1354">
      <c r="A19" s="2102" t="inlineStr">
        <is>
          <t xml:space="preserve">Subventions d'équilibre </t>
        </is>
      </c>
      <c r="B19" s="2376" t="n"/>
      <c r="C19" s="2376" t="n"/>
      <c r="D19" s="2377" t="n"/>
    </row>
    <row r="20" ht="12.5" customHeight="1" s="1354">
      <c r="A20" s="3226" t="inlineStr">
        <is>
          <t xml:space="preserve">SOUS TOTAL : AUTRES CHARGES HAO </t>
        </is>
      </c>
      <c r="B20" s="3371">
        <f>SUM(B10:B19)</f>
        <v/>
      </c>
      <c r="C20" s="3371">
        <f>SUM(C10:C19)</f>
        <v/>
      </c>
      <c r="D20" s="3373" t="n"/>
    </row>
    <row r="21" ht="12" customHeight="1" s="1354">
      <c r="A21" s="2096" t="inlineStr">
        <is>
          <t>  </t>
        </is>
      </c>
      <c r="B21" s="2224" t="n"/>
      <c r="C21" s="2224" t="n"/>
      <c r="D21" s="2316" t="n"/>
    </row>
    <row r="22" ht="12" customHeight="1" s="1354">
      <c r="A22" s="2099" t="inlineStr">
        <is>
          <t xml:space="preserve">Produits HAO constatés (1) à détailler </t>
        </is>
      </c>
      <c r="B22" s="3369">
        <f>SUMIF('BALANCE N'!$A$2:$A$72,"844*",'BALANCE N'!$H$2:$H$72)-SUMIF('BALANCE N'!$A$2:$A$72,"844*",'BALANCE N'!$G$2:$G$72)+SUMIF('BALANCE N'!$A$2:$A$72,"841*",'BALANCE N'!$H$2:$H$72)-SUMIF('BALANCE N'!$A$2:$A$72,"841*",'BALANCE N'!$G$2:$G$72)+SUMIF('BALANCE N'!$A$2:$A$72,"843*",'BALANCE N'!$H$2:$H$72)-SUMIF('BALANCE N'!$A$2:$A$72,"843*",'BALANCE N'!$G$2:$G$72)+SUMIF('BALANCE N'!$A$2:$A$72,"847*",'BALANCE N'!$H$2:$H$72)-SUMIF('BALANCE N'!$A$2:$A$72,"847*",'BALANCE N'!$G$2:$G$72)</f>
        <v/>
      </c>
      <c r="C22" s="3369">
        <f>SUMIF('BALANCE N-1'!$A$2:$A$72,"844*",'BALANCE N-1'!$H$2:$H$72)-SUMIF('BALANCE N-1'!$A$2:$A$72,"844*",'BALANCE N-1'!$G$2:$G$72)+SUMIF('BALANCE N-1'!$A$2:$A$72,"841*",'BALANCE N-1'!$H$2:$H$72)-SUMIF('BALANCE N-1'!$A$2:$A$72,"841*",'BALANCE N-1'!$G$2:$G$72)+SUMIF('BALANCE N-1'!$A$2:$A$72,"843*",'BALANCE N-1'!$H$2:$H$72)-SUMIF('BALANCE N-1'!$A$2:$A$72,"843*",'BALANCE N-1'!$G$2:$G$72)+SUMIF('BALANCE N-1'!$A$2:$A$72,"847*",'BALANCE N-1'!$H$2:$H$72)-SUMIF('BALANCE N-1'!$A$2:$A$72,"847*",'BALANCE N-1'!$G$2:$G$72)</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9">
        <f>SUMIF('BALANCE N'!$A$2:$A$72,"845*",'BALANCE N'!$H$2:$H$72)-SUMIF('BALANCE N'!$A$2:$A$72,"845*",'BALANCE N'!$G$2:$G$72)</f>
        <v/>
      </c>
      <c r="C25" s="3369">
        <f>SUMIF('BALANCE N-1'!$A$2:$A$72,"845*",'BALANCE N-1'!$H$2:$H$72)-SUMIF('BALANCE N-1'!$A$2:$A$72,"845*",'BALANCE N-1'!$G$2:$G$72)</f>
        <v/>
      </c>
      <c r="D25" s="2375" t="n"/>
    </row>
    <row r="26" ht="12" customHeight="1" s="1354">
      <c r="A26" s="2099" t="inlineStr">
        <is>
          <t xml:space="preserve">Abandons de créances obtenus </t>
        </is>
      </c>
      <c r="B26" s="3369">
        <f>SUMIF('BALANCE N'!$A$2:$A$72,"846*",'BALANCE N'!$H$2:$H$72)-SUMIF('BALANCE N'!$A$2:$A$72,"846*",'BALANCE N'!$G$2:$G$72)</f>
        <v/>
      </c>
      <c r="C26" s="3369">
        <f>SUMIF('BALANCE N-1'!$A$2:$A$72,"846*",'BALANCE N-1'!$H$2:$H$72)-SUMIF('BALANCE N-1'!$A$2:$A$72,"846*",'BALANCE N-1'!$G$2:$G$72)</f>
        <v/>
      </c>
      <c r="D26" s="2375" t="n"/>
    </row>
    <row r="27" ht="12" customHeight="1" s="1354">
      <c r="A27" s="2099" t="inlineStr">
        <is>
          <t xml:space="preserve">Transferts de charges HAO </t>
        </is>
      </c>
      <c r="B27" s="3369">
        <f>SUMIF('BALANCE N'!$A$2:$A$72,"848*",'BALANCE N'!$H$2:$H$72)-SUMIF('BALANCE N'!$A$2:$A$72,"848*",'BALANCE N'!$G$2:$G$72)</f>
        <v/>
      </c>
      <c r="C27" s="3369">
        <f>SUMIF('BALANCE N-1'!$A$2:$A$72,"848*",'BALANCE N-1'!$H$2:$H$72)-SUMIF('BALANCE N-1'!$A$2:$A$72,"848*",'BALANCE N-1'!$G$2:$G$72)</f>
        <v/>
      </c>
      <c r="D27" s="2375" t="n"/>
    </row>
    <row r="28" ht="23" customHeight="1" s="1354">
      <c r="A28" s="2099" t="inlineStr">
        <is>
          <t xml:space="preserve">Reprises des charges pour dépréciations et provisions à court terme HAO  </t>
        </is>
      </c>
      <c r="B28" s="3369">
        <f>SUMIF('BALANCE N'!$A$2:$A$72,"849*",'BALANCE N'!$H$2:$H$72)-SUMIF('BALANCE N'!$A$2:$A$72,"849*",'BALANCE N'!$G$2:$G$72)</f>
        <v/>
      </c>
      <c r="C28" s="3369">
        <f>SUMIF('BALANCE N-1'!$A$2:$A$72,"849*",'BALANCE N-1'!$H$2:$H$72)-SUMIF('BALANCE N-1'!$A$2:$A$72,"849*",'BALANCE N-1'!$G$2:$G$72)</f>
        <v/>
      </c>
      <c r="D28" s="2375" t="n"/>
    </row>
    <row r="29" ht="12" customHeight="1" s="1354">
      <c r="A29" s="2102" t="inlineStr">
        <is>
          <t xml:space="preserve">Reprises hors activités ordinaires </t>
        </is>
      </c>
      <c r="B29" s="3370">
        <f>SUMIF('BALANCE N'!$A$2:$A$72,"86*",'BALANCE N'!$H$2:$H$72)-SUMIF('BALANCE N'!$A$2:$A$72,"86*",'BALANCE N'!$G$2:$G$72)</f>
        <v/>
      </c>
      <c r="C29" s="3370">
        <f>SUMIF('BALANCE N-1'!$A$2:$A$72,"86*",'BALANCE N-1'!$H$2:$H$72)-SUMIF('BALANCE N-1'!$A$2:$A$72,"86*",'BALANCE N-1'!$G$2:$G$72)</f>
        <v/>
      </c>
      <c r="D29" s="2377" t="n"/>
    </row>
    <row r="30" ht="12.5" customHeight="1" s="1354">
      <c r="A30" s="2102" t="inlineStr">
        <is>
          <t xml:space="preserve">Subventions d'équilibre </t>
        </is>
      </c>
      <c r="B30" s="3370">
        <f>SUMIF('BALANCE N'!$A$2:$A$72,"88*",'BALANCE N'!$H$2:$H$72)-SUMIF('BALANCE N'!$A$2:$A$72,"88*",'BALANCE N'!$G$2:$G$72)</f>
        <v/>
      </c>
      <c r="C30" s="3370">
        <f>SUMIF('BALANCE N-1'!$A$2:$A$72,"88*",'BALANCE N-1'!$H$2:$H$72)-SUMIF('BALANCE N-1'!$A$2:$A$72,"88*",'BALANCE N-1'!$G$2:$G$72)</f>
        <v/>
      </c>
      <c r="D30" s="2377" t="n"/>
    </row>
    <row r="31" ht="12.5" customHeight="1" s="1354">
      <c r="A31" s="3226" t="inlineStr">
        <is>
          <t xml:space="preserve">SOUS TOTAL : AUTRES PRODUITS HAO </t>
        </is>
      </c>
      <c r="B31" s="3371">
        <f>SUM(B22:B30)</f>
        <v/>
      </c>
      <c r="C31" s="3371">
        <f>SUM(C22:C30)</f>
        <v/>
      </c>
      <c r="D31" s="3373" t="n"/>
    </row>
    <row r="32" ht="12.5" customHeight="1" s="1354">
      <c r="A32" s="2447" t="inlineStr">
        <is>
          <t>  </t>
        </is>
      </c>
      <c r="B32" s="2569" t="n"/>
      <c r="C32" s="2569" t="n"/>
      <c r="D32" s="2574" t="n"/>
    </row>
    <row r="33" ht="12.5" customHeight="1" s="1354">
      <c r="A33" s="3380" t="inlineStr">
        <is>
          <t xml:space="preserve">TOTAL </t>
        </is>
      </c>
      <c r="B33" s="3461">
        <f>B31-B20</f>
        <v/>
      </c>
      <c r="C33" s="3461">
        <f>C31-C20</f>
        <v/>
      </c>
      <c r="D33" s="3384"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row r="37"/>
    <row r="38" ht="34" customHeight="1" s="1354">
      <c r="A38" s="3031">
        <f>IF(SUM(B10:B33,C10:C33)=0,"NÉANT","")</f>
        <v/>
      </c>
    </row>
    <row r="39" ht="34" customHeight="1" s="1354"/>
    <row r="40" ht="34" customHeight="1" s="1354"/>
  </sheetData>
  <mergeCells count="3">
    <mergeCell ref="A7:D7"/>
    <mergeCell ref="A38:IW4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2"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9" t="inlineStr">
        <is>
          <t>STRUCTURE DU CAPITAL A LA CLOTURE DE L’EXERCICE(2)</t>
        </is>
      </c>
      <c r="B10" s="3463">
        <f>B11</f>
        <v/>
      </c>
      <c r="C10" s="3463">
        <f>C11</f>
        <v/>
      </c>
      <c r="D10" s="3463">
        <f>D11</f>
        <v/>
      </c>
      <c r="E10" s="3463">
        <f>E11</f>
        <v/>
      </c>
      <c r="F10" s="3464">
        <f>F11</f>
        <v/>
      </c>
    </row>
    <row r="11" ht="18" customHeight="1" s="1354">
      <c r="A11" s="2257" t="inlineStr">
        <is>
          <t>Capital social</t>
        </is>
      </c>
      <c r="B11" s="3465" t="n">
        <v>0</v>
      </c>
      <c r="C11" s="3465" t="n">
        <v>0</v>
      </c>
      <c r="D11" s="3465" t="n">
        <v>0</v>
      </c>
      <c r="E11" s="3465" t="n">
        <v>0</v>
      </c>
      <c r="F11" s="3465" t="n">
        <v>0</v>
      </c>
    </row>
    <row r="12" ht="18" customHeight="1" s="1354">
      <c r="A12" s="2262" t="inlineStr">
        <is>
          <t>Actions ordinaires</t>
        </is>
      </c>
      <c r="B12" s="3466" t="n"/>
      <c r="C12" s="3466" t="n"/>
      <c r="D12" s="3466" t="n"/>
      <c r="E12" s="3466" t="n"/>
      <c r="F12" s="3467" t="n"/>
    </row>
    <row r="13" ht="18" customHeight="1" s="1354">
      <c r="A13" s="2262" t="inlineStr">
        <is>
          <t>Actions à dividendes prioritaires (A.D.P) sans droit de vote</t>
        </is>
      </c>
      <c r="B13" s="3466" t="n"/>
      <c r="C13" s="3466" t="n"/>
      <c r="D13" s="3466" t="n"/>
      <c r="E13" s="3466" t="n"/>
      <c r="F13" s="3467" t="n"/>
    </row>
    <row r="14" ht="18" customHeight="1" s="1354">
      <c r="A14" s="2262" t="inlineStr">
        <is>
          <t>Actions nouvelles à mettre :</t>
        </is>
      </c>
      <c r="B14" s="3466" t="n"/>
      <c r="C14" s="3466" t="n"/>
      <c r="D14" s="3466" t="n"/>
      <c r="E14" s="3466" t="n"/>
      <c r="F14" s="3467" t="n"/>
    </row>
    <row r="15" ht="18" customHeight="1" s="1354">
      <c r="A15" s="2585" t="inlineStr">
        <is>
          <t>-          Par conversion d’obligations</t>
        </is>
      </c>
      <c r="B15" s="3466" t="n"/>
      <c r="C15" s="3466" t="n"/>
      <c r="D15" s="3466" t="n"/>
      <c r="E15" s="3466" t="n"/>
      <c r="F15" s="3467" t="n"/>
    </row>
    <row r="16" ht="18" customHeight="1" s="1354">
      <c r="A16" s="2588" t="inlineStr">
        <is>
          <t>-          Par exercice de droits de souscription</t>
        </is>
      </c>
      <c r="B16" s="3468" t="n"/>
      <c r="C16" s="3468" t="n"/>
      <c r="D16" s="3468" t="n"/>
      <c r="E16" s="3468" t="n"/>
      <c r="F16" s="3469" t="n"/>
    </row>
    <row r="17" ht="18" customHeight="1" s="1354">
      <c r="A17" s="3299" t="inlineStr">
        <is>
          <t>OPERATION ET RESULTATS DE L’EXERCICE (3)</t>
        </is>
      </c>
      <c r="B17" s="3470" t="n"/>
      <c r="C17" s="3470" t="n"/>
      <c r="D17" s="3470" t="n"/>
      <c r="E17" s="3470" t="n"/>
      <c r="F17" s="3471" t="n"/>
    </row>
    <row r="18" ht="18" customHeight="1" s="1354">
      <c r="A18" s="2257" t="inlineStr">
        <is>
          <t>Chiffres d’affaire hors taxes</t>
        </is>
      </c>
      <c r="B18" s="3472" t="n">
        <v>0</v>
      </c>
      <c r="C18" s="3472" t="n">
        <v>0</v>
      </c>
      <c r="D18" s="3472" t="n">
        <v>0</v>
      </c>
      <c r="E18" s="3472" t="n">
        <v>0</v>
      </c>
      <c r="F18" s="3473" t="n">
        <v>0</v>
      </c>
    </row>
    <row r="19" ht="18" customHeight="1" s="1354">
      <c r="A19" s="2262" t="inlineStr">
        <is>
          <t>Résultats des  activités ordinaires (R.A.O) hors dotation et reprises (exploitation et financières)</t>
        </is>
      </c>
      <c r="B19" s="3466" t="n">
        <v>0</v>
      </c>
      <c r="C19" s="3466" t="n">
        <v>0</v>
      </c>
      <c r="D19" s="3466" t="n">
        <v>0</v>
      </c>
      <c r="E19" s="3466" t="n">
        <v>0</v>
      </c>
      <c r="F19" s="3467" t="n">
        <v>0</v>
      </c>
    </row>
    <row r="20" ht="18" customHeight="1" s="1354">
      <c r="A20" s="2262" t="inlineStr">
        <is>
          <t>Participation des travailleurs aux bénéfices</t>
        </is>
      </c>
      <c r="B20" s="3466" t="n"/>
      <c r="C20" s="3466" t="n"/>
      <c r="D20" s="3466" t="n"/>
      <c r="E20" s="3466" t="n"/>
      <c r="F20" s="3467" t="n"/>
    </row>
    <row r="21" ht="18" customHeight="1" s="1354">
      <c r="A21" s="2262" t="inlineStr">
        <is>
          <t>Impôt sur le résultat</t>
        </is>
      </c>
      <c r="B21" s="3466" t="n">
        <v>0</v>
      </c>
      <c r="C21" s="3466" t="n">
        <v>0</v>
      </c>
      <c r="D21" s="3466" t="n">
        <v>0</v>
      </c>
      <c r="E21" s="3466" t="n">
        <v>0</v>
      </c>
      <c r="F21" s="3467" t="n">
        <v>0</v>
      </c>
    </row>
    <row r="22" ht="18" customHeight="1" s="1354">
      <c r="A22" s="2267" t="inlineStr">
        <is>
          <t>Résultat net(4)</t>
        </is>
      </c>
      <c r="B22" s="3468" t="n">
        <v>0</v>
      </c>
      <c r="C22" s="3468" t="n">
        <v>0</v>
      </c>
      <c r="D22" s="3468" t="n">
        <v>0</v>
      </c>
      <c r="E22" s="3468" t="n">
        <v>0</v>
      </c>
      <c r="F22" s="3469" t="n">
        <v>0</v>
      </c>
    </row>
    <row r="23" ht="18" customHeight="1" s="1354">
      <c r="A23" s="3299" t="inlineStr">
        <is>
          <t>RESULTAT ET DIVIDENDE DISTRIBUES</t>
        </is>
      </c>
      <c r="B23" s="3474" t="n"/>
      <c r="C23" s="3474" t="n"/>
      <c r="D23" s="3474" t="n"/>
      <c r="E23" s="3474" t="n"/>
      <c r="F23" s="3475" t="n"/>
    </row>
    <row r="24" ht="18" customHeight="1" s="1354">
      <c r="A24" s="2257" t="inlineStr">
        <is>
          <t>Résultat distribué (5)</t>
        </is>
      </c>
      <c r="B24" s="3472" t="n"/>
      <c r="C24" s="3472" t="n"/>
      <c r="D24" s="3472" t="n"/>
      <c r="E24" s="3472" t="n"/>
      <c r="F24" s="3473" t="n"/>
    </row>
    <row r="25" ht="18" customHeight="1" s="1354">
      <c r="A25" s="2267" t="inlineStr">
        <is>
          <t>Dividende attribué à chaque action</t>
        </is>
      </c>
      <c r="B25" s="3468" t="n"/>
      <c r="C25" s="3468" t="n"/>
      <c r="D25" s="3468" t="n"/>
      <c r="E25" s="3468" t="n"/>
      <c r="F25" s="3469" t="n"/>
    </row>
    <row r="26" ht="18" customHeight="1" s="1354">
      <c r="A26" s="3299" t="inlineStr">
        <is>
          <t>PERSONNEL ET POLITIQUE SALARIALE</t>
        </is>
      </c>
      <c r="B26" s="3470" t="n"/>
      <c r="C26" s="3470" t="n"/>
      <c r="D26" s="3470" t="n"/>
      <c r="E26" s="3470" t="n"/>
      <c r="F26" s="3471" t="n"/>
    </row>
    <row r="27" ht="18" customHeight="1" s="1354">
      <c r="A27" s="2257" t="inlineStr">
        <is>
          <t>Effectif moyen des travailleurs au cours de l’exercice (6)</t>
        </is>
      </c>
      <c r="B27" s="3472" t="n">
        <v>0</v>
      </c>
      <c r="C27" s="3472" t="n">
        <v>0</v>
      </c>
      <c r="D27" s="3472" t="n">
        <v>0</v>
      </c>
      <c r="E27" s="3472" t="n">
        <v>0</v>
      </c>
      <c r="F27" s="3473" t="n">
        <v>0</v>
      </c>
    </row>
    <row r="28" ht="18" customHeight="1" s="1354">
      <c r="A28" s="2262" t="inlineStr">
        <is>
          <t>Effectif moyen de personnel extérieur</t>
        </is>
      </c>
      <c r="B28" s="3466" t="n">
        <v>0</v>
      </c>
      <c r="C28" s="3466" t="n">
        <v>0</v>
      </c>
      <c r="D28" s="3466" t="n"/>
      <c r="E28" s="3466" t="n"/>
      <c r="F28" s="3467" t="n"/>
    </row>
    <row r="29" ht="18" customHeight="1" s="1354">
      <c r="A29" s="2262" t="inlineStr">
        <is>
          <t>Masse salariale distribuée au cours de l’exercice (7)</t>
        </is>
      </c>
      <c r="B29" s="3466" t="n">
        <v>0</v>
      </c>
      <c r="C29" s="3466" t="n">
        <v>0</v>
      </c>
      <c r="D29" s="3466" t="n">
        <v>0</v>
      </c>
      <c r="E29" s="3466" t="n">
        <v>0</v>
      </c>
      <c r="F29" s="3467" t="n">
        <v>0</v>
      </c>
    </row>
    <row r="30" ht="18" customHeight="1" s="1354">
      <c r="A30" s="2262" t="inlineStr">
        <is>
          <t>Avantages sociaux versés au cours de l’exercice (8)  [Sécurité sociale, œuvres sociales]</t>
        </is>
      </c>
      <c r="B30" s="3466">
        <f>B29*0.194</f>
        <v/>
      </c>
      <c r="C30" s="3466">
        <f>C29*0.194</f>
        <v/>
      </c>
      <c r="D30" s="3466">
        <f>D29*0.194</f>
        <v/>
      </c>
      <c r="E30" s="3466">
        <f>E29*0.194</f>
        <v/>
      </c>
      <c r="F30" s="3466" t="n">
        <v>0</v>
      </c>
    </row>
    <row r="31" ht="18" customHeight="1" s="1354">
      <c r="A31" s="2599" t="inlineStr">
        <is>
          <t>Personnel extérieur facturé à l’entité (9)</t>
        </is>
      </c>
      <c r="B31" s="3476" t="n">
        <v>0</v>
      </c>
      <c r="C31" s="3476" t="n">
        <v>0</v>
      </c>
      <c r="D31" s="3476" t="n">
        <v>0</v>
      </c>
      <c r="E31" s="3476" t="n"/>
      <c r="F31" s="3477"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row r="41"/>
    <row r="42" ht="34" customHeight="1" s="1354">
      <c r="A42" s="3031">
        <f>IF(SUM(B10:B31,C10:C31,D10:D31,E10:E31,F10:F31)=0,"NÉANT","")</f>
        <v/>
      </c>
    </row>
    <row r="43" ht="34" customHeight="1" s="1354"/>
    <row r="44" ht="34" customHeight="1" s="1354"/>
  </sheetData>
  <mergeCells count="15">
    <mergeCell ref="A8:A9"/>
    <mergeCell ref="E8:E9"/>
    <mergeCell ref="C8:C9"/>
    <mergeCell ref="B34:F34"/>
    <mergeCell ref="F8:F9"/>
    <mergeCell ref="B33:F33"/>
    <mergeCell ref="A32:F32"/>
    <mergeCell ref="A42:I44"/>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30"/>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4"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row r="27"/>
    <row r="28" ht="26" customHeight="1" s="1354">
      <c r="A28" s="3037" t="inlineStr">
        <is>
          <t>NOTE À COMPLÉTER</t>
        </is>
      </c>
    </row>
    <row r="29" ht="26" customHeight="1" s="1354"/>
    <row r="30" ht="26" customHeight="1" s="1354"/>
  </sheetData>
  <mergeCells count="15">
    <mergeCell ref="K9:L10"/>
    <mergeCell ref="M9:N10"/>
    <mergeCell ref="A6:N6"/>
    <mergeCell ref="A22:A23"/>
    <mergeCell ref="B22:B23"/>
    <mergeCell ref="A9:A11"/>
    <mergeCell ref="A7:N7"/>
    <mergeCell ref="A28:N30"/>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row r="26"/>
    <row r="27" ht="26" customHeight="1" s="1354">
      <c r="A27" s="3037" t="inlineStr">
        <is>
          <t>NOTE À COMPLÉTER</t>
        </is>
      </c>
    </row>
    <row r="28" ht="26" customHeight="1" s="1354"/>
    <row r="29" ht="26" customHeight="1" s="1354"/>
  </sheetData>
  <mergeCells count="14">
    <mergeCell ref="A7:I7"/>
    <mergeCell ref="A24:A25"/>
    <mergeCell ref="A9:A12"/>
    <mergeCell ref="B9:B12"/>
    <mergeCell ref="C10:D11"/>
    <mergeCell ref="A22:A23"/>
    <mergeCell ref="B22:B23"/>
    <mergeCell ref="E10:H10"/>
    <mergeCell ref="C9:H9"/>
    <mergeCell ref="E11:F11"/>
    <mergeCell ref="G11:H11"/>
    <mergeCell ref="A27:I29"/>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8"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9" t="inlineStr">
        <is>
          <t xml:space="preserve">   ( EN  MILLIERS DE FRANCS)              </t>
        </is>
      </c>
      <c r="B6" s="1598" t="n"/>
      <c r="C6" s="3479" t="inlineStr">
        <is>
          <t xml:space="preserve">Année  N </t>
        </is>
      </c>
      <c r="D6" s="3479" t="inlineStr">
        <is>
          <t xml:space="preserve">Année   N-1 </t>
        </is>
      </c>
      <c r="E6" s="3479"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80" t="inlineStr">
        <is>
          <t xml:space="preserve">SOLDES INTERMEDIAIRES DE GESTION </t>
        </is>
      </c>
      <c r="B9" s="1754" t="n"/>
      <c r="C9" s="3481" t="n"/>
      <c r="D9" s="3481" t="n"/>
      <c r="E9" s="3481" t="n"/>
    </row>
    <row r="10" ht="15" customHeight="1" s="1354">
      <c r="A10" s="2673" t="inlineStr">
        <is>
          <t xml:space="preserve">CHIFFRE D'AFFAIRES </t>
        </is>
      </c>
      <c r="B10" s="1598" t="n"/>
      <c r="C10" s="3482">
        <f>'Compte de Résultat'!E16</f>
        <v/>
      </c>
      <c r="D10" s="3482">
        <f>'Compte de Résultat'!F16</f>
        <v/>
      </c>
      <c r="E10" s="3483">
        <f>(C10-D10)/D10</f>
        <v/>
      </c>
    </row>
    <row r="11" ht="15" customHeight="1" s="1354">
      <c r="A11" s="2676" t="inlineStr">
        <is>
          <t xml:space="preserve">MARGE COMMERCIALE </t>
        </is>
      </c>
      <c r="B11" s="1816" t="n"/>
      <c r="C11" s="3482">
        <f>'Compte de Résultat'!E12</f>
        <v/>
      </c>
      <c r="D11" s="3482">
        <f>'Compte de Résultat'!F12</f>
        <v/>
      </c>
      <c r="E11" s="3483">
        <f>(C11-D11)/D11</f>
        <v/>
      </c>
    </row>
    <row r="12" ht="15" customHeight="1" s="1354">
      <c r="A12" s="2676" t="inlineStr">
        <is>
          <t xml:space="preserve">VALEUR AJOUTEE </t>
        </is>
      </c>
      <c r="B12" s="1816" t="n"/>
      <c r="C12" s="3482">
        <f>'Compte de Résultat'!E30</f>
        <v/>
      </c>
      <c r="D12" s="3482">
        <f>'Compte de Résultat'!F30</f>
        <v/>
      </c>
      <c r="E12" s="3484">
        <f>(C12-D12)/D12</f>
        <v/>
      </c>
    </row>
    <row r="13" ht="15" customHeight="1" s="1354">
      <c r="A13" s="2676" t="inlineStr">
        <is>
          <t xml:space="preserve">EXCEDENT BRUT D'EXPLOITATION (EBE) </t>
        </is>
      </c>
      <c r="B13" s="1816" t="n"/>
      <c r="C13" s="3482">
        <f>'Compte de Résultat'!E32</f>
        <v/>
      </c>
      <c r="D13" s="3482">
        <f>'Compte de Résultat'!F32</f>
        <v/>
      </c>
      <c r="E13" s="3484">
        <f>(C13-D13)/D13</f>
        <v/>
      </c>
    </row>
    <row r="14" ht="15" customHeight="1" s="1354">
      <c r="A14" s="2676" t="inlineStr">
        <is>
          <t xml:space="preserve">RESULTAT D'EXPLOITATION </t>
        </is>
      </c>
      <c r="B14" s="1816" t="n"/>
      <c r="C14" s="3482">
        <f>'Compte de Résultat'!E35</f>
        <v/>
      </c>
      <c r="D14" s="3482">
        <f>'Compte de Résultat'!F35</f>
        <v/>
      </c>
      <c r="E14" s="3484">
        <f>(C14-D14)/D14</f>
        <v/>
      </c>
    </row>
    <row r="15" ht="15" customHeight="1" s="1354">
      <c r="A15" s="2676" t="inlineStr">
        <is>
          <t xml:space="preserve">RESULTAT FINANCIER </t>
        </is>
      </c>
      <c r="B15" s="1816" t="n"/>
      <c r="C15" s="3482">
        <f>'Compte de Résultat'!E41</f>
        <v/>
      </c>
      <c r="D15" s="3482">
        <f>'Compte de Résultat'!F41</f>
        <v/>
      </c>
      <c r="E15" s="3484">
        <f>(C15-D15)/D15</f>
        <v/>
      </c>
    </row>
    <row r="16" ht="15" customHeight="1" s="1354">
      <c r="A16" s="2676" t="inlineStr">
        <is>
          <t xml:space="preserve">RESULTAT DES ACTIVITES ORDINAIRES </t>
        </is>
      </c>
      <c r="B16" s="1816" t="n"/>
      <c r="C16" s="3482">
        <f>'Compte de Résultat'!E42</f>
        <v/>
      </c>
      <c r="D16" s="3482">
        <f>'Compte de Résultat'!F42</f>
        <v/>
      </c>
      <c r="E16" s="3484">
        <f>(C16-D16)/D16</f>
        <v/>
      </c>
    </row>
    <row r="17" ht="15" customHeight="1" s="1354">
      <c r="A17" s="2676" t="inlineStr">
        <is>
          <t xml:space="preserve">RESULTAT HORS ACTIVITES ORDINAIRES </t>
        </is>
      </c>
      <c r="B17" s="1816" t="n"/>
      <c r="C17" s="3482">
        <f>'Compte de Résultat'!E47</f>
        <v/>
      </c>
      <c r="D17" s="3482">
        <f>'Compte de Résultat'!F47</f>
        <v/>
      </c>
      <c r="E17" s="3484" t="n"/>
    </row>
    <row r="18" ht="15" customHeight="1" s="1354">
      <c r="A18" s="2678" t="inlineStr">
        <is>
          <t xml:space="preserve">RESULTAT NET </t>
        </is>
      </c>
      <c r="B18" s="1998" t="n"/>
      <c r="C18" s="3482">
        <f>'Compte de Résultat'!E50</f>
        <v/>
      </c>
      <c r="D18" s="3482">
        <f>'Compte de Résultat'!F50</f>
        <v/>
      </c>
      <c r="E18" s="3484">
        <f>(C18-D18)/D18</f>
        <v/>
      </c>
    </row>
    <row r="19" ht="15" customHeight="1" s="1354">
      <c r="A19" s="3480" t="inlineStr">
        <is>
          <t xml:space="preserve">DETERMINATION DE LA CAPACITE D'AUTOFINANCEMENT </t>
        </is>
      </c>
      <c r="B19" s="1754" t="n"/>
      <c r="C19" s="3485" t="n"/>
      <c r="D19" s="3485" t="n"/>
      <c r="E19" s="3486" t="n"/>
    </row>
    <row r="20" ht="15" customHeight="1" s="1354">
      <c r="A20" s="2681" t="inlineStr">
        <is>
          <t xml:space="preserve">EBE    </t>
        </is>
      </c>
      <c r="B20" s="1598" t="n"/>
      <c r="C20" s="3482">
        <f>C13</f>
        <v/>
      </c>
      <c r="D20" s="3482">
        <f>D13</f>
        <v/>
      </c>
      <c r="E20" s="3486" t="n"/>
    </row>
    <row r="21" ht="15" customHeight="1" s="1354">
      <c r="A21" s="2676" t="inlineStr">
        <is>
          <t xml:space="preserve">  + Valeurs comptables des cessions courantes d’immobilisation  (compte 654)    </t>
        </is>
      </c>
      <c r="B21" s="1816" t="n"/>
      <c r="C21" s="3482">
        <f>SUMIF('BALANCE N'!$A$2:$A$72,"654*",'BALANCE N'!$G$2:$G$72)-SUMIF('BALANCE N'!$A$2:$A$72,"654*",'BALANCE N'!$H$2:$H$72)</f>
        <v/>
      </c>
      <c r="D21" s="3482">
        <f>SUMIF('BALANCE N-1'!$A$2:$A$72,"654*",'BALANCE N-1'!$G$2:$G$72)-SUMIF('BALANCE N-1'!$A$2:$A$72,"654*",'BALANCE N-1'!$H$2:$H$72)</f>
        <v/>
      </c>
      <c r="E21" s="3486" t="n"/>
    </row>
    <row r="22" ht="15" customHeight="1" s="1354">
      <c r="A22" s="2682" t="inlineStr">
        <is>
          <t xml:space="preserve">  - Produits des cessions courantes d’immobilisation (compte 754)    </t>
        </is>
      </c>
      <c r="B22" s="2683" t="n"/>
      <c r="C22" s="3482">
        <f>SUMIF('BALANCE N'!$A$2:$A$72,"754*",'BALANCE N'!$H$2:$H$72)-SUMIF('BALANCE N'!$A$2:$A$72,"754*",'BALANCE N'!$G$2:$G$72)</f>
        <v/>
      </c>
      <c r="D22" s="3482">
        <f>SUMIF('BALANCE N-1'!$A$2:$A$72,"754*",'BALANCE N-1'!$H$2:$H$72)-SUMIF('BALANCE N-1'!$A$2:$A$72,"754*",'BALANCE N-1'!$G$2:$G$72)</f>
        <v/>
      </c>
      <c r="E22" s="3486" t="n"/>
    </row>
    <row r="23" ht="19.5" customHeight="1" s="1354">
      <c r="A23" s="2684" t="inlineStr">
        <is>
          <t xml:space="preserve">  = CAPACITE D'AUTOFINANCEMENT D'EXPLOITATION </t>
        </is>
      </c>
      <c r="B23" s="2685" t="n"/>
      <c r="C23" s="3487">
        <f>C20+C21-C22</f>
        <v/>
      </c>
      <c r="D23" s="3487">
        <f>D20+D21-D22</f>
        <v/>
      </c>
      <c r="E23" s="2687" t="inlineStr">
        <is>
          <t>  </t>
        </is>
      </c>
    </row>
    <row r="24" ht="15" customHeight="1" s="1354">
      <c r="A24" s="2676" t="inlineStr">
        <is>
          <t xml:space="preserve">  + Revenus financiers    </t>
        </is>
      </c>
      <c r="B24" s="1816" t="n"/>
      <c r="C24" s="3482">
        <f>'Compte de Résultat'!E36+'Compte de Résultat'!E37-SUMIF('BALANCE N'!$A$2:$A$72,"776*",'BALANCE N'!$H$2:$H$72)-SUMIF('BALANCE N'!$A$2:$A$72,"776*",'BALANCE N'!$G$2:$G$72)</f>
        <v/>
      </c>
      <c r="D24" s="3482">
        <f>'Compte de Résultat'!F36+'Compte de Résultat'!F37-SUMIF('BALANCE N-1'!$A$2:$A$72,"776*",'BALANCE N-1'!$H$2:$H$72)-SUMIF('BALANCE N-1'!$A$2:$A$72,"776*",'BALANCE N-1'!$G$2:$G$72)</f>
        <v/>
      </c>
      <c r="E24" s="3486" t="n"/>
    </row>
    <row r="25" ht="15" customHeight="1" s="1354">
      <c r="A25" s="2676" t="inlineStr">
        <is>
          <t xml:space="preserve">  + Gains de change    </t>
        </is>
      </c>
      <c r="B25" s="1816" t="n"/>
      <c r="C25" s="3482">
        <f>SUMIF('BALANCE N'!$A$2:$A$72,"776*",'BALANCE N'!$H$2:$H$72)-SUMIF('BALANCE N'!$A$2:$A$72,"776*",'BALANCE N'!$G$2:$G$72)</f>
        <v/>
      </c>
      <c r="D25" s="3482">
        <f>SUMIF('BALANCE N-1'!$A$2:$A$72,"776*",'BALANCE N-1'!$H$2:$H$72)-SUMIF('BALANCE N-1'!$A$2:$A$72,"776*",'BALANCE N-1'!$G$2:$G$72)</f>
        <v/>
      </c>
      <c r="E25" s="3486" t="n"/>
    </row>
    <row r="26" ht="15" customHeight="1" s="1354">
      <c r="A26" s="2676" t="inlineStr">
        <is>
          <t xml:space="preserve">  + Transferts de charges financières   </t>
        </is>
      </c>
      <c r="B26" s="1816" t="n"/>
      <c r="C26" s="3482">
        <f>'Compte de Résultat'!E38</f>
        <v/>
      </c>
      <c r="D26" s="3482">
        <f>'Compte de Résultat'!F38</f>
        <v/>
      </c>
      <c r="E26" s="3486" t="n"/>
    </row>
    <row r="27" ht="15" customHeight="1" s="1354">
      <c r="A27" s="2676" t="inlineStr">
        <is>
          <t xml:space="preserve">  + Produits HAO    </t>
        </is>
      </c>
      <c r="B27" s="1816" t="n"/>
      <c r="C27" s="3482">
        <f>'Compte de Résultat'!E44-SUMIF('BALANCE N'!$A$2:$A$72,"86*",'BALANCE N'!$H$2:$H$72)-SUMIF('BALANCE N'!$A$2:$A$72,"86*",'BALANCE N'!$G$2:$G$72)-SUMIF('BALANCE N'!$A$2:$A$72,"848*",'BALANCE N'!$H$2:$H$72)-SUMIF('BALANCE N'!$A$2:$A$72,"848*",'BALANCE N'!$G$2:$G$72)</f>
        <v/>
      </c>
      <c r="D27" s="3482">
        <f>'Compte de Résultat'!F44-SUMIF('BALANCE N-1'!$A$2:$A$72,"86*",'BALANCE N-1'!$H$2:$H$72)-SUMIF('BALANCE N-1'!$A$2:$A$72,"86*",'BALANCE N-1'!$G$2:$G$72)-SUMIF('BALANCE N-1'!$A$2:$A$72,"848*",'BALANCE N-1'!$H$2:$H$72)-SUMIF('BALANCE N-1'!$A$2:$A$72,"848*",'BALANCE N-1'!$G$2:$G$72)</f>
        <v/>
      </c>
      <c r="E27" s="3486" t="n"/>
    </row>
    <row r="28" ht="15" customHeight="1" s="1354">
      <c r="A28" s="2676" t="inlineStr">
        <is>
          <t xml:space="preserve">  + Transferts de charges HAO   </t>
        </is>
      </c>
      <c r="B28" s="1816" t="n"/>
      <c r="C28" s="3482">
        <f>SUMIF('BALANCE N'!$A$2:$A$72,"848*",'BALANCE N'!$H$2:$H$72)-SUMIF('BALANCE N'!$A$2:$A$72,"848*",'BALANCE N'!$G$2:$G$72)</f>
        <v/>
      </c>
      <c r="D28" s="3482">
        <f>SUMIF('BALANCE N-1'!$A$2:$A$72,"848*",'BALANCE N-1'!$H$2:$H$72)-SUMIF('BALANCE N-1'!$A$2:$A$72,"848*",'BALANCE N-1'!$G$2:$G$72)</f>
        <v/>
      </c>
      <c r="E28" s="3486" t="n"/>
    </row>
    <row r="29" ht="15" customHeight="1" s="1354">
      <c r="A29" s="2688" t="inlineStr">
        <is>
          <t xml:space="preserve">-  Frais financiers     </t>
        </is>
      </c>
      <c r="B29" s="1816" t="n"/>
      <c r="C29" s="3482">
        <f>'Compte de Résultat'!E39+'Compte de Résultat'!E40-SUMIF('BALANCE N'!$A$2:$A$72,"676*",'BALANCE N'!$G$2:$G$72)-SUMIF('BALANCE N'!$A$2:$A$72,"676*",'BALANCE N'!$H$2:$H$72)</f>
        <v/>
      </c>
      <c r="D29" s="3482">
        <f>'Compte de Résultat'!F39+'Compte de Résultat'!F40-SUMIF('BALANCE N-1'!$A$2:$A$72,"676*",'BALANCE N-1'!$G$2:$G$72)-SUMIF('BALANCE N-1'!$A$2:$A$72,"676*",'BALANCE N-1'!$H$2:$H$72)</f>
        <v/>
      </c>
      <c r="E29" s="3486" t="n"/>
    </row>
    <row r="30" ht="15" customHeight="1" s="1354">
      <c r="A30" s="2688" t="inlineStr">
        <is>
          <t xml:space="preserve">-  Pertes de change    </t>
        </is>
      </c>
      <c r="B30" s="1816" t="n"/>
      <c r="C30" s="3482">
        <f>SUMIF('BALANCE N'!$A$2:$A$72,"676*",'BALANCE N'!$G$2:$G$72)-SUMIF('BALANCE N'!$A$2:$A$72,"676*",'BALANCE N'!$H$2:$H$72)</f>
        <v/>
      </c>
      <c r="D30" s="3482">
        <f>SUMIF('BALANCE N-1'!$A$2:$A$72,"676*",'BALANCE N-1'!$G$2:$G$72)-SUMIF('BALANCE N-1'!$A$2:$A$72,"676*",'BALANCE N-1'!$H$2:$H$72)</f>
        <v/>
      </c>
      <c r="E30" s="3486" t="n"/>
    </row>
    <row r="31" ht="15" customHeight="1" s="1354">
      <c r="A31" s="2688" t="inlineStr">
        <is>
          <t xml:space="preserve">-  Participation    </t>
        </is>
      </c>
      <c r="B31" s="1816" t="n"/>
      <c r="C31" s="3482">
        <f>'Compte de Résultat'!E48</f>
        <v/>
      </c>
      <c r="D31" s="3482">
        <f>'Compte de Résultat'!F48</f>
        <v/>
      </c>
      <c r="E31" s="3486" t="n"/>
    </row>
    <row r="32" ht="15" customHeight="1" s="1354">
      <c r="A32" s="2689" t="inlineStr">
        <is>
          <t xml:space="preserve">-  Impôts sur les résultats    </t>
        </is>
      </c>
      <c r="B32" s="2683" t="n"/>
      <c r="C32" s="3482">
        <f>'Compte de Résultat'!E49</f>
        <v/>
      </c>
      <c r="D32" s="3482">
        <f>'Compte de Résultat'!F49</f>
        <v/>
      </c>
      <c r="E32" s="3486" t="n"/>
    </row>
    <row r="33" ht="15" customHeight="1" s="1354">
      <c r="A33" s="2690" t="inlineStr">
        <is>
          <t xml:space="preserve">  = CAPACITE D'AUTOFINANCEMENT GLOBALE (C.A.F.G.)    </t>
        </is>
      </c>
      <c r="B33" s="2685" t="n"/>
      <c r="C33" s="3488">
        <f>C23+C24+C25+C26+C27+C28-C29-C30-C31-C32</f>
        <v/>
      </c>
      <c r="D33" s="3488">
        <f>D23+D24+D25+D26+D27+D28-D29-D30-D31-D32</f>
        <v/>
      </c>
      <c r="E33" s="2692" t="n"/>
    </row>
    <row r="34" ht="15" customHeight="1" s="1354">
      <c r="A34" s="2682" t="inlineStr">
        <is>
          <t xml:space="preserve">  - Distributions de dividendes opérées durant l'exercice     </t>
        </is>
      </c>
      <c r="B34" s="2683" t="n"/>
      <c r="C34" s="3489" t="n">
        <v>0</v>
      </c>
      <c r="D34" s="3489" t="n">
        <v>0</v>
      </c>
      <c r="E34" s="3489" t="n">
        <v>0</v>
      </c>
    </row>
    <row r="35" ht="15" customHeight="1" s="1354">
      <c r="A35" s="2694" t="inlineStr">
        <is>
          <t xml:space="preserve">  = AUTOFINANCEMENT    </t>
        </is>
      </c>
      <c r="B35" s="2695" t="n"/>
      <c r="C35" s="3490">
        <f>C33-C34</f>
        <v/>
      </c>
      <c r="D35" s="3490">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91">
        <f>'Compte de Résultat'!E32/(PASSIF!D20+PASSIF!D21)</f>
        <v/>
      </c>
      <c r="D37" s="3491">
        <f>'Compte de Résultat'!F32/(PASSIF!E20+PASSIF!E21)</f>
        <v/>
      </c>
      <c r="E37" s="3484">
        <f>(C37-D37)/D37</f>
        <v/>
      </c>
    </row>
    <row r="38" ht="15" customHeight="1" s="1354">
      <c r="A38" s="2701" t="inlineStr">
        <is>
          <t xml:space="preserve">Rentabilité financière = Résultat net/Capitaux propres    </t>
        </is>
      </c>
      <c r="B38" s="1998" t="n"/>
      <c r="C38" s="3491">
        <f>'Compte de Résultat'!E50/PASSIF!D20</f>
        <v/>
      </c>
      <c r="D38" s="3491">
        <f>'Compte de Résultat'!F50/PASSIF!E20</f>
        <v/>
      </c>
      <c r="E38" s="3484">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2">
        <f>PASSIF!D20</f>
        <v/>
      </c>
      <c r="D40" s="3482">
        <f>PASSIF!E20</f>
        <v/>
      </c>
      <c r="E40" s="3483">
        <f>(C40-D40)/D40</f>
        <v/>
      </c>
    </row>
    <row r="41" ht="15" customHeight="1" s="1354">
      <c r="A41" s="2676" t="inlineStr">
        <is>
          <t xml:space="preserve">  + Dettes financières* et autres ressources assimilées (b) </t>
        </is>
      </c>
      <c r="B41" s="1816" t="n"/>
      <c r="C41" s="3482">
        <f>PASSIF!D24</f>
        <v/>
      </c>
      <c r="D41" s="3482">
        <f>PASSIF!E24</f>
        <v/>
      </c>
      <c r="E41" s="3483">
        <f>(C41-D41)/D41</f>
        <v/>
      </c>
    </row>
    <row r="42" ht="15" customHeight="1" s="1354">
      <c r="A42" s="2702" t="inlineStr">
        <is>
          <t xml:space="preserve">  = Ressources stables </t>
        </is>
      </c>
      <c r="B42" s="1816" t="n"/>
      <c r="C42" s="3492">
        <f>C40+C41</f>
        <v/>
      </c>
      <c r="D42" s="3492">
        <f>D40+D41</f>
        <v/>
      </c>
      <c r="E42" s="3493">
        <f>E40+E41</f>
        <v/>
      </c>
    </row>
    <row r="43" ht="15" customHeight="1" s="1354">
      <c r="A43" s="2705" t="inlineStr">
        <is>
          <t xml:space="preserve">  - Actif immobilisé (b) </t>
        </is>
      </c>
      <c r="B43" s="2683" t="n"/>
      <c r="C43" s="3482">
        <f>ACTIF!F27</f>
        <v/>
      </c>
      <c r="D43" s="3482">
        <f>ACTIF!G27</f>
        <v/>
      </c>
      <c r="E43" s="3483">
        <f>(C43-D43)/D43</f>
        <v/>
      </c>
    </row>
    <row r="44" ht="15" customHeight="1" s="1354">
      <c r="A44" s="2706" t="inlineStr">
        <is>
          <t xml:space="preserve">  = FONDS DE ROULEMENT (1)    </t>
        </is>
      </c>
      <c r="B44" s="2685" t="n"/>
      <c r="C44" s="3494">
        <f>C42-C43</f>
        <v/>
      </c>
      <c r="D44" s="3494">
        <f>D42-D43</f>
        <v/>
      </c>
      <c r="E44" s="2708">
        <f>(C44-D44)/D44</f>
        <v/>
      </c>
    </row>
    <row r="45" ht="15" customHeight="1" s="1354">
      <c r="A45" s="2676" t="inlineStr">
        <is>
          <t xml:space="preserve">    Actif circulant d'exploitation (b) </t>
        </is>
      </c>
      <c r="B45" s="1816" t="n"/>
      <c r="C45" s="3495">
        <f>ACTIF!F29+ACTIF!F30</f>
        <v/>
      </c>
      <c r="D45" s="3495">
        <f>ACTIF!G29+ACTIF!G30</f>
        <v/>
      </c>
      <c r="E45" s="3496">
        <f>(C45-D45)/D45</f>
        <v/>
      </c>
    </row>
    <row r="46" ht="15" customHeight="1" s="1354">
      <c r="A46" s="2688" t="inlineStr">
        <is>
          <t xml:space="preserve">-  Passif circulant d'exploitation (b) </t>
        </is>
      </c>
      <c r="B46" s="1816" t="n"/>
      <c r="C46" s="3495">
        <f>PASSIF!D32-PASSIF!D26</f>
        <v/>
      </c>
      <c r="D46" s="3495">
        <f>PASSIF!E32-PASSIF!E26</f>
        <v/>
      </c>
      <c r="E46" s="3496">
        <f>(C46-D46)/D46</f>
        <v/>
      </c>
    </row>
    <row r="47" ht="15" customHeight="1" s="1354">
      <c r="A47" s="2702" t="inlineStr">
        <is>
          <t xml:space="preserve">  = BESOIN DE FINANCEMENT D'EXPLOITATION (2) </t>
        </is>
      </c>
      <c r="B47" s="1816" t="n"/>
      <c r="C47" s="3492">
        <f>C45-C46</f>
        <v/>
      </c>
      <c r="D47" s="3492">
        <f>D45-D46</f>
        <v/>
      </c>
      <c r="E47" s="3497">
        <f>(C47-D47)/D47</f>
        <v/>
      </c>
    </row>
    <row r="48" ht="15" customHeight="1" s="1354">
      <c r="A48" s="2676" t="inlineStr">
        <is>
          <t xml:space="preserve">    Actif circulant HAO (b) </t>
        </is>
      </c>
      <c r="B48" s="1816" t="n"/>
      <c r="C48" s="3482">
        <f>ACTIF!F28</f>
        <v/>
      </c>
      <c r="D48" s="3482">
        <f>ACTIF!G28</f>
        <v/>
      </c>
      <c r="E48" s="3497" t="n"/>
    </row>
    <row r="49" ht="15" customHeight="1" s="1354">
      <c r="A49" s="2688" t="inlineStr">
        <is>
          <t xml:space="preserve">-  Passif circulant HAO (b) </t>
        </is>
      </c>
      <c r="B49" s="1816" t="n"/>
      <c r="C49" s="3482">
        <f>PASSIF!D26</f>
        <v/>
      </c>
      <c r="D49" s="3482">
        <f>PASSIF!E26</f>
        <v/>
      </c>
      <c r="E49" s="3497" t="n"/>
    </row>
    <row r="50" ht="15" customHeight="1" s="1354">
      <c r="A50" s="2705" t="inlineStr">
        <is>
          <t xml:space="preserve">  = BESOIN DE FINANCEMENT HAO (3) </t>
        </is>
      </c>
      <c r="B50" s="2683" t="n"/>
      <c r="C50" s="3482">
        <f>C48-C49</f>
        <v/>
      </c>
      <c r="D50" s="3482">
        <f>D48-D49</f>
        <v/>
      </c>
      <c r="E50" s="3497" t="n"/>
    </row>
    <row r="51" ht="15" customHeight="1" s="1354">
      <c r="A51" s="2706" t="inlineStr">
        <is>
          <t xml:space="preserve">BESOIN DE FINANCEMENT GLOBAL (4) = (2) + (3)   </t>
        </is>
      </c>
      <c r="B51" s="2685" t="n"/>
      <c r="C51" s="3494">
        <f>C47+C50</f>
        <v/>
      </c>
      <c r="D51" s="3494">
        <f>D47+D50</f>
        <v/>
      </c>
      <c r="E51" s="2708">
        <f>(C51-D51)/D51</f>
        <v/>
      </c>
    </row>
    <row r="52" ht="6.75" customHeight="1" s="1354">
      <c r="A52" s="2712" t="inlineStr">
        <is>
          <t>  </t>
        </is>
      </c>
      <c r="B52" s="2683" t="n"/>
      <c r="C52" s="3498" t="n"/>
      <c r="D52" s="3498" t="n"/>
      <c r="E52" s="3499" t="n"/>
    </row>
    <row r="53" ht="15" customHeight="1" s="1354">
      <c r="A53" s="2715" t="inlineStr">
        <is>
          <t xml:space="preserve">TRESORERIE NETTE (5) = (1) - (4)    </t>
        </is>
      </c>
      <c r="B53" s="1816" t="n"/>
      <c r="C53" s="3500">
        <f>C44-C51</f>
        <v/>
      </c>
      <c r="D53" s="3500">
        <f>D44-D51</f>
        <v/>
      </c>
      <c r="E53" s="2717">
        <f>(C53-D53)/D53</f>
        <v/>
      </c>
    </row>
    <row r="54" ht="15" customHeight="1" s="1354">
      <c r="A54" s="2678" t="inlineStr">
        <is>
          <t xml:space="preserve">CONTRÔLE : TRESORERIE NETTE = (TRESORERIE - ACTIF) - (TRESORERIE - PASSIF) </t>
        </is>
      </c>
      <c r="B54" s="1998" t="n"/>
      <c r="C54" s="3482">
        <f>ACTIF!F38-PASSIF!D35</f>
        <v/>
      </c>
      <c r="D54" s="3482">
        <f>ACTIF!G38-PASSIF!E35</f>
        <v/>
      </c>
      <c r="E54" s="3484">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2">
        <f>TFT!H20</f>
        <v/>
      </c>
      <c r="D56" s="3482">
        <f>TFT!I20</f>
        <v/>
      </c>
      <c r="E56" s="3484">
        <f>(C56-D56)/D56</f>
        <v/>
      </c>
    </row>
    <row r="57" ht="15" customHeight="1" s="1354">
      <c r="A57" s="2702" t="inlineStr">
        <is>
          <t xml:space="preserve">  -Flux de trésorerie des activités d'investissement </t>
        </is>
      </c>
      <c r="B57" s="1816" t="n"/>
      <c r="C57" s="3482">
        <f>TFT!H27</f>
        <v/>
      </c>
      <c r="D57" s="3482">
        <f>TFT!I27</f>
        <v/>
      </c>
      <c r="E57" s="3484">
        <f>(C57-D57)/D57</f>
        <v/>
      </c>
    </row>
    <row r="58" ht="15" customHeight="1" s="1354">
      <c r="A58" s="2705" t="inlineStr">
        <is>
          <t xml:space="preserve">  +Flux de trésorerie des activités de financement </t>
        </is>
      </c>
      <c r="B58" s="2683" t="n"/>
      <c r="C58" s="3482">
        <f>TFT!H39</f>
        <v/>
      </c>
      <c r="D58" s="3482">
        <f>TFT!I39</f>
        <v/>
      </c>
      <c r="E58" s="3484">
        <f>(C58-D58)/D58</f>
        <v/>
      </c>
    </row>
    <row r="59" ht="15" customHeight="1" s="1354">
      <c r="A59" s="2718" t="inlineStr">
        <is>
          <t xml:space="preserve">  = VARIATION DE LA TRESORERIE NETTE DE LA PERIODE   </t>
        </is>
      </c>
      <c r="B59" s="2695" t="n"/>
      <c r="C59" s="3494">
        <f>C56+C57+C58</f>
        <v/>
      </c>
      <c r="D59" s="3494">
        <f>D56+D57+D58</f>
        <v/>
      </c>
      <c r="E59" s="3501"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2">
        <f>PASSIF!D24+PASSIF!D35</f>
        <v/>
      </c>
      <c r="D61" s="3482">
        <f>PASSIF!E24+PASSIF!E35</f>
        <v/>
      </c>
      <c r="E61" s="3484">
        <f>(C61-D61)/D61</f>
        <v/>
      </c>
      <c r="G61" s="2909" t="n"/>
    </row>
    <row r="62" ht="15" customHeight="1" s="1354">
      <c r="A62" s="2682" t="inlineStr">
        <is>
          <t xml:space="preserve">  - Trésorerie-Actif</t>
        </is>
      </c>
      <c r="B62" s="2683" t="n"/>
      <c r="C62" s="3482">
        <f>ACTIF!F38</f>
        <v/>
      </c>
      <c r="D62" s="3482">
        <f>ACTIF!G38</f>
        <v/>
      </c>
      <c r="E62" s="3484">
        <f>(C62-D62)/D62</f>
        <v/>
      </c>
    </row>
    <row r="63" ht="15" customHeight="1" s="1354">
      <c r="A63" s="2720" t="inlineStr">
        <is>
          <t>= ENDETTEMENT NET</t>
        </is>
      </c>
      <c r="B63" s="2695" t="n"/>
      <c r="C63" s="3494">
        <f>C61-C62</f>
        <v/>
      </c>
      <c r="D63" s="3494">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2" t="inlineStr">
        <is>
          <t xml:space="preserve"> Dettes financières* = emprunts et dettes financières diverses + dettes de location acquisition.</t>
        </is>
      </c>
    </row>
    <row r="67"/>
    <row r="68" ht="34" customHeight="1" s="1354">
      <c r="A68" s="3031">
        <f>IF(SUM(C10:C63,D10:D63,E52:E59,G61:G61)=0,"NÉANT","")</f>
        <v/>
      </c>
    </row>
    <row r="69" ht="34" customHeight="1" s="1354"/>
    <row r="70" ht="34" customHeight="1" s="1354"/>
  </sheetData>
  <mergeCells count="65">
    <mergeCell ref="A39:E39"/>
    <mergeCell ref="A48:B48"/>
    <mergeCell ref="A24:B24"/>
    <mergeCell ref="A30:B30"/>
    <mergeCell ref="A15:B15"/>
    <mergeCell ref="A59:B59"/>
    <mergeCell ref="A11:B11"/>
    <mergeCell ref="A49:B49"/>
    <mergeCell ref="A51:B51"/>
    <mergeCell ref="A45:B45"/>
    <mergeCell ref="A60:E60"/>
    <mergeCell ref="A36:E36"/>
    <mergeCell ref="A61:B61"/>
    <mergeCell ref="A68:G70"/>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E55"/>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5"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4"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4"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4"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3" t="inlineStr">
        <is>
          <t xml:space="preserve">INFORMATIONS RELATIVES AUX ENGAGEMENTS SOCIÉTAUX EN FAVEUR DU </t>
        </is>
      </c>
    </row>
    <row r="42" ht="20.15" customHeight="1" s="1354">
      <c r="A42" s="3254"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row r="52"/>
    <row r="53" ht="26" customHeight="1" s="1354">
      <c r="A53" s="3037" t="inlineStr">
        <is>
          <t>NOTE À COMPLÉTER</t>
        </is>
      </c>
    </row>
    <row r="54" ht="26" customHeight="1" s="1354"/>
    <row r="55" ht="26" customHeight="1" s="1354"/>
  </sheetData>
  <mergeCells count="1">
    <mergeCell ref="A53:E55"/>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row r="43"/>
    <row r="44" ht="26" customHeight="1" s="1354">
      <c r="A44" s="3037" t="inlineStr">
        <is>
          <t>NOTE À COMPLÉTER</t>
        </is>
      </c>
    </row>
    <row r="45" ht="26" customHeight="1" s="1354"/>
    <row r="46" ht="26" customHeight="1" s="1354"/>
  </sheetData>
  <mergeCells count="3">
    <mergeCell ref="A44:F46"/>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4" t="n"/>
      <c r="C2" s="2746" t="inlineStr">
        <is>
          <t>Industrie du caoutchouc et des plastiques</t>
        </is>
      </c>
    </row>
    <row r="3" ht="14.15" customFormat="1" customHeight="1" s="1589">
      <c r="A3" s="2747" t="inlineStr">
        <is>
          <t>001 001 Culture Céréalière</t>
        </is>
      </c>
      <c r="B3" s="3505" t="n"/>
      <c r="C3" s="2749" t="inlineStr">
        <is>
          <t>022 001 Fabrication du caoutchouc naturel</t>
        </is>
      </c>
    </row>
    <row r="4" ht="14.15" customFormat="1" customHeight="1" s="1589">
      <c r="A4" s="2747" t="inlineStr">
        <is>
          <t>001 002 Culture de tubercules et plantains</t>
        </is>
      </c>
      <c r="B4" s="3505" t="n"/>
      <c r="C4" s="2749" t="inlineStr">
        <is>
          <t>022 002 industries de caoutchouc</t>
        </is>
      </c>
    </row>
    <row r="5" ht="14.15" customFormat="1" customHeight="1" s="1589">
      <c r="A5" s="2747" t="inlineStr">
        <is>
          <t>001 003 Culture de légumes</t>
        </is>
      </c>
      <c r="B5" s="3505" t="n"/>
      <c r="C5" s="2749" t="inlineStr">
        <is>
          <t>022 003 Fabrication de matières plastiques</t>
        </is>
      </c>
    </row>
    <row r="6" ht="14.15" customFormat="1" customHeight="1" s="1589">
      <c r="A6" s="2747" t="inlineStr">
        <is>
          <t>001 004 Culture de condiments</t>
        </is>
      </c>
      <c r="B6" s="3505" t="n"/>
      <c r="C6" s="2750" t="inlineStr">
        <is>
          <t>Fabrication d’autres produits minéraux non métallique et de matériaux de construction</t>
        </is>
      </c>
    </row>
    <row r="7" ht="14.15" customFormat="1" customHeight="1" s="1589">
      <c r="A7" s="2747" t="inlineStr">
        <is>
          <t>001 005 Culture de fruits</t>
        </is>
      </c>
      <c r="B7" s="3505" t="n"/>
      <c r="C7" s="2749" t="inlineStr">
        <is>
          <t>023 001 Industrie du verre</t>
        </is>
      </c>
    </row>
    <row r="8" ht="14.15" customFormat="1" customHeight="1" s="1589">
      <c r="A8" s="2747" t="inlineStr">
        <is>
          <t>001 006 Culture d’autres produits de l’agriculture vivrière</t>
        </is>
      </c>
      <c r="B8" s="3505" t="n"/>
      <c r="C8" s="2749" t="inlineStr">
        <is>
          <t>023 002 Fabrication de produits minéraux pour la construction</t>
        </is>
      </c>
    </row>
    <row r="9" ht="14.15" customFormat="1" customHeight="1" s="1589">
      <c r="A9" s="2751" t="inlineStr">
        <is>
          <t>Agriculture Industrielle et d’exportation</t>
        </is>
      </c>
      <c r="B9" s="3505" t="n"/>
      <c r="C9" s="2749" t="inlineStr">
        <is>
          <t>023 003 Fabrication d’autres produits minéraux non métalliques</t>
        </is>
      </c>
    </row>
    <row r="10" ht="14.15" customFormat="1" customHeight="1" s="1589">
      <c r="A10" s="2747" t="inlineStr">
        <is>
          <t>002 001 Culture de canne à sucre</t>
        </is>
      </c>
      <c r="B10" s="3505" t="n"/>
      <c r="C10" s="2750" t="inlineStr">
        <is>
          <t>Métallurgie et travail des métaux</t>
        </is>
      </c>
    </row>
    <row r="11" ht="14.15" customFormat="1" customHeight="1" s="1589">
      <c r="A11" s="2747" t="inlineStr">
        <is>
          <t>002 002 Culture d’arachide d’huilerie</t>
        </is>
      </c>
      <c r="B11" s="3505" t="n"/>
      <c r="C11" s="2749" t="inlineStr">
        <is>
          <t>024 001 Métallurgie</t>
        </is>
      </c>
    </row>
    <row r="12" ht="14.15" customFormat="1" customHeight="1" s="1589">
      <c r="A12" s="2747" t="inlineStr">
        <is>
          <t>002 003 Culture d’arachide de bouche</t>
        </is>
      </c>
      <c r="B12" s="3505" t="n"/>
      <c r="C12" s="2749" t="inlineStr">
        <is>
          <t>024 002 Travail des métaux</t>
        </is>
      </c>
    </row>
    <row r="13" ht="14.15" customFormat="1" customHeight="1" s="1589">
      <c r="A13" s="2747" t="inlineStr">
        <is>
          <t>002 004 Culture de tabac</t>
        </is>
      </c>
      <c r="B13" s="3505" t="n"/>
      <c r="C13" s="2750" t="inlineStr">
        <is>
          <t>Fabrication de machines, d’équipement et d’appareils électriques</t>
        </is>
      </c>
    </row>
    <row r="14" ht="14.15" customFormat="1" customHeight="1" s="1589">
      <c r="A14" s="2747" t="inlineStr">
        <is>
          <t>002 005 Culture de coton</t>
        </is>
      </c>
      <c r="B14" s="3505" t="n"/>
      <c r="C14" s="2749" t="inlineStr">
        <is>
          <t>025 001 Fabrication de machines, et d’équipement</t>
        </is>
      </c>
    </row>
    <row r="15" ht="14.15" customFormat="1" customHeight="1" s="1589">
      <c r="A15" s="2747" t="inlineStr">
        <is>
          <t>002 006 Culture de blé</t>
        </is>
      </c>
      <c r="B15" s="3505" t="n"/>
      <c r="C15" s="2749" t="inlineStr">
        <is>
          <t>£</t>
        </is>
      </c>
    </row>
    <row r="16" ht="14.15" customFormat="1" customHeight="1" s="1589">
      <c r="A16" s="2747" t="inlineStr">
        <is>
          <t>002 007 Culture de cacao</t>
        </is>
      </c>
      <c r="B16" s="3505" t="n"/>
      <c r="C16" s="2749" t="inlineStr">
        <is>
          <t>¨LKJHCXWWC</t>
        </is>
      </c>
    </row>
    <row r="17" ht="19.5" customFormat="1" customHeight="1" s="1589">
      <c r="A17" s="2747" t="inlineStr">
        <is>
          <t>002 008 Culture de café</t>
        </is>
      </c>
      <c r="B17" s="3505"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5" t="n"/>
      <c r="C18" s="2749" t="inlineStr">
        <is>
          <t>026 001 Fabrication d’équipements et appareils audiovisuels et de communication</t>
        </is>
      </c>
    </row>
    <row r="19" ht="14.15" customFormat="1" customHeight="1" s="1589">
      <c r="A19" s="2747" t="inlineStr">
        <is>
          <t>002 010 Culture d’ananas d’exportation</t>
        </is>
      </c>
      <c r="B19" s="3505" t="n"/>
      <c r="C19" s="2749" t="inlineStr">
        <is>
          <t>026 002 Fabrication d’instruments médicaux, d’optique et d’horlogerie</t>
        </is>
      </c>
    </row>
    <row r="20" ht="14.15" customFormat="1" customHeight="1" s="1589">
      <c r="A20" s="2747" t="inlineStr">
        <is>
          <t>002 011 Autres cultures industrielles</t>
        </is>
      </c>
      <c r="B20" s="3505" t="n"/>
      <c r="C20" s="2750" t="inlineStr">
        <is>
          <t>Fabrication de matériel de transport</t>
        </is>
      </c>
    </row>
    <row r="21" ht="14.15" customFormat="1" customHeight="1" s="1589">
      <c r="A21" s="2751" t="inlineStr">
        <is>
          <t>Elevage et Chasse</t>
        </is>
      </c>
      <c r="B21" s="3505" t="n"/>
      <c r="C21" s="2749" t="inlineStr">
        <is>
          <t>027 001 Fabrication de véhicule routier</t>
        </is>
      </c>
    </row>
    <row r="22" ht="14.15" customFormat="1" customHeight="1" s="1589">
      <c r="A22" s="2747" t="inlineStr">
        <is>
          <t>003 001 Elevage bovin</t>
        </is>
      </c>
      <c r="B22" s="3505" t="n"/>
      <c r="C22" s="2749" t="inlineStr">
        <is>
          <t>027 002 Fabrication d’autres matériels de transport</t>
        </is>
      </c>
    </row>
    <row r="23" ht="14.15" customFormat="1" customHeight="1" s="1589">
      <c r="A23" s="2747" t="inlineStr">
        <is>
          <t>003 002 Elevage ovin, caprin, équin</t>
        </is>
      </c>
      <c r="B23" s="3505" t="n"/>
      <c r="C23" s="2750" t="inlineStr">
        <is>
          <t>Industrie diverses</t>
        </is>
      </c>
    </row>
    <row r="24" ht="14.15" customFormat="1" customHeight="1" s="1589">
      <c r="A24" s="2747" t="inlineStr">
        <is>
          <t>003 003 Elevage de volaille</t>
        </is>
      </c>
      <c r="B24" s="3505" t="n"/>
      <c r="C24" s="2749" t="inlineStr">
        <is>
          <t>028 001 Fabrication de meubles</t>
        </is>
      </c>
    </row>
    <row r="25" ht="14.15" customFormat="1" customHeight="1" s="1589">
      <c r="A25" s="2747" t="inlineStr">
        <is>
          <t>003 004 Autres élevages</t>
        </is>
      </c>
      <c r="B25" s="3505" t="n"/>
      <c r="C25" s="2749" t="inlineStr">
        <is>
          <t>028 002  Industrie diverses</t>
        </is>
      </c>
    </row>
    <row r="26" ht="14.15" customFormat="1" customHeight="1" s="1589">
      <c r="A26" s="2747" t="inlineStr">
        <is>
          <t>003 005 Chasse</t>
        </is>
      </c>
      <c r="B26" s="3505" t="n"/>
      <c r="C26" s="2750" t="inlineStr">
        <is>
          <t>Production et distribution d’eau, d’électricité et de gaz</t>
        </is>
      </c>
    </row>
    <row r="27" ht="14.15" customFormat="1" customHeight="1" s="1589">
      <c r="A27" s="2751" t="inlineStr">
        <is>
          <t>Sylviculture, exploitation forestière</t>
        </is>
      </c>
      <c r="B27" s="3505" t="n"/>
      <c r="C27" s="2749" t="inlineStr">
        <is>
          <t>029 001  Production, transport et distribution d’électricité</t>
        </is>
      </c>
    </row>
    <row r="28" ht="14.15" customFormat="1" customHeight="1" s="1589">
      <c r="A28" s="2747" t="inlineStr">
        <is>
          <t>004 001 Sylviculture</t>
        </is>
      </c>
      <c r="B28" s="3505" t="n"/>
      <c r="C28" s="2749" t="inlineStr">
        <is>
          <t>029 002  Captage, épuration et distribution d’eau</t>
        </is>
      </c>
    </row>
    <row r="29" ht="14.15" customFormat="1" customHeight="1" s="1589">
      <c r="A29" s="2747" t="inlineStr">
        <is>
          <t>004 002 Exploitation forestière</t>
        </is>
      </c>
      <c r="B29" s="3505" t="n"/>
      <c r="C29" s="2749" t="inlineStr">
        <is>
          <t>029 003 Production et distribution de gaz</t>
        </is>
      </c>
    </row>
    <row r="30" ht="14.15" customFormat="1" customHeight="1" s="1589">
      <c r="A30" s="2751" t="inlineStr">
        <is>
          <t>Pêche et aquaculture</t>
        </is>
      </c>
      <c r="B30" s="3505" t="n"/>
      <c r="C30" s="2750" t="inlineStr">
        <is>
          <t>Construction</t>
        </is>
      </c>
    </row>
    <row r="31" ht="14.15" customFormat="1" customHeight="1" s="1589">
      <c r="A31" s="2747" t="inlineStr">
        <is>
          <t>005 001 Pêche de poisson</t>
        </is>
      </c>
      <c r="B31" s="3505" t="n"/>
      <c r="C31" s="2749" t="inlineStr">
        <is>
          <t>030 001 Préparation de sites et construction d’ouvrages de bâtiments ou de génie civil</t>
        </is>
      </c>
    </row>
    <row r="32" ht="14.15" customFormat="1" customHeight="1" s="1589">
      <c r="A32" s="2747" t="inlineStr">
        <is>
          <t>005 002 autres pêches et aquaculture</t>
        </is>
      </c>
      <c r="B32" s="3505" t="n"/>
      <c r="C32" s="2749" t="inlineStr">
        <is>
          <t>030 002 Travaux d’installation et de finition</t>
        </is>
      </c>
    </row>
    <row r="33" ht="14.15" customFormat="1" customHeight="1" s="1589">
      <c r="A33" s="2751" t="inlineStr">
        <is>
          <t>Industrie extractives</t>
        </is>
      </c>
      <c r="B33" s="3505" t="n"/>
      <c r="C33" s="2750" t="inlineStr">
        <is>
          <t>Commerce</t>
        </is>
      </c>
    </row>
    <row r="34" ht="14.15" customFormat="1" customHeight="1" s="1589">
      <c r="A34" s="2747" t="inlineStr">
        <is>
          <t>006 001 Extraction d’hydrocarbure</t>
        </is>
      </c>
      <c r="B34" s="3505" t="n"/>
      <c r="C34" s="2749" t="inlineStr">
        <is>
          <t>031 001 Commerce de véhicules, d’accessoires et de carburant</t>
        </is>
      </c>
    </row>
    <row r="35" ht="14.15" customFormat="1" customHeight="1" s="1589">
      <c r="A35" s="2747" t="inlineStr">
        <is>
          <t>006 002 Extraction d’autres produits</t>
        </is>
      </c>
      <c r="B35" s="3505" t="n"/>
      <c r="C35" s="2749" t="inlineStr">
        <is>
          <t>031 002 Commerce de produits agricoles bruts et d’animaux vivants</t>
        </is>
      </c>
    </row>
    <row r="36" ht="14.15" customFormat="1" customHeight="1" s="1589">
      <c r="A36" s="2751" t="inlineStr">
        <is>
          <t>Production de viandes et de poissons</t>
        </is>
      </c>
      <c r="B36" s="3505" t="n"/>
      <c r="C36" s="2749" t="inlineStr">
        <is>
          <t>031 003 Autres commerces</t>
        </is>
      </c>
    </row>
    <row r="37" ht="14.15" customFormat="1" customHeight="1" s="1589">
      <c r="A37" s="2747" t="inlineStr">
        <is>
          <t>007 001 Production de viandes et de produits à base de viande</t>
        </is>
      </c>
      <c r="B37" s="3505" t="n"/>
      <c r="C37" s="2750" t="inlineStr">
        <is>
          <t>Réparations</t>
        </is>
      </c>
    </row>
    <row r="38" ht="14.15" customFormat="1" customHeight="1" s="1589">
      <c r="A38" s="2747" t="inlineStr">
        <is>
          <t>007 002 Production de poisson et de produits à base de poisson</t>
        </is>
      </c>
      <c r="B38" s="3505" t="n"/>
      <c r="C38" s="2749" t="inlineStr">
        <is>
          <t>032 001 Entretien et réparation des véhicules automobile</t>
        </is>
      </c>
    </row>
    <row r="39" ht="14.15" customFormat="1" customHeight="1" s="1589">
      <c r="A39" s="2751" t="inlineStr">
        <is>
          <t>Travail de grains et fabrication de produits amylacés</t>
        </is>
      </c>
      <c r="B39" s="3505" t="n"/>
      <c r="C39" s="2749" t="inlineStr">
        <is>
          <t>032 002 Réparation de biens personnels et domestiques</t>
        </is>
      </c>
    </row>
    <row r="40" ht="14.15" customFormat="1" customHeight="1" s="1589">
      <c r="A40" s="2747" t="inlineStr">
        <is>
          <t>008 000 Travail de grains et fabrication de produits amylacés</t>
        </is>
      </c>
      <c r="B40" s="3505" t="n"/>
      <c r="C40" s="2750" t="inlineStr">
        <is>
          <t>Hôtels, restaurant</t>
        </is>
      </c>
    </row>
    <row r="41" ht="14.15" customFormat="1" customHeight="1" s="1589">
      <c r="A41" s="2751" t="inlineStr">
        <is>
          <t>Transformation du café et du cacao</t>
        </is>
      </c>
      <c r="B41" s="3505" t="n"/>
      <c r="C41" s="2749" t="inlineStr">
        <is>
          <t>033 001 Hôtels</t>
        </is>
      </c>
    </row>
    <row r="42" ht="14.15" customFormat="1" customHeight="1" s="1589">
      <c r="A42" s="2747" t="inlineStr">
        <is>
          <t>009 001 Transformation du café</t>
        </is>
      </c>
      <c r="B42" s="3505" t="n"/>
      <c r="C42" s="2749" t="inlineStr">
        <is>
          <t>033 002 Bars et restaurants</t>
        </is>
      </c>
    </row>
    <row r="43" ht="14.15" customFormat="1" customHeight="1" s="1589">
      <c r="A43" s="2747" t="inlineStr">
        <is>
          <t>009 002 Transformation du cacao</t>
        </is>
      </c>
      <c r="B43" s="3505" t="n"/>
      <c r="C43" s="2750" t="inlineStr">
        <is>
          <t>Transport et communication</t>
        </is>
      </c>
    </row>
    <row r="44" ht="14.15" customFormat="1" customHeight="1" s="1589">
      <c r="A44" s="2751" t="inlineStr">
        <is>
          <t>Industrie des oléagineux</t>
        </is>
      </c>
      <c r="B44" s="3505" t="n"/>
      <c r="C44" s="2749" t="inlineStr">
        <is>
          <t>034 001 Transport ferroviaire</t>
        </is>
      </c>
    </row>
    <row r="45" ht="14.15" customFormat="1" customHeight="1" s="1589">
      <c r="A45" s="2747" t="inlineStr">
        <is>
          <t>010 001 Huiles brutes et tourteaux</t>
        </is>
      </c>
      <c r="B45" s="3505" t="n"/>
      <c r="C45" s="2749" t="inlineStr">
        <is>
          <t>034 002 Transport Transports routière, transport par conduite</t>
        </is>
      </c>
    </row>
    <row r="46" ht="14.15" customFormat="1" customHeight="1" s="1589">
      <c r="A46" s="2747" t="inlineStr">
        <is>
          <t>010 002 Autres corps gras</t>
        </is>
      </c>
      <c r="B46" s="3505" t="n"/>
      <c r="C46" s="2749" t="inlineStr">
        <is>
          <t xml:space="preserve">034 003 Transport par eau </t>
        </is>
      </c>
    </row>
    <row r="47" ht="14.15" customFormat="1" customHeight="1" s="1589">
      <c r="A47" s="2751" t="inlineStr">
        <is>
          <t>Boulangerie, Pâtisserie et pâtes alimentaires</t>
        </is>
      </c>
      <c r="B47" s="3505" t="n"/>
      <c r="C47" s="2749" t="inlineStr">
        <is>
          <t>034 004 Transport  aérien</t>
        </is>
      </c>
    </row>
    <row r="48" ht="14.15" customFormat="1" customHeight="1" s="1589">
      <c r="A48" s="2747" t="inlineStr">
        <is>
          <t>011 001 Fabrication de pains, de biscuits et de pâtisseries</t>
        </is>
      </c>
      <c r="B48" s="3505" t="n"/>
      <c r="C48" s="2749" t="inlineStr">
        <is>
          <t>034 005 Services annexes et auxiliaire de transport</t>
        </is>
      </c>
    </row>
    <row r="49" ht="14.15" customFormat="1" customHeight="1" s="1589">
      <c r="A49" s="2747" t="inlineStr">
        <is>
          <t>011 002 Fabrication de pâtes alimentaires</t>
        </is>
      </c>
      <c r="B49" s="3505" t="n"/>
      <c r="C49" s="2750" t="inlineStr">
        <is>
          <t xml:space="preserve">Postes, télécommunication </t>
        </is>
      </c>
    </row>
    <row r="50" ht="14.15" customFormat="1" customHeight="1" s="1589">
      <c r="A50" s="2751" t="inlineStr">
        <is>
          <t>Industrie laitière</t>
        </is>
      </c>
      <c r="B50" s="3505" t="n"/>
      <c r="C50" s="2749" t="inlineStr">
        <is>
          <t>035 001 Postes</t>
        </is>
      </c>
    </row>
    <row r="51" ht="14.15" customFormat="1" customHeight="1" s="1589">
      <c r="A51" s="2747" t="inlineStr">
        <is>
          <t>012 000 Industrie laitière</t>
        </is>
      </c>
      <c r="B51" s="3505" t="n"/>
      <c r="C51" s="2749" t="inlineStr">
        <is>
          <t xml:space="preserve">035 002 Télécommunication </t>
        </is>
      </c>
    </row>
    <row r="52" ht="14.15" customFormat="1" customHeight="1" s="1589">
      <c r="A52" s="2751" t="inlineStr">
        <is>
          <t>Transformation de fruits et légumes et fabrication d’autres produits alimentaires</t>
        </is>
      </c>
      <c r="B52" s="3505" t="n"/>
      <c r="C52" s="2750" t="inlineStr">
        <is>
          <t>Activités financières</t>
        </is>
      </c>
    </row>
    <row r="53" ht="14.15" customFormat="1" customHeight="1" s="1589">
      <c r="A53" s="2747" t="inlineStr">
        <is>
          <t>013 001 Fabrication de sucre</t>
        </is>
      </c>
      <c r="B53" s="3505" t="n"/>
      <c r="C53" s="2749" t="inlineStr">
        <is>
          <t>036 001 Services d’intermédiation financière</t>
        </is>
      </c>
    </row>
    <row r="54" ht="14.15" customFormat="1" customHeight="1" s="1589">
      <c r="A54" s="2747" t="inlineStr">
        <is>
          <t>013 002 Fabrication de produit à base de fruits et de légumes</t>
        </is>
      </c>
      <c r="B54" s="3505" t="n"/>
      <c r="C54" s="2749" t="inlineStr">
        <is>
          <t>036 002 Assurances (sauf sécurité sociale)</t>
        </is>
      </c>
    </row>
    <row r="55" ht="14.15" customFormat="1" customHeight="1" s="1589">
      <c r="A55" s="2747" t="inlineStr">
        <is>
          <t>013 003 Fabrication d’autres produits alimentaires</t>
        </is>
      </c>
      <c r="B55" s="3505" t="n"/>
      <c r="C55" s="2749" t="inlineStr">
        <is>
          <t>036 003 Auxiliaire financiers et d’assurances</t>
        </is>
      </c>
    </row>
    <row r="56" ht="14.15" customFormat="1" customHeight="1" s="1589">
      <c r="A56" s="2751" t="inlineStr">
        <is>
          <t>Industrie des boissons</t>
        </is>
      </c>
      <c r="B56" s="3505" t="n"/>
      <c r="C56" s="2750" t="inlineStr">
        <is>
          <t>Activités Immobilières</t>
        </is>
      </c>
    </row>
    <row r="57" ht="14.15" customFormat="1" customHeight="1" s="1589">
      <c r="A57" s="2747" t="inlineStr">
        <is>
          <t>014 001 Brasseries et malteries</t>
        </is>
      </c>
      <c r="B57" s="3505" t="n"/>
      <c r="C57" s="2749" t="inlineStr">
        <is>
          <t>037 001 Locations de biens immobiliers</t>
        </is>
      </c>
    </row>
    <row r="58" ht="14.15" customFormat="1" customHeight="1" s="1589">
      <c r="A58" s="2747" t="inlineStr">
        <is>
          <t>014 002 Fabrication d’autres boissons alcoolisées</t>
        </is>
      </c>
      <c r="B58" s="3505" t="n"/>
      <c r="C58" s="2749" t="inlineStr">
        <is>
          <t>037 002 Autres services immobiliers</t>
        </is>
      </c>
    </row>
    <row r="59" ht="14.15" customFormat="1" customHeight="1" s="1589">
      <c r="A59" s="2747" t="inlineStr">
        <is>
          <t>014 003 Fabrication de boissons non alcoolisées et d’eaux minérales</t>
        </is>
      </c>
      <c r="B59" s="3505" t="n"/>
      <c r="C59" s="2750" t="inlineStr">
        <is>
          <t>Services aux entités</t>
        </is>
      </c>
    </row>
    <row r="60" ht="14.15" customFormat="1" customHeight="1" s="1589">
      <c r="A60" s="2751" t="inlineStr">
        <is>
          <t>Industrie de Tabac</t>
        </is>
      </c>
      <c r="B60" s="3505" t="n"/>
      <c r="C60" s="2749" t="inlineStr">
        <is>
          <t>038 001 Locations sans opérateurs</t>
        </is>
      </c>
    </row>
    <row r="61" ht="14.15" customFormat="1" customHeight="1" s="1589">
      <c r="A61" s="2747" t="inlineStr">
        <is>
          <t>015 000  Industrie de Tabac</t>
        </is>
      </c>
      <c r="B61" s="3505" t="n"/>
      <c r="C61" s="2749" t="inlineStr">
        <is>
          <t>038 002 Activités informatiques</t>
        </is>
      </c>
    </row>
    <row r="62" ht="14.15" customFormat="1" customHeight="1" s="1589">
      <c r="A62" s="2751" t="inlineStr">
        <is>
          <t>Industrie textiles et habillement</t>
        </is>
      </c>
      <c r="B62" s="3505" t="n"/>
      <c r="C62" s="2749" t="inlineStr">
        <is>
          <t>038 003 Services rendus principalement aux entités</t>
        </is>
      </c>
    </row>
    <row r="63" ht="14.15" customFormat="1" customHeight="1" s="1589">
      <c r="A63" s="2747" t="inlineStr">
        <is>
          <t>016 001 Industrie textiles</t>
        </is>
      </c>
      <c r="B63" s="3505" t="n"/>
      <c r="C63" s="2750" t="inlineStr">
        <is>
          <t>Administration publiques</t>
        </is>
      </c>
    </row>
    <row r="64" ht="14.15" customFormat="1" customHeight="1" s="1589">
      <c r="A64" s="2747" t="inlineStr">
        <is>
          <t>016 002 Industrie de l’habillement</t>
        </is>
      </c>
      <c r="B64" s="3505" t="n"/>
      <c r="C64" s="2749" t="inlineStr">
        <is>
          <t>039 001 Administration générale, économique et sociale</t>
        </is>
      </c>
    </row>
    <row r="65" ht="14.15" customFormat="1" customHeight="1" s="1589">
      <c r="A65" s="2751" t="inlineStr">
        <is>
          <t>Industrie de cuir et de la chaussure</t>
        </is>
      </c>
      <c r="B65" s="3505" t="n"/>
      <c r="C65" s="2749" t="inlineStr">
        <is>
          <t>039 002 Services de prérogatives publiques</t>
        </is>
      </c>
    </row>
    <row r="66" ht="14.15" customFormat="1" customHeight="1" s="1589">
      <c r="A66" s="2747" t="inlineStr">
        <is>
          <t>017 001 Fabrication de cuir et articles en cuir</t>
        </is>
      </c>
      <c r="B66" s="3505" t="n"/>
      <c r="C66" s="2749" t="inlineStr">
        <is>
          <t>039 003 Sécurité sociale obligatoire</t>
        </is>
      </c>
    </row>
    <row r="67" ht="14.15" customFormat="1" customHeight="1" s="1589">
      <c r="A67" s="2747" t="inlineStr">
        <is>
          <t>017 002 Fabrication de chaussures</t>
        </is>
      </c>
      <c r="B67" s="3505" t="n"/>
      <c r="C67" s="2750" t="inlineStr">
        <is>
          <t>Education</t>
        </is>
      </c>
    </row>
    <row r="68" ht="14.15" customFormat="1" customHeight="1" s="1589">
      <c r="A68" s="2751" t="inlineStr">
        <is>
          <t>Industrie du bois</t>
        </is>
      </c>
      <c r="B68" s="3505" t="n"/>
      <c r="C68" s="2749" t="inlineStr">
        <is>
          <t xml:space="preserve">040 000 Education </t>
        </is>
      </c>
    </row>
    <row r="69" ht="14.15" customFormat="1" customHeight="1" s="1589">
      <c r="A69" s="2747" t="inlineStr">
        <is>
          <t>018 001 Sciage, rabotage et imprégnation du bois</t>
        </is>
      </c>
      <c r="B69" s="3505" t="n"/>
      <c r="C69" s="2750" t="inlineStr">
        <is>
          <t>Santé et action sociale</t>
        </is>
      </c>
    </row>
    <row r="70" ht="14.15" customFormat="1" customHeight="1" s="1589">
      <c r="A70" s="2747" t="inlineStr">
        <is>
          <t>018 002 Fabrication de panneaux en bois</t>
        </is>
      </c>
      <c r="B70" s="3505" t="n"/>
      <c r="C70" s="2749" t="inlineStr">
        <is>
          <t>041 001 Activités pour la santé des hommes</t>
        </is>
      </c>
    </row>
    <row r="71" ht="14.15" customFormat="1" customHeight="1" s="1589">
      <c r="A71" s="2747" t="inlineStr">
        <is>
          <t>018 003 Fabrication d’article en bois assemblés</t>
        </is>
      </c>
      <c r="B71" s="3505" t="n"/>
      <c r="C71" s="2749" t="inlineStr">
        <is>
          <t>041 002 Activités vétérinaires</t>
        </is>
      </c>
    </row>
    <row r="72" ht="14.15" customFormat="1" customHeight="1" s="1589">
      <c r="A72" s="2751" t="inlineStr">
        <is>
          <t>Industrie du papier et cartons, de l’édition et de l’imprimerie</t>
        </is>
      </c>
      <c r="B72" s="3505" t="n"/>
      <c r="C72" s="2749" t="inlineStr">
        <is>
          <t>041 003 Action sociale</t>
        </is>
      </c>
    </row>
    <row r="73" ht="14.15" customFormat="1" customHeight="1" s="1589">
      <c r="A73" s="2747" t="inlineStr">
        <is>
          <t>019 001 Industrie du papier et cartons</t>
        </is>
      </c>
      <c r="B73" s="3505" t="n"/>
      <c r="C73" s="2750" t="inlineStr">
        <is>
          <t xml:space="preserve">Services collectifs, sociaux et personnels </t>
        </is>
      </c>
    </row>
    <row r="74" ht="14.15" customFormat="1" customHeight="1" s="1589">
      <c r="A74" s="2747" t="inlineStr">
        <is>
          <t>019 002 Edition, imprimerie, reproduction</t>
        </is>
      </c>
      <c r="B74" s="3505" t="n"/>
      <c r="C74" s="2749" t="inlineStr">
        <is>
          <t xml:space="preserve">042 001 Assainissement, voirie et gestion des déchets </t>
        </is>
      </c>
    </row>
    <row r="75" ht="14.15" customFormat="1" customHeight="1" s="1589">
      <c r="A75" s="2751" t="inlineStr">
        <is>
          <t>Raffinage du pétrole</t>
        </is>
      </c>
      <c r="B75" s="3505" t="n"/>
      <c r="C75" s="2749" t="inlineStr">
        <is>
          <t xml:space="preserve">042 002 Activités associatives </t>
        </is>
      </c>
    </row>
    <row r="76" ht="14.15" customFormat="1" customHeight="1" s="1589">
      <c r="A76" s="2747" t="inlineStr">
        <is>
          <t>020 000 Raffinage du pétrole</t>
        </is>
      </c>
      <c r="B76" s="3505" t="n"/>
      <c r="C76" s="2749" t="inlineStr">
        <is>
          <t xml:space="preserve">042 003 Activités récréatives, culturelles et sportives </t>
        </is>
      </c>
    </row>
    <row r="77" ht="14.15" customFormat="1" customHeight="1" s="1589">
      <c r="A77" s="2751" t="inlineStr">
        <is>
          <t>Industrie chimique</t>
        </is>
      </c>
      <c r="B77" s="3505" t="n"/>
      <c r="C77" s="2749" t="inlineStr">
        <is>
          <t>042 004 Services personnels</t>
        </is>
      </c>
    </row>
    <row r="78" ht="14.15" customFormat="1" customHeight="1" s="1589">
      <c r="A78" s="2747" t="inlineStr">
        <is>
          <t>021 001 Industrie chimique</t>
        </is>
      </c>
      <c r="B78" s="3505" t="n"/>
      <c r="C78" s="2749" t="inlineStr">
        <is>
          <t>042 005 Services domestiques</t>
        </is>
      </c>
    </row>
    <row r="79" ht="14.15" customFormat="1" customHeight="1" s="1589">
      <c r="A79" s="2747" t="inlineStr">
        <is>
          <t>021 002 Fabrication de savons, de détergents et de produits d’entretien</t>
        </is>
      </c>
      <c r="B79" s="3505" t="n"/>
      <c r="C79" s="2750" t="inlineStr">
        <is>
          <t>Services d’intermédiation financière indirectement mesuré</t>
        </is>
      </c>
    </row>
    <row r="80" ht="14.15" customFormat="1" customHeight="1" s="1589">
      <c r="A80" s="2747" t="inlineStr">
        <is>
          <t>021 003  Fabrication de produit agro-chimiques</t>
        </is>
      </c>
      <c r="B80" s="3505" t="n"/>
      <c r="C80" s="2749" t="inlineStr">
        <is>
          <t xml:space="preserve">043 000 Services d’intermédiation financière indirectement mesuré </t>
        </is>
      </c>
    </row>
    <row r="81" ht="14.15" customFormat="1" customHeight="1" s="1589">
      <c r="A81" s="2747" t="inlineStr">
        <is>
          <t>021 004  Industries pharmaceutiques</t>
        </is>
      </c>
      <c r="B81" s="3505" t="n"/>
      <c r="C81" s="2750" t="inlineStr">
        <is>
          <t>Correction territoriale</t>
        </is>
      </c>
    </row>
    <row r="82" ht="14.15" customFormat="1" customHeight="1" s="1589">
      <c r="A82" s="2752" t="inlineStr">
        <is>
          <t>021 005  Fabrication d’autres produits chimiques</t>
        </is>
      </c>
      <c r="B82" s="3506"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7" t="inlineStr">
        <is>
          <t>TABLE DES COMMENTAIRES</t>
        </is>
      </c>
      <c r="G1" s="3508" t="inlineStr">
        <is>
          <t>COMMENTAIRES
PAGE 1/12</t>
        </is>
      </c>
      <c r="H1" s="2848" t="n"/>
    </row>
    <row r="2">
      <c r="A2" s="3509" t="inlineStr">
        <is>
          <t>Dénomination sociale : ENTREPRISE EXEMPLE SARL</t>
        </is>
      </c>
    </row>
    <row r="3">
      <c r="A3" s="3509" t="inlineStr">
        <is>
          <t xml:space="preserve">Adresse : </t>
        </is>
      </c>
      <c r="F3" s="3509" t="inlineStr">
        <is>
          <t xml:space="preserve">Sigle usuel : </t>
        </is>
      </c>
    </row>
    <row r="4">
      <c r="A4" s="3509" t="inlineStr">
        <is>
          <t>N° de compte contribuable (NCC) : RCCM-2020-B-1234</t>
        </is>
      </c>
      <c r="E4" s="3509" t="inlineStr">
        <is>
          <t>Exercice clos le 31-12-2025</t>
        </is>
      </c>
      <c r="G4" s="3509" t="inlineStr">
        <is>
          <t>Durée (en mois) : 12</t>
        </is>
      </c>
    </row>
    <row r="5">
      <c r="A5" s="3509" t="inlineStr">
        <is>
          <t xml:space="preserve">N° de télédéclarant (NTD) : </t>
        </is>
      </c>
    </row>
    <row r="6" ht="17" customHeight="1" s="1354">
      <c r="A6" s="3510" t="inlineStr">
        <is>
          <t>Partie 1 : Informations générales</t>
        </is>
      </c>
      <c r="B6" s="3511" t="n"/>
      <c r="C6" s="3511" t="n"/>
      <c r="D6" s="3511" t="n"/>
      <c r="E6" s="3511" t="n"/>
      <c r="F6" s="3511" t="n"/>
      <c r="G6" s="3511" t="n"/>
      <c r="H6" s="3511" t="n"/>
    </row>
    <row r="7" ht="16" customHeight="1" s="1354">
      <c r="A7" s="3512" t="inlineStr">
        <is>
          <t>NOTE 1</t>
        </is>
      </c>
      <c r="B7" s="3513" t="inlineStr">
        <is>
          <t>DETTES GARANTIES PAR DES SURETTES REELLES</t>
        </is>
      </c>
      <c r="C7" s="2805" t="n"/>
      <c r="D7" s="2805" t="n"/>
      <c r="E7" s="2805" t="n"/>
      <c r="F7" s="2805" t="n"/>
      <c r="G7" s="2805" t="n"/>
      <c r="H7" s="2805" t="n"/>
    </row>
    <row r="8" ht="110" customHeight="1" s="1354">
      <c r="A8" s="3514" t="n"/>
      <c r="B8" s="2805" t="n"/>
      <c r="C8" s="2805" t="n"/>
      <c r="D8" s="2805" t="n"/>
      <c r="E8" s="2805" t="n"/>
      <c r="F8" s="2805" t="n"/>
      <c r="G8" s="2805" t="n"/>
      <c r="H8" s="2805" t="n"/>
    </row>
    <row r="9" ht="16" customHeight="1" s="1354">
      <c r="A9" s="3512" t="inlineStr">
        <is>
          <t>NOTE 2</t>
        </is>
      </c>
      <c r="B9" s="3513" t="inlineStr">
        <is>
          <t>INFORMATIONS OBLIGTOIRES</t>
        </is>
      </c>
      <c r="C9" s="2805" t="n"/>
      <c r="D9" s="2805" t="n"/>
      <c r="E9" s="2805" t="n"/>
      <c r="F9" s="2805" t="n"/>
      <c r="G9" s="2805" t="n"/>
      <c r="H9" s="2805" t="n"/>
    </row>
    <row r="10" ht="110" customHeight="1" s="1354">
      <c r="A10" s="3514" t="n"/>
      <c r="B10" s="2805" t="n"/>
      <c r="C10" s="2805" t="n"/>
      <c r="D10" s="2805" t="n"/>
      <c r="E10" s="2805" t="n"/>
      <c r="F10" s="2805" t="n"/>
      <c r="G10" s="2805" t="n"/>
      <c r="H10" s="2805" t="n"/>
    </row>
    <row r="11" ht="17" customHeight="1" s="1354">
      <c r="A11" s="3510" t="inlineStr">
        <is>
          <t>Partie 2 : Notes sur le bilan</t>
        </is>
      </c>
      <c r="B11" s="3511" t="n"/>
      <c r="C11" s="3511" t="n"/>
      <c r="D11" s="3511" t="n"/>
      <c r="E11" s="3511" t="n"/>
      <c r="F11" s="3511" t="n"/>
      <c r="G11" s="3511" t="n"/>
      <c r="H11" s="3511" t="n"/>
    </row>
    <row r="12" ht="16" customHeight="1" s="1354">
      <c r="A12" s="3512" t="inlineStr">
        <is>
          <t>NOTE 3A</t>
        </is>
      </c>
      <c r="B12" s="3513" t="inlineStr">
        <is>
          <t>IMMOBILISATION BRUTE</t>
        </is>
      </c>
      <c r="C12" s="2805" t="n"/>
      <c r="D12" s="2805" t="n"/>
      <c r="E12" s="2805" t="n"/>
      <c r="F12" s="2805" t="n"/>
      <c r="G12" s="2805" t="n"/>
      <c r="H12" s="2805" t="n"/>
    </row>
    <row r="13" ht="110" customHeight="1" s="1354">
      <c r="A13" s="3514" t="n"/>
      <c r="B13" s="2805" t="n"/>
      <c r="C13" s="2805" t="n"/>
      <c r="D13" s="2805" t="n"/>
      <c r="E13" s="2805" t="n"/>
      <c r="F13" s="2805" t="n"/>
      <c r="G13" s="2805" t="n"/>
      <c r="H13" s="2805" t="n"/>
    </row>
    <row r="14" ht="16" customHeight="1" s="1354">
      <c r="A14" s="3512" t="inlineStr">
        <is>
          <t>NOTE 3B</t>
        </is>
      </c>
      <c r="B14" s="3513" t="inlineStr">
        <is>
          <t>BIENS PRIS EN LOCATION ACQUISITION</t>
        </is>
      </c>
      <c r="C14" s="2805" t="n"/>
      <c r="D14" s="2805" t="n"/>
      <c r="E14" s="2805" t="n"/>
      <c r="F14" s="2805" t="n"/>
      <c r="G14" s="2805" t="n"/>
      <c r="H14" s="2805" t="n"/>
    </row>
    <row r="15" ht="110" customHeight="1" s="1354">
      <c r="A15" s="3514" t="n"/>
      <c r="B15" s="2805" t="n"/>
      <c r="C15" s="2805" t="n"/>
      <c r="D15" s="2805" t="n"/>
      <c r="E15" s="2805" t="n"/>
      <c r="F15" s="2805" t="n"/>
      <c r="G15" s="2805" t="n"/>
      <c r="H15" s="2805" t="n"/>
    </row>
    <row r="16" ht="26" customHeight="1" s="1354">
      <c r="A16" s="3507" t="inlineStr">
        <is>
          <t>TABLE DES COMMENTAIRES</t>
        </is>
      </c>
      <c r="G16" s="3508" t="inlineStr">
        <is>
          <t>COMMENTAIRES
PAGE 2/12</t>
        </is>
      </c>
      <c r="H16" s="2848" t="n"/>
    </row>
    <row r="17">
      <c r="A17" s="3509" t="inlineStr">
        <is>
          <t>Dénomination sociale : ENTREPRISE EXEMPLE SARL</t>
        </is>
      </c>
    </row>
    <row r="18">
      <c r="A18" s="3509" t="inlineStr">
        <is>
          <t xml:space="preserve">Adresse : </t>
        </is>
      </c>
      <c r="F18" s="3509" t="inlineStr">
        <is>
          <t xml:space="preserve">Sigle usuel : </t>
        </is>
      </c>
    </row>
    <row r="19">
      <c r="A19" s="3509" t="inlineStr">
        <is>
          <t>N° de compte contribuable (NCC) : RCCM-2020-B-1234</t>
        </is>
      </c>
      <c r="E19" s="3509" t="inlineStr">
        <is>
          <t>Exercice clos le 31-12-2025</t>
        </is>
      </c>
      <c r="G19" s="3509" t="inlineStr">
        <is>
          <t>Durée (en mois) : 12</t>
        </is>
      </c>
    </row>
    <row r="20">
      <c r="A20" s="3509" t="inlineStr">
        <is>
          <t xml:space="preserve">N° de télédéclarant (NTD) : </t>
        </is>
      </c>
    </row>
    <row r="21" ht="16" customHeight="1" s="1354">
      <c r="A21" s="3512" t="inlineStr">
        <is>
          <t>NOTE 3C</t>
        </is>
      </c>
      <c r="B21" s="3513" t="inlineStr">
        <is>
          <t>IMMOBILISATIONS : AMORTISSEMENTS</t>
        </is>
      </c>
      <c r="C21" s="2805" t="n"/>
      <c r="D21" s="2805" t="n"/>
      <c r="E21" s="2805" t="n"/>
      <c r="F21" s="2805" t="n"/>
      <c r="G21" s="2805" t="n"/>
      <c r="H21" s="2805" t="n"/>
    </row>
    <row r="22" ht="110" customHeight="1" s="1354">
      <c r="A22" s="3514" t="n"/>
      <c r="B22" s="2805" t="n"/>
      <c r="C22" s="2805" t="n"/>
      <c r="D22" s="2805" t="n"/>
      <c r="E22" s="2805" t="n"/>
      <c r="F22" s="2805" t="n"/>
      <c r="G22" s="2805" t="n"/>
      <c r="H22" s="2805" t="n"/>
    </row>
    <row r="23" ht="16" customHeight="1" s="1354">
      <c r="A23" s="3512" t="inlineStr">
        <is>
          <t>NOTE 3D</t>
        </is>
      </c>
      <c r="B23" s="3513" t="inlineStr">
        <is>
          <t>IMMOBLISATIONS : PLUS-VALUES ET MOINS VALUE DE CESSION</t>
        </is>
      </c>
      <c r="C23" s="2805" t="n"/>
      <c r="D23" s="2805" t="n"/>
      <c r="E23" s="2805" t="n"/>
      <c r="F23" s="2805" t="n"/>
      <c r="G23" s="2805" t="n"/>
      <c r="H23" s="2805" t="n"/>
    </row>
    <row r="24" ht="110" customHeight="1" s="1354">
      <c r="A24" s="3514" t="n"/>
      <c r="B24" s="2805" t="n"/>
      <c r="C24" s="2805" t="n"/>
      <c r="D24" s="2805" t="n"/>
      <c r="E24" s="2805" t="n"/>
      <c r="F24" s="2805" t="n"/>
      <c r="G24" s="2805" t="n"/>
      <c r="H24" s="2805" t="n"/>
    </row>
    <row r="25" ht="16" customHeight="1" s="1354">
      <c r="A25" s="3512" t="inlineStr">
        <is>
          <t>NOTE 3E</t>
        </is>
      </c>
      <c r="B25" s="3513" t="inlineStr">
        <is>
          <t>INFORMATIONS SUR LES REEVALUATIONS EFFECTUEES PAR L’ENTITE</t>
        </is>
      </c>
      <c r="C25" s="2805" t="n"/>
      <c r="D25" s="2805" t="n"/>
      <c r="E25" s="2805" t="n"/>
      <c r="F25" s="2805" t="n"/>
      <c r="G25" s="2805" t="n"/>
      <c r="H25" s="2805" t="n"/>
    </row>
    <row r="26" ht="110" customHeight="1" s="1354">
      <c r="A26" s="3514" t="n"/>
      <c r="B26" s="2805" t="n"/>
      <c r="C26" s="2805" t="n"/>
      <c r="D26" s="2805" t="n"/>
      <c r="E26" s="2805" t="n"/>
      <c r="F26" s="2805" t="n"/>
      <c r="G26" s="2805" t="n"/>
      <c r="H26" s="2805" t="n"/>
    </row>
    <row r="27" ht="16" customHeight="1" s="1354">
      <c r="A27" s="3512" t="inlineStr">
        <is>
          <t>NOTE 3F</t>
        </is>
      </c>
      <c r="B27" s="3513" t="inlineStr">
        <is>
          <t>TABLEAU D’ETALEMENT DES CHARGES IMMOBILISEES</t>
        </is>
      </c>
      <c r="C27" s="2805" t="n"/>
      <c r="D27" s="2805" t="n"/>
      <c r="E27" s="2805" t="n"/>
      <c r="F27" s="2805" t="n"/>
      <c r="G27" s="2805" t="n"/>
      <c r="H27" s="2805" t="n"/>
    </row>
    <row r="28" ht="110" customHeight="1" s="1354">
      <c r="A28" s="3514" t="n"/>
      <c r="B28" s="2805" t="n"/>
      <c r="C28" s="2805" t="n"/>
      <c r="D28" s="2805" t="n"/>
      <c r="E28" s="2805" t="n"/>
      <c r="F28" s="2805" t="n"/>
      <c r="G28" s="2805" t="n"/>
      <c r="H28" s="2805" t="n"/>
    </row>
    <row r="29" ht="26" customHeight="1" s="1354">
      <c r="A29" s="3507" t="inlineStr">
        <is>
          <t>TABLE DES COMMENTAIRES</t>
        </is>
      </c>
      <c r="G29" s="3508" t="inlineStr">
        <is>
          <t>COMMENTAIRES
PAGE 3/12</t>
        </is>
      </c>
      <c r="H29" s="2848" t="n"/>
    </row>
    <row r="30">
      <c r="A30" s="3509" t="inlineStr">
        <is>
          <t>Dénomination sociale : ENTREPRISE EXEMPLE SARL</t>
        </is>
      </c>
    </row>
    <row r="31">
      <c r="A31" s="3509" t="inlineStr">
        <is>
          <t xml:space="preserve">Adresse : </t>
        </is>
      </c>
      <c r="F31" s="3509" t="inlineStr">
        <is>
          <t xml:space="preserve">Sigle usuel : </t>
        </is>
      </c>
    </row>
    <row r="32">
      <c r="A32" s="3509" t="inlineStr">
        <is>
          <t>N° de compte contribuable (NCC) : RCCM-2020-B-1234</t>
        </is>
      </c>
      <c r="E32" s="3509" t="inlineStr">
        <is>
          <t>Exercice clos le 31-12-2025</t>
        </is>
      </c>
      <c r="G32" s="3509" t="inlineStr">
        <is>
          <t>Durée (en mois) : 12</t>
        </is>
      </c>
    </row>
    <row r="33">
      <c r="A33" s="3509" t="inlineStr">
        <is>
          <t xml:space="preserve">N° de télédéclarant (NTD) : </t>
        </is>
      </c>
    </row>
    <row r="34" ht="16" customHeight="1" s="1354">
      <c r="A34" s="3512" t="inlineStr">
        <is>
          <t>NOTE 4</t>
        </is>
      </c>
      <c r="B34" s="3513" t="inlineStr">
        <is>
          <t>IMMOBILISATIONS FINANCIERES</t>
        </is>
      </c>
      <c r="C34" s="2805" t="n"/>
      <c r="D34" s="2805" t="n"/>
      <c r="E34" s="2805" t="n"/>
      <c r="F34" s="2805" t="n"/>
      <c r="G34" s="2805" t="n"/>
      <c r="H34" s="2805" t="n"/>
    </row>
    <row r="35" ht="110" customHeight="1" s="1354">
      <c r="A35" s="3514" t="n"/>
      <c r="B35" s="2805" t="n"/>
      <c r="C35" s="2805" t="n"/>
      <c r="D35" s="2805" t="n"/>
      <c r="E35" s="2805" t="n"/>
      <c r="F35" s="2805" t="n"/>
      <c r="G35" s="2805" t="n"/>
      <c r="H35" s="2805" t="n"/>
    </row>
    <row r="36" ht="16" customHeight="1" s="1354">
      <c r="A36" s="3512" t="inlineStr">
        <is>
          <t>NOTE 5</t>
        </is>
      </c>
      <c r="B36" s="3513" t="inlineStr">
        <is>
          <t>ACTIF CIRCULANT HAO</t>
        </is>
      </c>
      <c r="C36" s="2805" t="n"/>
      <c r="D36" s="2805" t="n"/>
      <c r="E36" s="2805" t="n"/>
      <c r="F36" s="2805" t="n"/>
      <c r="G36" s="2805" t="n"/>
      <c r="H36" s="2805" t="n"/>
    </row>
    <row r="37" ht="110" customHeight="1" s="1354">
      <c r="A37" s="3514" t="n"/>
      <c r="B37" s="2805" t="n"/>
      <c r="C37" s="2805" t="n"/>
      <c r="D37" s="2805" t="n"/>
      <c r="E37" s="2805" t="n"/>
      <c r="F37" s="2805" t="n"/>
      <c r="G37" s="2805" t="n"/>
      <c r="H37" s="2805" t="n"/>
    </row>
    <row r="38" ht="16" customHeight="1" s="1354">
      <c r="A38" s="3512" t="inlineStr">
        <is>
          <t>NOTE 6</t>
        </is>
      </c>
      <c r="B38" s="3513" t="inlineStr">
        <is>
          <t>STOCKS ET ENCOURS</t>
        </is>
      </c>
      <c r="C38" s="2805" t="n"/>
      <c r="D38" s="2805" t="n"/>
      <c r="E38" s="2805" t="n"/>
      <c r="F38" s="2805" t="n"/>
      <c r="G38" s="2805" t="n"/>
      <c r="H38" s="2805" t="n"/>
    </row>
    <row r="39" ht="110" customHeight="1" s="1354">
      <c r="A39" s="3514" t="n"/>
      <c r="B39" s="2805" t="n"/>
      <c r="C39" s="2805" t="n"/>
      <c r="D39" s="2805" t="n"/>
      <c r="E39" s="2805" t="n"/>
      <c r="F39" s="2805" t="n"/>
      <c r="G39" s="2805" t="n"/>
      <c r="H39" s="2805" t="n"/>
    </row>
    <row r="40" ht="16" customHeight="1" s="1354">
      <c r="A40" s="3512" t="inlineStr">
        <is>
          <t>NOTE 7</t>
        </is>
      </c>
      <c r="B40" s="3513" t="inlineStr">
        <is>
          <t>CLIENTS</t>
        </is>
      </c>
      <c r="C40" s="2805" t="n"/>
      <c r="D40" s="2805" t="n"/>
      <c r="E40" s="2805" t="n"/>
      <c r="F40" s="2805" t="n"/>
      <c r="G40" s="2805" t="n"/>
      <c r="H40" s="2805" t="n"/>
    </row>
    <row r="41" ht="110" customHeight="1" s="1354">
      <c r="A41" s="3514" t="n"/>
      <c r="B41" s="2805" t="n"/>
      <c r="C41" s="2805" t="n"/>
      <c r="D41" s="2805" t="n"/>
      <c r="E41" s="2805" t="n"/>
      <c r="F41" s="2805" t="n"/>
      <c r="G41" s="2805" t="n"/>
      <c r="H41" s="2805" t="n"/>
    </row>
    <row r="42" ht="26" customHeight="1" s="1354">
      <c r="A42" s="3507" t="inlineStr">
        <is>
          <t>TABLE DES COMMENTAIRES</t>
        </is>
      </c>
      <c r="G42" s="3508" t="inlineStr">
        <is>
          <t>COMMENTAIRES
PAGE 4/12</t>
        </is>
      </c>
      <c r="H42" s="2848" t="n"/>
    </row>
    <row r="43">
      <c r="A43" s="3509" t="inlineStr">
        <is>
          <t>Dénomination sociale : ENTREPRISE EXEMPLE SARL</t>
        </is>
      </c>
    </row>
    <row r="44">
      <c r="A44" s="3509" t="inlineStr">
        <is>
          <t xml:space="preserve">Adresse : </t>
        </is>
      </c>
      <c r="F44" s="3509" t="inlineStr">
        <is>
          <t xml:space="preserve">Sigle usuel : </t>
        </is>
      </c>
    </row>
    <row r="45">
      <c r="A45" s="3509" t="inlineStr">
        <is>
          <t>N° de compte contribuable (NCC) : RCCM-2020-B-1234</t>
        </is>
      </c>
      <c r="E45" s="3509" t="inlineStr">
        <is>
          <t>Exercice clos le 31-12-2025</t>
        </is>
      </c>
      <c r="G45" s="3509" t="inlineStr">
        <is>
          <t>Durée (en mois) : 12</t>
        </is>
      </c>
    </row>
    <row r="46">
      <c r="A46" s="3509" t="inlineStr">
        <is>
          <t xml:space="preserve">N° de télédéclarant (NTD) : </t>
        </is>
      </c>
    </row>
    <row r="47" ht="16" customHeight="1" s="1354">
      <c r="A47" s="3512" t="inlineStr">
        <is>
          <t>NOTE 8</t>
        </is>
      </c>
      <c r="B47" s="3513" t="inlineStr">
        <is>
          <t>AUTRES CREANCES</t>
        </is>
      </c>
      <c r="C47" s="2805" t="n"/>
      <c r="D47" s="2805" t="n"/>
      <c r="E47" s="2805" t="n"/>
      <c r="F47" s="2805" t="n"/>
      <c r="G47" s="2805" t="n"/>
      <c r="H47" s="2805" t="n"/>
    </row>
    <row r="48" ht="110" customHeight="1" s="1354">
      <c r="A48" s="3514" t="n"/>
      <c r="B48" s="2805" t="n"/>
      <c r="C48" s="2805" t="n"/>
      <c r="D48" s="2805" t="n"/>
      <c r="E48" s="2805" t="n"/>
      <c r="F48" s="2805" t="n"/>
      <c r="G48" s="2805" t="n"/>
      <c r="H48" s="2805" t="n"/>
    </row>
    <row r="49" ht="16" customHeight="1" s="1354">
      <c r="A49" s="3512" t="inlineStr">
        <is>
          <t>NOTE 9</t>
        </is>
      </c>
      <c r="B49" s="3513" t="inlineStr">
        <is>
          <t>TITRES DE PLACEMENT</t>
        </is>
      </c>
      <c r="C49" s="2805" t="n"/>
      <c r="D49" s="2805" t="n"/>
      <c r="E49" s="2805" t="n"/>
      <c r="F49" s="2805" t="n"/>
      <c r="G49" s="2805" t="n"/>
      <c r="H49" s="2805" t="n"/>
    </row>
    <row r="50" ht="110" customHeight="1" s="1354">
      <c r="A50" s="3514" t="n"/>
      <c r="B50" s="2805" t="n"/>
      <c r="C50" s="2805" t="n"/>
      <c r="D50" s="2805" t="n"/>
      <c r="E50" s="2805" t="n"/>
      <c r="F50" s="2805" t="n"/>
      <c r="G50" s="2805" t="n"/>
      <c r="H50" s="2805" t="n"/>
    </row>
    <row r="51" ht="16" customHeight="1" s="1354">
      <c r="A51" s="3512" t="inlineStr">
        <is>
          <t>NOTE 10</t>
        </is>
      </c>
      <c r="B51" s="3513" t="inlineStr">
        <is>
          <t>VALEUR A ENCAISSER</t>
        </is>
      </c>
      <c r="C51" s="2805" t="n"/>
      <c r="D51" s="2805" t="n"/>
      <c r="E51" s="2805" t="n"/>
      <c r="F51" s="2805" t="n"/>
      <c r="G51" s="2805" t="n"/>
      <c r="H51" s="2805" t="n"/>
    </row>
    <row r="52" ht="110" customHeight="1" s="1354">
      <c r="A52" s="3514" t="n"/>
      <c r="B52" s="2805" t="n"/>
      <c r="C52" s="2805" t="n"/>
      <c r="D52" s="2805" t="n"/>
      <c r="E52" s="2805" t="n"/>
      <c r="F52" s="2805" t="n"/>
      <c r="G52" s="2805" t="n"/>
      <c r="H52" s="2805" t="n"/>
    </row>
    <row r="53" ht="16" customHeight="1" s="1354">
      <c r="A53" s="3512" t="inlineStr">
        <is>
          <t>NOTE 11</t>
        </is>
      </c>
      <c r="B53" s="3513" t="inlineStr">
        <is>
          <t>DISPONIBILITES</t>
        </is>
      </c>
      <c r="C53" s="2805" t="n"/>
      <c r="D53" s="2805" t="n"/>
      <c r="E53" s="2805" t="n"/>
      <c r="F53" s="2805" t="n"/>
      <c r="G53" s="2805" t="n"/>
      <c r="H53" s="2805" t="n"/>
    </row>
    <row r="54" ht="110" customHeight="1" s="1354">
      <c r="A54" s="3514" t="n"/>
      <c r="B54" s="2805" t="n"/>
      <c r="C54" s="2805" t="n"/>
      <c r="D54" s="2805" t="n"/>
      <c r="E54" s="2805" t="n"/>
      <c r="F54" s="2805" t="n"/>
      <c r="G54" s="2805" t="n"/>
      <c r="H54" s="2805" t="n"/>
    </row>
    <row r="55" ht="26" customHeight="1" s="1354">
      <c r="A55" s="3507" t="inlineStr">
        <is>
          <t>TABLE DES COMMENTAIRES</t>
        </is>
      </c>
      <c r="G55" s="3508" t="inlineStr">
        <is>
          <t>COMMENTAIRES
PAGE 5/12</t>
        </is>
      </c>
      <c r="H55" s="2848" t="n"/>
    </row>
    <row r="56">
      <c r="A56" s="3509" t="inlineStr">
        <is>
          <t>Dénomination sociale : ENTREPRISE EXEMPLE SARL</t>
        </is>
      </c>
    </row>
    <row r="57">
      <c r="A57" s="3509" t="inlineStr">
        <is>
          <t xml:space="preserve">Adresse : </t>
        </is>
      </c>
      <c r="F57" s="3509" t="inlineStr">
        <is>
          <t xml:space="preserve">Sigle usuel : </t>
        </is>
      </c>
    </row>
    <row r="58">
      <c r="A58" s="3509" t="inlineStr">
        <is>
          <t>N° de compte contribuable (NCC) : RCCM-2020-B-1234</t>
        </is>
      </c>
      <c r="E58" s="3509" t="inlineStr">
        <is>
          <t>Exercice clos le 31-12-2025</t>
        </is>
      </c>
      <c r="G58" s="3509" t="inlineStr">
        <is>
          <t>Durée (en mois) : 12</t>
        </is>
      </c>
    </row>
    <row r="59">
      <c r="A59" s="3509" t="inlineStr">
        <is>
          <t xml:space="preserve">N° de télédéclarant (NTD) : </t>
        </is>
      </c>
    </row>
    <row r="60" ht="16" customHeight="1" s="1354">
      <c r="A60" s="3512" t="inlineStr">
        <is>
          <t>NOTE 12</t>
        </is>
      </c>
      <c r="B60" s="3513" t="inlineStr">
        <is>
          <t>ECARTS DE CONVERSION</t>
        </is>
      </c>
      <c r="C60" s="2805" t="n"/>
      <c r="D60" s="2805" t="n"/>
      <c r="E60" s="2805" t="n"/>
      <c r="F60" s="2805" t="n"/>
      <c r="G60" s="2805" t="n"/>
      <c r="H60" s="2805" t="n"/>
    </row>
    <row r="61" ht="110" customHeight="1" s="1354">
      <c r="A61" s="3514" t="n"/>
      <c r="B61" s="2805" t="n"/>
      <c r="C61" s="2805" t="n"/>
      <c r="D61" s="2805" t="n"/>
      <c r="E61" s="2805" t="n"/>
      <c r="F61" s="2805" t="n"/>
      <c r="G61" s="2805" t="n"/>
      <c r="H61" s="2805" t="n"/>
    </row>
    <row r="62" ht="16" customHeight="1" s="1354">
      <c r="A62" s="3512" t="inlineStr">
        <is>
          <t>NOTE 13</t>
        </is>
      </c>
      <c r="B62" s="3513" t="inlineStr">
        <is>
          <t>CAPITAL : VALEUR NOMINALE DES ACTIONS OU PARTS</t>
        </is>
      </c>
      <c r="C62" s="2805" t="n"/>
      <c r="D62" s="2805" t="n"/>
      <c r="E62" s="2805" t="n"/>
      <c r="F62" s="2805" t="n"/>
      <c r="G62" s="2805" t="n"/>
      <c r="H62" s="2805" t="n"/>
    </row>
    <row r="63" ht="110" customHeight="1" s="1354">
      <c r="A63" s="3514" t="n"/>
      <c r="B63" s="2805" t="n"/>
      <c r="C63" s="2805" t="n"/>
      <c r="D63" s="2805" t="n"/>
      <c r="E63" s="2805" t="n"/>
      <c r="F63" s="2805" t="n"/>
      <c r="G63" s="2805" t="n"/>
      <c r="H63" s="2805" t="n"/>
    </row>
    <row r="64" ht="16" customHeight="1" s="1354">
      <c r="A64" s="3512" t="inlineStr">
        <is>
          <t>NOTE 14</t>
        </is>
      </c>
      <c r="B64" s="3513" t="inlineStr">
        <is>
          <t>PRIMES ET RESERVES</t>
        </is>
      </c>
      <c r="C64" s="2805" t="n"/>
      <c r="D64" s="2805" t="n"/>
      <c r="E64" s="2805" t="n"/>
      <c r="F64" s="2805" t="n"/>
      <c r="G64" s="2805" t="n"/>
      <c r="H64" s="2805" t="n"/>
    </row>
    <row r="65" ht="110" customHeight="1" s="1354">
      <c r="A65" s="3514" t="n"/>
      <c r="B65" s="2805" t="n"/>
      <c r="C65" s="2805" t="n"/>
      <c r="D65" s="2805" t="n"/>
      <c r="E65" s="2805" t="n"/>
      <c r="F65" s="2805" t="n"/>
      <c r="G65" s="2805" t="n"/>
      <c r="H65" s="2805" t="n"/>
    </row>
    <row r="66" ht="16" customHeight="1" s="1354">
      <c r="A66" s="3512" t="inlineStr">
        <is>
          <t>NOTE 15A</t>
        </is>
      </c>
      <c r="B66" s="3513" t="inlineStr">
        <is>
          <t>SUBVENTIONS ET PROVISIONS REGLEMENTEES</t>
        </is>
      </c>
      <c r="C66" s="2805" t="n"/>
      <c r="D66" s="2805" t="n"/>
      <c r="E66" s="2805" t="n"/>
      <c r="F66" s="2805" t="n"/>
      <c r="G66" s="2805" t="n"/>
      <c r="H66" s="2805" t="n"/>
    </row>
    <row r="67" ht="110" customHeight="1" s="1354">
      <c r="A67" s="3514" t="n"/>
      <c r="B67" s="2805" t="n"/>
      <c r="C67" s="2805" t="n"/>
      <c r="D67" s="2805" t="n"/>
      <c r="E67" s="2805" t="n"/>
      <c r="F67" s="2805" t="n"/>
      <c r="G67" s="2805" t="n"/>
      <c r="H67" s="2805" t="n"/>
    </row>
    <row r="68" ht="26" customHeight="1" s="1354">
      <c r="A68" s="3507" t="inlineStr">
        <is>
          <t>TABLE DES COMMENTAIRES</t>
        </is>
      </c>
      <c r="G68" s="3508" t="inlineStr">
        <is>
          <t>COMMENTAIRES
PAGE 6/12</t>
        </is>
      </c>
      <c r="H68" s="2848" t="n"/>
    </row>
    <row r="69">
      <c r="A69" s="3509" t="inlineStr">
        <is>
          <t>Dénomination sociale : ENTREPRISE EXEMPLE SARL</t>
        </is>
      </c>
    </row>
    <row r="70">
      <c r="A70" s="3509" t="inlineStr">
        <is>
          <t xml:space="preserve">Adresse : </t>
        </is>
      </c>
      <c r="F70" s="3509" t="inlineStr">
        <is>
          <t xml:space="preserve">Sigle usuel : </t>
        </is>
      </c>
    </row>
    <row r="71">
      <c r="A71" s="3509" t="inlineStr">
        <is>
          <t>N° de compte contribuable (NCC) : RCCM-2020-B-1234</t>
        </is>
      </c>
      <c r="E71" s="3509" t="inlineStr">
        <is>
          <t>Exercice clos le 31-12-2025</t>
        </is>
      </c>
      <c r="G71" s="3509" t="inlineStr">
        <is>
          <t>Durée (en mois) : 12</t>
        </is>
      </c>
    </row>
    <row r="72">
      <c r="A72" s="3509" t="inlineStr">
        <is>
          <t xml:space="preserve">N° de télédéclarant (NTD) : </t>
        </is>
      </c>
    </row>
    <row r="73" ht="16" customHeight="1" s="1354">
      <c r="A73" s="3512" t="inlineStr">
        <is>
          <t>NOTE 15B</t>
        </is>
      </c>
      <c r="B73" s="3513" t="inlineStr">
        <is>
          <t>AUTRES FONDS PROPRES</t>
        </is>
      </c>
      <c r="C73" s="2805" t="n"/>
      <c r="D73" s="2805" t="n"/>
      <c r="E73" s="2805" t="n"/>
      <c r="F73" s="2805" t="n"/>
      <c r="G73" s="2805" t="n"/>
      <c r="H73" s="2805" t="n"/>
    </row>
    <row r="74" ht="110" customHeight="1" s="1354">
      <c r="A74" s="3514" t="n"/>
      <c r="B74" s="2805" t="n"/>
      <c r="C74" s="2805" t="n"/>
      <c r="D74" s="2805" t="n"/>
      <c r="E74" s="2805" t="n"/>
      <c r="F74" s="2805" t="n"/>
      <c r="G74" s="2805" t="n"/>
      <c r="H74" s="2805" t="n"/>
    </row>
    <row r="75" ht="16" customHeight="1" s="1354">
      <c r="A75" s="3512" t="inlineStr">
        <is>
          <t>NOTE 16A</t>
        </is>
      </c>
      <c r="B75" s="3513" t="inlineStr">
        <is>
          <t>DETTES FINANCIERES ET RESSOURCES ASSIMILEES</t>
        </is>
      </c>
      <c r="C75" s="2805" t="n"/>
      <c r="D75" s="2805" t="n"/>
      <c r="E75" s="2805" t="n"/>
      <c r="F75" s="2805" t="n"/>
      <c r="G75" s="2805" t="n"/>
      <c r="H75" s="2805" t="n"/>
    </row>
    <row r="76" ht="110" customHeight="1" s="1354">
      <c r="A76" s="3514" t="n"/>
      <c r="B76" s="2805" t="n"/>
      <c r="C76" s="2805" t="n"/>
      <c r="D76" s="2805" t="n"/>
      <c r="E76" s="2805" t="n"/>
      <c r="F76" s="2805" t="n"/>
      <c r="G76" s="2805" t="n"/>
      <c r="H76" s="2805" t="n"/>
    </row>
    <row r="77" ht="16" customHeight="1" s="1354">
      <c r="A77" s="3512" t="inlineStr">
        <is>
          <t>NOTE 16B</t>
        </is>
      </c>
      <c r="B77" s="3513" t="inlineStr">
        <is>
          <t>ENGAGEMENTS DE RETRAITE ET AVANTAGES ASSIMILEES (METHODE ACTUARIELLE)</t>
        </is>
      </c>
      <c r="C77" s="2805" t="n"/>
      <c r="D77" s="2805" t="n"/>
      <c r="E77" s="2805" t="n"/>
      <c r="F77" s="2805" t="n"/>
      <c r="G77" s="2805" t="n"/>
      <c r="H77" s="2805" t="n"/>
    </row>
    <row r="78" ht="110" customHeight="1" s="1354">
      <c r="A78" s="3514" t="n"/>
      <c r="B78" s="2805" t="n"/>
      <c r="C78" s="2805" t="n"/>
      <c r="D78" s="2805" t="n"/>
      <c r="E78" s="2805" t="n"/>
      <c r="F78" s="2805" t="n"/>
      <c r="G78" s="2805" t="n"/>
      <c r="H78" s="2805" t="n"/>
    </row>
    <row r="79" ht="16" customHeight="1" s="1354">
      <c r="A79" s="3512" t="inlineStr">
        <is>
          <t>NOTE 16B bis</t>
        </is>
      </c>
      <c r="B79" s="3513" t="inlineStr">
        <is>
          <t>ENGAGEMENTS DE RETRAITE ET AVANTAGES ASSIMILEES (METHODE ACTUARIELLE)</t>
        </is>
      </c>
      <c r="C79" s="2805" t="n"/>
      <c r="D79" s="2805" t="n"/>
      <c r="E79" s="2805" t="n"/>
      <c r="F79" s="2805" t="n"/>
      <c r="G79" s="2805" t="n"/>
      <c r="H79" s="2805" t="n"/>
    </row>
    <row r="80" ht="110" customHeight="1" s="1354">
      <c r="A80" s="3514" t="n"/>
      <c r="B80" s="2805" t="n"/>
      <c r="C80" s="2805" t="n"/>
      <c r="D80" s="2805" t="n"/>
      <c r="E80" s="2805" t="n"/>
      <c r="F80" s="2805" t="n"/>
      <c r="G80" s="2805" t="n"/>
      <c r="H80" s="2805" t="n"/>
    </row>
    <row r="81" ht="26" customHeight="1" s="1354">
      <c r="A81" s="3507" t="inlineStr">
        <is>
          <t>TABLE DES COMMENTAIRES</t>
        </is>
      </c>
      <c r="G81" s="3508" t="inlineStr">
        <is>
          <t>COMMENTAIRES
PAGE 7/12</t>
        </is>
      </c>
      <c r="H81" s="2848" t="n"/>
    </row>
    <row r="82">
      <c r="A82" s="3509" t="inlineStr">
        <is>
          <t>Dénomination sociale : ENTREPRISE EXEMPLE SARL</t>
        </is>
      </c>
    </row>
    <row r="83">
      <c r="A83" s="3509" t="inlineStr">
        <is>
          <t xml:space="preserve">Adresse : </t>
        </is>
      </c>
      <c r="F83" s="3509" t="inlineStr">
        <is>
          <t xml:space="preserve">Sigle usuel : </t>
        </is>
      </c>
    </row>
    <row r="84">
      <c r="A84" s="3509" t="inlineStr">
        <is>
          <t>N° de compte contribuable (NCC) : RCCM-2020-B-1234</t>
        </is>
      </c>
      <c r="E84" s="3509" t="inlineStr">
        <is>
          <t>Exercice clos le 31-12-2025</t>
        </is>
      </c>
      <c r="G84" s="3509" t="inlineStr">
        <is>
          <t>Durée (en mois) : 12</t>
        </is>
      </c>
    </row>
    <row r="85">
      <c r="A85" s="3509" t="inlineStr">
        <is>
          <t xml:space="preserve">N° de télédéclarant (NTD) : </t>
        </is>
      </c>
    </row>
    <row r="86" ht="16" customHeight="1" s="1354">
      <c r="A86" s="3512" t="inlineStr">
        <is>
          <t>NOTE 16C</t>
        </is>
      </c>
      <c r="B86" s="3513" t="inlineStr">
        <is>
          <t>ACTIFS ET PASSIFS EVENTUELS</t>
        </is>
      </c>
      <c r="C86" s="2805" t="n"/>
      <c r="D86" s="2805" t="n"/>
      <c r="E86" s="2805" t="n"/>
      <c r="F86" s="2805" t="n"/>
      <c r="G86" s="2805" t="n"/>
      <c r="H86" s="2805" t="n"/>
    </row>
    <row r="87" ht="110" customHeight="1" s="1354">
      <c r="A87" s="3514" t="n"/>
      <c r="B87" s="2805" t="n"/>
      <c r="C87" s="2805" t="n"/>
      <c r="D87" s="2805" t="n"/>
      <c r="E87" s="2805" t="n"/>
      <c r="F87" s="2805" t="n"/>
      <c r="G87" s="2805" t="n"/>
      <c r="H87" s="2805" t="n"/>
    </row>
    <row r="88" ht="16" customHeight="1" s="1354">
      <c r="A88" s="3512" t="inlineStr">
        <is>
          <t>NOTE 17</t>
        </is>
      </c>
      <c r="B88" s="3513" t="inlineStr">
        <is>
          <t>FOURNISSEURS D’EXPLOITATION</t>
        </is>
      </c>
      <c r="C88" s="2805" t="n"/>
      <c r="D88" s="2805" t="n"/>
      <c r="E88" s="2805" t="n"/>
      <c r="F88" s="2805" t="n"/>
      <c r="G88" s="2805" t="n"/>
      <c r="H88" s="2805" t="n"/>
    </row>
    <row r="89" ht="110" customHeight="1" s="1354">
      <c r="A89" s="3514" t="n"/>
      <c r="B89" s="2805" t="n"/>
      <c r="C89" s="2805" t="n"/>
      <c r="D89" s="2805" t="n"/>
      <c r="E89" s="2805" t="n"/>
      <c r="F89" s="2805" t="n"/>
      <c r="G89" s="2805" t="n"/>
      <c r="H89" s="2805" t="n"/>
    </row>
    <row r="90" ht="16" customHeight="1" s="1354">
      <c r="A90" s="3512" t="inlineStr">
        <is>
          <t>NOTE 18</t>
        </is>
      </c>
      <c r="B90" s="3513" t="inlineStr">
        <is>
          <t>DETTES FISCALES ET SOCIALES</t>
        </is>
      </c>
      <c r="C90" s="2805" t="n"/>
      <c r="D90" s="2805" t="n"/>
      <c r="E90" s="2805" t="n"/>
      <c r="F90" s="2805" t="n"/>
      <c r="G90" s="2805" t="n"/>
      <c r="H90" s="2805" t="n"/>
    </row>
    <row r="91" ht="110" customHeight="1" s="1354">
      <c r="A91" s="3514" t="n"/>
      <c r="B91" s="2805" t="n"/>
      <c r="C91" s="2805" t="n"/>
      <c r="D91" s="2805" t="n"/>
      <c r="E91" s="2805" t="n"/>
      <c r="F91" s="2805" t="n"/>
      <c r="G91" s="2805" t="n"/>
      <c r="H91" s="2805" t="n"/>
    </row>
    <row r="92" ht="16" customHeight="1" s="1354">
      <c r="A92" s="3512" t="inlineStr">
        <is>
          <t>NOTE 19</t>
        </is>
      </c>
      <c r="B92" s="3513" t="inlineStr">
        <is>
          <t>AUTRES DETTES ET PROVISIONS POUR RISQUES A COURT TERME</t>
        </is>
      </c>
      <c r="C92" s="2805" t="n"/>
      <c r="D92" s="2805" t="n"/>
      <c r="E92" s="2805" t="n"/>
      <c r="F92" s="2805" t="n"/>
      <c r="G92" s="2805" t="n"/>
      <c r="H92" s="2805" t="n"/>
    </row>
    <row r="93" ht="110" customHeight="1" s="1354">
      <c r="A93" s="3514" t="n"/>
      <c r="B93" s="2805" t="n"/>
      <c r="C93" s="2805" t="n"/>
      <c r="D93" s="2805" t="n"/>
      <c r="E93" s="2805" t="n"/>
      <c r="F93" s="2805" t="n"/>
      <c r="G93" s="2805" t="n"/>
      <c r="H93" s="2805" t="n"/>
    </row>
    <row r="94" ht="26" customHeight="1" s="1354">
      <c r="A94" s="3507" t="inlineStr">
        <is>
          <t>TABLE DES COMMENTAIRES</t>
        </is>
      </c>
      <c r="G94" s="3508" t="inlineStr">
        <is>
          <t>COMMENTAIRES
PAGE 8/12</t>
        </is>
      </c>
      <c r="H94" s="2848" t="n"/>
    </row>
    <row r="95">
      <c r="A95" s="3509" t="inlineStr">
        <is>
          <t>Dénomination sociale : ENTREPRISE EXEMPLE SARL</t>
        </is>
      </c>
    </row>
    <row r="96">
      <c r="A96" s="3509" t="inlineStr">
        <is>
          <t xml:space="preserve">Adresse : </t>
        </is>
      </c>
      <c r="F96" s="3509" t="inlineStr">
        <is>
          <t xml:space="preserve">Sigle usuel : </t>
        </is>
      </c>
    </row>
    <row r="97">
      <c r="A97" s="3509" t="inlineStr">
        <is>
          <t>N° de compte contribuable (NCC) : RCCM-2020-B-1234</t>
        </is>
      </c>
      <c r="E97" s="3509" t="inlineStr">
        <is>
          <t>Exercice clos le 31-12-2025</t>
        </is>
      </c>
      <c r="G97" s="3509" t="inlineStr">
        <is>
          <t>Durée (en mois) : 12</t>
        </is>
      </c>
    </row>
    <row r="98">
      <c r="A98" s="3509" t="inlineStr">
        <is>
          <t xml:space="preserve">N° de télédéclarant (NTD) : </t>
        </is>
      </c>
    </row>
    <row r="99" ht="16" customHeight="1" s="1354">
      <c r="A99" s="3512" t="inlineStr">
        <is>
          <t>NOTE 20</t>
        </is>
      </c>
      <c r="B99" s="3513" t="inlineStr">
        <is>
          <t>BANQUES, CREDITS D’ESCOMPTE ET DE TRESORERIE</t>
        </is>
      </c>
      <c r="C99" s="2805" t="n"/>
      <c r="D99" s="2805" t="n"/>
      <c r="E99" s="2805" t="n"/>
      <c r="F99" s="2805" t="n"/>
      <c r="G99" s="2805" t="n"/>
      <c r="H99" s="2805" t="n"/>
    </row>
    <row r="100" ht="110" customHeight="1" s="1354">
      <c r="A100" s="3514" t="n"/>
      <c r="B100" s="2805" t="n"/>
      <c r="C100" s="2805" t="n"/>
      <c r="D100" s="2805" t="n"/>
      <c r="E100" s="2805" t="n"/>
      <c r="F100" s="2805" t="n"/>
      <c r="G100" s="2805" t="n"/>
      <c r="H100" s="2805" t="n"/>
    </row>
    <row r="101" ht="17" customHeight="1" s="1354">
      <c r="A101" s="3510" t="inlineStr">
        <is>
          <t>Partie 3 : Notes sur le compte de résultat</t>
        </is>
      </c>
      <c r="B101" s="3511" t="n"/>
      <c r="C101" s="3511" t="n"/>
      <c r="D101" s="3511" t="n"/>
      <c r="E101" s="3511" t="n"/>
      <c r="F101" s="3511" t="n"/>
      <c r="G101" s="3511" t="n"/>
      <c r="H101" s="3511" t="n"/>
    </row>
    <row r="102" ht="16" customHeight="1" s="1354">
      <c r="A102" s="3512" t="inlineStr">
        <is>
          <t>NOTE 21</t>
        </is>
      </c>
      <c r="B102" s="3513" t="inlineStr">
        <is>
          <t>CHIFFRE D’AFFAIRES ET AUTRES PRODUITS</t>
        </is>
      </c>
      <c r="C102" s="2805" t="n"/>
      <c r="D102" s="2805" t="n"/>
      <c r="E102" s="2805" t="n"/>
      <c r="F102" s="2805" t="n"/>
      <c r="G102" s="2805" t="n"/>
      <c r="H102" s="2805" t="n"/>
    </row>
    <row r="103" ht="110" customHeight="1" s="1354">
      <c r="A103" s="3514" t="n"/>
      <c r="B103" s="2805" t="n"/>
      <c r="C103" s="2805" t="n"/>
      <c r="D103" s="2805" t="n"/>
      <c r="E103" s="2805" t="n"/>
      <c r="F103" s="2805" t="n"/>
      <c r="G103" s="2805" t="n"/>
      <c r="H103" s="2805" t="n"/>
    </row>
    <row r="104" ht="16" customHeight="1" s="1354">
      <c r="A104" s="3512" t="inlineStr">
        <is>
          <t>NOTE 22</t>
        </is>
      </c>
      <c r="B104" s="3513" t="inlineStr">
        <is>
          <t>ACHATS</t>
        </is>
      </c>
      <c r="C104" s="2805" t="n"/>
      <c r="D104" s="2805" t="n"/>
      <c r="E104" s="2805" t="n"/>
      <c r="F104" s="2805" t="n"/>
      <c r="G104" s="2805" t="n"/>
      <c r="H104" s="2805" t="n"/>
    </row>
    <row r="105" ht="110" customHeight="1" s="1354">
      <c r="A105" s="3514" t="n"/>
      <c r="B105" s="2805" t="n"/>
      <c r="C105" s="2805" t="n"/>
      <c r="D105" s="2805" t="n"/>
      <c r="E105" s="2805" t="n"/>
      <c r="F105" s="2805" t="n"/>
      <c r="G105" s="2805" t="n"/>
      <c r="H105" s="2805" t="n"/>
    </row>
    <row r="106" ht="16" customHeight="1" s="1354">
      <c r="A106" s="3512" t="inlineStr">
        <is>
          <t>NOTE 23</t>
        </is>
      </c>
      <c r="B106" s="3513" t="inlineStr">
        <is>
          <t>TRANSPORTS</t>
        </is>
      </c>
      <c r="C106" s="2805" t="n"/>
      <c r="D106" s="2805" t="n"/>
      <c r="E106" s="2805" t="n"/>
      <c r="F106" s="2805" t="n"/>
      <c r="G106" s="2805" t="n"/>
      <c r="H106" s="2805" t="n"/>
    </row>
    <row r="107" ht="110" customHeight="1" s="1354">
      <c r="A107" s="3514" t="n"/>
      <c r="B107" s="2805" t="n"/>
      <c r="C107" s="2805" t="n"/>
      <c r="D107" s="2805" t="n"/>
      <c r="E107" s="2805" t="n"/>
      <c r="F107" s="2805" t="n"/>
      <c r="G107" s="2805" t="n"/>
      <c r="H107" s="2805" t="n"/>
    </row>
    <row r="108" ht="26" customHeight="1" s="1354">
      <c r="A108" s="3507" t="inlineStr">
        <is>
          <t>TABLE DES COMMENTAIRES</t>
        </is>
      </c>
      <c r="G108" s="3508" t="inlineStr">
        <is>
          <t>COMMENTAIRES
PAGE 9/12</t>
        </is>
      </c>
      <c r="H108" s="2848" t="n"/>
    </row>
    <row r="109">
      <c r="A109" s="3509" t="inlineStr">
        <is>
          <t>Dénomination sociale : ENTREPRISE EXEMPLE SARL</t>
        </is>
      </c>
    </row>
    <row r="110">
      <c r="A110" s="3509" t="inlineStr">
        <is>
          <t xml:space="preserve">Adresse : </t>
        </is>
      </c>
      <c r="F110" s="3509" t="inlineStr">
        <is>
          <t xml:space="preserve">Sigle usuel : </t>
        </is>
      </c>
    </row>
    <row r="111">
      <c r="A111" s="3509" t="inlineStr">
        <is>
          <t>N° de compte contribuable (NCC) : RCCM-2020-B-1234</t>
        </is>
      </c>
      <c r="E111" s="3509" t="inlineStr">
        <is>
          <t>Exercice clos le 31-12-2025</t>
        </is>
      </c>
      <c r="G111" s="3509" t="inlineStr">
        <is>
          <t>Durée (en mois) : 12</t>
        </is>
      </c>
    </row>
    <row r="112">
      <c r="A112" s="3509" t="inlineStr">
        <is>
          <t xml:space="preserve">N° de télédéclarant (NTD) : </t>
        </is>
      </c>
    </row>
    <row r="113" ht="16" customHeight="1" s="1354">
      <c r="A113" s="3512" t="inlineStr">
        <is>
          <t>NOTE 24</t>
        </is>
      </c>
      <c r="B113" s="3513" t="inlineStr">
        <is>
          <t>SERVICES EXTERIEURS</t>
        </is>
      </c>
      <c r="C113" s="2805" t="n"/>
      <c r="D113" s="2805" t="n"/>
      <c r="E113" s="2805" t="n"/>
      <c r="F113" s="2805" t="n"/>
      <c r="G113" s="2805" t="n"/>
      <c r="H113" s="2805" t="n"/>
    </row>
    <row r="114" ht="110" customHeight="1" s="1354">
      <c r="A114" s="3514" t="n"/>
      <c r="B114" s="2805" t="n"/>
      <c r="C114" s="2805" t="n"/>
      <c r="D114" s="2805" t="n"/>
      <c r="E114" s="2805" t="n"/>
      <c r="F114" s="2805" t="n"/>
      <c r="G114" s="2805" t="n"/>
      <c r="H114" s="2805" t="n"/>
    </row>
    <row r="115" ht="16" customHeight="1" s="1354">
      <c r="A115" s="3512" t="inlineStr">
        <is>
          <t>NOTE 25</t>
        </is>
      </c>
      <c r="B115" s="3513" t="inlineStr">
        <is>
          <t>IMPOTS ET TAXES</t>
        </is>
      </c>
      <c r="C115" s="2805" t="n"/>
      <c r="D115" s="2805" t="n"/>
      <c r="E115" s="2805" t="n"/>
      <c r="F115" s="2805" t="n"/>
      <c r="G115" s="2805" t="n"/>
      <c r="H115" s="2805" t="n"/>
    </row>
    <row r="116" ht="110" customHeight="1" s="1354">
      <c r="A116" s="3514" t="n"/>
      <c r="B116" s="2805" t="n"/>
      <c r="C116" s="2805" t="n"/>
      <c r="D116" s="2805" t="n"/>
      <c r="E116" s="2805" t="n"/>
      <c r="F116" s="2805" t="n"/>
      <c r="G116" s="2805" t="n"/>
      <c r="H116" s="2805" t="n"/>
    </row>
    <row r="117" ht="16" customHeight="1" s="1354">
      <c r="A117" s="3512" t="inlineStr">
        <is>
          <t>NOTE 26</t>
        </is>
      </c>
      <c r="B117" s="3513" t="inlineStr">
        <is>
          <t>AUTRES CHARGES</t>
        </is>
      </c>
      <c r="C117" s="2805" t="n"/>
      <c r="D117" s="2805" t="n"/>
      <c r="E117" s="2805" t="n"/>
      <c r="F117" s="2805" t="n"/>
      <c r="G117" s="2805" t="n"/>
      <c r="H117" s="2805" t="n"/>
    </row>
    <row r="118" ht="110" customHeight="1" s="1354">
      <c r="A118" s="3514" t="n"/>
      <c r="B118" s="2805" t="n"/>
      <c r="C118" s="2805" t="n"/>
      <c r="D118" s="2805" t="n"/>
      <c r="E118" s="2805" t="n"/>
      <c r="F118" s="2805" t="n"/>
      <c r="G118" s="2805" t="n"/>
      <c r="H118" s="2805" t="n"/>
    </row>
    <row r="119" ht="16" customHeight="1" s="1354">
      <c r="A119" s="3512" t="inlineStr">
        <is>
          <t>NOTE 27A</t>
        </is>
      </c>
      <c r="B119" s="3513" t="inlineStr">
        <is>
          <t>CHARGES DE PERSONNEL</t>
        </is>
      </c>
      <c r="C119" s="2805" t="n"/>
      <c r="D119" s="2805" t="n"/>
      <c r="E119" s="2805" t="n"/>
      <c r="F119" s="2805" t="n"/>
      <c r="G119" s="2805" t="n"/>
      <c r="H119" s="2805" t="n"/>
    </row>
    <row r="120" ht="110" customHeight="1" s="1354">
      <c r="A120" s="3514" t="n"/>
      <c r="B120" s="2805" t="n"/>
      <c r="C120" s="2805" t="n"/>
      <c r="D120" s="2805" t="n"/>
      <c r="E120" s="2805" t="n"/>
      <c r="F120" s="2805" t="n"/>
      <c r="G120" s="2805" t="n"/>
      <c r="H120" s="2805" t="n"/>
    </row>
    <row r="121" ht="26" customHeight="1" s="1354">
      <c r="A121" s="3507" t="inlineStr">
        <is>
          <t>TABLE DES COMMENTAIRES</t>
        </is>
      </c>
      <c r="G121" s="3508" t="inlineStr">
        <is>
          <t>COMMENTAIRES
PAGE 10/12</t>
        </is>
      </c>
      <c r="H121" s="2848" t="n"/>
    </row>
    <row r="122">
      <c r="A122" s="3509" t="inlineStr">
        <is>
          <t>Dénomination sociale : ENTREPRISE EXEMPLE SARL</t>
        </is>
      </c>
    </row>
    <row r="123">
      <c r="A123" s="3509" t="inlineStr">
        <is>
          <t xml:space="preserve">Adresse : </t>
        </is>
      </c>
      <c r="F123" s="3509" t="inlineStr">
        <is>
          <t xml:space="preserve">Sigle usuel : </t>
        </is>
      </c>
    </row>
    <row r="124">
      <c r="A124" s="3509" t="inlineStr">
        <is>
          <t>N° de compte contribuable (NCC) : RCCM-2020-B-1234</t>
        </is>
      </c>
      <c r="E124" s="3509" t="inlineStr">
        <is>
          <t>Exercice clos le 31-12-2025</t>
        </is>
      </c>
      <c r="G124" s="3509" t="inlineStr">
        <is>
          <t>Durée (en mois) : 12</t>
        </is>
      </c>
    </row>
    <row r="125">
      <c r="A125" s="3509" t="inlineStr">
        <is>
          <t xml:space="preserve">N° de télédéclarant (NTD) : </t>
        </is>
      </c>
    </row>
    <row r="126" ht="16" customHeight="1" s="1354">
      <c r="A126" s="3512" t="inlineStr">
        <is>
          <t>NOTE 27B</t>
        </is>
      </c>
      <c r="B126" s="3513" t="inlineStr">
        <is>
          <t>EFFECTIFS, MASSE SALARIALE ET PERSONNEL EXTERIEUR</t>
        </is>
      </c>
      <c r="C126" s="2805" t="n"/>
      <c r="D126" s="2805" t="n"/>
      <c r="E126" s="2805" t="n"/>
      <c r="F126" s="2805" t="n"/>
      <c r="G126" s="2805" t="n"/>
      <c r="H126" s="2805" t="n"/>
    </row>
    <row r="127" ht="110" customHeight="1" s="1354">
      <c r="A127" s="3514" t="n"/>
      <c r="B127" s="2805" t="n"/>
      <c r="C127" s="2805" t="n"/>
      <c r="D127" s="2805" t="n"/>
      <c r="E127" s="2805" t="n"/>
      <c r="F127" s="2805" t="n"/>
      <c r="G127" s="2805" t="n"/>
      <c r="H127" s="2805" t="n"/>
    </row>
    <row r="128" ht="16" customHeight="1" s="1354">
      <c r="A128" s="3512" t="inlineStr">
        <is>
          <t>NOTE 28</t>
        </is>
      </c>
      <c r="B128" s="3513" t="inlineStr">
        <is>
          <t>PROVISIONS  ET DEPRECIATIONS INSCRITES AU BILAN</t>
        </is>
      </c>
      <c r="C128" s="2805" t="n"/>
      <c r="D128" s="2805" t="n"/>
      <c r="E128" s="2805" t="n"/>
      <c r="F128" s="2805" t="n"/>
      <c r="G128" s="2805" t="n"/>
      <c r="H128" s="2805" t="n"/>
    </row>
    <row r="129" ht="110" customHeight="1" s="1354">
      <c r="A129" s="3514" t="n"/>
      <c r="B129" s="2805" t="n"/>
      <c r="C129" s="2805" t="n"/>
      <c r="D129" s="2805" t="n"/>
      <c r="E129" s="2805" t="n"/>
      <c r="F129" s="2805" t="n"/>
      <c r="G129" s="2805" t="n"/>
      <c r="H129" s="2805" t="n"/>
    </row>
    <row r="130" ht="16" customHeight="1" s="1354">
      <c r="A130" s="3512" t="inlineStr">
        <is>
          <t>NOTE 29</t>
        </is>
      </c>
      <c r="B130" s="3513" t="inlineStr">
        <is>
          <t>CHARGES ET REVENUS FINANCIERES</t>
        </is>
      </c>
      <c r="C130" s="2805" t="n"/>
      <c r="D130" s="2805" t="n"/>
      <c r="E130" s="2805" t="n"/>
      <c r="F130" s="2805" t="n"/>
      <c r="G130" s="2805" t="n"/>
      <c r="H130" s="2805" t="n"/>
    </row>
    <row r="131" ht="110" customHeight="1" s="1354">
      <c r="A131" s="3514" t="n"/>
      <c r="B131" s="2805" t="n"/>
      <c r="C131" s="2805" t="n"/>
      <c r="D131" s="2805" t="n"/>
      <c r="E131" s="2805" t="n"/>
      <c r="F131" s="2805" t="n"/>
      <c r="G131" s="2805" t="n"/>
      <c r="H131" s="2805" t="n"/>
    </row>
    <row r="132" ht="16" customHeight="1" s="1354">
      <c r="A132" s="3512" t="inlineStr">
        <is>
          <t>NOTE 30</t>
        </is>
      </c>
      <c r="B132" s="3513" t="inlineStr">
        <is>
          <t>AUTRES CHARGES ET PRODUITS HAO</t>
        </is>
      </c>
      <c r="C132" s="2805" t="n"/>
      <c r="D132" s="2805" t="n"/>
      <c r="E132" s="2805" t="n"/>
      <c r="F132" s="2805" t="n"/>
      <c r="G132" s="2805" t="n"/>
      <c r="H132" s="2805" t="n"/>
    </row>
    <row r="133" ht="110" customHeight="1" s="1354">
      <c r="A133" s="3514" t="n"/>
      <c r="B133" s="2805" t="n"/>
      <c r="C133" s="2805" t="n"/>
      <c r="D133" s="2805" t="n"/>
      <c r="E133" s="2805" t="n"/>
      <c r="F133" s="2805" t="n"/>
      <c r="G133" s="2805" t="n"/>
      <c r="H133" s="2805" t="n"/>
    </row>
    <row r="134" ht="26" customHeight="1" s="1354">
      <c r="A134" s="3507" t="inlineStr">
        <is>
          <t>TABLE DES COMMENTAIRES</t>
        </is>
      </c>
      <c r="G134" s="3508" t="inlineStr">
        <is>
          <t>COMMENTAIRES
PAGE 11/12</t>
        </is>
      </c>
      <c r="H134" s="2848" t="n"/>
    </row>
    <row r="135">
      <c r="A135" s="3509" t="inlineStr">
        <is>
          <t>Dénomination sociale : ENTREPRISE EXEMPLE SARL</t>
        </is>
      </c>
    </row>
    <row r="136">
      <c r="A136" s="3509" t="inlineStr">
        <is>
          <t xml:space="preserve">Adresse : </t>
        </is>
      </c>
      <c r="F136" s="3509" t="inlineStr">
        <is>
          <t xml:space="preserve">Sigle usuel : </t>
        </is>
      </c>
    </row>
    <row r="137">
      <c r="A137" s="3509" t="inlineStr">
        <is>
          <t>N° de compte contribuable (NCC) : RCCM-2020-B-1234</t>
        </is>
      </c>
      <c r="E137" s="3509" t="inlineStr">
        <is>
          <t>Exercice clos le 31-12-2025</t>
        </is>
      </c>
      <c r="G137" s="3509" t="inlineStr">
        <is>
          <t>Durée (en mois) : 12</t>
        </is>
      </c>
    </row>
    <row r="138">
      <c r="A138" s="3509" t="inlineStr">
        <is>
          <t xml:space="preserve">N° de télédéclarant (NTD) : </t>
        </is>
      </c>
    </row>
    <row r="139" ht="16" customHeight="1" s="1354">
      <c r="A139" s="3512" t="inlineStr">
        <is>
          <t>NOTE 31</t>
        </is>
      </c>
      <c r="B139" s="3513" t="inlineStr">
        <is>
          <t>REPARTITION DU RESULTAT ET AUTRES ELEMENTS CARACTERISTIQUES DES CINQ DERNIERES EXERCICES</t>
        </is>
      </c>
      <c r="C139" s="2805" t="n"/>
      <c r="D139" s="2805" t="n"/>
      <c r="E139" s="2805" t="n"/>
      <c r="F139" s="2805" t="n"/>
      <c r="G139" s="2805" t="n"/>
      <c r="H139" s="2805" t="n"/>
    </row>
    <row r="140" ht="110" customHeight="1" s="1354">
      <c r="A140" s="3514" t="n"/>
      <c r="B140" s="2805" t="n"/>
      <c r="C140" s="2805" t="n"/>
      <c r="D140" s="2805" t="n"/>
      <c r="E140" s="2805" t="n"/>
      <c r="F140" s="2805" t="n"/>
      <c r="G140" s="2805" t="n"/>
      <c r="H140" s="2805" t="n"/>
    </row>
    <row r="141" ht="16" customHeight="1" s="1354">
      <c r="A141" s="3512" t="inlineStr">
        <is>
          <t>NOTE 32</t>
        </is>
      </c>
      <c r="B141" s="3513" t="inlineStr">
        <is>
          <t>PRODUCTION DE L’EXERCICE</t>
        </is>
      </c>
      <c r="C141" s="2805" t="n"/>
      <c r="D141" s="2805" t="n"/>
      <c r="E141" s="2805" t="n"/>
      <c r="F141" s="2805" t="n"/>
      <c r="G141" s="2805" t="n"/>
      <c r="H141" s="2805" t="n"/>
    </row>
    <row r="142" ht="110" customHeight="1" s="1354">
      <c r="A142" s="3514" t="n"/>
      <c r="B142" s="2805" t="n"/>
      <c r="C142" s="2805" t="n"/>
      <c r="D142" s="2805" t="n"/>
      <c r="E142" s="2805" t="n"/>
      <c r="F142" s="2805" t="n"/>
      <c r="G142" s="2805" t="n"/>
      <c r="H142" s="2805" t="n"/>
    </row>
    <row r="143" ht="16" customHeight="1" s="1354">
      <c r="A143" s="3512" t="inlineStr">
        <is>
          <t>NOTE 33</t>
        </is>
      </c>
      <c r="B143" s="3513" t="inlineStr">
        <is>
          <t>ACHATS DESTINES A LA PRODUCTION</t>
        </is>
      </c>
      <c r="C143" s="2805" t="n"/>
      <c r="D143" s="2805" t="n"/>
      <c r="E143" s="2805" t="n"/>
      <c r="F143" s="2805" t="n"/>
      <c r="G143" s="2805" t="n"/>
      <c r="H143" s="2805" t="n"/>
    </row>
    <row r="144" ht="110" customHeight="1" s="1354">
      <c r="A144" s="3514" t="n"/>
      <c r="B144" s="2805" t="n"/>
      <c r="C144" s="2805" t="n"/>
      <c r="D144" s="2805" t="n"/>
      <c r="E144" s="2805" t="n"/>
      <c r="F144" s="2805" t="n"/>
      <c r="G144" s="2805" t="n"/>
      <c r="H144" s="2805" t="n"/>
    </row>
    <row r="145" ht="17" customHeight="1" s="1354">
      <c r="A145" s="3510" t="inlineStr">
        <is>
          <t>Partie 4 : Autres informations</t>
        </is>
      </c>
      <c r="B145" s="3511" t="n"/>
      <c r="C145" s="3511" t="n"/>
      <c r="D145" s="3511" t="n"/>
      <c r="E145" s="3511" t="n"/>
      <c r="F145" s="3511" t="n"/>
      <c r="G145" s="3511" t="n"/>
      <c r="H145" s="3511" t="n"/>
    </row>
    <row r="146" ht="16" customHeight="1" s="1354">
      <c r="A146" s="3512" t="inlineStr">
        <is>
          <t>NOTE 34</t>
        </is>
      </c>
      <c r="B146" s="3513" t="inlineStr">
        <is>
          <t>FICHE DE SYNTHESE DES PRINCIPAUX INDICATEURS FINANCIERS</t>
        </is>
      </c>
      <c r="C146" s="2805" t="n"/>
      <c r="D146" s="2805" t="n"/>
      <c r="E146" s="2805" t="n"/>
      <c r="F146" s="2805" t="n"/>
      <c r="G146" s="2805" t="n"/>
      <c r="H146" s="2805" t="n"/>
    </row>
    <row r="147" ht="110" customHeight="1" s="1354">
      <c r="A147" s="3514" t="n"/>
      <c r="B147" s="2805" t="n"/>
      <c r="C147" s="2805" t="n"/>
      <c r="D147" s="2805" t="n"/>
      <c r="E147" s="2805" t="n"/>
      <c r="F147" s="2805" t="n"/>
      <c r="G147" s="2805" t="n"/>
      <c r="H147" s="2805" t="n"/>
    </row>
    <row r="148" ht="26" customHeight="1" s="1354">
      <c r="A148" s="3507" t="inlineStr">
        <is>
          <t>TABLE DES COMMENTAIRES</t>
        </is>
      </c>
      <c r="G148" s="3508" t="inlineStr">
        <is>
          <t>COMMENTAIRES
PAGE 12/12</t>
        </is>
      </c>
      <c r="H148" s="2848" t="n"/>
    </row>
    <row r="149">
      <c r="A149" s="3509" t="inlineStr">
        <is>
          <t>Dénomination sociale : ENTREPRISE EXEMPLE SARL</t>
        </is>
      </c>
    </row>
    <row r="150">
      <c r="A150" s="3509" t="inlineStr">
        <is>
          <t xml:space="preserve">Adresse : </t>
        </is>
      </c>
      <c r="F150" s="3509" t="inlineStr">
        <is>
          <t xml:space="preserve">Sigle usuel : </t>
        </is>
      </c>
    </row>
    <row r="151">
      <c r="A151" s="3509" t="inlineStr">
        <is>
          <t>N° de compte contribuable (NCC) : RCCM-2020-B-1234</t>
        </is>
      </c>
      <c r="E151" s="3509" t="inlineStr">
        <is>
          <t>Exercice clos le 31-12-2025</t>
        </is>
      </c>
      <c r="G151" s="3509" t="inlineStr">
        <is>
          <t>Durée (en mois) : 12</t>
        </is>
      </c>
    </row>
    <row r="152">
      <c r="A152" s="3509" t="inlineStr">
        <is>
          <t xml:space="preserve">N° de télédéclarant (NTD) : </t>
        </is>
      </c>
    </row>
    <row r="153" ht="16" customHeight="1" s="1354">
      <c r="A153" s="3512" t="inlineStr">
        <is>
          <t>NOTE 35</t>
        </is>
      </c>
      <c r="B153" s="3513" t="inlineStr">
        <is>
          <t>LISTE DES INFORMATIONS SOCIALES, ENVIRONNEMENTALES ET SOCIETALES A FOURNIR</t>
        </is>
      </c>
      <c r="C153" s="2805" t="n"/>
      <c r="D153" s="2805" t="n"/>
      <c r="E153" s="2805" t="n"/>
      <c r="F153" s="2805" t="n"/>
      <c r="G153" s="2805" t="n"/>
      <c r="H153" s="2805" t="n"/>
    </row>
    <row r="154" ht="110" customHeight="1" s="1354">
      <c r="A154" s="3514" t="n"/>
      <c r="B154" s="2805" t="n"/>
      <c r="C154" s="2805" t="n"/>
      <c r="D154" s="2805" t="n"/>
      <c r="E154" s="2805" t="n"/>
      <c r="F154" s="2805" t="n"/>
      <c r="G154" s="2805" t="n"/>
      <c r="H154" s="2805" t="n"/>
    </row>
    <row r="155" ht="16" customHeight="1" s="1354">
      <c r="A155" s="3512" t="inlineStr">
        <is>
          <t>NOTE 36</t>
        </is>
      </c>
      <c r="B155" s="3513" t="inlineStr">
        <is>
          <t>TABLES DES CODES</t>
        </is>
      </c>
      <c r="C155" s="2805" t="n"/>
      <c r="D155" s="2805" t="n"/>
      <c r="E155" s="2805" t="n"/>
      <c r="F155" s="2805" t="n"/>
      <c r="G155" s="2805" t="n"/>
      <c r="H155" s="2805" t="n"/>
    </row>
    <row r="156" ht="110" customHeight="1" s="1354">
      <c r="A156" s="3514"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5" t="inlineStr">
        <is>
          <t>Total solde de clôture débit balance</t>
        </is>
      </c>
      <c r="B2" s="3516">
        <f>SUM('BALANCE N'!G2:G53)</f>
        <v/>
      </c>
      <c r="C2" s="3515" t="inlineStr"/>
    </row>
    <row r="3">
      <c r="A3" s="3515" t="inlineStr">
        <is>
          <t>Total solde de clôture crédit balance</t>
        </is>
      </c>
      <c r="B3" s="3516">
        <f>SUM('BALANCE N'!H2:H53)</f>
        <v/>
      </c>
      <c r="C3" s="3515" t="inlineStr"/>
    </row>
    <row r="4">
      <c r="A4" s="3515" t="inlineStr">
        <is>
          <t>Écart balance (doit être 0)</t>
        </is>
      </c>
      <c r="B4" s="3516">
        <f>B2-B3</f>
        <v/>
      </c>
      <c r="C4" s="3515" t="n">
        <v>0</v>
      </c>
    </row>
    <row r="5">
      <c r="A5" s="3515" t="inlineStr">
        <is>
          <t>Total général actif net (BZ)</t>
        </is>
      </c>
      <c r="B5" s="3516">
        <f>ACTIF!F40</f>
        <v/>
      </c>
      <c r="C5" s="3515" t="inlineStr"/>
    </row>
    <row r="6">
      <c r="A6" s="3515" t="inlineStr">
        <is>
          <t>Total général passif (DZ)</t>
        </is>
      </c>
      <c r="B6" s="3516">
        <f>PASSIF!D37</f>
        <v/>
      </c>
      <c r="C6" s="3515" t="inlineStr"/>
    </row>
    <row r="7">
      <c r="A7" s="3515" t="inlineStr">
        <is>
          <t>Écart bilan actif - passif (doit être 0)</t>
        </is>
      </c>
      <c r="B7" s="3516">
        <f>B5-B6</f>
        <v/>
      </c>
      <c r="C7" s="3515" t="n">
        <v>0</v>
      </c>
    </row>
    <row r="8">
      <c r="A8" s="3515" t="inlineStr">
        <is>
          <t>Résultat net (compte de résultat, XI)</t>
        </is>
      </c>
      <c r="B8" s="3516">
        <f>'Compte de Résultat'!E50</f>
        <v/>
      </c>
      <c r="C8" s="3515" t="inlineStr"/>
    </row>
    <row r="9">
      <c r="A9" s="3515" t="inlineStr">
        <is>
          <t>Trésorerie nette 31/12 recalculée depuis le bilan N</t>
        </is>
      </c>
      <c r="B9" s="3516" t="n">
        <v>7900000</v>
      </c>
      <c r="C9" s="3515" t="inlineStr"/>
    </row>
    <row r="10">
      <c r="A10" s="3515" t="inlineStr">
        <is>
          <t>Trésorerie nette 31/12 (TFT, poste ZH)</t>
        </is>
      </c>
      <c r="B10" s="3516">
        <f>'TFT'!H41</f>
        <v/>
      </c>
      <c r="C10" s="3515" t="inlineStr"/>
    </row>
    <row r="11">
      <c r="A11" s="3515" t="inlineStr">
        <is>
          <t>Écart bilan - TFT trésorerie de clôture (0 si TFT complet)</t>
        </is>
      </c>
      <c r="B11" s="3516">
        <f>B9-B10</f>
        <v/>
      </c>
      <c r="C11" s="3515" t="n">
        <v>0</v>
      </c>
    </row>
    <row r="12">
      <c r="A12" s="3515" t="inlineStr">
        <is>
          <t>- Recoupements notes annexes / états -</t>
        </is>
      </c>
      <c r="B12" s="3516" t="inlineStr"/>
      <c r="C12" s="3515" t="inlineStr"/>
    </row>
    <row r="13">
      <c r="A13" s="3515" t="inlineStr">
        <is>
          <t>NOTE 4 total net vs immobilisations financières nettes (AR+AS)</t>
        </is>
      </c>
      <c r="B13" s="3516">
        <f>'NOTE 4'!B23-(ACTIF!F25+ACTIF!F26)</f>
        <v/>
      </c>
      <c r="C13" s="3515" t="n">
        <v>0</v>
      </c>
    </row>
    <row r="14">
      <c r="A14" s="3515" t="inlineStr">
        <is>
          <t>NOTE 5 actif HAO net vs poste BA net</t>
        </is>
      </c>
      <c r="B14" s="3516">
        <f>'NOTE 5'!C19-ACTIF!F28</f>
        <v/>
      </c>
      <c r="C14" s="3515" t="n">
        <v>0</v>
      </c>
    </row>
    <row r="15">
      <c r="A15" s="3515" t="inlineStr">
        <is>
          <t>NOTE 6 stocks nets vs poste BB net</t>
        </is>
      </c>
      <c r="B15" s="3516">
        <f>'NOTE 6'!C24-ACTIF!F29</f>
        <v/>
      </c>
      <c r="C15" s="3515" t="n">
        <v>0</v>
      </c>
    </row>
    <row r="16">
      <c r="A16" s="3515" t="inlineStr">
        <is>
          <t>NOTE 7 clients nets vs poste BI net</t>
        </is>
      </c>
      <c r="B16" s="3516">
        <f>'NOTE 7'!B24-ACTIF!F32</f>
        <v/>
      </c>
      <c r="C16" s="3515" t="n">
        <v>0</v>
      </c>
    </row>
    <row r="17">
      <c r="A17" s="3515" t="inlineStr">
        <is>
          <t>NOTE 8 autres créances nettes vs poste BJ net</t>
        </is>
      </c>
      <c r="B17" s="3516">
        <f>'NOTE 8'!B28-ACTIF!F33</f>
        <v/>
      </c>
      <c r="C17" s="3515" t="n">
        <v>0</v>
      </c>
    </row>
    <row r="18">
      <c r="A18" s="3515" t="inlineStr">
        <is>
          <t>NOTE 9 titres nets vs poste BQ net</t>
        </is>
      </c>
      <c r="B18" s="3516">
        <f>'NOTE 9'!B21-ACTIF!F35</f>
        <v/>
      </c>
      <c r="C18" s="3515" t="n">
        <v>0</v>
      </c>
    </row>
    <row r="19">
      <c r="A19" s="3515" t="inlineStr">
        <is>
          <t>NOTE 10 valeurs à encaisser nettes vs poste BR net</t>
        </is>
      </c>
      <c r="B19" s="3516">
        <f>'NOTE 10'!B19-ACTIF!F36</f>
        <v/>
      </c>
      <c r="C19" s="3515" t="n">
        <v>0</v>
      </c>
    </row>
    <row r="20">
      <c r="A20" s="3515" t="inlineStr">
        <is>
          <t>NOTE 11 disponibilités nettes vs poste BS net</t>
        </is>
      </c>
      <c r="B20" s="3516">
        <f>'NOTE 11'!C27-ACTIF!F37</f>
        <v/>
      </c>
      <c r="C20" s="3515" t="n">
        <v>0</v>
      </c>
    </row>
    <row r="21">
      <c r="A21" s="3515" t="inlineStr">
        <is>
          <t>NOTE 15A total vs postes CL+CM</t>
        </is>
      </c>
      <c r="B21" s="3516">
        <f>'NOTE 15A'!C29-(PASSIF!D18+PASSIF!D19)</f>
        <v/>
      </c>
      <c r="C21" s="3515" t="n">
        <v>0</v>
      </c>
    </row>
    <row r="22">
      <c r="A22" s="3515" t="inlineStr">
        <is>
          <t>NOTE 16A total vs postes DA+DB+DC</t>
        </is>
      </c>
      <c r="B22" s="3516">
        <f>'NOTE 16A'!B17+'NOTE 16A'!B24+'NOTE 16A'!B39-PASSIF!D24</f>
        <v/>
      </c>
      <c r="C22" s="3515" t="n">
        <v>0</v>
      </c>
    </row>
    <row r="23">
      <c r="A23" s="3515" t="inlineStr">
        <is>
          <t>NOTE 17 fournisseurs vs poste DJ</t>
        </is>
      </c>
      <c r="B23" s="3516">
        <f>'NOTE 17'!B15-PASSIF!D28</f>
        <v/>
      </c>
      <c r="C23" s="3515" t="n">
        <v>0</v>
      </c>
    </row>
    <row r="24">
      <c r="A24" s="3515" t="inlineStr">
        <is>
          <t>NOTE 18 total vs poste DK</t>
        </is>
      </c>
      <c r="B24" s="3516">
        <f>'NOTE 18'!B26-PASSIF!D29</f>
        <v/>
      </c>
      <c r="C24" s="3515" t="n">
        <v>0</v>
      </c>
    </row>
    <row r="25">
      <c r="A25" s="3515" t="inlineStr">
        <is>
          <t>NOTE 19 autres dettes vs poste DM</t>
        </is>
      </c>
      <c r="B25" s="3516">
        <f>'NOTE 19'!B33-PASSIF!D30</f>
        <v/>
      </c>
      <c r="C25" s="3515" t="n">
        <v>0</v>
      </c>
    </row>
    <row r="26">
      <c r="A26" s="3515" t="inlineStr">
        <is>
          <t>NOTE 20 total vs postes DQ+DR</t>
        </is>
      </c>
      <c r="B26" s="3516">
        <f>'NOTE 20'!B24-(PASSIF!D33+PASSIF!D34)</f>
        <v/>
      </c>
      <c r="C26" s="3515" t="n">
        <v>0</v>
      </c>
    </row>
    <row r="27">
      <c r="A27" s="3515" t="inlineStr">
        <is>
          <t>NOTE 21 CA vs poste XB</t>
        </is>
      </c>
      <c r="B27" s="3516">
        <f>'NOTE 21'!B34-'Compte de Résultat'!E16</f>
        <v/>
      </c>
      <c r="C27" s="3515" t="n">
        <v>0</v>
      </c>
    </row>
    <row r="28">
      <c r="A28" s="3515" t="inlineStr">
        <is>
          <t>NOTE 22 total achats vs RA+RC+RE</t>
        </is>
      </c>
      <c r="B28" s="3516">
        <f>'NOTE 22'!B14+'NOTE 22'!B19+'NOTE 22'!B35-('Compte de Résultat'!E10+'Compte de Résultat'!E22+'Compte de Résultat'!E24)</f>
        <v/>
      </c>
      <c r="C28" s="3515" t="n">
        <v>0</v>
      </c>
    </row>
    <row r="29">
      <c r="A29" s="3515" t="inlineStr">
        <is>
          <t>NOTE 23 transports vs poste RG</t>
        </is>
      </c>
      <c r="B29" s="3516">
        <f>'NOTE 23'!B15-'Compte de Résultat'!E26</f>
        <v/>
      </c>
      <c r="C29" s="3515" t="n">
        <v>0</v>
      </c>
    </row>
    <row r="30">
      <c r="A30" s="3515" t="inlineStr">
        <is>
          <t>NOTE 24 services extérieurs vs poste RH</t>
        </is>
      </c>
      <c r="B30" s="3516">
        <f>'NOTE 24'!B24-'Compte de Résultat'!E27</f>
        <v/>
      </c>
      <c r="C30" s="3515" t="n">
        <v>0</v>
      </c>
    </row>
    <row r="31">
      <c r="A31" s="3515" t="inlineStr">
        <is>
          <t>NOTE 25 impôts et taxes vs poste RI</t>
        </is>
      </c>
      <c r="B31" s="3516">
        <f>'NOTE 25'!B16-'Compte de Résultat'!E28</f>
        <v/>
      </c>
      <c r="C31" s="3515" t="n">
        <v>0</v>
      </c>
    </row>
    <row r="32">
      <c r="A32" s="3515" t="inlineStr">
        <is>
          <t>NOTE 26 autres charges vs poste RJ</t>
        </is>
      </c>
      <c r="B32" s="3516">
        <f>'NOTE 26'!B19-'Compte de Résultat'!E29</f>
        <v/>
      </c>
      <c r="C32" s="3515" t="n">
        <v>0</v>
      </c>
    </row>
    <row r="33">
      <c r="A33" s="3515" t="inlineStr">
        <is>
          <t>NOTE 27A personnel vs poste RK</t>
        </is>
      </c>
      <c r="B33" s="3516">
        <f>'NOTE 27A'!B18-'Compte de Résultat'!E31</f>
        <v/>
      </c>
      <c r="C33" s="351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5" t="n"/>
      <c r="B2" s="3515" t="n"/>
      <c r="C2" s="3515" t="n"/>
      <c r="D2" s="3515" t="n"/>
      <c r="E2" s="35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2026-09-02T18:16:52Z</dcterms:modified>
  <cp:lastModifiedBy>USER</cp:lastModifiedBy>
  <cp:revision>0</cp:revision>
  <cp:lastPrinted>2019-04-13T18:10:01Z</cp:lastPrinted>
</cp:coreProperties>
</file>