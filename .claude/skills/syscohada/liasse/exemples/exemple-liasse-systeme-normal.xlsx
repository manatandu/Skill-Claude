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GARDE" sheetId="1" state="visible" r:id="rId1"/>
    <sheet name="FICHE R1 " sheetId="2" state="visible" r:id="rId2"/>
    <sheet name="FICHE R2 " sheetId="3" state="visible" r:id="rId3"/>
    <sheet name="FICHE R3 " sheetId="4" state="visible" r:id="rId4"/>
    <sheet name="FICHE R4" sheetId="5" state="visible" r:id="rId5"/>
    <sheet name="ACTIF" sheetId="6" state="visible" r:id="rId6"/>
    <sheet name="PASSIF" sheetId="7" state="visible" r:id="rId7"/>
    <sheet name="Compte de Résultat" sheetId="8" state="visible" r:id="rId8"/>
    <sheet name="TFT" sheetId="9" state="visible" r:id="rId9"/>
    <sheet name="NOTE 1" sheetId="10" state="visible" r:id="rId10"/>
    <sheet name="NOTE 2" sheetId="11" state="visible" r:id="rId11"/>
    <sheet name="NOTE 3A" sheetId="12" state="visible" r:id="rId12"/>
    <sheet name="NOTE 3B" sheetId="13" state="visible" r:id="rId13"/>
    <sheet name="NOTE 3C" sheetId="14" state="visible" r:id="rId14"/>
    <sheet name="NOTE 3D" sheetId="15" state="visible" r:id="rId15"/>
    <sheet name="NOTE 3E" sheetId="16" state="visible" r:id="rId16"/>
    <sheet name="NOTE 4" sheetId="17" state="visible" r:id="rId17"/>
    <sheet name="NOTE 5" sheetId="18" state="visible" r:id="rId18"/>
    <sheet name="NOTE 6" sheetId="19" state="visible" r:id="rId19"/>
    <sheet name="NOTE 7" sheetId="20" state="visible" r:id="rId20"/>
    <sheet name="NOTE 8" sheetId="21" state="visible" r:id="rId21"/>
    <sheet name="NOTE 8A" sheetId="22" state="visible" r:id="rId22"/>
    <sheet name="NOTE 9" sheetId="23" state="visible" r:id="rId23"/>
    <sheet name="NOTE 10" sheetId="24" state="visible" r:id="rId24"/>
    <sheet name="NOTE 11" sheetId="25" state="visible" r:id="rId25"/>
    <sheet name="NOTE 12" sheetId="26" state="visible" r:id="rId26"/>
    <sheet name="NOTE 13" sheetId="27" state="visible" r:id="rId27"/>
    <sheet name="NOTE 14" sheetId="28" state="visible" r:id="rId28"/>
    <sheet name="NOTE 15A" sheetId="29" state="visible" r:id="rId29"/>
    <sheet name="NOTES 15B" sheetId="30" state="visible" r:id="rId30"/>
    <sheet name="NOTE 16A" sheetId="31" state="visible" r:id="rId31"/>
    <sheet name="NOTE 16B" sheetId="32" state="visible" r:id="rId32"/>
    <sheet name="NOTE 16B bis" sheetId="33" state="visible" r:id="rId33"/>
    <sheet name="NOTE 16C" sheetId="34" state="visible" r:id="rId34"/>
    <sheet name="NOTE 17" sheetId="35" state="visible" r:id="rId35"/>
    <sheet name="NOTE 18" sheetId="36" state="visible" r:id="rId36"/>
    <sheet name="NOTE 19" sheetId="37" state="visible" r:id="rId37"/>
    <sheet name="NOTE 20" sheetId="38" state="visible" r:id="rId38"/>
    <sheet name="NOTE 21" sheetId="39" state="visible" r:id="rId39"/>
    <sheet name="NOTE 22" sheetId="40" state="visible" r:id="rId40"/>
    <sheet name="NOTE 23" sheetId="41" state="visible" r:id="rId41"/>
    <sheet name="NOTE 24" sheetId="42" state="visible" r:id="rId42"/>
    <sheet name="NOTE 25" sheetId="43" state="visible" r:id="rId43"/>
    <sheet name="NOTE 26" sheetId="44" state="visible" r:id="rId44"/>
    <sheet name="NOTE 27A" sheetId="45" state="visible" r:id="rId45"/>
    <sheet name="NOTE 27B" sheetId="46" state="visible" r:id="rId46"/>
    <sheet name="NOTE 28" sheetId="47" state="visible" r:id="rId47"/>
    <sheet name="NOTE 29" sheetId="48" state="visible" r:id="rId48"/>
    <sheet name="NOTE 30" sheetId="49" state="visible" r:id="rId49"/>
    <sheet name="NOTE 31" sheetId="50" state="visible" r:id="rId50"/>
    <sheet name="NOTE 32" sheetId="51" state="visible" r:id="rId51"/>
    <sheet name="NOTE 33" sheetId="52" state="visible" r:id="rId52"/>
    <sheet name="NOTE 34" sheetId="53" state="visible" r:id="rId53"/>
    <sheet name="NOTE 35" sheetId="54" state="visible" r:id="rId54"/>
    <sheet name="NOTE 36" sheetId="55" state="visible" r:id="rId55"/>
    <sheet name="CODES" sheetId="56" state="visible" r:id="rId56"/>
    <sheet name="BALANCE" sheetId="57" state="visible" r:id="rId57"/>
    <sheet name="BALANCE_N1" sheetId="58" state="visible" r:id="rId58"/>
    <sheet name="CONTROLES" sheetId="59" state="visible" r:id="rId59"/>
    <sheet name="ANOMALIES" sheetId="60" state="visible" r:id="rId60"/>
  </sheets>
  <externalReferences>
    <externalReference r:id="rId61"/>
  </externalReferences>
  <definedNames>
    <definedName name="_centreImpot" hidden="0" function="0" vbProcedure="0">"CENTRE DES IMPOTS DE "</definedName>
    <definedName name="_dAn" hidden="0" function="0" vbProcedure="0">" 2012"</definedName>
    <definedName name="_dDeb" hidden="0" function="0" vbProcedure="0">40179</definedName>
    <definedName name="_dFin" hidden="0" function="0" vbProcedure="0">" 31/12/2016"</definedName>
    <definedName name="_insae" hidden="0" function="0" vbProcedure="0">" "</definedName>
    <definedName name="_Mois" hidden="0" function="0" vbProcedure="0">12</definedName>
    <definedName name="_nbMois" hidden="0" function="0" vbProcedure="0">12</definedName>
    <definedName name="_nCompletPays" hidden="0" function="0" vbProcedure="0">"REPUBLIQUE DU BENIN"</definedName>
    <definedName name="_nSo" hidden="0" function="0" vbProcedure="0">"Société de Matériel de Travaux Publics"</definedName>
    <definedName name="_Pays" hidden="0" function="0" vbProcedure="0">"REPUBLIQUE DU BENIN"</definedName>
    <definedName name="_regCom" hidden="0" function="0" vbProcedure="0">"COT 05-B-1694"</definedName>
    <definedName name="_sigle" hidden="0" function="0" vbProcedure="0">" "</definedName>
    <definedName name="_soAdr" hidden="0" function="0" vbProcedure="0">" "</definedName>
    <definedName name="_soAg1" hidden="0" function="0" vbProcedure="0">" "</definedName>
    <definedName name="_soAg2" hidden="0" function="0" vbProcedure="0">" "</definedName>
    <definedName name="_soNom" hidden="0" function="0" vbProcedure="0">"Ets ELYON FROID ELECTRICITE &amp; SERVICE"</definedName>
    <definedName name="_soNumFisc" hidden="0" function="0" vbProcedure="0">" "</definedName>
    <definedName name="_soSigle" hidden="0" function="0" vbProcedure="0">" "</definedName>
    <definedName name="_Ville" hidden="0" function="0" vbProcedure="0">"CENTRE DES IMPÔTS DE COTONOU"</definedName>
    <definedName name="_xlfn_IFERROR" hidden="0" function="0" vbProcedure="0">none</definedName>
  </definedNames>
  <calcPr calcId="124519" fullCalcOnLoad="1" refMode="A1" iterate="0" iterateCount="100" iterateDelta="0.001"/>
</workbook>
</file>

<file path=xl/styles.xml><?xml version="1.0" encoding="utf-8"?>
<styleSheet xmlns="http://schemas.openxmlformats.org/spreadsheetml/2006/main">
  <numFmts count="5">
    <numFmt numFmtId="164" formatCode="[$-409]m/d/yyyy"/>
    <numFmt numFmtId="165" formatCode="_-* #,##0\ _€_-;\-* #,##0\ _€_-;_-* \-??\ _€_-;_-@_-"/>
    <numFmt numFmtId="166" formatCode="[$-409]d\-mmm"/>
    <numFmt numFmtId="167" formatCode="_-* #,##0.00\ _€_-;\-* #,##0.00\ _€_-;_-* \-??\ _€_-;_-@_-"/>
    <numFmt numFmtId="168" formatCode="#,##0;[Red]-#,##0"/>
  </numFmts>
  <fonts count="163">
    <font>
      <name val="Calibri"/>
      <family val="2"/>
      <color rgb="FF000000"/>
      <sz val="11"/>
    </font>
    <font>
      <name val="Arial"/>
      <family val="0"/>
      <sz val="10"/>
    </font>
    <font>
      <name val="Arial"/>
      <family val="0"/>
      <sz val="10"/>
    </font>
    <font>
      <name val="Arial"/>
      <family val="0"/>
      <sz val="10"/>
    </font>
    <font>
      <name val="Arial"/>
      <family val="2"/>
      <sz val="10"/>
    </font>
    <font>
      <name val="Arial"/>
      <family val="2"/>
      <b val="1"/>
      <sz val="11"/>
    </font>
    <font>
      <name val="Arial"/>
      <family val="2"/>
      <sz val="11"/>
    </font>
    <font>
      <name val="Arial"/>
      <family val="2"/>
      <sz val="9"/>
    </font>
    <font>
      <name val="Arial"/>
      <family val="2"/>
      <b val="1"/>
      <sz val="10"/>
    </font>
    <font>
      <name val="Arial"/>
      <family val="2"/>
      <b val="1"/>
      <sz val="7"/>
    </font>
    <font>
      <name val="Arial"/>
      <family val="2"/>
      <b val="1"/>
      <sz val="8"/>
    </font>
    <font>
      <name val="Arial"/>
      <family val="2"/>
      <b val="1"/>
      <sz val="9"/>
    </font>
    <font>
      <name val="Arial"/>
      <family val="2"/>
      <sz val="8"/>
    </font>
    <font>
      <name val="Arial"/>
      <family val="2"/>
      <color rgb="FF0000FF"/>
      <sz val="10"/>
    </font>
    <font>
      <name val="Calibri"/>
      <family val="2"/>
      <color rgb="FF00ABEA"/>
      <sz val="11"/>
      <u val="single"/>
    </font>
    <font>
      <name val="Arial"/>
      <family val="2"/>
      <sz val="6"/>
    </font>
    <font>
      <name val="Times New Roman"/>
      <family val="0"/>
      <b val="1"/>
      <color rgb="FF000000"/>
      <sz val="12"/>
    </font>
    <font>
      <name val="Cambria"/>
      <family val="0"/>
      <b val="1"/>
      <color rgb="FFFFFFFF"/>
      <sz val="14"/>
    </font>
    <font>
      <name val="Arial"/>
      <family val="2"/>
      <sz val="9"/>
      <vertAlign val="superscript"/>
    </font>
    <font>
      <name val="Arial"/>
      <family val="2"/>
      <sz val="10"/>
      <vertAlign val="superscript"/>
    </font>
    <font>
      <name val="Arial"/>
      <family val="2"/>
      <sz val="8"/>
      <vertAlign val="superscript"/>
    </font>
    <font>
      <name val="Arial"/>
      <family val="2"/>
      <color rgb="FF000000"/>
      <sz val="11"/>
    </font>
    <font>
      <name val="Arial"/>
      <family val="2"/>
      <b val="1"/>
      <sz val="11"/>
      <vertAlign val="superscript"/>
    </font>
    <font>
      <name val="Arial"/>
      <family val="2"/>
      <b val="1"/>
      <color rgb="FF000000"/>
      <sz val="11"/>
    </font>
    <font>
      <name val="Arial"/>
      <family val="2"/>
      <b val="1"/>
      <color rgb="FF000000"/>
      <sz val="10"/>
    </font>
    <font>
      <name val="Arial"/>
      <family val="2"/>
      <b val="1"/>
      <color rgb="FFFFFFFF"/>
      <sz val="14"/>
    </font>
    <font>
      <name val="Arial"/>
      <family val="2"/>
      <color rgb="FF000000"/>
      <sz val="10"/>
    </font>
    <font>
      <name val="Arial"/>
      <family val="2"/>
      <color rgb="FF000000"/>
      <sz val="9"/>
    </font>
    <font>
      <name val="Arial"/>
      <family val="2"/>
      <b val="1"/>
      <color rgb="FF000000"/>
      <sz val="9"/>
    </font>
    <font>
      <name val="ITC Avant Garde Gothic Demi"/>
      <family val="0"/>
      <b val="1"/>
      <color rgb="FFFFFFFF"/>
      <sz val="9"/>
    </font>
    <font>
      <name val="Calibri"/>
      <family val="2"/>
      <color rgb="FF000000"/>
      <sz val="9"/>
    </font>
    <font>
      <name val="Calibri"/>
      <family val="2"/>
      <b val="1"/>
      <color rgb="FFFFFFFF"/>
      <sz val="9"/>
    </font>
    <font>
      <name val="Calibri"/>
      <family val="2"/>
      <b val="1"/>
      <color rgb="FF000000"/>
      <sz val="9"/>
    </font>
    <font>
      <name val="Calibri"/>
      <family val="0"/>
      <color rgb="FF000000"/>
      <sz val="11"/>
    </font>
    <font>
      <name val="Arial"/>
      <family val="0"/>
      <b val="1"/>
      <color rgb="FFFFFFFF"/>
      <sz val="14"/>
    </font>
    <font>
      <name val="Arial"/>
      <family val="2"/>
      <b val="1"/>
      <color rgb="FF00ABEA"/>
      <sz val="10"/>
    </font>
    <font>
      <name val="Arial"/>
      <family val="2"/>
      <b val="1"/>
      <color rgb="FFFFFFFF"/>
      <sz val="10"/>
    </font>
    <font>
      <name val="Arial"/>
      <family val="2"/>
      <i val="1"/>
      <color rgb="FF000000"/>
      <sz val="9"/>
    </font>
    <font>
      <name val="Arial"/>
      <family val="2"/>
      <b val="1"/>
      <color rgb="FFFFFFFF"/>
      <sz val="9"/>
    </font>
    <font>
      <name val="Arial"/>
      <family val="2"/>
      <color rgb="FF000000"/>
      <sz val="8"/>
    </font>
    <font>
      <name val="Gill Sans MT"/>
      <family val="0"/>
      <b val="1"/>
      <color rgb="FFFFFFFF"/>
      <sz val="14"/>
    </font>
    <font>
      <name val="Arial"/>
      <family val="2"/>
      <color rgb="FFFFFFFF"/>
      <sz val="10"/>
    </font>
    <font>
      <name val="ITC Avant Garde Gothic Demi"/>
      <family val="0"/>
      <b val="1"/>
      <color rgb="FFFFFFFF"/>
      <sz val="14"/>
    </font>
    <font>
      <name val="ITC Avant Garde Gothic Demi"/>
      <family val="2"/>
      <b val="1"/>
      <color rgb="FF00ABEA"/>
      <sz val="9"/>
    </font>
    <font>
      <name val="Arial"/>
      <family val="2"/>
      <b val="1"/>
      <color rgb="FFFFFFFF"/>
      <sz val="8"/>
    </font>
    <font>
      <name val="Arial"/>
      <family val="2"/>
      <color rgb="FFFFFFFF"/>
      <sz val="8"/>
    </font>
    <font>
      <name val="Arial"/>
      <family val="2"/>
      <b val="1"/>
      <color rgb="FF000000"/>
      <sz val="8"/>
    </font>
    <font>
      <name val="Arial"/>
      <family val="2"/>
      <b val="1"/>
      <color rgb="FF33CCCC"/>
      <sz val="12"/>
    </font>
    <font>
      <name val="Arial"/>
      <family val="2"/>
      <b val="1"/>
      <color rgb="FF33CCCC"/>
      <sz val="10"/>
    </font>
    <font>
      <name val="Arial"/>
      <family val="2"/>
      <b val="1"/>
      <color rgb="FF33CCCC"/>
      <sz val="9"/>
    </font>
    <font>
      <name val="Arial"/>
      <family val="2"/>
      <b val="1"/>
      <color rgb="FFFFFFFF"/>
      <sz val="9"/>
      <vertAlign val="superscript"/>
    </font>
    <font>
      <name val="Arial"/>
      <family val="2"/>
      <color rgb="FFFFFFFF"/>
      <sz val="9"/>
    </font>
    <font>
      <name val="Arial"/>
      <family val="2"/>
      <b val="1"/>
      <color rgb="FFDD0806"/>
      <sz val="9"/>
    </font>
    <font>
      <name val="Arial"/>
      <family val="2"/>
      <color rgb="FF000000"/>
      <sz val="9"/>
      <vertAlign val="superscript"/>
    </font>
    <font>
      <name val="Arial"/>
      <family val="2"/>
      <color rgb="FFDD0806"/>
      <sz val="9"/>
    </font>
    <font>
      <name val="Arial"/>
      <family val="2"/>
      <b val="1"/>
      <color rgb="FF000000"/>
      <sz val="9"/>
      <vertAlign val="superscript"/>
    </font>
    <font>
      <name val="Arial"/>
      <family val="2"/>
      <b val="1"/>
      <color rgb="FF000000"/>
      <sz val="8"/>
      <vertAlign val="superscript"/>
    </font>
    <font>
      <name val="Calibri"/>
      <family val="2"/>
      <color rgb="FF000000"/>
      <sz val="8"/>
    </font>
    <font>
      <name val="Arial"/>
      <family val="2"/>
      <b val="1"/>
      <color rgb="FF000000"/>
      <sz val="9"/>
      <u val="single"/>
    </font>
    <font>
      <name val="Times New Roman"/>
      <family val="1"/>
      <color rgb="FF000000"/>
      <sz val="9"/>
    </font>
    <font>
      <name val="Arial"/>
      <family val="0"/>
      <b val="1"/>
      <color rgb="FFFFFFFF"/>
      <sz val="15"/>
    </font>
    <font>
      <name val="Cambria"/>
      <family val="1"/>
      <b val="1"/>
      <color rgb="FFFFFFFF"/>
      <sz val="14"/>
    </font>
    <font>
      <name val="Arial"/>
      <family val="2"/>
      <b val="1"/>
      <color rgb="FF003366"/>
      <sz val="11"/>
      <u val="single"/>
    </font>
    <font>
      <name val="Arial"/>
      <family val="2"/>
      <b val="1"/>
      <color rgb="FF003366"/>
      <sz val="11"/>
    </font>
    <font>
      <name val="Arial"/>
      <family val="2"/>
      <b val="1"/>
      <color rgb="FF33CCCC"/>
      <sz val="11"/>
    </font>
    <font>
      <name val="Arial"/>
      <family val="2"/>
      <b val="1"/>
      <color rgb="FFFFFFFF"/>
      <sz val="11"/>
    </font>
    <font>
      <name val="Cambria"/>
      <family val="1"/>
      <b val="1"/>
      <color rgb="FFFFFFFF"/>
      <sz val="9"/>
    </font>
    <font>
      <name val="Calibri"/>
      <family val="2"/>
      <color rgb="FF000000"/>
      <sz val="10"/>
    </font>
    <font>
      <name val="Times New Roman"/>
      <family val="1"/>
      <b val="1"/>
      <color rgb="FF000000"/>
      <sz val="9"/>
    </font>
    <font>
      <name val="Times New Roman"/>
      <family val="1"/>
      <b val="1"/>
      <color rgb="FF00ABEA"/>
      <sz val="9"/>
    </font>
    <font>
      <name val="Times New Roman"/>
      <family val="1"/>
      <b val="1"/>
      <color rgb="FF003366"/>
      <sz val="9"/>
      <u val="single"/>
    </font>
    <font>
      <name val="Verdana"/>
      <family val="2"/>
      <color rgb="FF000000"/>
      <sz val="7.5"/>
    </font>
    <font>
      <name val="Verdana"/>
      <family val="2"/>
      <i val="1"/>
      <color rgb="FF000000"/>
      <sz val="7.5"/>
    </font>
    <font>
      <name val="Arial"/>
      <family val="2"/>
      <color rgb="FF000000"/>
      <sz val="7"/>
    </font>
    <font>
      <name val="Cambria"/>
      <family val="0"/>
      <b val="1"/>
      <color rgb="FFFFFFFF"/>
      <sz val="11"/>
    </font>
    <font>
      <name val="Times New Roman"/>
      <family val="1"/>
      <b val="1"/>
      <color rgb="FF00ABEA"/>
      <sz val="11"/>
    </font>
    <font>
      <name val="Verdana"/>
      <family val="2"/>
      <color rgb="FF000000"/>
      <sz val="8"/>
    </font>
    <font>
      <name val="Verdana"/>
      <family val="2"/>
      <color rgb="FF000000"/>
      <sz val="8"/>
      <vertAlign val="superscript"/>
    </font>
    <font>
      <name val="Verdana"/>
      <family val="2"/>
      <b val="1"/>
      <color rgb="FF000000"/>
      <sz val="8"/>
    </font>
    <font>
      <name val="Verdana"/>
      <family val="2"/>
      <i val="1"/>
      <color rgb="FF000000"/>
      <sz val="8"/>
    </font>
    <font>
      <name val="Times New Roman"/>
      <family val="1"/>
      <i val="1"/>
      <color rgb="FF000000"/>
      <sz val="9"/>
    </font>
    <font>
      <name val="Cambria"/>
      <family val="1"/>
      <color rgb="FF000000"/>
      <sz val="9"/>
    </font>
    <font>
      <name val="Cambria"/>
      <family val="1"/>
      <b val="1"/>
      <color rgb="FF000000"/>
      <sz val="9"/>
    </font>
    <font>
      <name val="Cambria"/>
      <family val="1"/>
      <b val="1"/>
      <color rgb="FF003366"/>
      <sz val="11"/>
      <u val="single"/>
    </font>
    <font>
      <name val="Cambria"/>
      <family val="1"/>
      <b val="1"/>
      <color rgb="FF003366"/>
      <sz val="11"/>
    </font>
    <font>
      <name val="Cambria"/>
      <family val="1"/>
      <b val="1"/>
      <color rgb="FF00ABEA"/>
      <sz val="11"/>
    </font>
    <font>
      <name val="Verdana"/>
      <family val="2"/>
      <b val="1"/>
      <i val="1"/>
      <color rgb="FF000000"/>
      <sz val="8"/>
    </font>
    <font>
      <name val="Times New Roman"/>
      <family val="1"/>
      <b val="1"/>
      <color rgb="FF000000"/>
      <sz val="11"/>
    </font>
    <font>
      <name val="Times New Roman"/>
      <family val="1"/>
      <b val="1"/>
      <color rgb="FF003366"/>
      <sz val="11"/>
      <u val="single"/>
    </font>
    <font>
      <name val="Times New Roman"/>
      <family val="1"/>
      <b val="1"/>
      <color rgb="FF003366"/>
      <sz val="11"/>
    </font>
    <font>
      <name val="Times New Roman"/>
      <family val="1"/>
      <b val="1"/>
      <color rgb="FF33CCCC"/>
      <sz val="11"/>
    </font>
    <font>
      <name val="Times New Roman"/>
      <family val="1"/>
      <b val="1"/>
      <color rgb="FF33CCCC"/>
      <sz val="9"/>
    </font>
    <font>
      <name val="Arial"/>
      <family val="0"/>
      <b val="1"/>
      <color rgb="FFFFFFFF"/>
      <sz val="12"/>
    </font>
    <font>
      <name val="Arial"/>
      <family val="2"/>
      <b val="1"/>
      <color rgb="FF000000"/>
      <sz val="12"/>
    </font>
    <font>
      <name val="Times New Roman"/>
      <family val="1"/>
      <b val="1"/>
      <color rgb="FF000000"/>
      <sz val="9"/>
      <vertAlign val="subscript"/>
    </font>
    <font>
      <name val="Arial"/>
      <family val="2"/>
      <b val="1"/>
      <color rgb="FFDD0806"/>
      <sz val="8"/>
    </font>
    <font>
      <name val="Times New Roman"/>
      <family val="1"/>
      <b val="1"/>
      <color rgb="FF33CCCC"/>
      <sz val="11"/>
      <vertAlign val="superscript"/>
    </font>
    <font>
      <name val="Verdana"/>
      <family val="2"/>
      <i val="1"/>
      <color rgb="FF000000"/>
      <sz val="9"/>
    </font>
    <font>
      <name val="Arial"/>
      <family val="2"/>
      <b val="1"/>
      <color rgb="FF003366"/>
      <sz val="9"/>
      <u val="single"/>
    </font>
    <font>
      <name val="Arial"/>
      <family val="2"/>
      <b val="1"/>
      <color rgb="FF003366"/>
      <sz val="9"/>
    </font>
    <font>
      <name val="Times New Roman"/>
      <family val="1"/>
      <b val="1"/>
      <color rgb="FF00ABEA"/>
      <sz val="9"/>
      <vertAlign val="subscript"/>
    </font>
    <font>
      <name val="Verdana"/>
      <family val="2"/>
      <color rgb="FF000000"/>
      <sz val="7"/>
    </font>
    <font>
      <name val="Verdana"/>
      <family val="2"/>
      <i val="1"/>
      <color rgb="FF000000"/>
      <sz val="7"/>
    </font>
    <font>
      <name val="Calibri"/>
      <family val="2"/>
      <color rgb="FF000000"/>
      <sz val="7"/>
    </font>
    <font>
      <name val="Cambria"/>
      <family val="1"/>
      <b val="1"/>
      <color rgb="FF000000"/>
      <sz val="11"/>
      <u val="single"/>
    </font>
    <font>
      <name val="Cambria"/>
      <family val="1"/>
      <b val="1"/>
      <color rgb="FF000000"/>
      <sz val="11"/>
    </font>
    <font>
      <name val="Arial"/>
      <family val="2"/>
      <b val="1"/>
      <color rgb="FF00ABEA"/>
      <sz val="11"/>
    </font>
    <font>
      <name val="Symbol"/>
      <family val="1"/>
      <color rgb="FF000000"/>
      <sz val="8"/>
    </font>
    <font>
      <name val="Times New Roman"/>
      <family val="1"/>
      <color rgb="FF000000"/>
      <sz val="8"/>
    </font>
    <font>
      <name val="Arial"/>
      <family val="2"/>
      <i val="1"/>
      <color rgb="FF000000"/>
      <sz val="8"/>
    </font>
    <font>
      <name val="Cambria"/>
      <family val="0"/>
      <b val="1"/>
      <color rgb="FF000000"/>
      <sz val="14"/>
    </font>
    <font>
      <name val="Times New Roman"/>
      <family val="1"/>
      <b val="1"/>
      <color rgb="FF000000"/>
      <sz val="12"/>
    </font>
    <font>
      <name val="Times New Roman"/>
      <family val="1"/>
      <i val="1"/>
      <color rgb="FF000000"/>
      <sz val="12"/>
    </font>
    <font>
      <name val="Arial"/>
      <family val="2"/>
      <color rgb="FFFFFFFF"/>
      <sz val="11"/>
    </font>
    <font>
      <name val="Arial"/>
      <family val="2"/>
      <color rgb="FFDD0806"/>
      <sz val="11"/>
    </font>
    <font>
      <name val="Arial"/>
      <family val="2"/>
      <color rgb="FF000000"/>
      <sz val="11"/>
      <vertAlign val="superscript"/>
    </font>
    <font>
      <name val="Arial"/>
      <family val="2"/>
      <b val="1"/>
      <color rgb="FFDD0806"/>
      <sz val="11"/>
    </font>
    <font>
      <name val="Arial"/>
      <family val="2"/>
      <color rgb="FF000000"/>
      <sz val="10"/>
      <vertAlign val="superscript"/>
    </font>
    <font>
      <name val="Times New Roman"/>
      <family val="1"/>
      <color rgb="FF000000"/>
      <sz val="10"/>
    </font>
    <font>
      <name val="Arial"/>
      <family val="2"/>
      <i val="1"/>
      <color rgb="FF000000"/>
      <sz val="10"/>
    </font>
    <font>
      <name val="Times New Roman"/>
      <family val="0"/>
      <b val="1"/>
      <color rgb="FF000000"/>
      <sz val="11"/>
    </font>
    <font>
      <name val="Cambria"/>
      <family val="0"/>
      <b val="1"/>
      <color rgb="FFFFFFFF"/>
      <sz val="12"/>
    </font>
    <font>
      <name val="Cambria"/>
      <family val="1"/>
      <b val="1"/>
      <color rgb="FF000000"/>
      <sz val="9"/>
      <u val="single"/>
    </font>
    <font>
      <name val="Verdana"/>
      <family val="2"/>
      <b val="1"/>
      <color rgb="FFFFFFFF"/>
      <sz val="9"/>
    </font>
    <font>
      <name val="Arial Narrow"/>
      <family val="2"/>
      <color rgb="FF000000"/>
      <sz val="10"/>
    </font>
    <font>
      <name val="Times New Roman"/>
      <family val="1"/>
      <b val="1"/>
      <color rgb="FF003366"/>
      <sz val="9"/>
    </font>
    <font>
      <name val="Times New Roman"/>
      <family val="1"/>
      <color rgb="FF33CCCC"/>
      <sz val="9"/>
    </font>
    <font>
      <name val="Times New Roman"/>
      <family val="1"/>
      <b val="1"/>
      <color rgb="FF000000"/>
      <sz val="10"/>
    </font>
    <font>
      <name val="Times New Roman"/>
      <family val="1"/>
      <color rgb="FF000000"/>
      <sz val="11"/>
    </font>
    <font>
      <name val="Arial"/>
      <family val="2"/>
      <color rgb="FF000000"/>
      <sz val="12"/>
    </font>
    <font>
      <name val="Arial"/>
      <family val="2"/>
      <b val="1"/>
      <i val="1"/>
      <color rgb="FF000000"/>
      <sz val="9"/>
    </font>
    <font>
      <name val="Times New Roman"/>
      <family val="1"/>
      <b val="1"/>
      <color rgb="FF003366"/>
      <sz val="12"/>
      <u val="single"/>
    </font>
    <font>
      <name val="Times New Roman"/>
      <family val="1"/>
      <b val="1"/>
      <color rgb="FF003366"/>
      <sz val="12"/>
    </font>
    <font>
      <name val="Times New Roman"/>
      <family val="1"/>
      <b val="1"/>
      <color rgb="FF33CCCC"/>
      <sz val="12"/>
    </font>
    <font>
      <name val="Calibri"/>
      <family val="2"/>
      <color rgb="FF003366"/>
      <sz val="9"/>
    </font>
    <font>
      <name val="Arial"/>
      <family val="2"/>
      <color rgb="FF33CCCC"/>
      <sz val="11"/>
    </font>
    <font>
      <name val="Cambria"/>
      <family val="1"/>
      <b val="1"/>
      <color rgb="FF000000"/>
      <sz val="10"/>
      <u val="single"/>
    </font>
    <font>
      <name val="Cambria"/>
      <family val="1"/>
      <b val="1"/>
      <color rgb="FF000000"/>
      <sz val="10"/>
    </font>
    <font>
      <name val="Cambria"/>
      <family val="1"/>
      <b val="1"/>
      <color rgb="FF00ABEA"/>
      <sz val="12"/>
    </font>
    <font>
      <name val="Arial Narrow"/>
      <family val="2"/>
      <b val="1"/>
      <sz val="9"/>
    </font>
    <font>
      <name val="Cambria"/>
      <family val="1"/>
      <color rgb="FF000000"/>
      <sz val="10"/>
    </font>
    <font>
      <name val="Symbol"/>
      <charset val="2"/>
      <family val="1"/>
      <color rgb="FF000000"/>
      <sz val="10"/>
    </font>
    <font>
      <name val="Times New Roman"/>
      <family val="1"/>
      <color rgb="FF000000"/>
      <sz val="7"/>
    </font>
    <font>
      <name val="Cambria"/>
      <family val="1"/>
      <color rgb="FF000000"/>
      <sz val="8"/>
    </font>
    <font>
      <name val="Times New Roman"/>
      <family val="1"/>
      <b val="1"/>
      <color rgb="FF000000"/>
      <sz val="8"/>
    </font>
    <font>
      <name val="Arial"/>
      <family val="2"/>
      <b val="1"/>
      <color rgb="FFFFFFFF"/>
      <sz val="10"/>
      <vertAlign val="superscript"/>
    </font>
    <font>
      <name val="Arial"/>
      <family val="2"/>
      <b val="1"/>
      <color rgb="FF000000"/>
      <sz val="10"/>
      <vertAlign val="superscript"/>
    </font>
    <font>
      <name val="Arial"/>
      <family val="2"/>
      <i val="1"/>
      <color rgb="FFFFFFFF"/>
      <sz val="9"/>
    </font>
    <font>
      <name val="Arial"/>
      <family val="2"/>
      <b val="1"/>
      <i val="1"/>
      <color rgb="FFFFFFFF"/>
      <sz val="9"/>
    </font>
    <font>
      <name val="Calibri"/>
      <family val="2"/>
      <color rgb="FF000000"/>
      <sz val="17"/>
      <vertAlign val="subscript"/>
    </font>
    <font>
      <name val="Cambria"/>
      <family val="1"/>
      <b val="1"/>
      <color rgb="FFFFFFFF"/>
      <sz val="12"/>
    </font>
    <font>
      <name val="Calibri"/>
      <family val="0"/>
      <color rgb="FF000000"/>
      <sz val="9"/>
    </font>
    <font>
      <name val="Cambria"/>
      <family val="1"/>
      <color rgb="FF000000"/>
      <sz val="5"/>
    </font>
    <font>
      <name val="Times New Roman"/>
      <family val="1"/>
      <b val="1"/>
      <color rgb="FF000000"/>
      <sz val="7"/>
    </font>
    <font>
      <name val="Cambria"/>
      <family val="1"/>
      <b val="1"/>
      <color rgb="FF000000"/>
      <sz val="12"/>
    </font>
    <font>
      <name val="Arial"/>
      <family val="2"/>
      <b val="1"/>
      <color rgb="FF000000"/>
      <sz val="7"/>
    </font>
    <font>
      <name val="Arial"/>
      <family val="2"/>
      <b val="1"/>
      <color rgb="FF000000"/>
      <sz val="6"/>
    </font>
    <font>
      <name val="Arial"/>
      <family val="2"/>
      <color rgb="FF000000"/>
      <sz val="6"/>
    </font>
    <font>
      <name val="Calibri"/>
      <b val="1"/>
      <color rgb="00FFFFFF"/>
      <sz val="10"/>
    </font>
    <font>
      <name val="Calibri"/>
      <sz val="10"/>
    </font>
    <font>
      <name val="Calibri"/>
      <b val="1"/>
      <color rgb="00FFFFFF"/>
      <sz val="14"/>
    </font>
    <font>
      <name val="Calibri"/>
      <b val="1"/>
      <color rgb="001F4E5F"/>
      <sz val="11"/>
    </font>
    <font>
      <name val="Calibri"/>
      <b val="1"/>
      <sz val="10"/>
    </font>
  </fonts>
  <fills count="20">
    <fill>
      <patternFill/>
    </fill>
    <fill>
      <patternFill patternType="gray125"/>
    </fill>
    <fill>
      <patternFill patternType="solid">
        <fgColor rgb="FFFCF305"/>
        <bgColor rgb="FFFFFF00"/>
      </patternFill>
    </fill>
    <fill>
      <patternFill patternType="solid">
        <fgColor rgb="FFC0C0C0"/>
        <bgColor rgb="FFA2BD90"/>
      </patternFill>
    </fill>
    <fill>
      <patternFill patternType="solid">
        <fgColor rgb="FFFFFFFF"/>
        <bgColor rgb="FFFFFFCC"/>
      </patternFill>
    </fill>
    <fill>
      <patternFill patternType="solid">
        <fgColor rgb="FF99CCFF"/>
        <bgColor rgb="FFC0C0C0"/>
      </patternFill>
    </fill>
    <fill>
      <patternFill patternType="solid">
        <fgColor rgb="FF00ABEA"/>
        <bgColor rgb="FF33CCCC"/>
      </patternFill>
    </fill>
    <fill>
      <patternFill patternType="solid">
        <fgColor rgb="FF90713A"/>
        <bgColor rgb="FF808080"/>
      </patternFill>
    </fill>
    <fill>
      <patternFill patternType="solid">
        <fgColor rgb="FFA2BD90"/>
        <bgColor rgb="FFC0C0C0"/>
      </patternFill>
    </fill>
    <fill>
      <patternFill patternType="solid">
        <fgColor rgb="FF666699"/>
        <bgColor rgb="FF808080"/>
      </patternFill>
    </fill>
    <fill>
      <patternFill patternType="solid">
        <fgColor rgb="FF003366"/>
        <bgColor rgb="FF333399"/>
      </patternFill>
    </fill>
    <fill>
      <patternFill patternType="solid">
        <fgColor rgb="FF4EE257"/>
        <bgColor rgb="FF33CCCC"/>
      </patternFill>
    </fill>
    <fill>
      <patternFill patternType="solid">
        <fgColor rgb="FF63AAFE"/>
        <bgColor rgb="FF99CCFF"/>
      </patternFill>
    </fill>
    <fill>
      <patternFill patternType="solid">
        <fgColor rgb="FF33CCCC"/>
        <bgColor rgb="FF00ABEA"/>
      </patternFill>
    </fill>
    <fill>
      <patternFill patternType="solid">
        <fgColor rgb="FF969696"/>
        <bgColor rgb="FF808080"/>
      </patternFill>
    </fill>
    <fill>
      <patternFill patternType="solid">
        <fgColor rgb="FF333399"/>
        <bgColor rgb="FF003366"/>
      </patternFill>
    </fill>
    <fill>
      <patternFill patternType="solid">
        <fgColor rgb="FF333333"/>
        <bgColor rgb="FF333300"/>
      </patternFill>
    </fill>
    <fill>
      <patternFill patternType="solid">
        <fgColor rgb="002E75B6"/>
      </patternFill>
    </fill>
    <fill>
      <patternFill patternType="solid">
        <fgColor rgb="00F2F2F2"/>
      </patternFill>
    </fill>
    <fill>
      <patternFill patternType="solid">
        <fgColor rgb="001F4E5F"/>
      </patternFill>
    </fill>
  </fills>
  <borders count="143">
    <border>
      <left/>
      <right/>
      <top/>
      <bottom/>
      <diagonal/>
    </border>
    <border>
      <left style="medium"/>
      <right/>
      <top style="medium"/>
      <bottom/>
      <diagonal/>
    </border>
    <border>
      <left/>
      <right/>
      <top style="medium"/>
      <bottom/>
      <diagonal/>
    </border>
    <border>
      <left/>
      <right style="medium"/>
      <top style="medium"/>
      <bottom/>
      <diagonal/>
    </border>
    <border>
      <left style="medium"/>
      <right/>
      <top/>
      <bottom/>
      <diagonal/>
    </border>
    <border>
      <left/>
      <right style="medium"/>
      <top/>
      <bottom/>
      <diagonal/>
    </border>
    <border>
      <left style="medium"/>
      <right style="thin"/>
      <top style="thin"/>
      <bottom style="thin"/>
      <diagonal/>
    </border>
    <border>
      <left/>
      <right/>
      <top/>
      <bottom style="dashDotDot"/>
      <diagonal/>
    </border>
    <border>
      <left/>
      <right style="thin"/>
      <top/>
      <bottom/>
      <diagonal/>
    </border>
    <border>
      <left style="thin"/>
      <right style="thin"/>
      <top/>
      <bottom style="thin"/>
      <diagonal/>
    </border>
    <border>
      <left style="thin"/>
      <right/>
      <top/>
      <bottom style="thin"/>
      <diagonal/>
    </border>
    <border>
      <left/>
      <right style="medium"/>
      <top/>
      <bottom style="thin"/>
      <diagonal/>
    </border>
    <border>
      <left style="medium"/>
      <right/>
      <top style="thin"/>
      <bottom/>
      <diagonal/>
    </border>
    <border>
      <left style="medium"/>
      <right style="thin"/>
      <top/>
      <bottom style="thin"/>
      <diagonal/>
    </border>
    <border>
      <left/>
      <right style="thin"/>
      <top/>
      <bottom style="thin"/>
      <diagonal/>
    </border>
    <border>
      <left style="thin"/>
      <right style="medium"/>
      <top/>
      <bottom style="thin"/>
      <diagonal/>
    </border>
    <border>
      <left/>
      <right/>
      <top style="thin"/>
      <bottom/>
      <diagonal/>
    </border>
    <border>
      <left/>
      <right style="medium"/>
      <top style="thin"/>
      <bottom/>
      <diagonal/>
    </border>
    <border>
      <left/>
      <right/>
      <top/>
      <bottom style="thin"/>
      <diagonal/>
    </border>
    <border>
      <left style="thin"/>
      <right/>
      <top/>
      <bottom/>
      <diagonal/>
    </border>
    <border>
      <left style="thin"/>
      <right style="thin"/>
      <top style="thin"/>
      <bottom style="thin"/>
      <diagonal/>
    </border>
    <border>
      <left style="thin"/>
      <right/>
      <top style="thin"/>
      <bottom style="thin"/>
      <diagonal/>
    </border>
    <border>
      <left/>
      <right style="thin"/>
      <top style="thin"/>
      <bottom style="thin"/>
      <diagonal/>
    </border>
    <border>
      <left style="thin"/>
      <right style="thin"/>
      <top style="thin"/>
      <bottom/>
      <diagonal/>
    </border>
    <border>
      <left style="thin"/>
      <right style="thin"/>
      <top/>
      <bottom/>
      <diagonal/>
    </border>
    <border>
      <left style="medium"/>
      <right/>
      <top/>
      <bottom style="medium"/>
      <diagonal/>
    </border>
    <border>
      <left/>
      <right/>
      <top/>
      <bottom style="medium"/>
      <diagonal/>
    </border>
    <border>
      <left/>
      <right style="medium"/>
      <top/>
      <bottom style="medium"/>
      <diagonal/>
    </border>
    <border>
      <left style="thin"/>
      <right/>
      <top style="thin"/>
      <bottom/>
      <diagonal/>
    </border>
    <border>
      <left/>
      <right style="thin"/>
      <top style="thin"/>
      <bottom/>
      <diagonal/>
    </border>
    <border>
      <left style="medium"/>
      <right style="medium"/>
      <top style="medium"/>
      <bottom style="medium"/>
      <diagonal/>
    </border>
    <border>
      <left style="medium"/>
      <right style="medium"/>
      <top style="medium"/>
      <bottom style="thin"/>
      <diagonal/>
    </border>
    <border>
      <left style="medium"/>
      <right style="medium"/>
      <top style="medium"/>
      <bottom/>
      <diagonal/>
    </border>
    <border>
      <left style="medium"/>
      <right style="medium"/>
      <top/>
      <bottom style="thin"/>
      <diagonal/>
    </border>
    <border>
      <left style="medium"/>
      <right style="medium"/>
      <top style="thin"/>
      <bottom style="thin"/>
      <diagonal/>
    </border>
    <border>
      <left/>
      <right style="medium"/>
      <top style="thin"/>
      <bottom style="thin"/>
      <diagonal/>
    </border>
    <border>
      <left style="medium"/>
      <right style="medium"/>
      <top style="thin"/>
      <bottom/>
      <diagonal/>
    </border>
    <border>
      <left style="medium"/>
      <right style="medium"/>
      <top style="thin"/>
      <bottom style="medium"/>
      <diagonal/>
    </border>
    <border>
      <left/>
      <right style="medium"/>
      <top style="thin"/>
      <bottom style="medium"/>
      <diagonal/>
    </border>
    <border>
      <left style="medium"/>
      <right/>
      <top style="thin"/>
      <bottom style="thin"/>
      <diagonal/>
    </border>
    <border>
      <left/>
      <right/>
      <top style="thin"/>
      <bottom style="thin"/>
      <diagonal/>
    </border>
    <border>
      <left style="medium"/>
      <right/>
      <top style="medium"/>
      <bottom style="medium"/>
      <diagonal/>
    </border>
    <border>
      <left/>
      <right style="thin"/>
      <top style="medium"/>
      <bottom style="medium"/>
      <diagonal/>
    </border>
    <border>
      <left style="thin"/>
      <right style="thin"/>
      <top style="medium"/>
      <bottom style="medium"/>
      <diagonal/>
    </border>
    <border>
      <left style="thin"/>
      <right style="medium"/>
      <top style="medium"/>
      <bottom style="medium"/>
      <diagonal/>
    </border>
    <border>
      <left style="medium"/>
      <right/>
      <top/>
      <bottom style="thin"/>
      <diagonal/>
    </border>
    <border>
      <left style="thin"/>
      <right style="medium"/>
      <top style="thin"/>
      <bottom style="thin"/>
      <diagonal/>
    </border>
    <border>
      <left style="thin"/>
      <right style="medium"/>
      <top style="thin"/>
      <bottom/>
      <diagonal/>
    </border>
    <border>
      <left/>
      <right/>
      <top style="medium"/>
      <bottom style="medium"/>
      <diagonal/>
    </border>
    <border>
      <left style="medium"/>
      <right style="medium"/>
      <top/>
      <bottom/>
      <diagonal/>
    </border>
    <border>
      <left style="medium"/>
      <right style="medium"/>
      <top/>
      <bottom style="medium"/>
      <diagonal/>
    </border>
    <border>
      <left style="double"/>
      <right style="double"/>
      <top style="medium"/>
      <bottom style="medium"/>
      <diagonal/>
    </border>
    <border>
      <left style="double"/>
      <right style="double"/>
      <top style="medium"/>
      <bottom/>
      <diagonal/>
    </border>
    <border>
      <left style="double"/>
      <right style="medium"/>
      <top style="medium"/>
      <bottom/>
      <diagonal/>
    </border>
    <border>
      <left style="double"/>
      <right style="double"/>
      <top/>
      <bottom/>
      <diagonal/>
    </border>
    <border>
      <left style="double"/>
      <right/>
      <top style="thin"/>
      <bottom/>
      <diagonal/>
    </border>
    <border>
      <left/>
      <right style="double"/>
      <top style="thin"/>
      <bottom/>
      <diagonal/>
    </border>
    <border>
      <left style="thin"/>
      <right style="double"/>
      <top style="thin"/>
      <bottom/>
      <diagonal/>
    </border>
    <border>
      <left style="double"/>
      <right style="medium"/>
      <top style="thin"/>
      <bottom/>
      <diagonal/>
    </border>
    <border>
      <left style="double"/>
      <right/>
      <top/>
      <bottom/>
      <diagonal/>
    </border>
    <border>
      <left/>
      <right style="double"/>
      <top/>
      <bottom/>
      <diagonal/>
    </border>
    <border>
      <left style="thin"/>
      <right style="double"/>
      <top/>
      <bottom/>
      <diagonal/>
    </border>
    <border>
      <left style="double"/>
      <right style="medium"/>
      <top/>
      <bottom/>
      <diagonal/>
    </border>
    <border>
      <left style="double"/>
      <right style="double"/>
      <top/>
      <bottom style="medium"/>
      <diagonal/>
    </border>
    <border>
      <left style="double"/>
      <right/>
      <top/>
      <bottom style="medium"/>
      <diagonal/>
    </border>
    <border>
      <left style="thin"/>
      <right style="thin"/>
      <top/>
      <bottom style="medium"/>
      <diagonal/>
    </border>
    <border>
      <left/>
      <right style="double"/>
      <top/>
      <bottom style="medium"/>
      <diagonal/>
    </border>
    <border>
      <left style="thin"/>
      <right style="double"/>
      <top/>
      <bottom style="medium"/>
      <diagonal/>
    </border>
    <border>
      <left style="double"/>
      <right style="medium"/>
      <top/>
      <bottom style="medium"/>
      <diagonal/>
    </border>
    <border>
      <left style="double"/>
      <right style="double"/>
      <top/>
      <bottom style="thin"/>
      <diagonal/>
    </border>
    <border>
      <left style="double"/>
      <right style="thin"/>
      <top/>
      <bottom style="thin"/>
      <diagonal/>
    </border>
    <border>
      <left style="thin"/>
      <right style="double"/>
      <top/>
      <bottom style="thin"/>
      <diagonal/>
    </border>
    <border>
      <left style="double"/>
      <right style="medium"/>
      <top/>
      <bottom style="thin"/>
      <diagonal/>
    </border>
    <border>
      <left style="double"/>
      <right style="double"/>
      <top style="thin"/>
      <bottom style="thin"/>
      <diagonal/>
    </border>
    <border>
      <left style="double"/>
      <right style="thin"/>
      <top style="thin"/>
      <bottom style="thin"/>
      <diagonal/>
    </border>
    <border>
      <left style="thin"/>
      <right style="double"/>
      <top style="thin"/>
      <bottom style="thin"/>
      <diagonal/>
    </border>
    <border>
      <left style="double"/>
      <right style="medium"/>
      <top style="thin"/>
      <bottom style="thin"/>
      <diagonal/>
    </border>
    <border>
      <left style="double"/>
      <right style="double"/>
      <top style="thin"/>
      <bottom/>
      <diagonal/>
    </border>
    <border>
      <left style="double"/>
      <right style="thin"/>
      <top style="thin"/>
      <bottom/>
      <diagonal/>
    </border>
    <border>
      <left style="double"/>
      <right style="thin"/>
      <top style="medium"/>
      <bottom style="medium"/>
      <diagonal/>
    </border>
    <border>
      <left style="thin"/>
      <right style="double"/>
      <top style="medium"/>
      <bottom style="medium"/>
      <diagonal/>
    </border>
    <border>
      <left style="double"/>
      <right style="medium"/>
      <top style="medium"/>
      <bottom style="medium"/>
      <diagonal/>
    </border>
    <border>
      <left style="medium"/>
      <right/>
      <top style="thin"/>
      <bottom style="medium"/>
      <diagonal/>
    </border>
    <border>
      <left style="double"/>
      <right style="double"/>
      <top style="thin"/>
      <bottom style="medium"/>
      <diagonal/>
    </border>
    <border>
      <left style="double"/>
      <right style="thin"/>
      <top style="thin"/>
      <bottom style="medium"/>
      <diagonal/>
    </border>
    <border>
      <left style="thin"/>
      <right style="thin"/>
      <top style="thin"/>
      <bottom style="medium"/>
      <diagonal/>
    </border>
    <border>
      <left style="thin"/>
      <right style="double"/>
      <top style="thin"/>
      <bottom style="medium"/>
      <diagonal/>
    </border>
    <border>
      <left style="double"/>
      <right style="medium"/>
      <top style="thin"/>
      <bottom style="medium"/>
      <diagonal/>
    </border>
    <border>
      <left style="medium"/>
      <right style="thin"/>
      <top style="medium"/>
      <bottom style="medium"/>
      <diagonal/>
    </border>
    <border>
      <left style="thin"/>
      <right style="thin"/>
      <top style="medium"/>
      <bottom/>
      <diagonal/>
    </border>
    <border>
      <left style="medium"/>
      <right style="thin"/>
      <top style="thin"/>
      <bottom/>
      <diagonal/>
    </border>
    <border>
      <left/>
      <right style="medium"/>
      <top style="medium"/>
      <bottom style="medium"/>
      <diagonal/>
    </border>
    <border>
      <left/>
      <right/>
      <top style="thin"/>
      <bottom style="medium"/>
      <diagonal/>
    </border>
    <border>
      <left/>
      <right/>
      <top style="medium"/>
      <bottom style="thin"/>
      <diagonal/>
    </border>
    <border>
      <left/>
      <right style="medium"/>
      <top style="medium"/>
      <bottom style="thin"/>
      <diagonal/>
    </border>
    <border>
      <left style="medium"/>
      <right/>
      <top style="medium"/>
      <bottom style="thin"/>
      <diagonal/>
    </border>
    <border>
      <left style="thin"/>
      <right/>
      <top style="medium"/>
      <bottom style="medium"/>
      <diagonal/>
    </border>
    <border>
      <left style="thin"/>
      <right style="medium"/>
      <top style="medium"/>
      <bottom/>
      <diagonal/>
    </border>
    <border>
      <left style="thin"/>
      <right style="medium"/>
      <top/>
      <bottom style="medium"/>
      <diagonal/>
    </border>
    <border>
      <left style="medium"/>
      <right style="thin"/>
      <top style="thin"/>
      <bottom style="medium"/>
      <diagonal/>
    </border>
    <border>
      <left style="thin"/>
      <right style="medium"/>
      <top style="thin"/>
      <bottom style="medium"/>
      <diagonal/>
    </border>
    <border>
      <left style="medium"/>
      <right style="thin"/>
      <top/>
      <bottom/>
      <diagonal/>
    </border>
    <border>
      <left style="thin"/>
      <right style="medium"/>
      <top/>
      <bottom/>
      <diagonal/>
    </border>
    <border>
      <left style="medium"/>
      <right style="thin"/>
      <top style="medium"/>
      <bottom/>
      <diagonal/>
    </border>
    <border>
      <left style="medium"/>
      <right style="thin"/>
      <top/>
      <bottom style="medium"/>
      <diagonal/>
    </border>
    <border diagonalUp="1">
      <left style="thin"/>
      <right style="thin"/>
      <top style="thin"/>
      <bottom style="thin"/>
      <diagonal style="thin"/>
    </border>
    <border diagonalUp="1">
      <left style="thin"/>
      <right style="medium"/>
      <top style="thin"/>
      <bottom style="thin"/>
      <diagonal style="thin"/>
    </border>
    <border diagonalUp="1">
      <left style="thin"/>
      <right style="thin"/>
      <top style="thin"/>
      <bottom/>
      <diagonal style="thin"/>
    </border>
    <border diagonalUp="1">
      <left style="thin"/>
      <right style="medium"/>
      <top style="thin"/>
      <bottom/>
      <diagonal style="thin"/>
    </border>
    <border diagonalUp="1">
      <left style="thin"/>
      <right style="thin"/>
      <top style="medium"/>
      <bottom style="medium"/>
      <diagonal style="thin"/>
    </border>
    <border diagonalUp="1">
      <left style="thin"/>
      <right style="medium"/>
      <top style="medium"/>
      <bottom style="medium"/>
      <diagonal style="thin"/>
    </border>
    <border>
      <left style="medium"/>
      <right style="thin"/>
      <top style="medium"/>
      <bottom style="thin"/>
      <diagonal/>
    </border>
    <border>
      <left style="thin"/>
      <right style="thin"/>
      <top style="medium"/>
      <bottom style="thin"/>
      <diagonal/>
    </border>
    <border>
      <left style="thin"/>
      <right style="medium"/>
      <top style="medium"/>
      <bottom style="thin"/>
      <diagonal/>
    </border>
    <border>
      <left/>
      <right style="medium"/>
      <top/>
      <bottom style="medium">
        <color rgb="FFC0C0C0"/>
      </bottom>
      <diagonal/>
    </border>
    <border diagonalDown="1">
      <left style="medium"/>
      <right style="thin"/>
      <top/>
      <bottom/>
      <diagonal style="medium"/>
    </border>
    <border diagonalDown="1">
      <left style="medium"/>
      <right style="medium"/>
      <top style="medium"/>
      <bottom style="medium"/>
      <diagonal style="thin"/>
    </border>
    <border diagonalDown="1">
      <left style="medium"/>
      <right style="thin"/>
      <top style="medium"/>
      <bottom style="medium"/>
      <diagonal style="thin"/>
    </border>
    <border>
      <left style="thin"/>
      <right/>
      <top style="thin"/>
      <bottom style="medium"/>
      <diagonal/>
    </border>
    <border>
      <left/>
      <right style="thin"/>
      <top style="thin"/>
      <bottom style="medium"/>
      <diagonal/>
    </border>
    <border>
      <left style="thin"/>
      <right/>
      <top style="medium"/>
      <bottom style="thin"/>
      <diagonal/>
    </border>
    <border>
      <left/>
      <right style="thin"/>
      <top style="medium"/>
      <bottom style="thin"/>
      <diagonal/>
    </border>
    <border>
      <left style="medium"/>
      <right style="medium"/>
      <top/>
      <bottom style="medium">
        <color rgb="FF333399"/>
      </bottom>
      <diagonal/>
    </border>
    <border>
      <left style="medium"/>
      <right style="medium"/>
      <top style="medium">
        <color rgb="FF333399"/>
      </top>
      <bottom/>
      <diagonal/>
    </border>
    <border>
      <left style="medium"/>
      <right style="medium"/>
      <top style="medium">
        <color rgb="FF333399"/>
      </top>
      <bottom style="medium"/>
      <diagonal/>
    </border>
    <border>
      <left style="medium"/>
      <right/>
      <top style="medium"/>
      <bottom style="dashed"/>
      <diagonal/>
    </border>
    <border>
      <left/>
      <right/>
      <top style="medium"/>
      <bottom style="dashed"/>
      <diagonal/>
    </border>
    <border>
      <left/>
      <right style="medium"/>
      <top style="medium"/>
      <bottom style="dashed"/>
      <diagonal/>
    </border>
    <border>
      <left style="medium"/>
      <right/>
      <top style="dashed"/>
      <bottom style="dashed"/>
      <diagonal/>
    </border>
    <border>
      <left/>
      <right/>
      <top style="dashed"/>
      <bottom style="dashed"/>
      <diagonal/>
    </border>
    <border>
      <left/>
      <right style="medium"/>
      <top style="dashed"/>
      <bottom style="dashed"/>
      <diagonal/>
    </border>
    <border>
      <left style="medium"/>
      <right/>
      <top style="dashed"/>
      <bottom style="medium"/>
      <diagonal/>
    </border>
    <border>
      <left/>
      <right/>
      <top style="dashed"/>
      <bottom style="medium"/>
      <diagonal/>
    </border>
    <border>
      <left/>
      <right style="medium"/>
      <top style="dashed"/>
      <bottom style="medium"/>
      <diagonal/>
    </border>
    <border>
      <left/>
      <right style="double"/>
      <top style="medium"/>
      <bottom/>
      <diagonal/>
    </border>
    <border>
      <left style="thin"/>
      <right/>
      <top/>
      <bottom style="medium"/>
      <diagonal/>
    </border>
    <border>
      <left/>
      <right style="thin"/>
      <top style="medium"/>
      <bottom/>
      <diagonal/>
    </border>
    <border>
      <left/>
      <right style="thin"/>
      <top/>
      <bottom style="medium"/>
      <diagonal/>
    </border>
    <border>
      <left/>
      <right style="medium"/>
      <top/>
      <bottom style="medium">
        <color rgb="FF333399"/>
      </bottom>
      <diagonal/>
    </border>
    <border>
      <left/>
      <right/>
      <top style="medium">
        <color rgb="FF333399"/>
      </top>
      <bottom/>
      <diagonal/>
    </border>
    <border>
      <left/>
      <right style="medium"/>
      <top style="medium">
        <color rgb="FF333399"/>
      </top>
      <bottom/>
      <diagonal/>
    </border>
    <border>
      <left/>
      <right style="medium"/>
      <top style="medium">
        <color rgb="FF333399"/>
      </top>
      <bottom style="medium"/>
      <diagonal/>
    </border>
    <border>
      <left style="thin">
        <color rgb="00BFBFBF"/>
      </left>
      <right style="thin">
        <color rgb="00BFBFBF"/>
      </right>
      <top style="thin">
        <color rgb="00BFBFBF"/>
      </top>
      <bottom style="thin">
        <color rgb="00BFBFBF"/>
      </bottom>
    </border>
  </borders>
  <cellStyleXfs count="11">
    <xf numFmtId="0" fontId="0" fillId="0" borderId="0" applyAlignment="1">
      <alignment horizontal="general" vertical="bottom"/>
    </xf>
    <xf numFmtId="167" fontId="0" fillId="0" borderId="0"/>
    <xf numFmtId="41" fontId="3" fillId="0" borderId="0"/>
    <xf numFmtId="44" fontId="3" fillId="0" borderId="0"/>
    <xf numFmtId="42" fontId="3" fillId="0" borderId="0"/>
    <xf numFmtId="9" fontId="0" fillId="0" borderId="0"/>
    <xf numFmtId="0" fontId="14" fillId="0" borderId="0"/>
    <xf numFmtId="0" fontId="4"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cellStyleXfs>
  <cellXfs count="2870">
    <xf numFmtId="0" fontId="0"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3" fontId="8" fillId="0" borderId="4" applyAlignment="1" applyProtection="1" pivotButton="0" quotePrefix="0" xfId="24">
      <alignment horizontal="left" vertical="bottom"/>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0" fontId="7"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7" fillId="0" borderId="16" applyAlignment="1" applyProtection="1" pivotButton="0" quotePrefix="0" xfId="24">
      <alignment horizontal="center" vertical="bottom"/>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0" fontId="4" fillId="0" borderId="0" applyAlignment="1" applyProtection="1" pivotButton="0" quotePrefix="0" xfId="24">
      <alignment horizontal="general"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49" fontId="24" fillId="0" borderId="20" applyAlignment="1" pivotButton="0" quotePrefix="0" xfId="0">
      <alignment horizontal="left" vertical="center"/>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bottom"/>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30"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0" applyAlignment="1" pivotButton="0" quotePrefix="0" xfId="0">
      <alignment horizontal="general" vertical="bottom"/>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36" fillId="9" borderId="32" applyAlignment="1" pivotButton="0" quotePrefix="0" xfId="0">
      <alignment horizontal="center" vertical="center" wrapText="1"/>
    </xf>
    <xf numFmtId="0" fontId="36" fillId="9" borderId="33" applyAlignment="1" pivotButton="0" quotePrefix="0" xfId="0">
      <alignment horizontal="center" vertical="center" wrapText="1"/>
    </xf>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51" fillId="7" borderId="37" applyAlignment="1" pivotButton="0" quotePrefix="0" xfId="0">
      <alignment horizontal="left" vertical="center" wrapText="1"/>
    </xf>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30" fillId="9" borderId="4" applyAlignment="1" pivotButton="0" quotePrefix="0" xfId="0">
      <alignment horizontal="general" vertical="top" wrapText="1"/>
    </xf>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68" fillId="0" borderId="0" applyAlignment="1" pivotButton="0" quotePrefix="0" xfId="0">
      <alignment horizontal="center"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38" fillId="9" borderId="65" applyAlignment="1" pivotButton="0" quotePrefix="0" xfId="0">
      <alignment horizontal="center" vertical="center" wrapText="1"/>
    </xf>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64" fillId="0" borderId="0" applyAlignment="1" pivotButton="0" quotePrefix="0" xfId="0">
      <alignment horizontal="center"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90" fillId="0" borderId="0"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left"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49" fillId="0" borderId="0" applyAlignment="1" pivotButton="0" quotePrefix="0" xfId="0">
      <alignment horizontal="center" vertical="center"/>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87" fillId="0" borderId="0" applyAlignment="1" pivotButton="0" quotePrefix="0" xfId="0">
      <alignment horizontal="center" vertical="center"/>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27" fillId="0" borderId="0" applyAlignment="1" pivotButton="0" quotePrefix="0" xfId="0">
      <alignment horizontal="left" vertical="center"/>
    </xf>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91" fillId="0" borderId="0" applyAlignment="1" pivotButton="0" quotePrefix="0" xfId="0">
      <alignment horizontal="center" vertical="center"/>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3" fillId="0" borderId="0" applyAlignment="1" pivotButton="0" quotePrefix="0" xfId="0">
      <alignment horizontal="center" vertical="center"/>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44" fillId="13" borderId="115" applyAlignment="1" pivotButton="0" quotePrefix="0" xfId="0">
      <alignment horizontal="general" vertical="center" wrapText="1"/>
    </xf>
    <xf numFmtId="0" fontId="39" fillId="0" borderId="0" applyAlignment="1" pivotButton="0" quotePrefix="0" xfId="0">
      <alignment horizontal="general" vertical="center" wrapText="1"/>
    </xf>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04" fillId="0" borderId="0" applyAlignment="1" pivotButton="0" quotePrefix="0" xfId="0">
      <alignment horizontal="center" vertical="center"/>
    </xf>
    <xf numFmtId="0" fontId="138" fillId="0" borderId="26" applyAlignment="1" pivotButton="0" quotePrefix="0" xfId="0">
      <alignment horizontal="center" vertical="center" wrapText="1"/>
    </xf>
    <xf numFmtId="0" fontId="138" fillId="0" borderId="0" applyAlignment="1" pivotButton="0" quotePrefix="0" xfId="0">
      <alignment horizontal="center" vertical="center"/>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44" fillId="15" borderId="123" applyAlignment="1" pivotButton="0" quotePrefix="0" xfId="0">
      <alignment horizontal="left" vertical="center" wrapText="1"/>
    </xf>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5" fillId="0" borderId="0" applyAlignment="1" applyProtection="1" pivotButton="0" quotePrefix="0" xfId="24">
      <alignment horizontal="general" vertical="bottom"/>
      <protection locked="1" hidden="1"/>
    </xf>
    <xf numFmtId="0" fontId="0" fillId="0" borderId="0" pivotButton="0" quotePrefix="0" xfId="0"/>
    <xf numFmtId="0" fontId="6" fillId="0" borderId="0" applyAlignment="1" applyProtection="1" pivotButton="0" quotePrefix="0" xfId="24">
      <alignment horizontal="general" vertical="bottom"/>
      <protection locked="1" hidden="1"/>
    </xf>
    <xf numFmtId="0" fontId="7" fillId="0" borderId="1" applyAlignment="1" applyProtection="1" pivotButton="0" quotePrefix="0" xfId="24">
      <alignment horizontal="left" vertical="bottom"/>
      <protection locked="1" hidden="1"/>
    </xf>
    <xf numFmtId="0" fontId="7" fillId="0" borderId="2" applyAlignment="1" applyProtection="1" pivotButton="0" quotePrefix="0" xfId="24">
      <alignment horizontal="left" vertical="bottom"/>
      <protection locked="1" hidden="1"/>
    </xf>
    <xf numFmtId="0" fontId="6" fillId="0" borderId="2" applyAlignment="1" applyProtection="1" pivotButton="0" quotePrefix="0" xfId="24">
      <alignment horizontal="general" vertical="bottom"/>
      <protection locked="1" hidden="1"/>
    </xf>
    <xf numFmtId="49" fontId="6" fillId="0" borderId="3" applyAlignment="1" applyProtection="1" pivotButton="0" quotePrefix="0" xfId="24">
      <alignment horizontal="general" vertical="bottom"/>
      <protection locked="1" hidden="1"/>
    </xf>
    <xf numFmtId="0" fontId="0" fillId="0" borderId="2" applyProtection="1" pivotButton="0" quotePrefix="0" xfId="0">
      <protection locked="1" hidden="1"/>
    </xf>
    <xf numFmtId="0" fontId="0" fillId="0" borderId="3" applyProtection="1" pivotButton="0" quotePrefix="0" xfId="0">
      <protection locked="1" hidden="1"/>
    </xf>
    <xf numFmtId="3" fontId="8" fillId="0" borderId="4" applyAlignment="1" applyProtection="1" pivotButton="0" quotePrefix="0" xfId="24">
      <alignment horizontal="left" vertical="bottom"/>
      <protection locked="1" hidden="1"/>
    </xf>
    <xf numFmtId="0" fontId="0" fillId="0" borderId="0" applyProtection="1" pivotButton="0" quotePrefix="0" xfId="0">
      <protection locked="1" hidden="1"/>
    </xf>
    <xf numFmtId="0" fontId="7" fillId="0" borderId="0" applyAlignment="1" applyProtection="1" pivotButton="0" quotePrefix="0" xfId="24">
      <alignment horizontal="center" vertical="bottom"/>
      <protection locked="1" hidden="1"/>
    </xf>
    <xf numFmtId="3" fontId="8" fillId="0" borderId="0" applyAlignment="1" applyProtection="1" pivotButton="0" quotePrefix="0" xfId="0">
      <alignment horizontal="general" vertical="bottom"/>
      <protection locked="1" hidden="1"/>
    </xf>
    <xf numFmtId="49" fontId="8" fillId="0" borderId="5" applyAlignment="1" applyProtection="1" pivotButton="0" quotePrefix="0" xfId="0">
      <alignment horizontal="left" vertical="bottom"/>
      <protection locked="1" hidden="1"/>
    </xf>
    <xf numFmtId="0" fontId="0" fillId="0" borderId="5" applyProtection="1" pivotButton="0" quotePrefix="0" xfId="0">
      <protection locked="1" hidden="1"/>
    </xf>
    <xf numFmtId="0" fontId="7" fillId="0" borderId="4" applyAlignment="1" applyProtection="1" pivotButton="0" quotePrefix="0" xfId="24">
      <alignment horizontal="left" vertical="bottom"/>
      <protection locked="1" hidden="1"/>
    </xf>
    <xf numFmtId="49" fontId="7" fillId="2" borderId="0" applyAlignment="1" applyProtection="1" pivotButton="0" quotePrefix="0" xfId="24">
      <alignment horizontal="left" vertical="bottom"/>
      <protection locked="1" hidden="1"/>
    </xf>
    <xf numFmtId="0" fontId="8" fillId="0" borderId="0" applyAlignment="1" applyProtection="1" pivotButton="0" quotePrefix="0" xfId="0">
      <alignment horizontal="left" vertical="bottom"/>
      <protection locked="1" hidden="1"/>
    </xf>
    <xf numFmtId="0" fontId="8" fillId="0" borderId="5" applyAlignment="1" applyProtection="1" pivotButton="0" quotePrefix="0" xfId="0">
      <alignment horizontal="left" vertical="bottom"/>
      <protection locked="1" hidden="1"/>
    </xf>
    <xf numFmtId="0" fontId="7" fillId="0" borderId="0" applyAlignment="1" applyProtection="1" pivotButton="0" quotePrefix="0" xfId="24">
      <alignment horizontal="left" vertical="bottom"/>
      <protection locked="1" hidden="1"/>
    </xf>
    <xf numFmtId="49" fontId="5" fillId="2" borderId="0" applyAlignment="1" applyProtection="1" pivotButton="0" quotePrefix="0" xfId="24">
      <alignment horizontal="center" vertical="bottom"/>
      <protection locked="1" hidden="1"/>
    </xf>
    <xf numFmtId="1" fontId="8" fillId="0" borderId="0" applyAlignment="1" applyProtection="1" pivotButton="0" quotePrefix="0" xfId="0">
      <alignment horizontal="left" vertical="bottom"/>
      <protection locked="1" hidden="1"/>
    </xf>
    <xf numFmtId="49" fontId="8" fillId="2" borderId="0" applyAlignment="1" applyProtection="1" pivotButton="0" quotePrefix="0" xfId="24">
      <alignment horizontal="left" vertical="bottom"/>
      <protection locked="1" hidden="1"/>
    </xf>
    <xf numFmtId="0" fontId="8" fillId="0" borderId="0" applyAlignment="1" applyProtection="1" pivotButton="0" quotePrefix="0" xfId="24">
      <alignment horizontal="center" vertical="bottom"/>
      <protection locked="1" hidden="1"/>
    </xf>
    <xf numFmtId="49" fontId="4" fillId="2" borderId="0" applyAlignment="1" applyProtection="1" pivotButton="0" quotePrefix="0" xfId="24">
      <alignment horizontal="center" vertical="bottom"/>
      <protection locked="1" hidden="1"/>
    </xf>
    <xf numFmtId="0" fontId="8" fillId="0" borderId="5" applyAlignment="1" applyProtection="1" pivotButton="0" quotePrefix="0" xfId="24">
      <alignment horizontal="center" vertical="bottom"/>
      <protection locked="1" hidden="1"/>
    </xf>
    <xf numFmtId="0" fontId="6" fillId="0" borderId="0" applyAlignment="1" applyProtection="1" pivotButton="0" quotePrefix="0" xfId="24">
      <alignment horizontal="left" vertical="bottom"/>
      <protection locked="1" hidden="1"/>
    </xf>
    <xf numFmtId="49" fontId="8" fillId="0" borderId="0" applyAlignment="1" applyProtection="1" pivotButton="0" quotePrefix="0" xfId="24">
      <alignment horizontal="center" vertical="bottom"/>
      <protection locked="1" hidden="1"/>
    </xf>
    <xf numFmtId="164" fontId="8" fillId="0" borderId="0" applyAlignment="1" applyProtection="1" pivotButton="0" quotePrefix="0" xfId="24">
      <alignment horizontal="center" vertical="bottom"/>
      <protection locked="1" hidden="1"/>
    </xf>
    <xf numFmtId="0" fontId="9" fillId="3" borderId="6" applyAlignment="1" applyProtection="1" pivotButton="0" quotePrefix="0" xfId="24">
      <alignment horizontal="center" vertical="center"/>
      <protection locked="1" hidden="1"/>
    </xf>
    <xf numFmtId="0" fontId="7" fillId="0" borderId="0" applyAlignment="1" applyProtection="1" pivotButton="0" quotePrefix="0" xfId="24">
      <alignment horizontal="general" vertical="bottom"/>
      <protection locked="1" hidden="1"/>
    </xf>
    <xf numFmtId="0" fontId="4" fillId="0" borderId="0" applyAlignment="1" applyProtection="1" pivotButton="0" quotePrefix="0" xfId="24">
      <alignment horizontal="general" vertical="bottom"/>
      <protection locked="1" hidden="1"/>
    </xf>
    <xf numFmtId="49" fontId="10" fillId="2" borderId="7" applyAlignment="1" applyProtection="1" pivotButton="0" quotePrefix="0" xfId="24">
      <alignment horizontal="center" vertical="bottom"/>
      <protection locked="1" hidden="1"/>
    </xf>
    <xf numFmtId="0" fontId="0" fillId="0" borderId="7" applyProtection="1" pivotButton="0" quotePrefix="0" xfId="0">
      <protection locked="1" hidden="1"/>
    </xf>
    <xf numFmtId="49" fontId="11" fillId="2" borderId="7" applyAlignment="1" applyProtection="1" pivotButton="0" quotePrefix="0" xfId="24">
      <alignment horizontal="left" vertical="bottom"/>
      <protection locked="1" hidden="1"/>
    </xf>
    <xf numFmtId="0" fontId="9" fillId="0" borderId="4" applyAlignment="1" applyProtection="1" pivotButton="0" quotePrefix="0" xfId="24">
      <alignment horizontal="center" vertical="center"/>
      <protection locked="1" hidden="1"/>
    </xf>
    <xf numFmtId="0" fontId="7" fillId="0" borderId="8" applyAlignment="1" applyProtection="1" pivotButton="0" quotePrefix="0" xfId="24">
      <alignment horizontal="general" vertical="bottom"/>
      <protection locked="1" hidden="1"/>
    </xf>
    <xf numFmtId="49" fontId="11" fillId="2" borderId="9" applyAlignment="1" applyProtection="1" pivotButton="0" quotePrefix="0" xfId="24">
      <alignment horizontal="center" vertical="bottom"/>
      <protection locked="0" hidden="0"/>
    </xf>
    <xf numFmtId="0" fontId="0" fillId="0" borderId="18" applyProtection="1" pivotButton="0" quotePrefix="0" xfId="0">
      <protection locked="0" hidden="0"/>
    </xf>
    <xf numFmtId="0" fontId="0" fillId="0" borderId="14" applyProtection="1" pivotButton="0" quotePrefix="0" xfId="0">
      <protection locked="0" hidden="0"/>
    </xf>
    <xf numFmtId="0" fontId="9" fillId="0" borderId="0" applyAlignment="1" applyProtection="1" pivotButton="0" quotePrefix="0" xfId="24">
      <alignment horizontal="center" vertical="center"/>
      <protection locked="1" hidden="1"/>
    </xf>
    <xf numFmtId="0" fontId="8" fillId="0" borderId="0" applyAlignment="1" applyProtection="1" pivotButton="0" quotePrefix="0" xfId="24">
      <alignment horizontal="center" vertical="center"/>
      <protection locked="0" hidden="0"/>
    </xf>
    <xf numFmtId="0" fontId="4" fillId="0" borderId="5" applyAlignment="1" applyProtection="1" pivotButton="0" quotePrefix="0" xfId="24">
      <alignment horizontal="general" vertical="bottom"/>
      <protection locked="1" hidden="1"/>
    </xf>
    <xf numFmtId="0" fontId="5" fillId="0" borderId="4" applyAlignment="1" applyProtection="1" pivotButton="0" quotePrefix="0" xfId="24">
      <alignment horizontal="general" vertical="bottom"/>
      <protection locked="1" hidden="1"/>
    </xf>
    <xf numFmtId="0" fontId="5" fillId="4" borderId="0" applyAlignment="1" applyProtection="1" pivotButton="0" quotePrefix="0" xfId="24">
      <alignment horizontal="general" vertical="bottom"/>
      <protection locked="1" hidden="1"/>
    </xf>
    <xf numFmtId="0" fontId="12" fillId="0" borderId="0" applyAlignment="1" applyProtection="1" pivotButton="0" quotePrefix="0" xfId="24">
      <alignment horizontal="general" vertical="bottom"/>
      <protection locked="1" hidden="1"/>
    </xf>
    <xf numFmtId="49" fontId="8" fillId="2" borderId="10" applyAlignment="1" applyProtection="1" pivotButton="0" quotePrefix="0" xfId="24">
      <alignment horizontal="center" vertical="center"/>
      <protection locked="0" hidden="0"/>
    </xf>
    <xf numFmtId="0" fontId="4" fillId="0" borderId="11" applyAlignment="1" applyProtection="1" pivotButton="0" quotePrefix="0" xfId="24">
      <alignment horizontal="general" vertical="bottom"/>
      <protection locked="1" hidden="1"/>
    </xf>
    <xf numFmtId="0" fontId="0" fillId="0" borderId="0" applyAlignment="1" applyProtection="1" pivotButton="0" quotePrefix="0" xfId="24">
      <alignment horizontal="general" vertical="bottom"/>
      <protection locked="1" hidden="1"/>
    </xf>
    <xf numFmtId="49" fontId="7" fillId="0" borderId="9" applyAlignment="1" applyProtection="1" pivotButton="0" quotePrefix="0" xfId="24">
      <alignment horizontal="center" vertical="bottom"/>
      <protection locked="1" hidden="1"/>
    </xf>
    <xf numFmtId="0" fontId="0" fillId="0" borderId="18" applyProtection="1" pivotButton="0" quotePrefix="0" xfId="0">
      <protection locked="1" hidden="1"/>
    </xf>
    <xf numFmtId="0" fontId="0" fillId="0" borderId="14" applyProtection="1" pivotButton="0" quotePrefix="0" xfId="0">
      <protection locked="1" hidden="1"/>
    </xf>
    <xf numFmtId="49" fontId="4" fillId="2" borderId="9" applyAlignment="1" applyProtection="1" pivotButton="0" quotePrefix="0" xfId="24">
      <alignment horizontal="center" vertical="bottom"/>
      <protection locked="1" hidden="1"/>
    </xf>
    <xf numFmtId="49" fontId="5" fillId="0" borderId="0" applyAlignment="1" applyProtection="1" pivotButton="0" quotePrefix="0" xfId="24">
      <alignment horizontal="center" vertical="bottom"/>
      <protection locked="0" hidden="0"/>
    </xf>
    <xf numFmtId="0" fontId="12" fillId="4" borderId="0" applyAlignment="1" applyProtection="1" pivotButton="0" quotePrefix="0" xfId="24">
      <alignment horizontal="general" vertical="bottom"/>
      <protection locked="1" hidden="1"/>
    </xf>
    <xf numFmtId="49" fontId="8" fillId="2" borderId="9" applyAlignment="1" applyProtection="1" pivotButton="0" quotePrefix="0" xfId="24">
      <alignment horizontal="center" vertical="bottom"/>
      <protection locked="1" hidden="1"/>
    </xf>
    <xf numFmtId="49" fontId="11" fillId="2" borderId="9" applyAlignment="1" applyProtection="1" pivotButton="0" quotePrefix="0" xfId="24">
      <alignment horizontal="center" vertical="bottom"/>
      <protection locked="1" hidden="1"/>
    </xf>
    <xf numFmtId="0" fontId="4" fillId="0" borderId="0" applyAlignment="1" applyProtection="1" pivotButton="0" quotePrefix="0" xfId="24">
      <alignment horizontal="center" vertical="bottom"/>
      <protection locked="1" hidden="1"/>
    </xf>
    <xf numFmtId="0" fontId="9" fillId="0" borderId="12" applyAlignment="1" applyProtection="1" pivotButton="0" quotePrefix="0" xfId="24">
      <alignment horizontal="center" vertical="center"/>
      <protection locked="1" hidden="1"/>
    </xf>
    <xf numFmtId="0" fontId="4" fillId="0" borderId="0" applyAlignment="1" applyProtection="1" pivotButton="0" quotePrefix="0" xfId="24">
      <alignment horizontal="left" vertical="bottom"/>
      <protection locked="1" hidden="1"/>
    </xf>
    <xf numFmtId="0" fontId="9" fillId="3" borderId="13" applyAlignment="1" applyProtection="1" pivotButton="0" quotePrefix="0" xfId="24">
      <alignment horizontal="center" vertical="center"/>
      <protection locked="1" hidden="1"/>
    </xf>
    <xf numFmtId="49" fontId="11" fillId="2" borderId="10" applyAlignment="1" applyProtection="1" pivotButton="0" quotePrefix="0" xfId="24">
      <alignment horizontal="center" vertical="bottom"/>
      <protection locked="1" hidden="1"/>
    </xf>
    <xf numFmtId="0" fontId="7" fillId="0" borderId="14" applyAlignment="1" applyProtection="1" pivotButton="0" quotePrefix="0" xfId="24">
      <alignment horizontal="center" vertical="bottom"/>
      <protection locked="1" hidden="1"/>
    </xf>
    <xf numFmtId="49" fontId="8" fillId="0" borderId="15" applyAlignment="1" applyProtection="1" pivotButton="0" quotePrefix="0" xfId="24">
      <alignment horizontal="center" vertical="bottom"/>
      <protection locked="1" hidden="1"/>
    </xf>
    <xf numFmtId="0" fontId="0" fillId="0" borderId="11" applyProtection="1" pivotButton="0" quotePrefix="0" xfId="0">
      <protection locked="1" hidden="1"/>
    </xf>
    <xf numFmtId="0" fontId="7" fillId="0" borderId="16" applyAlignment="1" applyProtection="1" pivotButton="0" quotePrefix="0" xfId="24">
      <alignment horizontal="center" vertical="bottom"/>
      <protection locked="1" hidden="1"/>
    </xf>
    <xf numFmtId="0" fontId="0" fillId="0" borderId="16" applyProtection="1" pivotButton="0" quotePrefix="0" xfId="0">
      <protection locked="1" hidden="1"/>
    </xf>
    <xf numFmtId="0" fontId="4" fillId="0" borderId="16" applyAlignment="1" applyProtection="1" pivotButton="0" quotePrefix="0" xfId="24">
      <alignment horizontal="center" vertical="bottom"/>
      <protection locked="1" hidden="1"/>
    </xf>
    <xf numFmtId="49" fontId="11" fillId="0" borderId="9" applyAlignment="1" applyProtection="1" pivotButton="0" quotePrefix="0" xfId="24">
      <alignment horizontal="center" vertical="bottom"/>
      <protection locked="1" hidden="1"/>
    </xf>
    <xf numFmtId="49" fontId="5" fillId="2" borderId="11" applyAlignment="1" applyProtection="1" pivotButton="0" quotePrefix="0" xfId="24">
      <alignment horizontal="center" vertical="bottom"/>
      <protection locked="1" hidden="1"/>
    </xf>
    <xf numFmtId="0" fontId="13" fillId="0" borderId="16" applyAlignment="1" applyProtection="1" pivotButton="0" quotePrefix="0" xfId="24">
      <alignment horizontal="center" vertical="bottom"/>
      <protection locked="1" hidden="1"/>
    </xf>
    <xf numFmtId="0" fontId="4" fillId="0" borderId="17" applyAlignment="1" applyProtection="1" pivotButton="0" quotePrefix="0" xfId="24">
      <alignment horizontal="center" vertical="bottom"/>
      <protection locked="1" hidden="1"/>
    </xf>
    <xf numFmtId="0" fontId="0" fillId="0" borderId="17" applyProtection="1" pivotButton="0" quotePrefix="0" xfId="0">
      <protection locked="1" hidden="1"/>
    </xf>
    <xf numFmtId="49" fontId="11" fillId="2" borderId="15" applyAlignment="1" applyProtection="1" pivotButton="0" quotePrefix="0" xfId="24">
      <alignment horizontal="center" vertical="bottom"/>
      <protection locked="1" hidden="1"/>
    </xf>
    <xf numFmtId="49" fontId="11" fillId="2" borderId="18" applyAlignment="1" applyProtection="1" pivotButton="0" quotePrefix="0" xfId="24">
      <alignment horizontal="center" vertical="bottom"/>
      <protection locked="1" hidden="1"/>
    </xf>
    <xf numFmtId="0" fontId="7" fillId="0" borderId="18" applyAlignment="1" applyProtection="1" pivotButton="0" quotePrefix="0" xfId="24">
      <alignment horizontal="center" vertical="bottom"/>
      <protection locked="1" hidden="1"/>
    </xf>
    <xf numFmtId="0" fontId="4" fillId="0" borderId="18" applyAlignment="1" applyProtection="1" pivotButton="0" quotePrefix="0" xfId="24">
      <alignment horizontal="center" vertical="bottom"/>
      <protection locked="1" hidden="1"/>
    </xf>
    <xf numFmtId="0" fontId="4" fillId="0" borderId="11" applyAlignment="1" applyProtection="1" pivotButton="0" quotePrefix="0" xfId="24">
      <alignment horizontal="center" vertical="bottom"/>
      <protection locked="1" hidden="1"/>
    </xf>
    <xf numFmtId="49" fontId="7" fillId="0" borderId="15" applyAlignment="1" applyProtection="1" pivotButton="0" quotePrefix="0" xfId="24">
      <alignment horizontal="left" vertical="bottom"/>
      <protection locked="1" hidden="1"/>
    </xf>
    <xf numFmtId="0" fontId="14" fillId="0" borderId="0" applyAlignment="1" applyProtection="1" pivotButton="0" quotePrefix="0" xfId="20">
      <alignment horizontal="center" vertical="bottom"/>
      <protection locked="1" hidden="1"/>
    </xf>
    <xf numFmtId="1" fontId="15" fillId="0" borderId="4" applyAlignment="1" applyProtection="1" pivotButton="0" quotePrefix="0" xfId="24">
      <alignment horizontal="right" vertical="top"/>
      <protection locked="1" hidden="1"/>
    </xf>
    <xf numFmtId="1" fontId="15" fillId="0" borderId="0" applyAlignment="1" applyProtection="1" pivotButton="0" quotePrefix="0" xfId="24">
      <alignment horizontal="right" vertical="top"/>
      <protection locked="1" hidden="1"/>
    </xf>
    <xf numFmtId="1" fontId="15" fillId="0" borderId="5" applyAlignment="1" applyProtection="1" pivotButton="0" quotePrefix="0" xfId="24">
      <alignment horizontal="right" vertical="top"/>
      <protection locked="1" hidden="1"/>
    </xf>
    <xf numFmtId="0" fontId="5" fillId="0" borderId="5" applyAlignment="1" applyProtection="1" pivotButton="0" quotePrefix="0" xfId="24">
      <alignment horizontal="general" vertical="bottom"/>
      <protection locked="1" hidden="1"/>
    </xf>
    <xf numFmtId="0" fontId="5" fillId="0" borderId="19" applyAlignment="1" applyProtection="1" pivotButton="0" quotePrefix="0" xfId="24">
      <alignment horizontal="general" vertical="bottom"/>
      <protection locked="1" hidden="1"/>
    </xf>
    <xf numFmtId="0" fontId="5" fillId="0" borderId="8" applyAlignment="1" applyProtection="1" pivotButton="0" quotePrefix="0" xfId="24">
      <alignment horizontal="general" vertical="bottom"/>
      <protection locked="1" hidden="1"/>
    </xf>
    <xf numFmtId="49" fontId="5" fillId="0" borderId="20" applyAlignment="1" applyProtection="1" pivotButton="0" quotePrefix="0" xfId="24">
      <alignment horizontal="general" vertical="bottom"/>
      <protection locked="1" hidden="1"/>
    </xf>
    <xf numFmtId="49" fontId="5" fillId="0" borderId="20" applyAlignment="1" applyProtection="1" pivotButton="0" quotePrefix="0" xfId="24">
      <alignment horizontal="center" vertical="bottom"/>
      <protection locked="1" hidden="1"/>
    </xf>
    <xf numFmtId="0" fontId="5" fillId="0" borderId="10" applyAlignment="1" applyProtection="1" pivotButton="0" quotePrefix="0" xfId="24">
      <alignment horizontal="general" vertical="bottom"/>
      <protection locked="1" hidden="1"/>
    </xf>
    <xf numFmtId="0" fontId="5" fillId="0" borderId="18" applyAlignment="1" applyProtection="1" pivotButton="0" quotePrefix="0" xfId="24">
      <alignment horizontal="general" vertical="bottom"/>
      <protection locked="1" hidden="1"/>
    </xf>
    <xf numFmtId="0" fontId="5" fillId="0" borderId="14" applyAlignment="1" applyProtection="1" pivotButton="0" quotePrefix="0" xfId="24">
      <alignment horizontal="general" vertical="bottom"/>
      <protection locked="1" hidden="1"/>
    </xf>
    <xf numFmtId="0" fontId="5" fillId="0" borderId="11" applyAlignment="1" applyProtection="1" pivotButton="0" quotePrefix="0" xfId="24">
      <alignment horizontal="general" vertical="bottom"/>
      <protection locked="1" hidden="1"/>
    </xf>
    <xf numFmtId="0" fontId="7" fillId="0" borderId="17" applyAlignment="1" applyProtection="1" pivotButton="0" quotePrefix="0" xfId="24">
      <alignment horizontal="center" vertical="center" wrapText="1"/>
      <protection locked="1" hidden="1"/>
    </xf>
    <xf numFmtId="0" fontId="11" fillId="0" borderId="21" applyAlignment="1" applyProtection="1" pivotButton="0" quotePrefix="0" xfId="24">
      <alignment horizontal="general" vertical="bottom"/>
      <protection locked="1" hidden="1"/>
    </xf>
    <xf numFmtId="0" fontId="11" fillId="0" borderId="22" applyAlignment="1" applyProtection="1" pivotButton="0" quotePrefix="0" xfId="24">
      <alignment horizontal="center" vertical="bottom"/>
      <protection locked="1" hidden="1"/>
    </xf>
    <xf numFmtId="0" fontId="0" fillId="0" borderId="40" applyProtection="1" pivotButton="0" quotePrefix="0" xfId="0">
      <protection locked="1" hidden="1"/>
    </xf>
    <xf numFmtId="0" fontId="0" fillId="0" borderId="22" applyProtection="1" pivotButton="0" quotePrefix="0" xfId="0">
      <protection locked="1" hidden="1"/>
    </xf>
    <xf numFmtId="0" fontId="11" fillId="0" borderId="0" applyAlignment="1" applyProtection="1" pivotButton="0" quotePrefix="0" xfId="24">
      <alignment horizontal="general" vertical="bottom"/>
      <protection locked="1" hidden="1"/>
    </xf>
    <xf numFmtId="0" fontId="11" fillId="0" borderId="20" applyAlignment="1" applyProtection="1" pivotButton="0" quotePrefix="0" xfId="24">
      <alignment horizontal="center" vertical="bottom"/>
      <protection locked="1" hidden="1"/>
    </xf>
    <xf numFmtId="49" fontId="5" fillId="0" borderId="23" applyAlignment="1" applyProtection="1" pivotButton="0" quotePrefix="0" xfId="24">
      <alignment horizontal="general" vertical="bottom"/>
      <protection locked="1" hidden="1"/>
    </xf>
    <xf numFmtId="0" fontId="0" fillId="0" borderId="29" applyProtection="1" pivotButton="0" quotePrefix="0" xfId="0">
      <protection locked="1" hidden="1"/>
    </xf>
    <xf numFmtId="49" fontId="5" fillId="0" borderId="23" applyAlignment="1" applyProtection="1" pivotButton="0" quotePrefix="0" xfId="15">
      <alignment horizontal="right" vertical="bottom"/>
      <protection locked="1" hidden="1"/>
    </xf>
    <xf numFmtId="49" fontId="5" fillId="2" borderId="24" applyAlignment="1" applyProtection="1" pivotButton="0" quotePrefix="0" xfId="24">
      <alignment horizontal="general" vertical="bottom"/>
      <protection locked="1" hidden="1"/>
    </xf>
    <xf numFmtId="0" fontId="0" fillId="0" borderId="8" applyProtection="1" pivotButton="0" quotePrefix="0" xfId="0">
      <protection locked="1" hidden="1"/>
    </xf>
    <xf numFmtId="49" fontId="5" fillId="2" borderId="23" applyAlignment="1" applyProtection="1" pivotButton="0" quotePrefix="0" xfId="15">
      <alignment horizontal="right" vertical="bottom"/>
      <protection locked="1" hidden="1"/>
    </xf>
    <xf numFmtId="49" fontId="5" fillId="2" borderId="24" applyAlignment="1" applyProtection="1" pivotButton="0" quotePrefix="0" xfId="24">
      <alignment horizontal="left" vertical="bottom"/>
      <protection locked="1" hidden="1"/>
    </xf>
    <xf numFmtId="49" fontId="5" fillId="2" borderId="24" applyAlignment="1" applyProtection="1" pivotButton="0" quotePrefix="0" xfId="24">
      <alignment horizontal="right" vertical="bottom"/>
      <protection locked="1" hidden="1"/>
    </xf>
    <xf numFmtId="49" fontId="5" fillId="0" borderId="24" applyAlignment="1" applyProtection="1" pivotButton="0" quotePrefix="0" xfId="24">
      <alignment horizontal="left" vertical="bottom"/>
      <protection locked="1" hidden="1"/>
    </xf>
    <xf numFmtId="49" fontId="5" fillId="0" borderId="24" applyAlignment="1" applyProtection="1" pivotButton="0" quotePrefix="0" xfId="24">
      <alignment horizontal="right" vertical="bottom"/>
      <protection locked="1" hidden="1"/>
    </xf>
    <xf numFmtId="49" fontId="5" fillId="0" borderId="24" applyAlignment="1" applyProtection="1" pivotButton="0" quotePrefix="0" xfId="24">
      <alignment horizontal="general" vertical="bottom"/>
      <protection locked="1" hidden="1"/>
    </xf>
    <xf numFmtId="0" fontId="0" fillId="0" borderId="19" applyProtection="1" pivotButton="0" quotePrefix="0" xfId="0">
      <protection locked="1" hidden="1"/>
    </xf>
    <xf numFmtId="0" fontId="0" fillId="0" borderId="10" applyProtection="1" pivotButton="0" quotePrefix="0" xfId="0">
      <protection locked="1" hidden="1"/>
    </xf>
    <xf numFmtId="49" fontId="5" fillId="0" borderId="9" applyAlignment="1" applyProtection="1" pivotButton="0" quotePrefix="0" xfId="24">
      <alignment horizontal="general" vertical="bottom"/>
      <protection locked="1" hidden="1"/>
    </xf>
    <xf numFmtId="49" fontId="5" fillId="0" borderId="9" applyAlignment="1" applyProtection="1" pivotButton="0" quotePrefix="0" xfId="24">
      <alignment horizontal="right" vertical="bottom"/>
      <protection locked="1" hidden="1"/>
    </xf>
    <xf numFmtId="0" fontId="5" fillId="0" borderId="0" applyAlignment="1" applyProtection="1" pivotButton="0" quotePrefix="0" xfId="24">
      <alignment horizontal="right" vertical="bottom"/>
      <protection locked="1" hidden="1"/>
    </xf>
    <xf numFmtId="0" fontId="5" fillId="0" borderId="25" applyAlignment="1" applyProtection="1" pivotButton="0" quotePrefix="0" xfId="24">
      <alignment horizontal="general" vertical="bottom"/>
      <protection locked="1" hidden="1"/>
    </xf>
    <xf numFmtId="0" fontId="5" fillId="0" borderId="26" applyAlignment="1" applyProtection="1" pivotButton="0" quotePrefix="0" xfId="24">
      <alignment horizontal="general" vertical="bottom"/>
      <protection locked="1" hidden="1"/>
    </xf>
    <xf numFmtId="0" fontId="5" fillId="0" borderId="27" applyAlignment="1" applyProtection="1" pivotButton="0" quotePrefix="0" xfId="24">
      <alignment horizontal="general" vertical="bottom"/>
      <protection locked="1" hidden="1"/>
    </xf>
    <xf numFmtId="49" fontId="5" fillId="0" borderId="23" applyAlignment="1" applyProtection="1" pivotButton="0" quotePrefix="0" xfId="24">
      <alignment horizontal="center" vertical="bottom"/>
      <protection locked="1" hidden="1"/>
    </xf>
    <xf numFmtId="0" fontId="8" fillId="0" borderId="0" applyAlignment="1" applyProtection="1" pivotButton="0" quotePrefix="0" xfId="24">
      <alignment horizontal="general" vertical="bottom"/>
      <protection locked="1" hidden="1"/>
    </xf>
    <xf numFmtId="0" fontId="4" fillId="0" borderId="19" applyAlignment="1" applyProtection="1" pivotButton="0" quotePrefix="0" xfId="24">
      <alignment horizontal="general" vertical="bottom"/>
      <protection locked="1" hidden="1"/>
    </xf>
    <xf numFmtId="49" fontId="11" fillId="2" borderId="0" applyAlignment="1" applyProtection="1" pivotButton="0" quotePrefix="0" xfId="24">
      <alignment horizontal="left" vertical="bottom"/>
      <protection locked="1" hidden="1"/>
    </xf>
    <xf numFmtId="49" fontId="6" fillId="2" borderId="8" applyAlignment="1" applyProtection="1" pivotButton="0" quotePrefix="0" xfId="24">
      <alignment horizontal="general" vertical="bottom"/>
      <protection locked="1" hidden="1"/>
    </xf>
    <xf numFmtId="1" fontId="8" fillId="2" borderId="0" applyAlignment="1" applyProtection="1" pivotButton="0" quotePrefix="0" xfId="24">
      <alignment horizontal="center" vertical="bottom"/>
      <protection locked="1" hidden="1"/>
    </xf>
    <xf numFmtId="0" fontId="6" fillId="0" borderId="0" applyAlignment="1" applyProtection="1" pivotButton="0" quotePrefix="0" xfId="24">
      <alignment horizontal="center" vertical="bottom"/>
      <protection locked="1" hidden="1"/>
    </xf>
    <xf numFmtId="49" fontId="8" fillId="2" borderId="8" applyAlignment="1" applyProtection="1" pivotButton="0" quotePrefix="0" xfId="24">
      <alignment horizontal="center" vertical="bottom"/>
      <protection locked="1" hidden="1"/>
    </xf>
    <xf numFmtId="0" fontId="6" fillId="0" borderId="19" applyAlignment="1" applyProtection="1" pivotButton="0" quotePrefix="0" xfId="24">
      <alignment horizontal="general" vertical="bottom"/>
      <protection locked="1" hidden="1"/>
    </xf>
    <xf numFmtId="0" fontId="6" fillId="0" borderId="8" applyAlignment="1" applyProtection="1" pivotButton="0" quotePrefix="0" xfId="24">
      <alignment horizontal="center" vertical="bottom"/>
      <protection locked="1" hidden="1"/>
    </xf>
    <xf numFmtId="0" fontId="7" fillId="0" borderId="19" applyAlignment="1" applyProtection="1" pivotButton="0" quotePrefix="0" xfId="24">
      <alignment horizontal="left" vertical="bottom"/>
      <protection locked="1" hidden="1"/>
    </xf>
    <xf numFmtId="0" fontId="8" fillId="0" borderId="8" applyAlignment="1" applyProtection="1" pivotButton="0" quotePrefix="0" xfId="24">
      <alignment horizontal="center" vertical="bottom"/>
      <protection locked="1" hidden="1"/>
    </xf>
    <xf numFmtId="1" fontId="15" fillId="0" borderId="28" applyAlignment="1" applyProtection="1" pivotButton="0" quotePrefix="0" xfId="24">
      <alignment horizontal="right" vertical="center"/>
      <protection locked="1" hidden="1"/>
    </xf>
    <xf numFmtId="1" fontId="15" fillId="0" borderId="16" applyAlignment="1" applyProtection="1" pivotButton="0" quotePrefix="0" xfId="24">
      <alignment horizontal="right" vertical="center"/>
      <protection locked="1" hidden="1"/>
    </xf>
    <xf numFmtId="1" fontId="8" fillId="0" borderId="16" applyAlignment="1" applyProtection="1" pivotButton="0" quotePrefix="0" xfId="24">
      <alignment horizontal="center" vertical="center"/>
      <protection locked="1" hidden="1"/>
    </xf>
    <xf numFmtId="0" fontId="4" fillId="0" borderId="16" applyAlignment="1" applyProtection="1" pivotButton="0" quotePrefix="0" xfId="24">
      <alignment horizontal="general" vertical="bottom"/>
      <protection locked="1" hidden="1"/>
    </xf>
    <xf numFmtId="0" fontId="4" fillId="0" borderId="29" applyAlignment="1" applyProtection="1" pivotButton="0" quotePrefix="0" xfId="24">
      <alignment horizontal="general" vertical="bottom"/>
      <protection locked="1" hidden="1"/>
    </xf>
    <xf numFmtId="0" fontId="4" fillId="0" borderId="20" applyAlignment="1" applyProtection="1" pivotButton="0" quotePrefix="0" xfId="24">
      <alignment horizontal="center" vertical="bottom"/>
      <protection locked="1" hidden="1"/>
    </xf>
    <xf numFmtId="0" fontId="9" fillId="3" borderId="20" applyAlignment="1" applyProtection="1" pivotButton="0" quotePrefix="0" xfId="24">
      <alignment horizontal="center" vertical="center"/>
      <protection locked="1" hidden="1"/>
    </xf>
    <xf numFmtId="49" fontId="5" fillId="2" borderId="9" applyAlignment="1" applyProtection="1" pivotButton="0" quotePrefix="0" xfId="24">
      <alignment horizontal="center" vertical="bottom"/>
      <protection locked="0" hidden="0"/>
    </xf>
    <xf numFmtId="0" fontId="12" fillId="0" borderId="19" applyAlignment="1" applyProtection="1" pivotButton="0" quotePrefix="0" xfId="24">
      <alignment horizontal="general" vertical="bottom"/>
      <protection locked="1" hidden="1"/>
    </xf>
    <xf numFmtId="0" fontId="4" fillId="0" borderId="28" applyAlignment="1" applyProtection="1" pivotButton="0" quotePrefix="0" xfId="24">
      <alignment horizontal="general" vertical="bottom"/>
      <protection locked="1" hidden="1"/>
    </xf>
    <xf numFmtId="0" fontId="8" fillId="0" borderId="9" applyAlignment="1" applyProtection="1" pivotButton="0" quotePrefix="0" xfId="24">
      <alignment horizontal="center" vertical="center"/>
      <protection locked="0" hidden="0"/>
    </xf>
    <xf numFmtId="0" fontId="4" fillId="0" borderId="8" applyAlignment="1" applyProtection="1" pivotButton="0" quotePrefix="0" xfId="24">
      <alignment horizontal="general" vertical="bottom"/>
      <protection locked="1" hidden="1"/>
    </xf>
    <xf numFmtId="49" fontId="5" fillId="2" borderId="9" applyAlignment="1" applyProtection="1" pivotButton="0" quotePrefix="0" xfId="24">
      <alignment horizontal="center" vertical="bottom"/>
      <protection locked="1" hidden="1"/>
    </xf>
    <xf numFmtId="0" fontId="8" fillId="0" borderId="20" applyAlignment="1" applyProtection="1" pivotButton="0" quotePrefix="0" xfId="24">
      <alignment horizontal="center" vertical="center"/>
      <protection locked="0" hidden="0"/>
    </xf>
    <xf numFmtId="2" fontId="7" fillId="0" borderId="8" applyAlignment="1" applyProtection="1" pivotButton="0" quotePrefix="0" xfId="24">
      <alignment horizontal="general" vertical="bottom"/>
      <protection locked="1" hidden="1"/>
    </xf>
    <xf numFmtId="0" fontId="4" fillId="4" borderId="0" applyAlignment="1" applyProtection="1" pivotButton="0" quotePrefix="0" xfId="24">
      <alignment horizontal="general" vertical="bottom"/>
      <protection locked="1" hidden="1"/>
    </xf>
    <xf numFmtId="0" fontId="4" fillId="0" borderId="10" applyAlignment="1" applyProtection="1" pivotButton="0" quotePrefix="0" xfId="24">
      <alignment horizontal="general" vertical="bottom"/>
      <protection locked="1" hidden="1"/>
    </xf>
    <xf numFmtId="0" fontId="4" fillId="0" borderId="18" applyAlignment="1" applyProtection="1" pivotButton="0" quotePrefix="0" xfId="24">
      <alignment horizontal="general" vertical="bottom"/>
      <protection locked="1" hidden="1"/>
    </xf>
    <xf numFmtId="0" fontId="4" fillId="0" borderId="14" applyAlignment="1" applyProtection="1" pivotButton="0" quotePrefix="0" xfId="24">
      <alignment horizontal="general" vertical="bottom"/>
      <protection locked="1" hidden="1"/>
    </xf>
    <xf numFmtId="0" fontId="6" fillId="4" borderId="19" applyAlignment="1" applyProtection="1" pivotButton="0" quotePrefix="0" xfId="24">
      <alignment horizontal="general" vertical="bottom"/>
      <protection locked="1" hidden="1"/>
    </xf>
    <xf numFmtId="0" fontId="6" fillId="4" borderId="0" applyAlignment="1" applyProtection="1" pivotButton="0" quotePrefix="0" xfId="24">
      <alignment horizontal="general" vertical="bottom"/>
      <protection locked="1" hidden="1"/>
    </xf>
    <xf numFmtId="0" fontId="6" fillId="0" borderId="8" applyAlignment="1" applyProtection="1" pivotButton="0" quotePrefix="0" xfId="24">
      <alignment horizontal="general" vertical="bottom"/>
      <protection locked="1" hidden="1"/>
    </xf>
    <xf numFmtId="0" fontId="5" fillId="0" borderId="24" applyAlignment="1" applyProtection="1" pivotButton="0" quotePrefix="0" xfId="24">
      <alignment horizontal="center" vertical="bottom"/>
      <protection locked="1" hidden="1"/>
    </xf>
    <xf numFmtId="0" fontId="5" fillId="0" borderId="0" applyAlignment="1" applyProtection="1" pivotButton="0" quotePrefix="0" xfId="24">
      <alignment horizontal="center" vertical="bottom"/>
      <protection locked="1" hidden="1"/>
    </xf>
    <xf numFmtId="0" fontId="4" fillId="0" borderId="23" applyAlignment="1" applyProtection="1" pivotButton="0" quotePrefix="0" xfId="24">
      <alignment horizontal="center" vertical="center"/>
      <protection locked="1" hidden="1"/>
    </xf>
    <xf numFmtId="0" fontId="4" fillId="0" borderId="23" applyAlignment="1" applyProtection="1" pivotButton="0" quotePrefix="0" xfId="24">
      <alignment horizontal="center" vertical="bottom"/>
      <protection locked="1" hidden="1"/>
    </xf>
    <xf numFmtId="0" fontId="12" fillId="0" borderId="19" applyAlignment="1" applyProtection="1" pivotButton="0" quotePrefix="0" xfId="24">
      <alignment horizontal="center" vertical="center"/>
      <protection locked="1" hidden="1"/>
    </xf>
    <xf numFmtId="0" fontId="12" fillId="0" borderId="0" applyAlignment="1" applyProtection="1" pivotButton="0" quotePrefix="0" xfId="24">
      <alignment horizontal="center" vertical="center"/>
      <protection locked="1" hidden="1"/>
    </xf>
    <xf numFmtId="0" fontId="12" fillId="0" borderId="8"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center"/>
      <protection locked="1" hidden="1"/>
    </xf>
    <xf numFmtId="0" fontId="4" fillId="0" borderId="24" applyAlignment="1" applyProtection="1" pivotButton="0" quotePrefix="0" xfId="24">
      <alignment horizontal="center" vertical="bottom"/>
      <protection locked="1" hidden="1"/>
    </xf>
    <xf numFmtId="0" fontId="12" fillId="0" borderId="10" applyAlignment="1" applyProtection="1" pivotButton="0" quotePrefix="0" xfId="24">
      <alignment horizontal="center" vertical="center"/>
      <protection locked="1" hidden="1"/>
    </xf>
    <xf numFmtId="0" fontId="12" fillId="0" borderId="18" applyAlignment="1" applyProtection="1" pivotButton="0" quotePrefix="0" xfId="24">
      <alignment horizontal="center" vertical="center"/>
      <protection locked="1" hidden="1"/>
    </xf>
    <xf numFmtId="0" fontId="7" fillId="0" borderId="18" applyAlignment="1" applyProtection="1" pivotButton="0" quotePrefix="0" xfId="24">
      <alignment horizontal="center" vertical="center"/>
      <protection locked="1" hidden="1"/>
    </xf>
    <xf numFmtId="0" fontId="12" fillId="0" borderId="14" applyAlignment="1" applyProtection="1" pivotButton="0" quotePrefix="0" xfId="24">
      <alignment horizontal="center" vertical="center"/>
      <protection locked="1" hidden="1"/>
    </xf>
    <xf numFmtId="0" fontId="7" fillId="0" borderId="18" applyAlignment="1" applyProtection="1" pivotButton="0" quotePrefix="0" xfId="24">
      <alignment horizontal="general" vertical="bottom"/>
      <protection locked="1" hidden="1"/>
    </xf>
    <xf numFmtId="0" fontId="12" fillId="0" borderId="18" applyAlignment="1" applyProtection="1" pivotButton="0" quotePrefix="0" xfId="24">
      <alignment horizontal="general" vertical="bottom"/>
      <protection locked="1" hidden="1"/>
    </xf>
    <xf numFmtId="0" fontId="12" fillId="0" borderId="9" applyAlignment="1" applyProtection="1" pivotButton="0" quotePrefix="0" xfId="24">
      <alignment horizontal="center" vertical="bottom"/>
      <protection locked="1" hidden="1"/>
    </xf>
    <xf numFmtId="0" fontId="5" fillId="0" borderId="28" applyAlignment="1" applyProtection="1" pivotButton="0" quotePrefix="0" xfId="24">
      <alignment horizontal="general" vertical="bottom"/>
      <protection locked="1" hidden="1"/>
    </xf>
    <xf numFmtId="0" fontId="5" fillId="0" borderId="16" applyAlignment="1" applyProtection="1" pivotButton="0" quotePrefix="0" xfId="24">
      <alignment horizontal="general" vertical="bottom"/>
      <protection locked="1" hidden="1"/>
    </xf>
    <xf numFmtId="0" fontId="5" fillId="0" borderId="29" applyAlignment="1" applyProtection="1" pivotButton="0" quotePrefix="0" xfId="24">
      <alignment horizontal="general" vertical="bottom"/>
      <protection locked="1" hidden="1"/>
    </xf>
    <xf numFmtId="49" fontId="10" fillId="2" borderId="24" applyAlignment="1" applyProtection="1" pivotButton="0" quotePrefix="0" xfId="24">
      <alignment horizontal="center" vertical="bottom"/>
      <protection locked="0" hidden="0"/>
    </xf>
    <xf numFmtId="0" fontId="0" fillId="0" borderId="0" applyProtection="1" pivotButton="0" quotePrefix="0" xfId="0">
      <protection locked="0" hidden="0"/>
    </xf>
    <xf numFmtId="0" fontId="0" fillId="0" borderId="8" applyProtection="1" pivotButton="0" quotePrefix="0" xfId="0">
      <protection locked="0" hidden="0"/>
    </xf>
    <xf numFmtId="0" fontId="5" fillId="2" borderId="9" applyAlignment="1" applyProtection="1" pivotButton="0" quotePrefix="0" xfId="24">
      <alignment horizontal="general" vertical="bottom"/>
      <protection locked="1" hidden="1"/>
    </xf>
    <xf numFmtId="3" fontId="5" fillId="0" borderId="24" applyAlignment="1" applyProtection="1" pivotButton="0" quotePrefix="0" xfId="24">
      <alignment horizontal="general" vertical="bottom"/>
      <protection locked="0" hidden="0"/>
    </xf>
    <xf numFmtId="9" fontId="5" fillId="0" borderId="24" applyAlignment="1" applyProtection="1" pivotButton="0" quotePrefix="0" xfId="19">
      <alignment horizontal="center" vertical="bottom"/>
      <protection locked="0" hidden="0"/>
    </xf>
    <xf numFmtId="49" fontId="12" fillId="0" borderId="24" applyAlignment="1" applyProtection="1" pivotButton="0" quotePrefix="0" xfId="24">
      <alignment horizontal="center" vertical="bottom"/>
      <protection locked="0" hidden="0"/>
    </xf>
    <xf numFmtId="0" fontId="5" fillId="0" borderId="24" applyAlignment="1" applyProtection="1" pivotButton="0" quotePrefix="0" xfId="24">
      <alignment horizontal="general" vertical="bottom"/>
      <protection locked="0" hidden="0"/>
    </xf>
    <xf numFmtId="0" fontId="5" fillId="3" borderId="23" applyAlignment="1" applyProtection="1" pivotButton="0" quotePrefix="0" xfId="24">
      <alignment horizontal="center" vertical="bottom"/>
      <protection locked="1" hidden="1"/>
    </xf>
    <xf numFmtId="0" fontId="5" fillId="0" borderId="23" applyAlignment="1" applyProtection="1" pivotButton="0" quotePrefix="0" xfId="24">
      <alignment horizontal="general" vertical="bottom"/>
      <protection locked="0" hidden="0"/>
    </xf>
    <xf numFmtId="0" fontId="0" fillId="0" borderId="16" applyProtection="1" pivotButton="0" quotePrefix="0" xfId="0">
      <protection locked="0" hidden="0"/>
    </xf>
    <xf numFmtId="0" fontId="0" fillId="0" borderId="29" applyProtection="1" pivotButton="0" quotePrefix="0" xfId="0">
      <protection locked="0" hidden="0"/>
    </xf>
    <xf numFmtId="9" fontId="5" fillId="0" borderId="10" applyAlignment="1" applyProtection="1" pivotButton="0" quotePrefix="0" xfId="19">
      <alignment horizontal="general" vertical="bottom"/>
      <protection locked="1" hidden="1"/>
    </xf>
    <xf numFmtId="0" fontId="5" fillId="0" borderId="22" applyAlignment="1" applyProtection="1" pivotButton="0" quotePrefix="0" xfId="24">
      <alignment horizontal="right" vertical="center"/>
      <protection locked="1" hidden="1"/>
    </xf>
    <xf numFmtId="3" fontId="8" fillId="4" borderId="20" applyAlignment="1" applyProtection="1" pivotButton="0" quotePrefix="0" xfId="15">
      <alignment horizontal="right" vertical="center"/>
      <protection locked="1" hidden="1"/>
    </xf>
    <xf numFmtId="1" fontId="15" fillId="0" borderId="0" applyAlignment="1" applyProtection="1" pivotButton="0" quotePrefix="0" xfId="24">
      <alignment horizontal="right" vertical="center"/>
      <protection locked="1" hidden="1"/>
    </xf>
    <xf numFmtId="1" fontId="15" fillId="0" borderId="8" applyAlignment="1" applyProtection="1" pivotButton="0" quotePrefix="0" xfId="24">
      <alignment horizontal="right" vertical="center"/>
      <protection locked="1" hidden="1"/>
    </xf>
    <xf numFmtId="0" fontId="12" fillId="0" borderId="0" applyAlignment="1" applyProtection="1" pivotButton="0" quotePrefix="0" xfId="24">
      <alignment horizontal="general" vertical="center"/>
      <protection locked="1" hidden="1"/>
    </xf>
    <xf numFmtId="1" fontId="12" fillId="0" borderId="0" applyAlignment="1" applyProtection="1" pivotButton="0" quotePrefix="0" xfId="24">
      <alignment horizontal="general" vertical="center"/>
      <protection locked="1" hidden="1"/>
    </xf>
    <xf numFmtId="1" fontId="12" fillId="0" borderId="8" applyAlignment="1" applyProtection="1" pivotButton="0" quotePrefix="0" xfId="24">
      <alignment horizontal="general" vertical="center"/>
      <protection locked="1" hidden="1"/>
    </xf>
    <xf numFmtId="0" fontId="12" fillId="0" borderId="10" applyAlignment="1" applyProtection="1" pivotButton="0" quotePrefix="0" xfId="24">
      <alignment horizontal="general" vertical="bottom"/>
      <protection locked="1" hidden="1"/>
    </xf>
    <xf numFmtId="0" fontId="5" fillId="4" borderId="18" applyAlignment="1" applyProtection="1" pivotButton="0" quotePrefix="0" xfId="24">
      <alignment horizontal="general" vertical="bottom"/>
      <protection locked="1" hidden="1"/>
    </xf>
    <xf numFmtId="1" fontId="15" fillId="0" borderId="18" applyAlignment="1" applyProtection="1" pivotButton="0" quotePrefix="0" xfId="24">
      <alignment horizontal="right" vertical="center"/>
      <protection locked="1" hidden="1"/>
    </xf>
    <xf numFmtId="1" fontId="15" fillId="0" borderId="14" applyAlignment="1" applyProtection="1" pivotButton="0" quotePrefix="0" xfId="24">
      <alignment horizontal="right" vertical="center"/>
      <protection locked="1" hidden="1"/>
    </xf>
    <xf numFmtId="1" fontId="15" fillId="0" borderId="16" applyAlignment="1" applyProtection="1" pivotButton="0" quotePrefix="0" xfId="24">
      <alignment horizontal="right" vertical="top"/>
      <protection locked="1" hidden="1"/>
    </xf>
    <xf numFmtId="0" fontId="21" fillId="0" borderId="0" applyAlignment="1" pivotButton="0" quotePrefix="0" xfId="0">
      <alignment horizontal="general" vertical="bottom"/>
    </xf>
    <xf numFmtId="49" fontId="11" fillId="2" borderId="0" applyAlignment="1" applyProtection="1" pivotButton="0" quotePrefix="0" xfId="24">
      <alignment horizontal="general" vertical="bottom"/>
      <protection locked="1" hidden="1"/>
    </xf>
    <xf numFmtId="1" fontId="8" fillId="2" borderId="0" applyAlignment="1" applyProtection="1" pivotButton="0" quotePrefix="0" xfId="24">
      <alignment horizontal="general" vertical="bottom"/>
      <protection locked="1" hidden="1"/>
    </xf>
    <xf numFmtId="1" fontId="8" fillId="0" borderId="0" applyAlignment="1" applyProtection="1" pivotButton="0" quotePrefix="0" xfId="24">
      <alignment horizontal="general" vertical="bottom"/>
      <protection locked="1" hidden="1"/>
    </xf>
    <xf numFmtId="0" fontId="4" fillId="2" borderId="0" applyAlignment="1" applyProtection="1" pivotButton="0" quotePrefix="0" xfId="24">
      <alignment horizontal="general" vertical="bottom"/>
      <protection locked="1" hidden="1"/>
    </xf>
    <xf numFmtId="0" fontId="5" fillId="4" borderId="0" applyAlignment="1" applyProtection="1" pivotButton="0" quotePrefix="0" xfId="0">
      <alignment horizontal="center" vertical="bottom"/>
      <protection locked="1" hidden="1"/>
    </xf>
    <xf numFmtId="0" fontId="23" fillId="0" borderId="0" applyAlignment="1" pivotButton="0" quotePrefix="0" xfId="0">
      <alignment horizontal="general" vertical="bottom"/>
    </xf>
    <xf numFmtId="0" fontId="23" fillId="5" borderId="20" applyAlignment="1" pivotButton="0" quotePrefix="0" xfId="0">
      <alignment horizontal="center" vertical="center"/>
    </xf>
    <xf numFmtId="0" fontId="23" fillId="5" borderId="20" applyAlignment="1" pivotButton="0" quotePrefix="0" xfId="0">
      <alignment horizontal="center" vertical="center" wrapText="1"/>
    </xf>
    <xf numFmtId="49" fontId="24" fillId="2" borderId="20" applyAlignment="1" pivotButton="0" quotePrefix="0" xfId="0">
      <alignment horizontal="left" vertical="center"/>
    </xf>
    <xf numFmtId="49" fontId="24" fillId="2" borderId="20" applyAlignment="1" pivotButton="0" quotePrefix="0" xfId="0">
      <alignment horizontal="center" vertical="center"/>
    </xf>
    <xf numFmtId="49" fontId="24" fillId="2" borderId="20" applyAlignment="1" pivotButton="0" quotePrefix="0" xfId="15">
      <alignment horizontal="center" vertical="center"/>
    </xf>
    <xf numFmtId="49" fontId="21" fillId="0" borderId="20" applyAlignment="1" pivotButton="0" quotePrefix="0" xfId="0">
      <alignment horizontal="left" vertical="center"/>
    </xf>
    <xf numFmtId="49" fontId="21" fillId="0" borderId="20" applyAlignment="1" pivotButton="0" quotePrefix="0" xfId="0">
      <alignment horizontal="center" vertical="center"/>
    </xf>
    <xf numFmtId="49" fontId="21" fillId="0" borderId="20" applyAlignment="1" pivotButton="0" quotePrefix="0" xfId="0">
      <alignment horizontal="left" vertical="bottom"/>
    </xf>
    <xf numFmtId="49" fontId="21" fillId="0" borderId="20" applyAlignment="1" pivotButton="0" quotePrefix="0" xfId="0">
      <alignment horizontal="center" vertical="bottom"/>
    </xf>
    <xf numFmtId="49" fontId="21" fillId="0" borderId="20" applyAlignment="1" pivotButton="0" quotePrefix="0" xfId="0">
      <alignment horizontal="general" vertical="bottom"/>
    </xf>
    <xf numFmtId="49" fontId="21" fillId="0" borderId="0" applyAlignment="1" pivotButton="0" quotePrefix="0" xfId="0">
      <alignment horizontal="general" vertical="bottom"/>
    </xf>
    <xf numFmtId="0" fontId="12" fillId="4" borderId="0" applyAlignment="1" applyProtection="1" pivotButton="0" quotePrefix="0" xfId="0">
      <alignment horizontal="general" vertical="bottom"/>
      <protection locked="1" hidden="1"/>
    </xf>
    <xf numFmtId="0" fontId="0" fillId="4" borderId="0" applyAlignment="1" applyProtection="1" pivotButton="0" quotePrefix="0" xfId="0">
      <alignment horizontal="general" vertical="bottom"/>
      <protection locked="1" hidden="1"/>
    </xf>
    <xf numFmtId="0" fontId="23" fillId="5" borderId="20" applyAlignment="1" pivotButton="0" quotePrefix="0" xfId="0">
      <alignment horizontal="left" vertical="center" wrapText="1"/>
    </xf>
    <xf numFmtId="0" fontId="0" fillId="0" borderId="22" pivotButton="0" quotePrefix="0" xfId="0"/>
    <xf numFmtId="49" fontId="24" fillId="0" borderId="20" applyAlignment="1" pivotButton="0" quotePrefix="0" xfId="0">
      <alignment horizontal="left" vertical="center"/>
    </xf>
    <xf numFmtId="0" fontId="0" fillId="0" borderId="0" applyAlignment="1" pivotButton="0" quotePrefix="0" xfId="0">
      <alignment horizontal="general" vertical="bottom"/>
    </xf>
    <xf numFmtId="0" fontId="25" fillId="0" borderId="0" applyAlignment="1" pivotButton="0" quotePrefix="0" xfId="0">
      <alignment horizontal="general" vertical="center"/>
    </xf>
    <xf numFmtId="0" fontId="21" fillId="0" borderId="0" applyAlignment="1" pivotButton="0" quotePrefix="0" xfId="0">
      <alignment horizontal="center" vertical="bottom"/>
    </xf>
    <xf numFmtId="0" fontId="26" fillId="0" borderId="0" applyAlignment="1" pivotButton="0" quotePrefix="0" xfId="0">
      <alignment horizontal="general" vertical="center"/>
    </xf>
    <xf numFmtId="0" fontId="21" fillId="2" borderId="0" applyAlignment="1" pivotButton="0" quotePrefix="0" xfId="0">
      <alignment horizontal="center" vertical="bottom"/>
    </xf>
    <xf numFmtId="0" fontId="27" fillId="0" borderId="0" applyAlignment="1" pivotButton="0" quotePrefix="0" xfId="0">
      <alignment horizontal="general" vertical="bottom"/>
    </xf>
    <xf numFmtId="164" fontId="24" fillId="2" borderId="0" applyAlignment="1" pivotButton="0" quotePrefix="0" xfId="0">
      <alignment horizontal="center" vertical="bottom"/>
    </xf>
    <xf numFmtId="0" fontId="26" fillId="0" borderId="0" applyAlignment="1" pivotButton="0" quotePrefix="0" xfId="0">
      <alignment horizontal="left" vertical="center"/>
    </xf>
    <xf numFmtId="0" fontId="21" fillId="2" borderId="0" applyAlignment="1" pivotButton="0" quotePrefix="0" xfId="0">
      <alignment horizontal="general" vertical="bottom"/>
    </xf>
    <xf numFmtId="0" fontId="27" fillId="0" borderId="0" applyAlignment="1" pivotButton="0" quotePrefix="0" xfId="0">
      <alignment horizontal="left" vertical="bottom"/>
    </xf>
    <xf numFmtId="0" fontId="24" fillId="2" borderId="0" applyAlignment="1" pivotButton="0" quotePrefix="0" xfId="0">
      <alignment horizontal="center" vertical="bottom"/>
    </xf>
    <xf numFmtId="0" fontId="30" fillId="0" borderId="0" applyAlignment="1" pivotButton="0" quotePrefix="0" xfId="0">
      <alignment horizontal="general" vertical="bottom"/>
    </xf>
    <xf numFmtId="0" fontId="29" fillId="6" borderId="30" applyAlignment="1" pivotButton="0" quotePrefix="0" xfId="0">
      <alignment horizontal="center" vertical="center" wrapText="1"/>
    </xf>
    <xf numFmtId="0" fontId="30" fillId="0" borderId="0" applyAlignment="1" pivotButton="0" quotePrefix="0" xfId="0">
      <alignment horizontal="general" vertical="center"/>
    </xf>
    <xf numFmtId="0" fontId="31" fillId="7" borderId="30" applyAlignment="1" pivotButton="0" quotePrefix="0" xfId="0">
      <alignment horizontal="center" vertical="center" wrapText="1"/>
    </xf>
    <xf numFmtId="0" fontId="32" fillId="8" borderId="30" applyAlignment="1" pivotButton="0" quotePrefix="0" xfId="0">
      <alignment horizontal="general" vertical="center" wrapText="1"/>
    </xf>
    <xf numFmtId="49" fontId="30" fillId="2" borderId="30" applyAlignment="1" pivotButton="0" quotePrefix="0" xfId="0">
      <alignment horizontal="center" vertical="center"/>
    </xf>
    <xf numFmtId="0" fontId="0" fillId="0" borderId="0" applyAlignment="1" pivotButton="0" quotePrefix="0" xfId="0">
      <alignment horizontal="general" vertical="center"/>
    </xf>
    <xf numFmtId="0" fontId="21" fillId="0" borderId="0" applyAlignment="1" pivotButton="0" quotePrefix="0" xfId="0">
      <alignment horizontal="general" vertical="center"/>
    </xf>
    <xf numFmtId="0" fontId="26" fillId="0" borderId="0" applyAlignment="1" pivotButton="0" quotePrefix="0" xfId="0">
      <alignment horizontal="general" vertical="bottom"/>
    </xf>
    <xf numFmtId="164" fontId="24" fillId="0" borderId="0" applyAlignment="1" pivotButton="0" quotePrefix="0" xfId="0">
      <alignment horizontal="center" vertical="bottom"/>
    </xf>
    <xf numFmtId="0" fontId="35" fillId="0" borderId="26" applyAlignment="1" pivotButton="0" quotePrefix="0" xfId="0">
      <alignment horizontal="center" vertical="center"/>
    </xf>
    <xf numFmtId="0" fontId="0" fillId="0" borderId="26" pivotButton="0" quotePrefix="0" xfId="0"/>
    <xf numFmtId="0" fontId="23" fillId="9" borderId="31" applyAlignment="1" pivotButton="0" quotePrefix="0" xfId="0">
      <alignment horizontal="center" vertical="center" wrapText="1"/>
    </xf>
    <xf numFmtId="0" fontId="36" fillId="9" borderId="31" applyAlignment="1" pivotButton="0" quotePrefix="0" xfId="0">
      <alignment horizontal="center" vertical="center" wrapText="1"/>
    </xf>
    <xf numFmtId="0" fontId="0" fillId="0" borderId="2" pivotButton="0" quotePrefix="0" xfId="0"/>
    <xf numFmtId="0" fontId="0" fillId="0" borderId="3" pivotButton="0" quotePrefix="0" xfId="0"/>
    <xf numFmtId="0" fontId="36" fillId="9" borderId="32" applyAlignment="1" pivotButton="0" quotePrefix="0" xfId="0">
      <alignment horizontal="center" vertical="center" wrapText="1"/>
    </xf>
    <xf numFmtId="0" fontId="0" fillId="0" borderId="49" pivotButton="0" quotePrefix="0" xfId="0"/>
    <xf numFmtId="0" fontId="0" fillId="0" borderId="45" pivotButton="0" quotePrefix="0" xfId="0"/>
    <xf numFmtId="0" fontId="0" fillId="0" borderId="18" pivotButton="0" quotePrefix="0" xfId="0"/>
    <xf numFmtId="0" fontId="0" fillId="0" borderId="11" pivotButton="0" quotePrefix="0" xfId="0"/>
    <xf numFmtId="0" fontId="36" fillId="9" borderId="33" applyAlignment="1" pivotButton="0" quotePrefix="0" xfId="0">
      <alignment horizontal="center" vertical="center" wrapText="1"/>
    </xf>
    <xf numFmtId="0" fontId="0" fillId="0" borderId="33" pivotButton="0" quotePrefix="0" xfId="0"/>
    <xf numFmtId="0" fontId="36" fillId="9" borderId="34" applyAlignment="1" pivotButton="0" quotePrefix="0" xfId="0">
      <alignment horizontal="center" vertical="center" wrapText="1"/>
    </xf>
    <xf numFmtId="0" fontId="36" fillId="9" borderId="35" applyAlignment="1" pivotButton="0" quotePrefix="0" xfId="0">
      <alignment horizontal="center" vertical="center" wrapText="1"/>
    </xf>
    <xf numFmtId="0" fontId="28" fillId="0" borderId="34" applyAlignment="1" pivotButton="0" quotePrefix="0" xfId="0">
      <alignment horizontal="center" vertical="center" wrapText="1"/>
    </xf>
    <xf numFmtId="0" fontId="28" fillId="3" borderId="35" applyAlignment="1" pivotButton="0" quotePrefix="0" xfId="0">
      <alignment horizontal="general" vertical="center" wrapText="1"/>
    </xf>
    <xf numFmtId="0" fontId="28" fillId="3" borderId="35" applyAlignment="1" pivotButton="0" quotePrefix="0" xfId="0">
      <alignment horizontal="center" vertical="center" wrapText="1"/>
    </xf>
    <xf numFmtId="165" fontId="28" fillId="3" borderId="35" applyAlignment="1" pivotButton="0" quotePrefix="0" xfId="15">
      <alignment horizontal="right" vertical="center" wrapText="1"/>
    </xf>
    <xf numFmtId="0" fontId="27" fillId="0" borderId="34" applyAlignment="1" pivotButton="0" quotePrefix="0" xfId="0">
      <alignment horizontal="center" vertical="center" wrapText="1"/>
    </xf>
    <xf numFmtId="0" fontId="27" fillId="0" borderId="35" applyAlignment="1" pivotButton="0" quotePrefix="0" xfId="0">
      <alignment horizontal="general" vertical="center" wrapText="1"/>
    </xf>
    <xf numFmtId="0" fontId="27" fillId="0" borderId="35" applyAlignment="1" pivotButton="0" quotePrefix="0" xfId="0">
      <alignment horizontal="center" vertical="center" wrapText="1"/>
    </xf>
    <xf numFmtId="1" fontId="27" fillId="2" borderId="35" applyAlignment="1" pivotButton="0" quotePrefix="0" xfId="15">
      <alignment horizontal="right" vertical="center" wrapText="1"/>
    </xf>
    <xf numFmtId="1" fontId="27" fillId="0" borderId="35" applyAlignment="1" pivotButton="0" quotePrefix="0" xfId="15">
      <alignment horizontal="right" vertical="center" wrapText="1"/>
    </xf>
    <xf numFmtId="165" fontId="27" fillId="2" borderId="35" applyAlignment="1" pivotButton="0" quotePrefix="0" xfId="15">
      <alignment horizontal="right" vertical="center" wrapText="1"/>
    </xf>
    <xf numFmtId="165" fontId="27" fillId="0" borderId="35" applyAlignment="1" pivotButton="0" quotePrefix="0" xfId="15">
      <alignment horizontal="right" vertical="center" wrapText="1"/>
    </xf>
    <xf numFmtId="165" fontId="21" fillId="0" borderId="0" applyAlignment="1" pivotButton="0" quotePrefix="0" xfId="15">
      <alignment horizontal="general" vertical="bottom"/>
    </xf>
    <xf numFmtId="0" fontId="24" fillId="0" borderId="34" applyAlignment="1" pivotButton="0" quotePrefix="0" xfId="0">
      <alignment horizontal="center" vertical="center" wrapText="1"/>
    </xf>
    <xf numFmtId="0" fontId="24" fillId="3" borderId="35" applyAlignment="1" pivotButton="0" quotePrefix="0" xfId="0">
      <alignment horizontal="general" vertical="center" wrapText="1"/>
    </xf>
    <xf numFmtId="0" fontId="24" fillId="3" borderId="35" applyAlignment="1" pivotButton="0" quotePrefix="0" xfId="0">
      <alignment horizontal="center" vertical="center" wrapText="1"/>
    </xf>
    <xf numFmtId="0" fontId="27" fillId="0" borderId="36" applyAlignment="1" pivotButton="0" quotePrefix="0" xfId="0">
      <alignment horizontal="general" vertical="center" wrapText="1"/>
    </xf>
    <xf numFmtId="165" fontId="27" fillId="2" borderId="34" applyAlignment="1" pivotButton="0" quotePrefix="0" xfId="15">
      <alignment horizontal="right" vertical="center" wrapText="1"/>
    </xf>
    <xf numFmtId="165" fontId="27" fillId="0" borderId="34" applyAlignment="1" pivotButton="0" quotePrefix="0" xfId="15">
      <alignment horizontal="right" vertical="center" wrapText="1"/>
    </xf>
    <xf numFmtId="0" fontId="37" fillId="0" borderId="33" applyAlignment="1" pivotButton="0" quotePrefix="0" xfId="0">
      <alignment horizontal="general" vertical="center" wrapText="1"/>
    </xf>
    <xf numFmtId="0" fontId="27" fillId="0" borderId="34" applyAlignment="1" pivotButton="0" quotePrefix="0" xfId="0">
      <alignment horizontal="left" vertical="center" wrapText="1" indent="1"/>
    </xf>
    <xf numFmtId="165" fontId="21" fillId="0" borderId="0" applyAlignment="1" pivotButton="0" quotePrefix="0" xfId="0">
      <alignment horizontal="general" vertical="bottom"/>
    </xf>
    <xf numFmtId="0" fontId="28" fillId="0" borderId="34" applyAlignment="1" pivotButton="0" quotePrefix="0" xfId="0">
      <alignment horizontal="left" vertical="center" wrapText="1" indent="1"/>
    </xf>
    <xf numFmtId="165" fontId="27" fillId="2" borderId="35" applyAlignment="1" pivotButton="0" quotePrefix="0" xfId="15">
      <alignment horizontal="center" vertical="center" wrapText="1"/>
    </xf>
    <xf numFmtId="0" fontId="38" fillId="10" borderId="35" applyAlignment="1" pivotButton="0" quotePrefix="0" xfId="0">
      <alignment horizontal="general" vertical="center" wrapText="1"/>
    </xf>
    <xf numFmtId="0" fontId="38" fillId="10" borderId="35" applyAlignment="1" pivotButton="0" quotePrefix="0" xfId="0">
      <alignment horizontal="center" vertical="center" wrapText="1"/>
    </xf>
    <xf numFmtId="165" fontId="38" fillId="10" borderId="35" applyAlignment="1" pivotButton="0" quotePrefix="0" xfId="15">
      <alignment horizontal="right" vertical="center" wrapText="1"/>
    </xf>
    <xf numFmtId="0" fontId="28" fillId="0" borderId="35" applyAlignment="1" pivotButton="0" quotePrefix="0" xfId="0">
      <alignment horizontal="general" vertical="center" wrapText="1"/>
    </xf>
    <xf numFmtId="0" fontId="28" fillId="0" borderId="35" applyAlignment="1" pivotButton="0" quotePrefix="0" xfId="0">
      <alignment horizontal="center" vertical="center" wrapText="1"/>
    </xf>
    <xf numFmtId="165" fontId="28" fillId="2" borderId="35" applyAlignment="1" pivotButton="0" quotePrefix="0" xfId="15">
      <alignment horizontal="right" vertical="center" wrapText="1"/>
    </xf>
    <xf numFmtId="165" fontId="28" fillId="0" borderId="35" applyAlignment="1" pivotButton="0" quotePrefix="0" xfId="15">
      <alignment horizontal="right" vertical="center" wrapText="1"/>
    </xf>
    <xf numFmtId="0" fontId="28" fillId="0" borderId="37" applyAlignment="1" pivotButton="0" quotePrefix="0" xfId="0">
      <alignment horizontal="center" vertical="center" wrapText="1"/>
    </xf>
    <xf numFmtId="0" fontId="38" fillId="7" borderId="38" applyAlignment="1" pivotButton="0" quotePrefix="0" xfId="0">
      <alignment horizontal="general" vertical="center" wrapText="1"/>
    </xf>
    <xf numFmtId="0" fontId="38" fillId="7" borderId="38" applyAlignment="1" pivotButton="0" quotePrefix="0" xfId="0">
      <alignment horizontal="center" vertical="center" wrapText="1"/>
    </xf>
    <xf numFmtId="165" fontId="38" fillId="7" borderId="38" applyAlignment="1" pivotButton="0" quotePrefix="0" xfId="15">
      <alignment horizontal="right" vertical="center" wrapText="1"/>
    </xf>
    <xf numFmtId="0" fontId="28" fillId="0" borderId="0" applyAlignment="1" pivotButton="0" quotePrefix="0" xfId="0">
      <alignment horizontal="general" vertical="center"/>
    </xf>
    <xf numFmtId="165" fontId="26" fillId="0" borderId="0" applyAlignment="1" pivotButton="0" quotePrefix="0" xfId="0">
      <alignment horizontal="general" vertical="bottom"/>
    </xf>
    <xf numFmtId="165" fontId="27" fillId="0" borderId="0" applyAlignment="1" pivotButton="0" quotePrefix="0" xfId="0">
      <alignment horizontal="general" vertical="bottom"/>
    </xf>
    <xf numFmtId="165" fontId="39" fillId="0" borderId="0" applyAlignment="1" pivotButton="0" quotePrefix="0" xfId="0">
      <alignment horizontal="general" vertical="bottom"/>
    </xf>
    <xf numFmtId="0" fontId="0" fillId="2" borderId="0" applyAlignment="1" pivotButton="0" quotePrefix="0" xfId="0">
      <alignment horizontal="general" vertical="bottom"/>
    </xf>
    <xf numFmtId="164" fontId="24" fillId="2" borderId="0" applyAlignment="1" pivotButton="0" quotePrefix="0" xfId="0">
      <alignment horizontal="left" vertical="bottom"/>
    </xf>
    <xf numFmtId="49" fontId="0" fillId="0" borderId="0" applyAlignment="1" pivotButton="0" quotePrefix="0" xfId="0">
      <alignment horizontal="general" vertical="bottom"/>
    </xf>
    <xf numFmtId="0" fontId="24" fillId="2" borderId="0" applyAlignment="1" pivotButton="0" quotePrefix="0" xfId="0">
      <alignment horizontal="left" vertical="bottom"/>
    </xf>
    <xf numFmtId="0" fontId="26" fillId="0" borderId="34" applyAlignment="1" pivotButton="0" quotePrefix="0" xfId="0">
      <alignment horizontal="center" vertical="center" wrapText="1"/>
    </xf>
    <xf numFmtId="0" fontId="26" fillId="0" borderId="34" applyAlignment="1" pivotButton="0" quotePrefix="0" xfId="0">
      <alignment horizontal="general" vertical="center" wrapText="1"/>
    </xf>
    <xf numFmtId="165" fontId="26" fillId="2" borderId="34" applyAlignment="1" pivotButton="0" quotePrefix="0" xfId="15">
      <alignment horizontal="general" vertical="center" wrapText="1"/>
    </xf>
    <xf numFmtId="0" fontId="26" fillId="0" borderId="34" applyAlignment="1" pivotButton="0" quotePrefix="0" xfId="0">
      <alignment horizontal="left" vertical="center" wrapText="1" indent="1"/>
    </xf>
    <xf numFmtId="0" fontId="24" fillId="3" borderId="34" applyAlignment="1" pivotButton="0" quotePrefix="0" xfId="0">
      <alignment horizontal="general" vertical="center" wrapText="1"/>
    </xf>
    <xf numFmtId="0" fontId="26" fillId="3" borderId="34" applyAlignment="1" pivotButton="0" quotePrefix="0" xfId="0">
      <alignment horizontal="center" vertical="center" wrapText="1"/>
    </xf>
    <xf numFmtId="165" fontId="24" fillId="3" borderId="34" applyAlignment="1" pivotButton="0" quotePrefix="0" xfId="15">
      <alignment horizontal="general" vertical="center" wrapText="1"/>
    </xf>
    <xf numFmtId="0" fontId="24" fillId="0" borderId="34" applyAlignment="1" pivotButton="0" quotePrefix="0" xfId="0">
      <alignment horizontal="left" vertical="center" wrapText="1" indent="1"/>
    </xf>
    <xf numFmtId="165" fontId="26" fillId="3" borderId="34" applyAlignment="1" pivotButton="0" quotePrefix="0" xfId="15">
      <alignment horizontal="general" vertical="center" wrapText="1"/>
    </xf>
    <xf numFmtId="0" fontId="36" fillId="10" borderId="34" applyAlignment="1" pivotButton="0" quotePrefix="0" xfId="0">
      <alignment horizontal="general" vertical="center" wrapText="1"/>
    </xf>
    <xf numFmtId="0" fontId="41" fillId="10" borderId="34" applyAlignment="1" pivotButton="0" quotePrefix="0" xfId="0">
      <alignment horizontal="center" vertical="center" wrapText="1"/>
    </xf>
    <xf numFmtId="165" fontId="36" fillId="10" borderId="34" applyAlignment="1" pivotButton="0" quotePrefix="0" xfId="15">
      <alignment horizontal="general" vertical="center" wrapText="1"/>
    </xf>
    <xf numFmtId="0" fontId="36" fillId="10" borderId="34" applyAlignment="1" pivotButton="0" quotePrefix="0" xfId="0">
      <alignment horizontal="center" vertical="center" wrapText="1"/>
    </xf>
    <xf numFmtId="165" fontId="41" fillId="10" borderId="34" applyAlignment="1" pivotButton="0" quotePrefix="0" xfId="15">
      <alignment horizontal="general" vertical="center" wrapText="1"/>
    </xf>
    <xf numFmtId="165" fontId="0" fillId="0" borderId="0" applyAlignment="1" pivotButton="0" quotePrefix="0" xfId="0">
      <alignment horizontal="general" vertical="bottom"/>
    </xf>
    <xf numFmtId="0" fontId="24" fillId="0" borderId="37" applyAlignment="1" pivotButton="0" quotePrefix="0" xfId="0">
      <alignment horizontal="left" vertical="center" wrapText="1" indent="1"/>
    </xf>
    <xf numFmtId="0" fontId="36" fillId="7" borderId="37" applyAlignment="1" pivotButton="0" quotePrefix="0" xfId="0">
      <alignment horizontal="general" vertical="center" wrapText="1"/>
    </xf>
    <xf numFmtId="0" fontId="41" fillId="7" borderId="37" applyAlignment="1" pivotButton="0" quotePrefix="0" xfId="0">
      <alignment horizontal="center" vertical="center" wrapText="1"/>
    </xf>
    <xf numFmtId="165" fontId="36" fillId="7" borderId="37" applyAlignment="1" pivotButton="0" quotePrefix="0" xfId="15">
      <alignment horizontal="right" vertical="center" wrapText="1"/>
    </xf>
    <xf numFmtId="0" fontId="0" fillId="0" borderId="0" applyAlignment="1" pivotButton="0" quotePrefix="0" xfId="0">
      <alignment horizontal="center" vertical="bottom"/>
    </xf>
    <xf numFmtId="0" fontId="26" fillId="0" borderId="0" applyAlignment="1" pivotButton="0" quotePrefix="0" xfId="0">
      <alignment horizontal="left" vertical="bottom"/>
    </xf>
    <xf numFmtId="0" fontId="43" fillId="0" borderId="26" applyAlignment="1" pivotButton="0" quotePrefix="0" xfId="0">
      <alignment horizontal="center" vertical="center"/>
    </xf>
    <xf numFmtId="0" fontId="44" fillId="9" borderId="31" applyAlignment="1" pivotButton="0" quotePrefix="0" xfId="0">
      <alignment horizontal="center" vertical="center" wrapText="1"/>
    </xf>
    <xf numFmtId="0" fontId="45" fillId="9" borderId="31" applyAlignment="1" pivotButton="0" quotePrefix="0" xfId="0">
      <alignment horizontal="center" vertical="center" wrapText="1"/>
    </xf>
    <xf numFmtId="0" fontId="44" fillId="9" borderId="34" applyAlignment="1" pivotButton="0" quotePrefix="0" xfId="0">
      <alignment horizontal="center" vertical="center" wrapText="1"/>
    </xf>
    <xf numFmtId="0" fontId="27" fillId="0" borderId="34" applyAlignment="1" pivotButton="0" quotePrefix="0" xfId="0">
      <alignment horizontal="general" vertical="center" wrapText="1"/>
    </xf>
    <xf numFmtId="0" fontId="46" fillId="0" borderId="34" applyAlignment="1" pivotButton="0" quotePrefix="0" xfId="0">
      <alignment horizontal="center" vertical="center" wrapText="1"/>
    </xf>
    <xf numFmtId="0" fontId="39" fillId="0" borderId="34" applyAlignment="1" pivotButton="0" quotePrefix="0" xfId="0">
      <alignment horizontal="center" vertical="center" wrapText="1"/>
    </xf>
    <xf numFmtId="165" fontId="26" fillId="2" borderId="34" applyAlignment="1" pivotButton="0" quotePrefix="0" xfId="15">
      <alignment horizontal="center" vertical="center" wrapText="1"/>
    </xf>
    <xf numFmtId="0" fontId="38" fillId="10" borderId="34" applyAlignment="1" pivotButton="0" quotePrefix="0" xfId="0">
      <alignment horizontal="right" vertical="center" wrapText="1"/>
    </xf>
    <xf numFmtId="0" fontId="44" fillId="10" borderId="34" applyAlignment="1" pivotButton="0" quotePrefix="0" xfId="0">
      <alignment horizontal="center" vertical="center" wrapText="1"/>
    </xf>
    <xf numFmtId="0" fontId="46" fillId="10" borderId="34" applyAlignment="1" pivotButton="0" quotePrefix="0" xfId="0">
      <alignment horizontal="center" vertical="center" wrapText="1"/>
    </xf>
    <xf numFmtId="165" fontId="36" fillId="10" borderId="34" applyAlignment="1" pivotButton="0" quotePrefix="0" xfId="15">
      <alignment horizontal="center" vertical="center" wrapText="1"/>
    </xf>
    <xf numFmtId="0" fontId="38" fillId="10" borderId="34" applyAlignment="1" pivotButton="0" quotePrefix="0" xfId="0">
      <alignment horizontal="left" vertical="center" wrapText="1" indent="9"/>
    </xf>
    <xf numFmtId="165" fontId="24" fillId="2" borderId="34" applyAlignment="1" pivotButton="0" quotePrefix="0" xfId="15">
      <alignment horizontal="general" vertical="center" wrapText="1"/>
    </xf>
    <xf numFmtId="0" fontId="38" fillId="10" borderId="34" applyAlignment="1" pivotButton="0" quotePrefix="0" xfId="0">
      <alignment horizontal="general" vertical="center" wrapText="1"/>
    </xf>
    <xf numFmtId="165" fontId="24" fillId="2" borderId="34" applyAlignment="1" pivotButton="0" quotePrefix="0" xfId="15">
      <alignment horizontal="center" vertical="center" wrapText="1"/>
    </xf>
    <xf numFmtId="0" fontId="28" fillId="4" borderId="34" applyAlignment="1" pivotButton="0" quotePrefix="0" xfId="0">
      <alignment horizontal="justify" vertical="center" wrapText="1"/>
    </xf>
    <xf numFmtId="0" fontId="46" fillId="4" borderId="34" applyAlignment="1" pivotButton="0" quotePrefix="0" xfId="0">
      <alignment horizontal="center" vertical="center" wrapText="1"/>
    </xf>
    <xf numFmtId="165" fontId="24" fillId="4" borderId="34" applyAlignment="1" pivotButton="0" quotePrefix="0" xfId="15">
      <alignment horizontal="center" vertical="center" wrapText="1"/>
    </xf>
    <xf numFmtId="0" fontId="28" fillId="4" borderId="34" applyAlignment="1" pivotButton="0" quotePrefix="0" xfId="0">
      <alignment horizontal="general" vertical="center" wrapText="1"/>
    </xf>
    <xf numFmtId="0" fontId="38" fillId="7" borderId="37" applyAlignment="1" pivotButton="0" quotePrefix="0" xfId="0">
      <alignment horizontal="left" vertical="center" wrapText="1" indent="15"/>
    </xf>
    <xf numFmtId="0" fontId="44" fillId="7" borderId="37" applyAlignment="1" pivotButton="0" quotePrefix="0" xfId="0">
      <alignment horizontal="center" vertical="center" wrapText="1"/>
    </xf>
    <xf numFmtId="165" fontId="44" fillId="7" borderId="37" applyAlignment="1" pivotButton="0" quotePrefix="0" xfId="15">
      <alignment horizontal="center" vertical="center" wrapText="1"/>
    </xf>
    <xf numFmtId="0" fontId="47" fillId="0" borderId="0" applyAlignment="1" pivotButton="0" quotePrefix="0" xfId="0">
      <alignment horizontal="general" vertical="center"/>
    </xf>
    <xf numFmtId="0" fontId="28" fillId="0" borderId="0" applyAlignment="1" pivotButton="0" quotePrefix="0" xfId="0">
      <alignment horizontal="left" vertical="center" indent="5"/>
    </xf>
    <xf numFmtId="0" fontId="48" fillId="0" borderId="26" applyAlignment="1" pivotButton="0" quotePrefix="0" xfId="0">
      <alignment horizontal="center" vertical="center"/>
    </xf>
    <xf numFmtId="0" fontId="49" fillId="9" borderId="31" applyAlignment="1" pivotButton="0" quotePrefix="0" xfId="0">
      <alignment horizontal="center" vertical="center" wrapText="1"/>
    </xf>
    <xf numFmtId="0" fontId="38" fillId="9" borderId="31" applyAlignment="1" pivotButton="0" quotePrefix="0" xfId="0">
      <alignment horizontal="center" vertical="center" wrapText="1"/>
    </xf>
    <xf numFmtId="0" fontId="38" fillId="9" borderId="32" applyAlignment="1" pivotButton="0" quotePrefix="0" xfId="0">
      <alignment horizontal="center" vertical="center" wrapText="1"/>
    </xf>
    <xf numFmtId="0" fontId="38" fillId="9" borderId="33" applyAlignment="1" pivotButton="0" quotePrefix="0" xfId="0">
      <alignment horizontal="center" vertical="center" wrapText="1"/>
    </xf>
    <xf numFmtId="0" fontId="38" fillId="7" borderId="36" applyAlignment="1" pivotButton="0" quotePrefix="0" xfId="0">
      <alignment horizontal="left" vertical="center" wrapText="1"/>
    </xf>
    <xf numFmtId="0" fontId="0" fillId="0" borderId="16" pivotButton="0" quotePrefix="0" xfId="0"/>
    <xf numFmtId="0" fontId="0" fillId="0" borderId="17" pivotButton="0" quotePrefix="0" xfId="0"/>
    <xf numFmtId="0" fontId="38" fillId="7" borderId="34" applyAlignment="1" pivotButton="0" quotePrefix="0" xfId="0">
      <alignment horizontal="center" vertical="center" wrapText="1"/>
    </xf>
    <xf numFmtId="0" fontId="27" fillId="7" borderId="34" applyAlignment="1" pivotButton="0" quotePrefix="0" xfId="0">
      <alignment horizontal="center" vertical="center" wrapText="1"/>
    </xf>
    <xf numFmtId="165" fontId="38" fillId="2" borderId="34" applyAlignment="1" pivotButton="0" quotePrefix="0" xfId="15">
      <alignment horizontal="center" vertical="center" wrapText="1"/>
    </xf>
    <xf numFmtId="0" fontId="38" fillId="7" borderId="33" applyAlignment="1" pivotButton="0" quotePrefix="0" xfId="0">
      <alignment horizontal="left" vertical="center" wrapText="1"/>
    </xf>
    <xf numFmtId="0" fontId="28" fillId="3" borderId="34" applyAlignment="1" pivotButton="0" quotePrefix="0" xfId="0">
      <alignment horizontal="left" vertical="center" wrapText="1"/>
    </xf>
    <xf numFmtId="0" fontId="0" fillId="0" borderId="40" pivotButton="0" quotePrefix="0" xfId="0"/>
    <xf numFmtId="0" fontId="0" fillId="0" borderId="35" pivotButton="0" quotePrefix="0" xfId="0"/>
    <xf numFmtId="0" fontId="27" fillId="3" borderId="34" applyAlignment="1" pivotButton="0" quotePrefix="0" xfId="0">
      <alignment horizontal="center" vertical="center" wrapText="1"/>
    </xf>
    <xf numFmtId="0" fontId="27" fillId="3" borderId="34" applyAlignment="1" pivotButton="0" quotePrefix="0" xfId="0">
      <alignment horizontal="general" vertical="center" wrapText="1"/>
    </xf>
    <xf numFmtId="165" fontId="27" fillId="3" borderId="34" applyAlignment="1" pivotButton="0" quotePrefix="0" xfId="15">
      <alignment horizontal="general" vertical="center" wrapText="1"/>
    </xf>
    <xf numFmtId="165" fontId="27" fillId="3" borderId="33" applyAlignment="1" pivotButton="0" quotePrefix="0" xfId="15">
      <alignment horizontal="general" vertical="center" wrapText="1"/>
    </xf>
    <xf numFmtId="0" fontId="28" fillId="0" borderId="34" applyAlignment="1" pivotButton="0" quotePrefix="0" xfId="0">
      <alignment horizontal="left" vertical="center" wrapText="1"/>
    </xf>
    <xf numFmtId="0" fontId="28" fillId="0" borderId="34" applyAlignment="1" pivotButton="0" quotePrefix="0" xfId="0">
      <alignment horizontal="general" vertical="center" wrapText="1"/>
    </xf>
    <xf numFmtId="165" fontId="52" fillId="2" borderId="34" applyAlignment="1" pivotButton="0" quotePrefix="0" xfId="15">
      <alignment horizontal="general" vertical="center" wrapText="1"/>
    </xf>
    <xf numFmtId="0" fontId="27" fillId="0" borderId="34" applyAlignment="1" pivotButton="0" quotePrefix="0" xfId="0">
      <alignment horizontal="left" vertical="center" wrapText="1"/>
    </xf>
    <xf numFmtId="165" fontId="54" fillId="2" borderId="34" applyAlignment="1" pivotButton="0" quotePrefix="0" xfId="15">
      <alignment horizontal="general" vertical="center" wrapText="1"/>
    </xf>
    <xf numFmtId="0" fontId="28" fillId="0" borderId="39" applyAlignment="1" pivotButton="0" quotePrefix="0" xfId="0">
      <alignment horizontal="left" vertical="center" wrapText="1"/>
    </xf>
    <xf numFmtId="165" fontId="46" fillId="0" borderId="40" applyAlignment="1" pivotButton="0" quotePrefix="0" xfId="0">
      <alignment horizontal="left" vertical="center" wrapText="1"/>
    </xf>
    <xf numFmtId="165" fontId="46" fillId="0" borderId="35" applyAlignment="1" pivotButton="0" quotePrefix="0" xfId="0">
      <alignment horizontal="left" vertical="center" wrapText="1"/>
    </xf>
    <xf numFmtId="165" fontId="27" fillId="0" borderId="34" applyAlignment="1" pivotButton="0" quotePrefix="0" xfId="15">
      <alignment horizontal="general" vertical="center" wrapText="1"/>
    </xf>
    <xf numFmtId="165" fontId="28" fillId="0" borderId="34" applyAlignment="1" pivotButton="0" quotePrefix="0" xfId="15">
      <alignment horizontal="general" vertical="center" wrapText="1"/>
    </xf>
    <xf numFmtId="0" fontId="38" fillId="10" borderId="34" applyAlignment="1" pivotButton="0" quotePrefix="0" xfId="0">
      <alignment horizontal="left" vertical="center" wrapText="1"/>
    </xf>
    <xf numFmtId="0" fontId="38" fillId="10" borderId="34" applyAlignment="1" pivotButton="0" quotePrefix="0" xfId="0">
      <alignment horizontal="center" vertical="center" wrapText="1"/>
    </xf>
    <xf numFmtId="0" fontId="51" fillId="10" borderId="34" applyAlignment="1" pivotButton="0" quotePrefix="0" xfId="0">
      <alignment horizontal="general" vertical="center" wrapText="1"/>
    </xf>
    <xf numFmtId="165" fontId="38" fillId="10" borderId="34" applyAlignment="1" pivotButton="0" quotePrefix="0" xfId="15">
      <alignment horizontal="general" vertical="center" wrapText="1"/>
    </xf>
    <xf numFmtId="165" fontId="27" fillId="2" borderId="34" applyAlignment="1" pivotButton="0" quotePrefix="0" xfId="15">
      <alignment horizontal="general" vertical="center" wrapText="1"/>
    </xf>
    <xf numFmtId="165" fontId="51" fillId="10" borderId="34" applyAlignment="1" pivotButton="0" quotePrefix="0" xfId="15">
      <alignment horizontal="general" vertical="center" wrapText="1"/>
    </xf>
    <xf numFmtId="0" fontId="28" fillId="4" borderId="34" applyAlignment="1" pivotButton="0" quotePrefix="0" xfId="0">
      <alignment horizontal="left" vertical="center" wrapText="1"/>
    </xf>
    <xf numFmtId="0" fontId="28" fillId="4" borderId="34" applyAlignment="1" pivotButton="0" quotePrefix="0" xfId="0">
      <alignment horizontal="center" vertical="center" wrapText="1"/>
    </xf>
    <xf numFmtId="0" fontId="51" fillId="4" borderId="34" applyAlignment="1" pivotButton="0" quotePrefix="0" xfId="0">
      <alignment horizontal="general" vertical="center" wrapText="1"/>
    </xf>
    <xf numFmtId="165" fontId="28" fillId="4" borderId="34" applyAlignment="1" pivotButton="0" quotePrefix="0" xfId="15">
      <alignment horizontal="general" vertical="center" wrapText="1"/>
    </xf>
    <xf numFmtId="0" fontId="38" fillId="4" borderId="34" applyAlignment="1" pivotButton="0" quotePrefix="0" xfId="0">
      <alignment horizontal="general" vertical="center" wrapText="1"/>
    </xf>
    <xf numFmtId="0" fontId="38" fillId="7" borderId="34" applyAlignment="1" pivotButton="0" quotePrefix="0" xfId="0">
      <alignment horizontal="left" vertical="center" wrapText="1"/>
    </xf>
    <xf numFmtId="0" fontId="38" fillId="7" borderId="37" applyAlignment="1" pivotButton="0" quotePrefix="0" xfId="0">
      <alignment horizontal="center" vertical="center" wrapText="1"/>
    </xf>
    <xf numFmtId="165" fontId="38" fillId="2" borderId="37" applyAlignment="1" pivotButton="0" quotePrefix="0" xfId="15">
      <alignment horizontal="center" vertical="center" wrapText="1"/>
    </xf>
    <xf numFmtId="165" fontId="0" fillId="0" borderId="0" applyAlignment="1" pivotButton="0" quotePrefix="0" xfId="15">
      <alignment horizontal="general" vertical="bottom"/>
    </xf>
    <xf numFmtId="0" fontId="0" fillId="0" borderId="50" pivotButton="0" quotePrefix="0" xfId="0"/>
    <xf numFmtId="0" fontId="51" fillId="7" borderId="37" applyAlignment="1" pivotButton="0" quotePrefix="0" xfId="0">
      <alignment horizontal="left" vertical="center" wrapText="1"/>
    </xf>
    <xf numFmtId="0" fontId="0" fillId="0" borderId="92" pivotButton="0" quotePrefix="0" xfId="0"/>
    <xf numFmtId="0" fontId="0" fillId="0" borderId="38" pivotButton="0" quotePrefix="0" xfId="0"/>
    <xf numFmtId="0" fontId="46" fillId="0" borderId="2" applyAlignment="1" pivotButton="0" quotePrefix="0" xfId="0">
      <alignment horizontal="left" vertical="center" wrapText="1"/>
    </xf>
    <xf numFmtId="165" fontId="57" fillId="0" borderId="0" applyAlignment="1" pivotButton="0" quotePrefix="0" xfId="15">
      <alignment horizontal="general" vertical="bottom"/>
    </xf>
    <xf numFmtId="165" fontId="57" fillId="0" borderId="0" applyAlignment="1" pivotButton="0" quotePrefix="0" xfId="0">
      <alignment horizontal="general" vertical="bottom"/>
    </xf>
    <xf numFmtId="0" fontId="30" fillId="0" borderId="0" applyAlignment="1" pivotButton="0" quotePrefix="0" xfId="0">
      <alignment horizontal="justify" vertical="center"/>
    </xf>
    <xf numFmtId="0" fontId="26" fillId="2" borderId="0" applyAlignment="1" pivotButton="0" quotePrefix="0" xfId="0">
      <alignment horizontal="general" vertical="center"/>
    </xf>
    <xf numFmtId="0" fontId="26" fillId="2" borderId="0" applyAlignment="1" pivotButton="0" quotePrefix="0" xfId="0">
      <alignment horizontal="left" vertical="center"/>
    </xf>
    <xf numFmtId="0" fontId="38" fillId="9" borderId="1" applyAlignment="1" pivotButton="0" quotePrefix="0" xfId="0">
      <alignment horizontal="center" vertical="center" wrapText="1"/>
    </xf>
    <xf numFmtId="0" fontId="38" fillId="9" borderId="32" applyAlignment="1" pivotButton="0" quotePrefix="0" xfId="0">
      <alignment horizontal="general" vertical="center" wrapText="1"/>
    </xf>
    <xf numFmtId="0" fontId="38" fillId="9" borderId="30" applyAlignment="1" pivotButton="0" quotePrefix="0" xfId="0">
      <alignment horizontal="center" vertical="center" wrapText="1"/>
    </xf>
    <xf numFmtId="0" fontId="0" fillId="0" borderId="48" pivotButton="0" quotePrefix="0" xfId="0"/>
    <xf numFmtId="0" fontId="0" fillId="0" borderId="91" pivotButton="0" quotePrefix="0" xfId="0"/>
    <xf numFmtId="0" fontId="0" fillId="0" borderId="4" pivotButton="0" quotePrefix="0" xfId="0"/>
    <xf numFmtId="0" fontId="38" fillId="9" borderId="30" applyAlignment="1" pivotButton="0" quotePrefix="0" xfId="0">
      <alignment horizontal="justify" vertical="center" wrapText="1"/>
    </xf>
    <xf numFmtId="0" fontId="38" fillId="9" borderId="30" applyAlignment="1" pivotButton="0" quotePrefix="0" xfId="0">
      <alignment horizontal="general" vertical="center" wrapText="1"/>
    </xf>
    <xf numFmtId="0" fontId="28" fillId="3" borderId="41" applyAlignment="1" pivotButton="0" quotePrefix="0" xfId="0">
      <alignment horizontal="general" vertical="center" wrapText="1"/>
    </xf>
    <xf numFmtId="0" fontId="27" fillId="3" borderId="30" applyAlignment="1" pivotButton="0" quotePrefix="0" xfId="0">
      <alignment horizontal="general" vertical="center" wrapText="1"/>
    </xf>
    <xf numFmtId="165" fontId="27" fillId="3" borderId="30" applyAlignment="1" pivotButton="0" quotePrefix="0" xfId="15">
      <alignment horizontal="right" vertical="center" wrapText="1"/>
    </xf>
    <xf numFmtId="165" fontId="27" fillId="3" borderId="42" applyAlignment="1" pivotButton="0" quotePrefix="0" xfId="15">
      <alignment horizontal="right" vertical="center" wrapText="1"/>
    </xf>
    <xf numFmtId="165" fontId="27" fillId="3" borderId="43" applyAlignment="1" pivotButton="0" quotePrefix="0" xfId="15">
      <alignment horizontal="right" vertical="center" wrapText="1"/>
    </xf>
    <xf numFmtId="165" fontId="27" fillId="3" borderId="44" applyAlignment="1" pivotButton="0" quotePrefix="0" xfId="15">
      <alignment horizontal="right" vertical="center" wrapText="1"/>
    </xf>
    <xf numFmtId="0" fontId="27" fillId="0" borderId="45" applyAlignment="1" pivotButton="0" quotePrefix="0" xfId="0">
      <alignment horizontal="general" vertical="center" wrapText="1"/>
    </xf>
    <xf numFmtId="0" fontId="27" fillId="0" borderId="33" applyAlignment="1" pivotButton="0" quotePrefix="0" xfId="0">
      <alignment horizontal="general" vertical="center" wrapText="1"/>
    </xf>
    <xf numFmtId="165" fontId="27" fillId="0" borderId="33" applyAlignment="1" pivotButton="0" quotePrefix="0" xfId="15">
      <alignment horizontal="right" vertical="center" wrapText="1"/>
    </xf>
    <xf numFmtId="165" fontId="27" fillId="0" borderId="14" applyAlignment="1" pivotButton="0" quotePrefix="0" xfId="15">
      <alignment horizontal="right" vertical="center" wrapText="1"/>
    </xf>
    <xf numFmtId="165" fontId="27" fillId="0" borderId="9" applyAlignment="1" pivotButton="0" quotePrefix="0" xfId="15">
      <alignment horizontal="right" vertical="center" wrapText="1"/>
    </xf>
    <xf numFmtId="165" fontId="27" fillId="0" borderId="15" applyAlignment="1" pivotButton="0" quotePrefix="0" xfId="15">
      <alignment horizontal="right" vertical="center" wrapText="1"/>
    </xf>
    <xf numFmtId="0" fontId="27" fillId="0" borderId="39" applyAlignment="1" pivotButton="0" quotePrefix="0" xfId="0">
      <alignment horizontal="general" vertical="center" wrapText="1"/>
    </xf>
    <xf numFmtId="165" fontId="27" fillId="0" borderId="22" applyAlignment="1" pivotButton="0" quotePrefix="0" xfId="15">
      <alignment horizontal="right" vertical="center" wrapText="1"/>
    </xf>
    <xf numFmtId="165" fontId="27" fillId="0" borderId="20" applyAlignment="1" pivotButton="0" quotePrefix="0" xfId="15">
      <alignment horizontal="right" vertical="center" wrapText="1"/>
    </xf>
    <xf numFmtId="165" fontId="27" fillId="0" borderId="46" applyAlignment="1" pivotButton="0" quotePrefix="0" xfId="15">
      <alignment horizontal="right" vertical="center" wrapText="1"/>
    </xf>
    <xf numFmtId="0" fontId="27" fillId="0" borderId="12" applyAlignment="1" pivotButton="0" quotePrefix="0" xfId="0">
      <alignment horizontal="general" vertical="center" wrapText="1"/>
    </xf>
    <xf numFmtId="165" fontId="27" fillId="0" borderId="36" applyAlignment="1" pivotButton="0" quotePrefix="0" xfId="15">
      <alignment horizontal="right" vertical="center" wrapText="1"/>
    </xf>
    <xf numFmtId="165" fontId="27" fillId="0" borderId="29" applyAlignment="1" pivotButton="0" quotePrefix="0" xfId="15">
      <alignment horizontal="right" vertical="center" wrapText="1"/>
    </xf>
    <xf numFmtId="165" fontId="27" fillId="0" borderId="23" applyAlignment="1" pivotButton="0" quotePrefix="0" xfId="15">
      <alignment horizontal="right" vertical="center" wrapText="1"/>
    </xf>
    <xf numFmtId="165" fontId="27" fillId="0" borderId="47" applyAlignment="1" pivotButton="0" quotePrefix="0" xfId="15">
      <alignment horizontal="right" vertical="center" wrapText="1"/>
    </xf>
    <xf numFmtId="0" fontId="38" fillId="10" borderId="41" applyAlignment="1" pivotButton="0" quotePrefix="0" xfId="0">
      <alignment horizontal="center" vertical="center" wrapText="1"/>
    </xf>
    <xf numFmtId="0" fontId="51" fillId="10" borderId="30" applyAlignment="1" pivotButton="0" quotePrefix="0" xfId="0">
      <alignment horizontal="general" vertical="center" wrapText="1"/>
    </xf>
    <xf numFmtId="165" fontId="38" fillId="10" borderId="30" applyAlignment="1" pivotButton="0" quotePrefix="0" xfId="15">
      <alignment horizontal="general" vertical="center" wrapText="1"/>
    </xf>
    <xf numFmtId="165" fontId="38" fillId="10" borderId="42" applyAlignment="1" pivotButton="0" quotePrefix="0" xfId="15">
      <alignment horizontal="general" vertical="center" wrapText="1"/>
    </xf>
    <xf numFmtId="165" fontId="38" fillId="10" borderId="43" applyAlignment="1" pivotButton="0" quotePrefix="0" xfId="15">
      <alignment horizontal="general" vertical="center" wrapText="1"/>
    </xf>
    <xf numFmtId="165" fontId="38" fillId="10" borderId="44" applyAlignment="1" pivotButton="0" quotePrefix="0" xfId="15">
      <alignment horizontal="general" vertical="center" wrapText="1"/>
    </xf>
    <xf numFmtId="0" fontId="27" fillId="0" borderId="45" applyAlignment="1" pivotButton="0" quotePrefix="0" xfId="0">
      <alignment horizontal="center" vertical="center" wrapText="1"/>
    </xf>
    <xf numFmtId="0" fontId="28" fillId="3" borderId="39" applyAlignment="1" pivotButton="0" quotePrefix="0" xfId="0">
      <alignment horizontal="general" vertical="center" wrapText="1"/>
    </xf>
    <xf numFmtId="165" fontId="27" fillId="3" borderId="34" applyAlignment="1" pivotButton="0" quotePrefix="0" xfId="15">
      <alignment horizontal="right" vertical="center" wrapText="1"/>
    </xf>
    <xf numFmtId="165" fontId="27" fillId="3" borderId="22" applyAlignment="1" pivotButton="0" quotePrefix="0" xfId="15">
      <alignment horizontal="right" vertical="center" wrapText="1"/>
    </xf>
    <xf numFmtId="165" fontId="27" fillId="3" borderId="20" applyAlignment="1" pivotButton="0" quotePrefix="0" xfId="15">
      <alignment horizontal="right" vertical="center" wrapText="1"/>
    </xf>
    <xf numFmtId="165" fontId="27" fillId="3" borderId="46" applyAlignment="1" pivotButton="0" quotePrefix="0" xfId="15">
      <alignment horizontal="right" vertical="center" wrapText="1"/>
    </xf>
    <xf numFmtId="0" fontId="38" fillId="7" borderId="41" applyAlignment="1" pivotButton="0" quotePrefix="0" xfId="0">
      <alignment horizontal="general" vertical="center" wrapText="1"/>
    </xf>
    <xf numFmtId="0" fontId="51" fillId="7" borderId="30" applyAlignment="1" pivotButton="0" quotePrefix="0" xfId="0">
      <alignment horizontal="general" vertical="center" wrapText="1"/>
    </xf>
    <xf numFmtId="165" fontId="38" fillId="7" borderId="30" applyAlignment="1" pivotButton="0" quotePrefix="0" xfId="15">
      <alignment horizontal="general" vertical="center" wrapText="1"/>
    </xf>
    <xf numFmtId="165" fontId="38" fillId="7" borderId="42" applyAlignment="1" pivotButton="0" quotePrefix="0" xfId="15">
      <alignment horizontal="general" vertical="center" wrapText="1"/>
    </xf>
    <xf numFmtId="165" fontId="38" fillId="7" borderId="43" applyAlignment="1" pivotButton="0" quotePrefix="0" xfId="15">
      <alignment horizontal="general" vertical="center" wrapText="1"/>
    </xf>
    <xf numFmtId="165" fontId="38" fillId="7" borderId="44" applyAlignment="1" pivotButton="0" quotePrefix="0" xfId="15">
      <alignment horizontal="general" vertical="center" wrapText="1"/>
    </xf>
    <xf numFmtId="0" fontId="0" fillId="0" borderId="93" pivotButton="0" quotePrefix="0" xfId="0"/>
    <xf numFmtId="0" fontId="0" fillId="0" borderId="94" pivotButton="0" quotePrefix="0" xfId="0"/>
    <xf numFmtId="0" fontId="51" fillId="9" borderId="18" applyAlignment="1" pivotButton="0" quotePrefix="0" xfId="0">
      <alignment horizontal="center" vertical="center" wrapText="1"/>
    </xf>
    <xf numFmtId="0" fontId="51" fillId="9" borderId="31" applyAlignment="1" pivotButton="0" quotePrefix="0" xfId="0">
      <alignment horizontal="center" vertical="center" wrapText="1"/>
    </xf>
    <xf numFmtId="165" fontId="27" fillId="0" borderId="40" applyAlignment="1" pivotButton="0" quotePrefix="0" xfId="15">
      <alignment horizontal="right" vertical="center" wrapText="1"/>
    </xf>
    <xf numFmtId="0" fontId="27" fillId="0" borderId="37" applyAlignment="1" pivotButton="0" quotePrefix="0" xfId="0">
      <alignment horizontal="general" vertical="center" wrapText="1"/>
    </xf>
    <xf numFmtId="165" fontId="27" fillId="0" borderId="36" applyAlignment="1" pivotButton="0" quotePrefix="0" xfId="15">
      <alignment horizontal="general" vertical="center" wrapText="1"/>
    </xf>
    <xf numFmtId="165" fontId="27" fillId="0" borderId="16" applyAlignment="1" pivotButton="0" quotePrefix="0" xfId="15">
      <alignment horizontal="right" vertical="center" wrapText="1"/>
    </xf>
    <xf numFmtId="0" fontId="38" fillId="7" borderId="30" applyAlignment="1" pivotButton="0" quotePrefix="0" xfId="0">
      <alignment horizontal="general" vertical="center" wrapText="1"/>
    </xf>
    <xf numFmtId="165" fontId="51" fillId="7" borderId="30" applyAlignment="1" pivotButton="0" quotePrefix="0" xfId="15">
      <alignment horizontal="general" vertical="center" wrapText="1"/>
    </xf>
    <xf numFmtId="165" fontId="38" fillId="7" borderId="48" applyAlignment="1" pivotButton="0" quotePrefix="0" xfId="15">
      <alignment horizontal="right" vertical="center" wrapText="1"/>
    </xf>
    <xf numFmtId="165" fontId="38" fillId="7" borderId="30" applyAlignment="1" pivotButton="0" quotePrefix="0" xfId="15">
      <alignment horizontal="right" vertical="center" wrapText="1"/>
    </xf>
    <xf numFmtId="0" fontId="27" fillId="0" borderId="0" applyAlignment="1" pivotButton="0" quotePrefix="0" xfId="0">
      <alignment horizontal="left" vertical="center" indent="7"/>
    </xf>
    <xf numFmtId="0" fontId="61" fillId="0" borderId="0" applyAlignment="1" pivotButton="0" quotePrefix="0" xfId="0">
      <alignment horizontal="general" vertical="center"/>
    </xf>
    <xf numFmtId="0" fontId="62" fillId="0" borderId="0" applyAlignment="1" pivotButton="0" quotePrefix="0" xfId="0">
      <alignment horizontal="center" vertical="center"/>
    </xf>
    <xf numFmtId="0" fontId="64" fillId="0" borderId="26" applyAlignment="1" pivotButton="0" quotePrefix="0" xfId="0">
      <alignment horizontal="center" vertical="center"/>
    </xf>
    <xf numFmtId="0" fontId="65" fillId="10" borderId="32" applyAlignment="1" pivotButton="0" quotePrefix="0" xfId="0">
      <alignment horizontal="center" vertical="center" wrapText="1"/>
    </xf>
    <xf numFmtId="0" fontId="21" fillId="2" borderId="34" applyAlignment="1" pivotButton="0" quotePrefix="0" xfId="0">
      <alignment horizontal="left" vertical="center" wrapText="1"/>
    </xf>
    <xf numFmtId="0" fontId="65" fillId="10" borderId="49" applyAlignment="1" pivotButton="0" quotePrefix="0" xfId="0">
      <alignment horizontal="center" vertical="center" wrapText="1"/>
    </xf>
    <xf numFmtId="0" fontId="0" fillId="0" borderId="5" pivotButton="0" quotePrefix="0" xfId="0"/>
    <xf numFmtId="0" fontId="21" fillId="2" borderId="36" applyAlignment="1" pivotButton="0" quotePrefix="0" xfId="0">
      <alignment horizontal="left" vertical="center" wrapText="1"/>
    </xf>
    <xf numFmtId="0" fontId="21" fillId="2" borderId="37" applyAlignment="1" pivotButton="0" quotePrefix="0" xfId="0">
      <alignment horizontal="left" vertical="center" wrapText="1"/>
    </xf>
    <xf numFmtId="0" fontId="66" fillId="0" borderId="0" applyAlignment="1" pivotButton="0" quotePrefix="0" xfId="0">
      <alignment horizontal="center" vertical="center"/>
    </xf>
    <xf numFmtId="0" fontId="67" fillId="0" borderId="0" applyAlignment="1" pivotButton="0" quotePrefix="0" xfId="0">
      <alignment horizontal="general" vertical="bottom"/>
    </xf>
    <xf numFmtId="0" fontId="48" fillId="0" borderId="0" applyAlignment="1" pivotButton="0" quotePrefix="0" xfId="0">
      <alignment horizontal="center" vertical="center"/>
    </xf>
    <xf numFmtId="0" fontId="68" fillId="0" borderId="0" applyAlignment="1" pivotButton="0" quotePrefix="0" xfId="0">
      <alignment horizontal="center" vertical="center"/>
    </xf>
    <xf numFmtId="0" fontId="38" fillId="9" borderId="32" applyAlignment="1" pivotButton="0" quotePrefix="0" xfId="0">
      <alignment horizontal="justify" vertical="center" wrapText="1"/>
    </xf>
    <xf numFmtId="0" fontId="38" fillId="9" borderId="2" applyAlignment="1" pivotButton="0" quotePrefix="0" xfId="0">
      <alignment horizontal="center" vertical="center" wrapText="1"/>
    </xf>
    <xf numFmtId="0" fontId="69" fillId="0" borderId="0" applyAlignment="1" pivotButton="0" quotePrefix="0" xfId="0">
      <alignment horizontal="center" vertical="center"/>
    </xf>
    <xf numFmtId="0" fontId="38" fillId="9" borderId="49" applyAlignment="1" pivotButton="0" quotePrefix="0" xfId="0">
      <alignment horizontal="center" vertical="center" wrapText="1"/>
    </xf>
    <xf numFmtId="0" fontId="38" fillId="9" borderId="0" applyAlignment="1" pivotButton="0" quotePrefix="0" xfId="0">
      <alignment horizontal="center" vertical="center" wrapText="1"/>
    </xf>
    <xf numFmtId="0" fontId="70" fillId="0" borderId="0" applyAlignment="1" pivotButton="0" quotePrefix="0" xfId="0">
      <alignment horizontal="center" vertical="center"/>
    </xf>
    <xf numFmtId="0" fontId="38" fillId="9" borderId="50" applyAlignment="1" pivotButton="0" quotePrefix="0" xfId="0">
      <alignment horizontal="general" vertical="center" wrapText="1"/>
    </xf>
    <xf numFmtId="0" fontId="38" fillId="9" borderId="26" applyAlignment="1" pivotButton="0" quotePrefix="0" xfId="0">
      <alignment horizontal="center" vertical="center" wrapText="1"/>
    </xf>
    <xf numFmtId="0" fontId="38" fillId="9" borderId="50" applyAlignment="1" pivotButton="0" quotePrefix="0" xfId="0">
      <alignment horizontal="center" vertical="center" wrapText="1"/>
    </xf>
    <xf numFmtId="0" fontId="28" fillId="3" borderId="33" applyAlignment="1" pivotButton="0" quotePrefix="0" xfId="0">
      <alignment horizontal="general" vertical="center" wrapText="1"/>
    </xf>
    <xf numFmtId="165" fontId="28" fillId="3" borderId="33" applyAlignment="1" pivotButton="0" quotePrefix="0" xfId="15">
      <alignment horizontal="right" vertical="center" wrapText="1"/>
    </xf>
    <xf numFmtId="165" fontId="27" fillId="2" borderId="40" applyAlignment="1" pivotButton="0" quotePrefix="0" xfId="15">
      <alignment horizontal="right" vertical="center" wrapText="1"/>
    </xf>
    <xf numFmtId="0" fontId="28" fillId="3" borderId="34" applyAlignment="1" pivotButton="0" quotePrefix="0" xfId="0">
      <alignment horizontal="general" vertical="center" wrapText="1"/>
    </xf>
    <xf numFmtId="165" fontId="28" fillId="3" borderId="34" applyAlignment="1" pivotButton="0" quotePrefix="0" xfId="15">
      <alignment horizontal="right" vertical="center" wrapText="1"/>
    </xf>
    <xf numFmtId="0" fontId="38" fillId="7" borderId="37" applyAlignment="1" pivotButton="0" quotePrefix="0" xfId="0">
      <alignment horizontal="general" vertical="center" wrapText="1"/>
    </xf>
    <xf numFmtId="165" fontId="38" fillId="7" borderId="37" applyAlignment="1" pivotButton="0" quotePrefix="0" xfId="15">
      <alignment horizontal="right" vertical="center" wrapText="1"/>
    </xf>
    <xf numFmtId="0" fontId="71" fillId="0" borderId="0" applyAlignment="1" pivotButton="0" quotePrefix="0" xfId="0">
      <alignment horizontal="left" vertical="center" wrapText="1"/>
    </xf>
    <xf numFmtId="165" fontId="30" fillId="0" borderId="0" applyAlignment="1" pivotButton="0" quotePrefix="0" xfId="0">
      <alignment horizontal="general" vertical="bottom"/>
    </xf>
    <xf numFmtId="0" fontId="68" fillId="0" borderId="0" applyAlignment="1" pivotButton="0" quotePrefix="0" xfId="0">
      <alignment horizontal="left" vertical="center" indent="15"/>
    </xf>
    <xf numFmtId="0" fontId="75" fillId="0" borderId="26" applyAlignment="1" pivotButton="0" quotePrefix="0" xfId="0">
      <alignment horizontal="center" vertical="center"/>
    </xf>
    <xf numFmtId="0" fontId="38" fillId="9" borderId="51" applyAlignment="1" pivotButton="0" quotePrefix="0" xfId="0">
      <alignment horizontal="center" vertical="center" wrapText="1"/>
    </xf>
    <xf numFmtId="0" fontId="38" fillId="9" borderId="52" applyAlignment="1" pivotButton="0" quotePrefix="0" xfId="0">
      <alignment horizontal="center" vertical="center" wrapText="1"/>
    </xf>
    <xf numFmtId="0" fontId="0" fillId="0" borderId="134" pivotButton="0" quotePrefix="0" xfId="0"/>
    <xf numFmtId="0" fontId="38" fillId="9" borderId="53" applyAlignment="1" pivotButton="0" quotePrefix="0" xfId="0">
      <alignment horizontal="general" vertical="center" wrapText="1"/>
    </xf>
    <xf numFmtId="0" fontId="38" fillId="9" borderId="4" applyAlignment="1" pivotButton="0" quotePrefix="0" xfId="0">
      <alignment horizontal="center" vertical="center" wrapText="1"/>
    </xf>
    <xf numFmtId="0" fontId="0" fillId="0" borderId="54" pivotButton="0" quotePrefix="0" xfId="0"/>
    <xf numFmtId="0" fontId="0" fillId="0" borderId="59" pivotButton="0" quotePrefix="0" xfId="0"/>
    <xf numFmtId="0" fontId="0" fillId="0" borderId="60" pivotButton="0" quotePrefix="0" xfId="0"/>
    <xf numFmtId="0" fontId="0" fillId="0" borderId="62" pivotButton="0" quotePrefix="0" xfId="0"/>
    <xf numFmtId="0" fontId="30" fillId="9" borderId="4" applyAlignment="1" pivotButton="0" quotePrefix="0" xfId="0">
      <alignment horizontal="general" vertical="top" wrapText="1"/>
    </xf>
    <xf numFmtId="0" fontId="0" fillId="0" borderId="63" pivotButton="0" quotePrefix="0" xfId="0"/>
    <xf numFmtId="0" fontId="38" fillId="9" borderId="54" applyAlignment="1" pivotButton="0" quotePrefix="0" xfId="0">
      <alignment horizontal="center" vertical="center" wrapText="1"/>
    </xf>
    <xf numFmtId="0" fontId="38" fillId="9" borderId="55" applyAlignment="1" pivotButton="0" quotePrefix="0" xfId="0">
      <alignment horizontal="center" vertical="center" wrapText="1"/>
    </xf>
    <xf numFmtId="0" fontId="38" fillId="9" borderId="23" applyAlignment="1" pivotButton="0" quotePrefix="0" xfId="0">
      <alignment horizontal="center" vertical="center" wrapText="1"/>
    </xf>
    <xf numFmtId="0" fontId="38" fillId="9" borderId="56" applyAlignment="1" pivotButton="0" quotePrefix="0" xfId="0">
      <alignment horizontal="center" vertical="center" wrapText="1"/>
    </xf>
    <xf numFmtId="0" fontId="38" fillId="9" borderId="57" applyAlignment="1" pivotButton="0" quotePrefix="0" xfId="0">
      <alignment horizontal="center" vertical="center" wrapText="1"/>
    </xf>
    <xf numFmtId="0" fontId="38" fillId="9" borderId="58" applyAlignment="1" pivotButton="0" quotePrefix="0" xfId="0">
      <alignment horizontal="center" vertical="center" wrapText="1"/>
    </xf>
    <xf numFmtId="0" fontId="38" fillId="9" borderId="59" applyAlignment="1" pivotButton="0" quotePrefix="0" xfId="0">
      <alignment horizontal="center" vertical="center" wrapText="1"/>
    </xf>
    <xf numFmtId="0" fontId="38" fillId="9" borderId="24" applyAlignment="1" pivotButton="0" quotePrefix="0" xfId="0">
      <alignment horizontal="center" vertical="center" wrapText="1"/>
    </xf>
    <xf numFmtId="0" fontId="38" fillId="9" borderId="60" applyAlignment="1" pivotButton="0" quotePrefix="0" xfId="0">
      <alignment horizontal="center" vertical="center" wrapText="1"/>
    </xf>
    <xf numFmtId="0" fontId="38" fillId="9" borderId="61" applyAlignment="1" pivotButton="0" quotePrefix="0" xfId="0">
      <alignment horizontal="center" vertical="center" wrapText="1"/>
    </xf>
    <xf numFmtId="0" fontId="38" fillId="9" borderId="62" applyAlignment="1" pivotButton="0" quotePrefix="0" xfId="0">
      <alignment horizontal="center" vertical="center" wrapText="1"/>
    </xf>
    <xf numFmtId="0" fontId="30" fillId="9" borderId="59" applyAlignment="1" pivotButton="0" quotePrefix="0" xfId="0">
      <alignment horizontal="center" vertical="top" wrapText="1"/>
    </xf>
    <xf numFmtId="0" fontId="30" fillId="9" borderId="24" applyAlignment="1" pivotButton="0" quotePrefix="0" xfId="0">
      <alignment horizontal="center" vertical="top" wrapText="1"/>
    </xf>
    <xf numFmtId="0" fontId="38" fillId="9" borderId="25" applyAlignment="1" pivotButton="0" quotePrefix="0" xfId="0">
      <alignment horizontal="left" vertical="center" wrapText="1"/>
    </xf>
    <xf numFmtId="0" fontId="30" fillId="9" borderId="25" applyAlignment="1" pivotButton="0" quotePrefix="0" xfId="0">
      <alignment horizontal="general" vertical="top" wrapText="1"/>
    </xf>
    <xf numFmtId="0" fontId="38" fillId="9" borderId="63" applyAlignment="1" pivotButton="0" quotePrefix="0" xfId="0">
      <alignment horizontal="center" vertical="center" wrapText="1"/>
    </xf>
    <xf numFmtId="0" fontId="30" fillId="9" borderId="64" applyAlignment="1" pivotButton="0" quotePrefix="0" xfId="0">
      <alignment horizontal="center" vertical="top" wrapText="1"/>
    </xf>
    <xf numFmtId="0" fontId="30" fillId="9" borderId="65" applyAlignment="1" pivotButton="0" quotePrefix="0" xfId="0">
      <alignment horizontal="center" vertical="top" wrapText="1"/>
    </xf>
    <xf numFmtId="0" fontId="38" fillId="9" borderId="66" applyAlignment="1" pivotButton="0" quotePrefix="0" xfId="0">
      <alignment horizontal="center" vertical="center" wrapText="1"/>
    </xf>
    <xf numFmtId="0" fontId="30" fillId="9" borderId="67" applyAlignment="1" pivotButton="0" quotePrefix="0" xfId="0">
      <alignment horizontal="center" vertical="top" wrapText="1"/>
    </xf>
    <xf numFmtId="0" fontId="30" fillId="9" borderId="68" applyAlignment="1" pivotButton="0" quotePrefix="0" xfId="0">
      <alignment horizontal="center" vertical="top" wrapText="1"/>
    </xf>
    <xf numFmtId="0" fontId="27" fillId="0" borderId="4" applyAlignment="1" pivotButton="0" quotePrefix="0" xfId="0">
      <alignment horizontal="general" vertical="center" wrapText="1"/>
    </xf>
    <xf numFmtId="165" fontId="28" fillId="0" borderId="45" applyAlignment="1" pivotButton="0" quotePrefix="0" xfId="15">
      <alignment horizontal="right" vertical="center" wrapText="1"/>
    </xf>
    <xf numFmtId="165" fontId="28" fillId="0" borderId="69" applyAlignment="1" pivotButton="0" quotePrefix="0" xfId="15">
      <alignment horizontal="right" vertical="center" wrapText="1"/>
    </xf>
    <xf numFmtId="165" fontId="28" fillId="0" borderId="70" applyAlignment="1" pivotButton="0" quotePrefix="0" xfId="15">
      <alignment horizontal="right" vertical="center" wrapText="1"/>
    </xf>
    <xf numFmtId="165" fontId="28" fillId="0" borderId="9" applyAlignment="1" pivotButton="0" quotePrefix="0" xfId="15">
      <alignment horizontal="right" vertical="center" wrapText="1"/>
    </xf>
    <xf numFmtId="165" fontId="28" fillId="0" borderId="71" applyAlignment="1" pivotButton="0" quotePrefix="0" xfId="15">
      <alignment horizontal="right" vertical="center" wrapText="1"/>
    </xf>
    <xf numFmtId="165" fontId="28" fillId="0" borderId="72" applyAlignment="1" pivotButton="0" quotePrefix="0" xfId="15">
      <alignment horizontal="right" vertical="center" wrapText="1"/>
    </xf>
    <xf numFmtId="165" fontId="28" fillId="0" borderId="39" applyAlignment="1" pivotButton="0" quotePrefix="0" xfId="15">
      <alignment horizontal="right" vertical="center" wrapText="1"/>
    </xf>
    <xf numFmtId="165" fontId="28" fillId="0" borderId="73" applyAlignment="1" pivotButton="0" quotePrefix="0" xfId="15">
      <alignment horizontal="right" vertical="center" wrapText="1"/>
    </xf>
    <xf numFmtId="165" fontId="28" fillId="0" borderId="74" applyAlignment="1" pivotButton="0" quotePrefix="0" xfId="15">
      <alignment horizontal="right" vertical="center" wrapText="1"/>
    </xf>
    <xf numFmtId="165" fontId="28" fillId="0" borderId="20" applyAlignment="1" pivotButton="0" quotePrefix="0" xfId="15">
      <alignment horizontal="right" vertical="center" wrapText="1"/>
    </xf>
    <xf numFmtId="165" fontId="28" fillId="0" borderId="75" applyAlignment="1" pivotButton="0" quotePrefix="0" xfId="15">
      <alignment horizontal="right" vertical="center" wrapText="1"/>
    </xf>
    <xf numFmtId="165" fontId="28" fillId="0" borderId="76" applyAlignment="1" pivotButton="0" quotePrefix="0" xfId="15">
      <alignment horizontal="right" vertical="center" wrapText="1"/>
    </xf>
    <xf numFmtId="165" fontId="28" fillId="0" borderId="12" applyAlignment="1" pivotButton="0" quotePrefix="0" xfId="15">
      <alignment horizontal="right" vertical="center" wrapText="1"/>
    </xf>
    <xf numFmtId="165" fontId="28" fillId="0" borderId="77" applyAlignment="1" pivotButton="0" quotePrefix="0" xfId="15">
      <alignment horizontal="right" vertical="center" wrapText="1"/>
    </xf>
    <xf numFmtId="165" fontId="28" fillId="0" borderId="78" applyAlignment="1" pivotButton="0" quotePrefix="0" xfId="15">
      <alignment horizontal="right" vertical="center" wrapText="1"/>
    </xf>
    <xf numFmtId="165" fontId="28" fillId="0" borderId="23" applyAlignment="1" pivotButton="0" quotePrefix="0" xfId="15">
      <alignment horizontal="right" vertical="center" wrapText="1"/>
    </xf>
    <xf numFmtId="165" fontId="28" fillId="0" borderId="57" applyAlignment="1" pivotButton="0" quotePrefix="0" xfId="15">
      <alignment horizontal="right" vertical="center" wrapText="1"/>
    </xf>
    <xf numFmtId="165" fontId="28" fillId="0" borderId="58" applyAlignment="1" pivotButton="0" quotePrefix="0" xfId="15">
      <alignment horizontal="right" vertical="center" wrapText="1"/>
    </xf>
    <xf numFmtId="165" fontId="28" fillId="3" borderId="41" applyAlignment="1" pivotButton="0" quotePrefix="0" xfId="15">
      <alignment horizontal="right" vertical="center" wrapText="1"/>
    </xf>
    <xf numFmtId="165" fontId="28" fillId="3" borderId="51" applyAlignment="1" pivotButton="0" quotePrefix="0" xfId="15">
      <alignment horizontal="right" vertical="center" wrapText="1"/>
    </xf>
    <xf numFmtId="165" fontId="28" fillId="3" borderId="79" applyAlignment="1" pivotButton="0" quotePrefix="0" xfId="15">
      <alignment horizontal="right" vertical="center" wrapText="1"/>
    </xf>
    <xf numFmtId="165" fontId="28" fillId="3" borderId="43" applyAlignment="1" pivotButton="0" quotePrefix="0" xfId="15">
      <alignment horizontal="right" vertical="center" wrapText="1"/>
    </xf>
    <xf numFmtId="165" fontId="28" fillId="3" borderId="80" applyAlignment="1" pivotButton="0" quotePrefix="0" xfId="15">
      <alignment horizontal="right" vertical="center" wrapText="1"/>
    </xf>
    <xf numFmtId="165" fontId="28" fillId="3" borderId="81" applyAlignment="1" pivotButton="0" quotePrefix="0" xfId="15">
      <alignment horizontal="right" vertical="center" wrapText="1"/>
    </xf>
    <xf numFmtId="165" fontId="27" fillId="0" borderId="45" applyAlignment="1" pivotButton="0" quotePrefix="0" xfId="15">
      <alignment horizontal="right" vertical="center" wrapText="1"/>
    </xf>
    <xf numFmtId="165" fontId="27" fillId="0" borderId="69" applyAlignment="1" pivotButton="0" quotePrefix="0" xfId="15">
      <alignment horizontal="right" vertical="center" wrapText="1"/>
    </xf>
    <xf numFmtId="165" fontId="27" fillId="0" borderId="70" applyAlignment="1" pivotButton="0" quotePrefix="0" xfId="15">
      <alignment horizontal="right" vertical="center" wrapText="1"/>
    </xf>
    <xf numFmtId="165" fontId="27" fillId="0" borderId="71" applyAlignment="1" pivotButton="0" quotePrefix="0" xfId="15">
      <alignment horizontal="right" vertical="center" wrapText="1"/>
    </xf>
    <xf numFmtId="165" fontId="27" fillId="0" borderId="72" applyAlignment="1" pivotButton="0" quotePrefix="0" xfId="15">
      <alignment horizontal="right" vertical="center" wrapText="1"/>
    </xf>
    <xf numFmtId="165" fontId="27" fillId="0" borderId="39" applyAlignment="1" pivotButton="0" quotePrefix="0" xfId="15">
      <alignment horizontal="right" vertical="center" wrapText="1"/>
    </xf>
    <xf numFmtId="165" fontId="27" fillId="0" borderId="73" applyAlignment="1" pivotButton="0" quotePrefix="0" xfId="15">
      <alignment horizontal="right" vertical="center" wrapText="1"/>
    </xf>
    <xf numFmtId="165" fontId="27" fillId="0" borderId="74" applyAlignment="1" pivotButton="0" quotePrefix="0" xfId="15">
      <alignment horizontal="right" vertical="center" wrapText="1"/>
    </xf>
    <xf numFmtId="165" fontId="27" fillId="0" borderId="75" applyAlignment="1" pivotButton="0" quotePrefix="0" xfId="15">
      <alignment horizontal="right" vertical="center" wrapText="1"/>
    </xf>
    <xf numFmtId="165" fontId="27" fillId="0" borderId="12" applyAlignment="1" pivotButton="0" quotePrefix="0" xfId="15">
      <alignment horizontal="right" vertical="center" wrapText="1"/>
    </xf>
    <xf numFmtId="165" fontId="27" fillId="0" borderId="77" applyAlignment="1" pivotButton="0" quotePrefix="0" xfId="15">
      <alignment horizontal="right" vertical="center" wrapText="1"/>
    </xf>
    <xf numFmtId="165" fontId="27" fillId="0" borderId="78" applyAlignment="1" pivotButton="0" quotePrefix="0" xfId="15">
      <alignment horizontal="right" vertical="center" wrapText="1"/>
    </xf>
    <xf numFmtId="165" fontId="27" fillId="0" borderId="57" applyAlignment="1" pivotButton="0" quotePrefix="0" xfId="15">
      <alignment horizontal="right" vertical="center" wrapText="1"/>
    </xf>
    <xf numFmtId="165" fontId="27" fillId="3" borderId="41" applyAlignment="1" pivotButton="0" quotePrefix="0" xfId="15">
      <alignment horizontal="right" vertical="center" wrapText="1"/>
    </xf>
    <xf numFmtId="165" fontId="27" fillId="3" borderId="51" applyAlignment="1" pivotButton="0" quotePrefix="0" xfId="15">
      <alignment horizontal="right" vertical="center" wrapText="1"/>
    </xf>
    <xf numFmtId="165" fontId="27" fillId="3" borderId="79" applyAlignment="1" pivotButton="0" quotePrefix="0" xfId="15">
      <alignment horizontal="right" vertical="center" wrapText="1"/>
    </xf>
    <xf numFmtId="165" fontId="27" fillId="3" borderId="80" applyAlignment="1" pivotButton="0" quotePrefix="0" xfId="15">
      <alignment horizontal="right" vertical="center" wrapText="1"/>
    </xf>
    <xf numFmtId="165" fontId="27" fillId="3" borderId="81" applyAlignment="1" pivotButton="0" quotePrefix="0" xfId="15">
      <alignment horizontal="right" vertical="center" wrapText="1"/>
    </xf>
    <xf numFmtId="0" fontId="28" fillId="11" borderId="4" applyAlignment="1" pivotButton="0" quotePrefix="0" xfId="0">
      <alignment horizontal="general" vertical="center" wrapText="1"/>
    </xf>
    <xf numFmtId="165" fontId="27" fillId="11" borderId="45" applyAlignment="1" pivotButton="0" quotePrefix="0" xfId="15">
      <alignment horizontal="right" vertical="center" wrapText="1"/>
    </xf>
    <xf numFmtId="165" fontId="27" fillId="11" borderId="69" applyAlignment="1" pivotButton="0" quotePrefix="0" xfId="15">
      <alignment horizontal="right" vertical="center" wrapText="1"/>
    </xf>
    <xf numFmtId="165" fontId="27" fillId="11" borderId="70" applyAlignment="1" pivotButton="0" quotePrefix="0" xfId="15">
      <alignment horizontal="right" vertical="center" wrapText="1"/>
    </xf>
    <xf numFmtId="165" fontId="27" fillId="11" borderId="9" applyAlignment="1" pivotButton="0" quotePrefix="0" xfId="15">
      <alignment horizontal="right" vertical="center" wrapText="1"/>
    </xf>
    <xf numFmtId="165" fontId="27" fillId="11" borderId="71" applyAlignment="1" pivotButton="0" quotePrefix="0" xfId="15">
      <alignment horizontal="right" vertical="center" wrapText="1"/>
    </xf>
    <xf numFmtId="165" fontId="27" fillId="11" borderId="72" applyAlignment="1" pivotButton="0" quotePrefix="0" xfId="15">
      <alignment horizontal="right" vertical="center" wrapText="1"/>
    </xf>
    <xf numFmtId="0" fontId="38" fillId="11" borderId="25" applyAlignment="1" pivotButton="0" quotePrefix="0" xfId="0">
      <alignment horizontal="general" vertical="center" wrapText="1"/>
    </xf>
    <xf numFmtId="165" fontId="51" fillId="11" borderId="82" applyAlignment="1" pivotButton="0" quotePrefix="0" xfId="15">
      <alignment horizontal="right" vertical="center" wrapText="1"/>
    </xf>
    <xf numFmtId="165" fontId="51" fillId="11" borderId="83" applyAlignment="1" pivotButton="0" quotePrefix="0" xfId="15">
      <alignment horizontal="right" vertical="center" wrapText="1"/>
    </xf>
    <xf numFmtId="165" fontId="51" fillId="11" borderId="84" applyAlignment="1" pivotButton="0" quotePrefix="0" xfId="15">
      <alignment horizontal="right" vertical="center" wrapText="1"/>
    </xf>
    <xf numFmtId="165" fontId="51" fillId="11" borderId="85" applyAlignment="1" pivotButton="0" quotePrefix="0" xfId="15">
      <alignment horizontal="right" vertical="center" wrapText="1"/>
    </xf>
    <xf numFmtId="165" fontId="51" fillId="11" borderId="86" applyAlignment="1" pivotButton="0" quotePrefix="0" xfId="15">
      <alignment horizontal="right" vertical="center" wrapText="1"/>
    </xf>
    <xf numFmtId="165" fontId="51" fillId="11" borderId="87" applyAlignment="1" pivotButton="0" quotePrefix="0" xfId="15">
      <alignment horizontal="right" vertical="center" wrapText="1"/>
    </xf>
    <xf numFmtId="0" fontId="76" fillId="0" borderId="0" applyAlignment="1" pivotButton="0" quotePrefix="0" xfId="0">
      <alignment horizontal="left" vertical="center"/>
    </xf>
    <xf numFmtId="0" fontId="78" fillId="0" borderId="0" applyAlignment="1" pivotButton="0" quotePrefix="0" xfId="0">
      <alignment horizontal="justify" vertical="center"/>
    </xf>
    <xf numFmtId="0" fontId="76" fillId="0" borderId="0" applyAlignment="1" pivotButton="0" quotePrefix="0" xfId="0">
      <alignment horizontal="general" vertical="bottom"/>
    </xf>
    <xf numFmtId="0" fontId="79" fillId="0" borderId="0" applyAlignment="1" pivotButton="0" quotePrefix="0" xfId="0">
      <alignment horizontal="left" vertical="center"/>
    </xf>
    <xf numFmtId="0" fontId="79" fillId="0" borderId="0" applyAlignment="1" pivotButton="0" quotePrefix="0" xfId="0">
      <alignment horizontal="justify" vertical="center"/>
    </xf>
    <xf numFmtId="0" fontId="80" fillId="0" borderId="0" applyAlignment="1" pivotButton="0" quotePrefix="0" xfId="0">
      <alignment horizontal="justify" vertical="center"/>
    </xf>
    <xf numFmtId="0" fontId="81" fillId="0" borderId="0" applyAlignment="1" pivotButton="0" quotePrefix="0" xfId="0">
      <alignment horizontal="center" vertical="center"/>
    </xf>
    <xf numFmtId="0" fontId="82" fillId="0" borderId="0" applyAlignment="1" pivotButton="0" quotePrefix="0" xfId="0">
      <alignment horizontal="left" vertical="center" indent="7"/>
    </xf>
    <xf numFmtId="0" fontId="82" fillId="0" borderId="0" applyAlignment="1" pivotButton="0" quotePrefix="0" xfId="0">
      <alignment horizontal="general" vertical="center"/>
    </xf>
    <xf numFmtId="0" fontId="83" fillId="0" borderId="0" applyAlignment="1" pivotButton="0" quotePrefix="0" xfId="0">
      <alignment horizontal="center" vertical="center"/>
    </xf>
    <xf numFmtId="0" fontId="85" fillId="0" borderId="0" applyAlignment="1" pivotButton="0" quotePrefix="0" xfId="0">
      <alignment horizontal="center" vertical="center"/>
    </xf>
    <xf numFmtId="0" fontId="38" fillId="12" borderId="3" applyAlignment="1" pivotButton="0" quotePrefix="0" xfId="0">
      <alignment horizontal="center" vertical="center" wrapText="1"/>
    </xf>
    <xf numFmtId="0" fontId="38" fillId="12" borderId="32" applyAlignment="1" pivotButton="0" quotePrefix="0" xfId="0">
      <alignment horizontal="center" vertical="center" wrapText="1"/>
    </xf>
    <xf numFmtId="0" fontId="38" fillId="12" borderId="49" applyAlignment="1" pivotButton="0" quotePrefix="0" xfId="0">
      <alignment horizontal="center" vertical="center" wrapText="1"/>
    </xf>
    <xf numFmtId="0" fontId="38" fillId="9" borderId="50" applyAlignment="1" pivotButton="0" quotePrefix="0" xfId="0">
      <alignment horizontal="left" vertical="center" wrapText="1"/>
    </xf>
    <xf numFmtId="0" fontId="38" fillId="12" borderId="27" applyAlignment="1" pivotButton="0" quotePrefix="0" xfId="0">
      <alignment horizontal="center" vertical="center" wrapText="1"/>
    </xf>
    <xf numFmtId="0" fontId="27" fillId="0" borderId="49" applyAlignment="1" pivotButton="0" quotePrefix="0" xfId="0">
      <alignment horizontal="general" vertical="center" wrapText="1"/>
    </xf>
    <xf numFmtId="165" fontId="27" fillId="2" borderId="27" applyAlignment="1" pivotButton="0" quotePrefix="0" xfId="15">
      <alignment horizontal="general" vertical="center" wrapText="1"/>
    </xf>
    <xf numFmtId="0" fontId="27" fillId="0" borderId="50" applyAlignment="1" pivotButton="0" quotePrefix="0" xfId="0">
      <alignment horizontal="general" vertical="center" wrapText="1"/>
    </xf>
    <xf numFmtId="0" fontId="28" fillId="3" borderId="50" applyAlignment="1" pivotButton="0" quotePrefix="0" xfId="0">
      <alignment horizontal="general" vertical="center" wrapText="1"/>
    </xf>
    <xf numFmtId="165" fontId="28" fillId="3" borderId="27" applyAlignment="1" pivotButton="0" quotePrefix="0" xfId="15">
      <alignment horizontal="general" vertical="center" wrapText="1"/>
    </xf>
    <xf numFmtId="165" fontId="28" fillId="2" borderId="27" applyAlignment="1" pivotButton="0" quotePrefix="0" xfId="15">
      <alignment horizontal="general" vertical="center" wrapText="1"/>
    </xf>
    <xf numFmtId="0" fontId="28" fillId="0" borderId="50" applyAlignment="1" pivotButton="0" quotePrefix="0" xfId="0">
      <alignment horizontal="general" vertical="center" wrapText="1"/>
    </xf>
    <xf numFmtId="165" fontId="28" fillId="0" borderId="27" applyAlignment="1" pivotButton="0" quotePrefix="0" xfId="15">
      <alignment horizontal="general" vertical="center" wrapText="1"/>
    </xf>
    <xf numFmtId="0" fontId="38" fillId="7" borderId="50" applyAlignment="1" pivotButton="0" quotePrefix="0" xfId="0">
      <alignment horizontal="center" vertical="center" wrapText="1"/>
    </xf>
    <xf numFmtId="165" fontId="28" fillId="7" borderId="27" applyAlignment="1" pivotButton="0" quotePrefix="0" xfId="15">
      <alignment horizontal="general" vertical="center" wrapText="1"/>
    </xf>
    <xf numFmtId="0" fontId="81" fillId="0" borderId="0" applyAlignment="1" pivotButton="0" quotePrefix="0" xfId="0">
      <alignment horizontal="general" vertical="center"/>
    </xf>
    <xf numFmtId="0" fontId="86" fillId="0" borderId="0" applyAlignment="1" pivotButton="0" quotePrefix="0" xfId="0">
      <alignment horizontal="general" vertical="center"/>
    </xf>
    <xf numFmtId="0" fontId="79" fillId="0" borderId="0" applyAlignment="1" pivotButton="0" quotePrefix="0" xfId="0">
      <alignment horizontal="general" vertical="bottom"/>
    </xf>
    <xf numFmtId="0" fontId="72" fillId="0" borderId="0" applyAlignment="1" pivotButton="0" quotePrefix="0" xfId="0">
      <alignment horizontal="left" vertical="center" wrapText="1"/>
    </xf>
    <xf numFmtId="0" fontId="66" fillId="0" borderId="0" applyAlignment="1" pivotButton="0" quotePrefix="0" xfId="0">
      <alignment horizontal="left" vertical="center" indent="15"/>
    </xf>
    <xf numFmtId="0" fontId="68" fillId="0" borderId="0" applyAlignment="1" pivotButton="0" quotePrefix="0" xfId="0">
      <alignment horizontal="general" vertical="center"/>
    </xf>
    <xf numFmtId="0" fontId="68" fillId="0" borderId="0" applyAlignment="1" pivotButton="0" quotePrefix="0" xfId="0">
      <alignment horizontal="left" vertical="center" indent="11"/>
    </xf>
    <xf numFmtId="0" fontId="87" fillId="0" borderId="0" applyAlignment="1" pivotButton="0" quotePrefix="0" xfId="0">
      <alignment horizontal="left" vertical="center" indent="15"/>
    </xf>
    <xf numFmtId="0" fontId="90" fillId="0" borderId="0" applyAlignment="1" pivotButton="0" quotePrefix="0" xfId="0">
      <alignment horizontal="center" vertical="center"/>
    </xf>
    <xf numFmtId="0" fontId="91" fillId="0" borderId="0" applyAlignment="1" pivotButton="0" quotePrefix="0" xfId="0">
      <alignment horizontal="center" vertical="center"/>
    </xf>
    <xf numFmtId="0" fontId="38" fillId="9" borderId="32" applyAlignment="1" pivotButton="0" quotePrefix="0" xfId="0">
      <alignment horizontal="left" vertical="center" wrapText="1" indent="1"/>
    </xf>
    <xf numFmtId="0" fontId="38" fillId="9" borderId="25" applyAlignment="1" pivotButton="0" quotePrefix="0" xfId="0">
      <alignment horizontal="center" vertical="center" wrapText="1"/>
    </xf>
    <xf numFmtId="165" fontId="27" fillId="2" borderId="33" applyAlignment="1" pivotButton="0" quotePrefix="0" xfId="15">
      <alignment horizontal="right" vertical="center" wrapText="1"/>
    </xf>
    <xf numFmtId="165" fontId="27" fillId="2" borderId="18" applyAlignment="1" pivotButton="0" quotePrefix="0" xfId="15">
      <alignment horizontal="right" vertical="center" wrapText="1"/>
    </xf>
    <xf numFmtId="165" fontId="27" fillId="2" borderId="36" applyAlignment="1" pivotButton="0" quotePrefix="0" xfId="15">
      <alignment horizontal="right" vertical="center" wrapText="1"/>
    </xf>
    <xf numFmtId="165" fontId="27" fillId="2" borderId="16" applyAlignment="1" pivotButton="0" quotePrefix="0" xfId="15">
      <alignment horizontal="right" vertical="center" wrapText="1"/>
    </xf>
    <xf numFmtId="165" fontId="28" fillId="3" borderId="30" applyAlignment="1" pivotButton="0" quotePrefix="0" xfId="15">
      <alignment horizontal="general" vertical="center" wrapText="1"/>
    </xf>
    <xf numFmtId="165" fontId="28" fillId="3" borderId="48" applyAlignment="1" pivotButton="0" quotePrefix="0" xfId="15">
      <alignment horizontal="general" vertical="center" wrapText="1"/>
    </xf>
    <xf numFmtId="165" fontId="27" fillId="2" borderId="33" applyAlignment="1" pivotButton="0" quotePrefix="0" xfId="15">
      <alignment horizontal="general" vertical="center" wrapText="1"/>
    </xf>
    <xf numFmtId="165" fontId="28" fillId="2" borderId="33" applyAlignment="1" pivotButton="0" quotePrefix="0" xfId="15">
      <alignment horizontal="general" vertical="center" wrapText="1"/>
    </xf>
    <xf numFmtId="165" fontId="28" fillId="2" borderId="18" applyAlignment="1" pivotButton="0" quotePrefix="0" xfId="15">
      <alignment horizontal="general" vertical="center" wrapText="1"/>
    </xf>
    <xf numFmtId="165" fontId="27" fillId="2" borderId="16" applyAlignment="1" pivotButton="0" quotePrefix="0" xfId="15">
      <alignment horizontal="general" vertical="center" wrapText="1"/>
    </xf>
    <xf numFmtId="165" fontId="27" fillId="3" borderId="30" applyAlignment="1" pivotButton="0" quotePrefix="0" xfId="15">
      <alignment horizontal="general" vertical="center" wrapText="1"/>
    </xf>
    <xf numFmtId="165" fontId="27" fillId="3" borderId="48" applyAlignment="1" pivotButton="0" quotePrefix="0" xfId="15">
      <alignment horizontal="general" vertical="center" wrapText="1"/>
    </xf>
    <xf numFmtId="165" fontId="28" fillId="2" borderId="34" applyAlignment="1" pivotButton="0" quotePrefix="0" xfId="15">
      <alignment horizontal="general" vertical="center" wrapText="1"/>
    </xf>
    <xf numFmtId="165" fontId="27" fillId="2" borderId="40" applyAlignment="1" pivotButton="0" quotePrefix="0" xfId="15">
      <alignment horizontal="general" vertical="center" wrapText="1"/>
    </xf>
    <xf numFmtId="0" fontId="28" fillId="3" borderId="41" applyAlignment="1" pivotButton="0" quotePrefix="0" xfId="0">
      <alignment horizontal="justify" vertical="center" wrapText="1"/>
    </xf>
    <xf numFmtId="165" fontId="27" fillId="3" borderId="48" applyAlignment="1" pivotButton="0" quotePrefix="0" xfId="15">
      <alignment horizontal="right" vertical="center" wrapText="1"/>
    </xf>
    <xf numFmtId="165" fontId="27" fillId="0" borderId="49" applyAlignment="1" pivotButton="0" quotePrefix="0" xfId="15">
      <alignment horizontal="general" vertical="center" wrapText="1"/>
    </xf>
    <xf numFmtId="165" fontId="27" fillId="0" borderId="0" applyAlignment="1" pivotButton="0" quotePrefix="0" xfId="15">
      <alignment horizontal="general" vertical="center" wrapText="1"/>
    </xf>
    <xf numFmtId="0" fontId="38" fillId="7" borderId="41" applyAlignment="1" pivotButton="0" quotePrefix="0" xfId="0">
      <alignment horizontal="center" vertical="center" wrapText="1"/>
    </xf>
    <xf numFmtId="165" fontId="38" fillId="7" borderId="48" applyAlignment="1" pivotButton="0" quotePrefix="0" xfId="15">
      <alignment horizontal="general" vertical="center" wrapText="1"/>
    </xf>
    <xf numFmtId="0" fontId="78" fillId="0" borderId="0" applyAlignment="1" pivotButton="0" quotePrefix="0" xfId="0">
      <alignment horizontal="general" vertical="center"/>
    </xf>
    <xf numFmtId="0" fontId="88" fillId="0" borderId="0" applyAlignment="1" pivotButton="0" quotePrefix="0" xfId="0">
      <alignment horizontal="center" vertical="center"/>
    </xf>
    <xf numFmtId="0" fontId="28" fillId="0" borderId="32" applyAlignment="1" pivotButton="0" quotePrefix="0" xfId="0">
      <alignment horizontal="general" vertical="center" wrapText="1"/>
    </xf>
    <xf numFmtId="0" fontId="28" fillId="2" borderId="49" applyAlignment="1" pivotButton="0" quotePrefix="0" xfId="0">
      <alignment horizontal="general" vertical="center" wrapText="1"/>
    </xf>
    <xf numFmtId="0" fontId="28" fillId="0" borderId="49" applyAlignment="1" pivotButton="0" quotePrefix="0" xfId="0">
      <alignment horizontal="general" vertical="center" wrapText="1"/>
    </xf>
    <xf numFmtId="0" fontId="27" fillId="3" borderId="30" applyAlignment="1" pivotButton="0" quotePrefix="0" xfId="0">
      <alignment horizontal="center" vertical="center" wrapText="1"/>
    </xf>
    <xf numFmtId="0" fontId="27" fillId="2" borderId="33" applyAlignment="1" pivotButton="0" quotePrefix="0" xfId="0">
      <alignment horizontal="general" vertical="center" wrapText="1"/>
    </xf>
    <xf numFmtId="165" fontId="27" fillId="0" borderId="37" applyAlignment="1" pivotButton="0" quotePrefix="0" xfId="15">
      <alignment horizontal="right" vertical="center" wrapText="1"/>
    </xf>
    <xf numFmtId="0" fontId="0" fillId="0" borderId="27" pivotButton="0" quotePrefix="0" xfId="0"/>
    <xf numFmtId="0" fontId="38" fillId="7" borderId="27" applyAlignment="1" pivotButton="0" quotePrefix="0" xfId="0">
      <alignment horizontal="general" vertical="center" wrapText="1"/>
    </xf>
    <xf numFmtId="0" fontId="30" fillId="0" borderId="0" applyAlignment="1" pivotButton="0" quotePrefix="0" xfId="0">
      <alignment horizontal="right" vertical="center"/>
    </xf>
    <xf numFmtId="0" fontId="0" fillId="0" borderId="0" applyAlignment="1" pivotButton="0" quotePrefix="0" xfId="0">
      <alignment horizontal="left" vertical="center" indent="1"/>
    </xf>
    <xf numFmtId="0" fontId="87" fillId="0" borderId="0" applyAlignment="1" pivotButton="0" quotePrefix="0" xfId="0">
      <alignment horizontal="center" vertical="center"/>
    </xf>
    <xf numFmtId="0" fontId="38" fillId="9" borderId="88" applyAlignment="1" pivotButton="0" quotePrefix="0" xfId="0">
      <alignment horizontal="center" vertical="center" wrapText="1"/>
    </xf>
    <xf numFmtId="0" fontId="38" fillId="9" borderId="43" applyAlignment="1" pivotButton="0" quotePrefix="0" xfId="0">
      <alignment horizontal="center" vertical="center" wrapText="1"/>
    </xf>
    <xf numFmtId="0" fontId="38" fillId="9" borderId="89" applyAlignment="1" pivotButton="0" quotePrefix="0" xfId="0">
      <alignment horizontal="center" vertical="center" wrapText="1"/>
    </xf>
    <xf numFmtId="0" fontId="38" fillId="9" borderId="44" applyAlignment="1" pivotButton="0" quotePrefix="0" xfId="0">
      <alignment horizontal="center" vertical="center" wrapText="1"/>
    </xf>
    <xf numFmtId="0" fontId="0" fillId="0" borderId="104" pivotButton="0" quotePrefix="0" xfId="0"/>
    <xf numFmtId="0" fontId="0" fillId="0" borderId="65" pivotButton="0" quotePrefix="0" xfId="0"/>
    <xf numFmtId="0" fontId="38" fillId="9" borderId="65" applyAlignment="1" pivotButton="0" quotePrefix="0" xfId="0">
      <alignment horizontal="center" vertical="center" wrapText="1"/>
    </xf>
    <xf numFmtId="0" fontId="0" fillId="0" borderId="98" pivotButton="0" quotePrefix="0" xfId="0"/>
    <xf numFmtId="0" fontId="39" fillId="0" borderId="13" applyAlignment="1" pivotButton="0" quotePrefix="0" xfId="0">
      <alignment horizontal="general" vertical="center" wrapText="1"/>
    </xf>
    <xf numFmtId="165" fontId="39" fillId="0" borderId="9" applyAlignment="1" pivotButton="0" quotePrefix="0" xfId="15">
      <alignment horizontal="right" vertical="center" wrapText="1"/>
    </xf>
    <xf numFmtId="165" fontId="39" fillId="0" borderId="15" applyAlignment="1" pivotButton="0" quotePrefix="0" xfId="15">
      <alignment horizontal="right" vertical="center" wrapText="1"/>
    </xf>
    <xf numFmtId="0" fontId="39" fillId="0" borderId="6" applyAlignment="1" pivotButton="0" quotePrefix="0" xfId="0">
      <alignment horizontal="general" vertical="center" wrapText="1"/>
    </xf>
    <xf numFmtId="165" fontId="39" fillId="0" borderId="20" applyAlignment="1" pivotButton="0" quotePrefix="0" xfId="15">
      <alignment horizontal="right" vertical="center" wrapText="1"/>
    </xf>
    <xf numFmtId="165" fontId="39" fillId="0" borderId="46" applyAlignment="1" pivotButton="0" quotePrefix="0" xfId="15">
      <alignment horizontal="right" vertical="center" wrapText="1"/>
    </xf>
    <xf numFmtId="165" fontId="46" fillId="0" borderId="20" applyAlignment="1" pivotButton="0" quotePrefix="0" xfId="15">
      <alignment horizontal="right" vertical="center" wrapText="1"/>
    </xf>
    <xf numFmtId="165" fontId="46" fillId="0" borderId="46" applyAlignment="1" pivotButton="0" quotePrefix="0" xfId="15">
      <alignment horizontal="right" vertical="center" wrapText="1"/>
    </xf>
    <xf numFmtId="0" fontId="39" fillId="0" borderId="90" applyAlignment="1" pivotButton="0" quotePrefix="0" xfId="0">
      <alignment horizontal="general" vertical="center" wrapText="1"/>
    </xf>
    <xf numFmtId="165" fontId="39" fillId="0" borderId="23" applyAlignment="1" pivotButton="0" quotePrefix="0" xfId="15">
      <alignment horizontal="right" vertical="center" wrapText="1"/>
    </xf>
    <xf numFmtId="165" fontId="39" fillId="0" borderId="47" applyAlignment="1" pivotButton="0" quotePrefix="0" xfId="15">
      <alignment horizontal="right" vertical="center" wrapText="1"/>
    </xf>
    <xf numFmtId="0" fontId="46" fillId="3" borderId="88" applyAlignment="1" pivotButton="0" quotePrefix="0" xfId="0">
      <alignment horizontal="center" vertical="center" wrapText="1"/>
    </xf>
    <xf numFmtId="165" fontId="46" fillId="3" borderId="43" applyAlignment="1" pivotButton="0" quotePrefix="0" xfId="15">
      <alignment horizontal="right" vertical="center" wrapText="1"/>
    </xf>
    <xf numFmtId="165" fontId="46" fillId="3" borderId="44" applyAlignment="1" pivotButton="0" quotePrefix="0" xfId="15">
      <alignment horizontal="right" vertical="center" wrapText="1"/>
    </xf>
    <xf numFmtId="165" fontId="39" fillId="0" borderId="9" applyAlignment="1" pivotButton="0" quotePrefix="0" xfId="15">
      <alignment horizontal="general" vertical="center" wrapText="1"/>
    </xf>
    <xf numFmtId="165" fontId="39" fillId="0" borderId="15" applyAlignment="1" pivotButton="0" quotePrefix="0" xfId="15">
      <alignment horizontal="general" vertical="center" wrapText="1"/>
    </xf>
    <xf numFmtId="165" fontId="39" fillId="0" borderId="20" applyAlignment="1" pivotButton="0" quotePrefix="0" xfId="15">
      <alignment horizontal="general" vertical="center" wrapText="1"/>
    </xf>
    <xf numFmtId="165" fontId="39" fillId="0" borderId="46" applyAlignment="1" pivotButton="0" quotePrefix="0" xfId="15">
      <alignment horizontal="general" vertical="center" wrapText="1"/>
    </xf>
    <xf numFmtId="165" fontId="39" fillId="3" borderId="43" applyAlignment="1" pivotButton="0" quotePrefix="0" xfId="15">
      <alignment horizontal="general" vertical="center" wrapText="1"/>
    </xf>
    <xf numFmtId="165" fontId="39" fillId="3" borderId="44" applyAlignment="1" pivotButton="0" quotePrefix="0" xfId="15">
      <alignment horizontal="general" vertical="center" wrapText="1"/>
    </xf>
    <xf numFmtId="0" fontId="87" fillId="0" borderId="0" applyAlignment="1" pivotButton="0" quotePrefix="0" xfId="0">
      <alignment horizontal="left" vertical="center"/>
    </xf>
    <xf numFmtId="0" fontId="65" fillId="9" borderId="41" applyAlignment="1" pivotButton="0" quotePrefix="0" xfId="0">
      <alignment horizontal="center" vertical="center" wrapText="1"/>
    </xf>
    <xf numFmtId="0" fontId="65" fillId="9" borderId="32" applyAlignment="1" pivotButton="0" quotePrefix="0" xfId="0">
      <alignment horizontal="center" vertical="center" wrapText="1"/>
    </xf>
    <xf numFmtId="0" fontId="65" fillId="9" borderId="91" applyAlignment="1" pivotButton="0" quotePrefix="0" xfId="0">
      <alignment horizontal="center" vertical="center" wrapText="1"/>
    </xf>
    <xf numFmtId="0" fontId="65" fillId="9" borderId="48" applyAlignment="1" pivotButton="0" quotePrefix="0" xfId="0">
      <alignment horizontal="center" vertical="center" wrapText="1"/>
    </xf>
    <xf numFmtId="0" fontId="65" fillId="9" borderId="3" applyAlignment="1" pivotButton="0" quotePrefix="0" xfId="0">
      <alignment horizontal="center" vertical="center" wrapText="1"/>
    </xf>
    <xf numFmtId="0" fontId="0" fillId="0" borderId="25" pivotButton="0" quotePrefix="0" xfId="0"/>
    <xf numFmtId="0" fontId="65" fillId="9" borderId="50" applyAlignment="1" pivotButton="0" quotePrefix="0" xfId="0">
      <alignment horizontal="center" vertical="center" wrapText="1"/>
    </xf>
    <xf numFmtId="0" fontId="65" fillId="9" borderId="27" applyAlignment="1" pivotButton="0" quotePrefix="0" xfId="0">
      <alignment horizontal="center" vertical="center" wrapText="1"/>
    </xf>
    <xf numFmtId="0" fontId="21" fillId="4" borderId="45" applyAlignment="1" pivotButton="0" quotePrefix="0" xfId="0">
      <alignment horizontal="general" vertical="center" wrapText="1"/>
    </xf>
    <xf numFmtId="165" fontId="21" fillId="4" borderId="34" applyAlignment="1" pivotButton="0" quotePrefix="0" xfId="15">
      <alignment horizontal="center" vertical="center" wrapText="1"/>
    </xf>
    <xf numFmtId="165" fontId="21" fillId="4" borderId="11" applyAlignment="1" pivotButton="0" quotePrefix="0" xfId="15">
      <alignment horizontal="general" vertical="center" wrapText="1"/>
    </xf>
    <xf numFmtId="165" fontId="21" fillId="4" borderId="18" applyAlignment="1" pivotButton="0" quotePrefix="0" xfId="15">
      <alignment horizontal="center" vertical="center" wrapText="1"/>
    </xf>
    <xf numFmtId="165" fontId="21" fillId="4" borderId="33" applyAlignment="1" pivotButton="0" quotePrefix="0" xfId="15">
      <alignment horizontal="right" vertical="center" wrapText="1"/>
    </xf>
    <xf numFmtId="165" fontId="21" fillId="4" borderId="11" applyAlignment="1" pivotButton="0" quotePrefix="0" xfId="15">
      <alignment horizontal="right" vertical="center" wrapText="1"/>
    </xf>
    <xf numFmtId="0" fontId="21" fillId="0" borderId="39" applyAlignment="1" pivotButton="0" quotePrefix="0" xfId="0">
      <alignment horizontal="general" vertical="center" wrapText="1"/>
    </xf>
    <xf numFmtId="165" fontId="21" fillId="0" borderId="34" applyAlignment="1" pivotButton="0" quotePrefix="0" xfId="15">
      <alignment horizontal="center" vertical="center" wrapText="1"/>
    </xf>
    <xf numFmtId="165" fontId="21" fillId="0" borderId="35" applyAlignment="1" pivotButton="0" quotePrefix="0" xfId="15">
      <alignment horizontal="general" vertical="center" wrapText="1"/>
    </xf>
    <xf numFmtId="165" fontId="21" fillId="0" borderId="40" applyAlignment="1" pivotButton="0" quotePrefix="0" xfId="15">
      <alignment horizontal="center" vertical="center" wrapText="1"/>
    </xf>
    <xf numFmtId="165" fontId="21" fillId="0" borderId="34" applyAlignment="1" pivotButton="0" quotePrefix="0" xfId="15">
      <alignment horizontal="right" vertical="center" wrapText="1"/>
    </xf>
    <xf numFmtId="165" fontId="21" fillId="0" borderId="35" applyAlignment="1" pivotButton="0" quotePrefix="0" xfId="15">
      <alignment horizontal="right" vertical="center" wrapText="1"/>
    </xf>
    <xf numFmtId="0" fontId="21" fillId="0" borderId="82" applyAlignment="1" pivotButton="0" quotePrefix="0" xfId="0">
      <alignment horizontal="general" vertical="center" wrapText="1"/>
    </xf>
    <xf numFmtId="165" fontId="21" fillId="0" borderId="37" applyAlignment="1" pivotButton="0" quotePrefix="0" xfId="15">
      <alignment horizontal="center" vertical="center" wrapText="1"/>
    </xf>
    <xf numFmtId="165" fontId="21" fillId="0" borderId="38" applyAlignment="1" pivotButton="0" quotePrefix="0" xfId="15">
      <alignment horizontal="general" vertical="center" wrapText="1"/>
    </xf>
    <xf numFmtId="165" fontId="21" fillId="0" borderId="92" applyAlignment="1" pivotButton="0" quotePrefix="0" xfId="15">
      <alignment horizontal="center" vertical="center" wrapText="1"/>
    </xf>
    <xf numFmtId="165" fontId="21" fillId="0" borderId="37" applyAlignment="1" pivotButton="0" quotePrefix="0" xfId="15">
      <alignment horizontal="right" vertical="center" wrapText="1"/>
    </xf>
    <xf numFmtId="165" fontId="21" fillId="0" borderId="38" applyAlignment="1" pivotButton="0" quotePrefix="0" xfId="15">
      <alignment horizontal="right" vertical="center" wrapText="1"/>
    </xf>
    <xf numFmtId="0" fontId="76" fillId="0" borderId="0" applyAlignment="1" pivotButton="0" quotePrefix="0" xfId="0">
      <alignment horizontal="general" vertical="center" wrapText="1"/>
    </xf>
    <xf numFmtId="0" fontId="76" fillId="0" borderId="0" applyAlignment="1" pivotButton="0" quotePrefix="0" xfId="0">
      <alignment horizontal="center" vertical="center" wrapText="1"/>
    </xf>
    <xf numFmtId="0" fontId="76" fillId="0" borderId="0" applyAlignment="1" pivotButton="0" quotePrefix="0" xfId="0">
      <alignment horizontal="right" vertical="center" wrapText="1"/>
    </xf>
    <xf numFmtId="0" fontId="78" fillId="0" borderId="0" applyAlignment="1" pivotButton="0" quotePrefix="0" xfId="0">
      <alignment horizontal="left" vertical="center" indent="3"/>
    </xf>
    <xf numFmtId="0" fontId="76" fillId="0" borderId="0" applyAlignment="1" pivotButton="0" quotePrefix="0" xfId="0">
      <alignment horizontal="left" vertical="center" indent="9"/>
    </xf>
    <xf numFmtId="0" fontId="76" fillId="0" borderId="0" applyAlignment="1" pivotButton="0" quotePrefix="0" xfId="0">
      <alignment horizontal="left" vertical="center" indent="13"/>
    </xf>
    <xf numFmtId="0" fontId="27" fillId="0" borderId="0" applyAlignment="1" pivotButton="0" quotePrefix="0" xfId="0">
      <alignment horizontal="left" vertical="center"/>
    </xf>
    <xf numFmtId="0" fontId="27" fillId="0" borderId="0" applyAlignment="1" pivotButton="0" quotePrefix="0" xfId="0">
      <alignment horizontal="center" vertical="bottom"/>
    </xf>
    <xf numFmtId="0" fontId="62" fillId="0" borderId="0" applyAlignment="1" pivotButton="0" quotePrefix="0" xfId="0">
      <alignment horizontal="general" vertical="center"/>
    </xf>
    <xf numFmtId="0" fontId="64" fillId="0" borderId="0" applyAlignment="1" pivotButton="0" quotePrefix="0" xfId="0">
      <alignment horizontal="center" vertical="center"/>
    </xf>
    <xf numFmtId="0" fontId="64" fillId="0" borderId="0" applyAlignment="1" pivotButton="0" quotePrefix="0" xfId="0">
      <alignment horizontal="general" vertical="center"/>
    </xf>
    <xf numFmtId="0" fontId="49" fillId="0" borderId="0" applyAlignment="1" pivotButton="0" quotePrefix="0" xfId="0">
      <alignment horizontal="center" vertical="center"/>
    </xf>
    <xf numFmtId="0" fontId="38" fillId="9" borderId="93" applyAlignment="1" pivotButton="0" quotePrefix="0" xfId="0">
      <alignment horizontal="center" vertical="center" wrapText="1"/>
    </xf>
    <xf numFmtId="0" fontId="38" fillId="9" borderId="94" applyAlignment="1" pivotButton="0" quotePrefix="0" xfId="0">
      <alignment horizontal="center" vertical="center" wrapText="1"/>
    </xf>
    <xf numFmtId="165" fontId="27" fillId="2" borderId="35" applyAlignment="1" pivotButton="0" quotePrefix="0" xfId="15">
      <alignment horizontal="general" vertical="center" wrapText="1"/>
    </xf>
    <xf numFmtId="0" fontId="27" fillId="0" borderId="36" applyAlignment="1" pivotButton="0" quotePrefix="0" xfId="0">
      <alignment horizontal="left" vertical="center" wrapText="1"/>
    </xf>
    <xf numFmtId="165" fontId="27" fillId="2" borderId="36" applyAlignment="1" pivotButton="0" quotePrefix="0" xfId="15">
      <alignment horizontal="general" vertical="center" wrapText="1"/>
    </xf>
    <xf numFmtId="165" fontId="27" fillId="2" borderId="17" applyAlignment="1" pivotButton="0" quotePrefix="0" xfId="15">
      <alignment horizontal="general" vertical="center" wrapText="1"/>
    </xf>
    <xf numFmtId="0" fontId="28" fillId="3" borderId="30" applyAlignment="1" pivotButton="0" quotePrefix="0" xfId="0">
      <alignment horizontal="left" vertical="center" wrapText="1"/>
    </xf>
    <xf numFmtId="165" fontId="28" fillId="3" borderId="91" applyAlignment="1" pivotButton="0" quotePrefix="0" xfId="15">
      <alignment horizontal="general" vertical="center" wrapText="1"/>
    </xf>
    <xf numFmtId="0" fontId="27" fillId="0" borderId="33" applyAlignment="1" pivotButton="0" quotePrefix="0" xfId="0">
      <alignment horizontal="left" vertical="center" wrapText="1"/>
    </xf>
    <xf numFmtId="165" fontId="27" fillId="2" borderId="18" applyAlignment="1" pivotButton="0" quotePrefix="0" xfId="15">
      <alignment horizontal="general" vertical="center" wrapText="1"/>
    </xf>
    <xf numFmtId="165" fontId="27" fillId="2" borderId="11" applyAlignment="1" pivotButton="0" quotePrefix="0" xfId="15">
      <alignment horizontal="general" vertical="center" wrapText="1"/>
    </xf>
    <xf numFmtId="165" fontId="27" fillId="0" borderId="16" applyAlignment="1" pivotButton="0" quotePrefix="0" xfId="15">
      <alignment horizontal="general" vertical="center" wrapText="1"/>
    </xf>
    <xf numFmtId="165" fontId="27" fillId="0" borderId="17" applyAlignment="1" pivotButton="0" quotePrefix="0" xfId="15">
      <alignment horizontal="general" vertical="center" wrapText="1"/>
    </xf>
    <xf numFmtId="165" fontId="27" fillId="3" borderId="91" applyAlignment="1" pivotButton="0" quotePrefix="0" xfId="15">
      <alignment horizontal="general" vertical="center" wrapText="1"/>
    </xf>
    <xf numFmtId="0" fontId="86" fillId="0" borderId="0" applyAlignment="1" pivotButton="0" quotePrefix="0" xfId="0">
      <alignment horizontal="left" vertical="center" indent="3"/>
    </xf>
    <xf numFmtId="0" fontId="79" fillId="0" borderId="0" applyAlignment="1" pivotButton="0" quotePrefix="0" xfId="0">
      <alignment horizontal="left" vertical="center" indent="5"/>
    </xf>
    <xf numFmtId="0" fontId="27" fillId="0" borderId="0" applyAlignment="1" pivotButton="0" quotePrefix="0" xfId="0">
      <alignment horizontal="left" vertical="center" indent="5"/>
    </xf>
    <xf numFmtId="0" fontId="38" fillId="9" borderId="95" applyAlignment="1" pivotButton="0" quotePrefix="0" xfId="0">
      <alignment horizontal="center" vertical="center" wrapText="1"/>
    </xf>
    <xf numFmtId="0" fontId="27" fillId="0" borderId="39" applyAlignment="1" pivotButton="0" quotePrefix="0" xfId="0">
      <alignment horizontal="left" vertical="center" wrapText="1"/>
    </xf>
    <xf numFmtId="0" fontId="28" fillId="3" borderId="41" applyAlignment="1" pivotButton="0" quotePrefix="0" xfId="0">
      <alignment horizontal="left" vertical="center" wrapText="1"/>
    </xf>
    <xf numFmtId="0" fontId="28" fillId="0" borderId="0" applyAlignment="1" pivotButton="0" quotePrefix="0" xfId="0">
      <alignment horizontal="left" vertical="center" indent="3"/>
    </xf>
    <xf numFmtId="0" fontId="76" fillId="0" borderId="0" applyAlignment="1" pivotButton="0" quotePrefix="0" xfId="0">
      <alignment horizontal="left" vertical="center" indent="3"/>
    </xf>
    <xf numFmtId="0" fontId="76" fillId="0" borderId="0" applyAlignment="1" pivotButton="0" quotePrefix="0" xfId="0">
      <alignment horizontal="left" vertical="center" indent="1"/>
    </xf>
    <xf numFmtId="0" fontId="30" fillId="0" borderId="0" applyAlignment="1" pivotButton="0" quotePrefix="0" xfId="0">
      <alignment horizontal="left" vertical="center" indent="1"/>
    </xf>
    <xf numFmtId="0" fontId="66" fillId="0" borderId="0" applyAlignment="1" pivotButton="0" quotePrefix="0" xfId="0">
      <alignment horizontal="right" vertical="center"/>
    </xf>
    <xf numFmtId="0" fontId="38" fillId="9" borderId="43" applyAlignment="1" pivotButton="0" quotePrefix="0" xfId="0">
      <alignment horizontal="general" vertical="center" wrapText="1"/>
    </xf>
    <xf numFmtId="0" fontId="27" fillId="0" borderId="13" applyAlignment="1" pivotButton="0" quotePrefix="0" xfId="0">
      <alignment horizontal="general" vertical="center" wrapText="1"/>
    </xf>
    <xf numFmtId="165" fontId="28" fillId="2" borderId="9" applyAlignment="1" pivotButton="0" quotePrefix="0" xfId="15">
      <alignment horizontal="general" vertical="center" wrapText="1"/>
    </xf>
    <xf numFmtId="9" fontId="28" fillId="2" borderId="15" applyAlignment="1" pivotButton="0" quotePrefix="0" xfId="19">
      <alignment horizontal="general" vertical="center" wrapText="1"/>
    </xf>
    <xf numFmtId="0" fontId="27" fillId="0" borderId="6" applyAlignment="1" pivotButton="0" quotePrefix="0" xfId="0">
      <alignment horizontal="general" vertical="center" wrapText="1"/>
    </xf>
    <xf numFmtId="165" fontId="27" fillId="2" borderId="20" applyAlignment="1" pivotButton="0" quotePrefix="0" xfId="15">
      <alignment horizontal="general" vertical="center" wrapText="1"/>
    </xf>
    <xf numFmtId="9" fontId="27" fillId="2" borderId="15" applyAlignment="1" pivotButton="0" quotePrefix="0" xfId="19">
      <alignment horizontal="general" vertical="center" wrapText="1"/>
    </xf>
    <xf numFmtId="0" fontId="27" fillId="0" borderId="90" applyAlignment="1" pivotButton="0" quotePrefix="0" xfId="0">
      <alignment horizontal="general" vertical="center" wrapText="1"/>
    </xf>
    <xf numFmtId="165" fontId="27" fillId="2" borderId="23" applyAlignment="1" pivotButton="0" quotePrefix="0" xfId="15">
      <alignment horizontal="general" vertical="center" wrapText="1"/>
    </xf>
    <xf numFmtId="0" fontId="28" fillId="3" borderId="88" applyAlignment="1" pivotButton="0" quotePrefix="0" xfId="0">
      <alignment horizontal="general" vertical="center" wrapText="1"/>
    </xf>
    <xf numFmtId="165" fontId="28" fillId="3" borderId="43" applyAlignment="1" pivotButton="0" quotePrefix="0" xfId="15">
      <alignment horizontal="general" vertical="center" wrapText="1"/>
    </xf>
    <xf numFmtId="9" fontId="28" fillId="0" borderId="15" applyAlignment="1" pivotButton="0" quotePrefix="0" xfId="19">
      <alignment horizontal="general" vertical="center" wrapText="1"/>
    </xf>
    <xf numFmtId="0" fontId="28" fillId="0" borderId="13" applyAlignment="1" pivotButton="0" quotePrefix="0" xfId="0">
      <alignment horizontal="general" vertical="center" wrapText="1"/>
    </xf>
    <xf numFmtId="165" fontId="28" fillId="0" borderId="9" applyAlignment="1" pivotButton="0" quotePrefix="0" xfId="15">
      <alignment horizontal="general" vertical="center" wrapText="1"/>
    </xf>
    <xf numFmtId="165" fontId="28" fillId="0" borderId="15" applyAlignment="1" pivotButton="0" quotePrefix="0" xfId="15">
      <alignment horizontal="general" vertical="center" wrapText="1"/>
    </xf>
    <xf numFmtId="165" fontId="27" fillId="2" borderId="46" applyAlignment="1" pivotButton="0" quotePrefix="0" xfId="15">
      <alignment horizontal="general" vertical="center" wrapText="1"/>
    </xf>
    <xf numFmtId="165" fontId="27" fillId="0" borderId="23" applyAlignment="1" pivotButton="0" quotePrefix="0" xfId="15">
      <alignment horizontal="general" vertical="center" wrapText="1"/>
    </xf>
    <xf numFmtId="165" fontId="27" fillId="0" borderId="47" applyAlignment="1" pivotButton="0" quotePrefix="0" xfId="15">
      <alignment horizontal="general" vertical="center" wrapText="1"/>
    </xf>
    <xf numFmtId="0" fontId="28" fillId="3" borderId="88" applyAlignment="1" pivotButton="0" quotePrefix="0" xfId="0">
      <alignment horizontal="center" vertical="center" wrapText="1"/>
    </xf>
    <xf numFmtId="165" fontId="27" fillId="3" borderId="43" applyAlignment="1" pivotButton="0" quotePrefix="0" xfId="15">
      <alignment horizontal="general" vertical="center" wrapText="1"/>
    </xf>
    <xf numFmtId="9" fontId="28" fillId="3" borderId="43" applyAlignment="1" pivotButton="0" quotePrefix="0" xfId="19">
      <alignment horizontal="general" vertical="center" wrapText="1"/>
    </xf>
    <xf numFmtId="0" fontId="76" fillId="0" borderId="0" applyAlignment="1" pivotButton="0" quotePrefix="0" xfId="0">
      <alignment horizontal="left" vertical="center" wrapText="1"/>
    </xf>
    <xf numFmtId="0" fontId="78" fillId="0" borderId="0" applyAlignment="1" pivotButton="0" quotePrefix="0" xfId="0">
      <alignment horizontal="left" vertical="center" indent="1"/>
    </xf>
    <xf numFmtId="0" fontId="80" fillId="0" borderId="0" applyAlignment="1" pivotButton="0" quotePrefix="0" xfId="0">
      <alignment horizontal="left" vertical="center" indent="3"/>
    </xf>
    <xf numFmtId="0" fontId="59" fillId="0" borderId="0" applyAlignment="1" pivotButton="0" quotePrefix="0" xfId="0">
      <alignment horizontal="left" vertical="center" indent="3"/>
    </xf>
    <xf numFmtId="0" fontId="30" fillId="0" borderId="0" applyAlignment="1" pivotButton="0" quotePrefix="0" xfId="0">
      <alignment horizontal="left" vertical="center" indent="3"/>
    </xf>
    <xf numFmtId="0" fontId="38" fillId="9" borderId="96" applyAlignment="1" pivotButton="0" quotePrefix="0" xfId="0">
      <alignment horizontal="center" vertical="center" wrapText="1"/>
    </xf>
    <xf numFmtId="0" fontId="38" fillId="9" borderId="91" applyAlignment="1" pivotButton="0" quotePrefix="0" xfId="0">
      <alignment horizontal="center" vertical="center" wrapText="1"/>
    </xf>
    <xf numFmtId="0" fontId="0" fillId="0" borderId="101" pivotButton="0" quotePrefix="0" xfId="0"/>
    <xf numFmtId="0" fontId="0" fillId="0" borderId="24" pivotButton="0" quotePrefix="0" xfId="0"/>
    <xf numFmtId="0" fontId="0" fillId="0" borderId="19" pivotButton="0" quotePrefix="0" xfId="0"/>
    <xf numFmtId="0" fontId="0" fillId="0" borderId="135" pivotButton="0" quotePrefix="0" xfId="0"/>
    <xf numFmtId="165" fontId="28" fillId="2" borderId="9" applyAlignment="1" pivotButton="0" quotePrefix="0" xfId="15">
      <alignment horizontal="right" vertical="center" wrapText="1"/>
    </xf>
    <xf numFmtId="9" fontId="28" fillId="2" borderId="9" applyAlignment="1" pivotButton="0" quotePrefix="0" xfId="19">
      <alignment horizontal="right" vertical="center" wrapText="1"/>
    </xf>
    <xf numFmtId="165" fontId="27" fillId="2" borderId="15" applyAlignment="1" pivotButton="0" quotePrefix="0" xfId="15">
      <alignment horizontal="right" vertical="center" wrapText="1"/>
    </xf>
    <xf numFmtId="165" fontId="27" fillId="2" borderId="20" applyAlignment="1" pivotButton="0" quotePrefix="0" xfId="15">
      <alignment horizontal="right" vertical="center" wrapText="1"/>
    </xf>
    <xf numFmtId="165" fontId="27" fillId="2" borderId="46" applyAlignment="1" pivotButton="0" quotePrefix="0" xfId="15">
      <alignment horizontal="right" vertical="center" wrapText="1"/>
    </xf>
    <xf numFmtId="0" fontId="27" fillId="0" borderId="6" applyAlignment="1" pivotButton="0" quotePrefix="0" xfId="0">
      <alignment horizontal="justify" vertical="center" wrapText="1"/>
    </xf>
    <xf numFmtId="165" fontId="27" fillId="2" borderId="23" applyAlignment="1" pivotButton="0" quotePrefix="0" xfId="15">
      <alignment horizontal="right" vertical="center" wrapText="1"/>
    </xf>
    <xf numFmtId="165" fontId="27" fillId="2" borderId="47" applyAlignment="1" pivotButton="0" quotePrefix="0" xfId="15">
      <alignment horizontal="right" vertical="center" wrapText="1"/>
    </xf>
    <xf numFmtId="9" fontId="28" fillId="3" borderId="43" applyAlignment="1" pivotButton="0" quotePrefix="0" xfId="19">
      <alignment horizontal="right" vertical="center" wrapText="1"/>
    </xf>
    <xf numFmtId="0" fontId="68" fillId="0" borderId="0" applyAlignment="1" pivotButton="0" quotePrefix="0" xfId="0">
      <alignment horizontal="left" vertical="center" indent="3"/>
    </xf>
    <xf numFmtId="0" fontId="97" fillId="0" borderId="0" applyAlignment="1" pivotButton="0" quotePrefix="0" xfId="0">
      <alignment horizontal="left" vertical="top" wrapText="1"/>
    </xf>
    <xf numFmtId="0" fontId="27" fillId="0" borderId="0" applyAlignment="1" pivotButton="0" quotePrefix="0" xfId="0">
      <alignment horizontal="left" vertical="center" indent="9"/>
    </xf>
    <xf numFmtId="0" fontId="38" fillId="0" borderId="0" applyAlignment="1" pivotButton="0" quotePrefix="0" xfId="0">
      <alignment horizontal="general" vertical="center"/>
    </xf>
    <xf numFmtId="0" fontId="98" fillId="0" borderId="0" applyAlignment="1" pivotButton="0" quotePrefix="0" xfId="0">
      <alignment horizontal="center" vertical="center"/>
    </xf>
    <xf numFmtId="0" fontId="49" fillId="0" borderId="26" applyAlignment="1" pivotButton="0" quotePrefix="0" xfId="0">
      <alignment horizontal="center" vertical="center"/>
    </xf>
    <xf numFmtId="0" fontId="38" fillId="9" borderId="3" applyAlignment="1" pivotButton="0" quotePrefix="0" xfId="0">
      <alignment horizontal="center" vertical="center" wrapText="1"/>
    </xf>
    <xf numFmtId="0" fontId="38" fillId="9" borderId="5" applyAlignment="1" pivotButton="0" quotePrefix="0" xfId="0">
      <alignment horizontal="general" vertical="center" wrapText="1"/>
    </xf>
    <xf numFmtId="0" fontId="38" fillId="9" borderId="27" applyAlignment="1" pivotButton="0" quotePrefix="0" xfId="0">
      <alignment horizontal="center" vertical="center" wrapText="1"/>
    </xf>
    <xf numFmtId="165" fontId="27" fillId="2" borderId="27" applyAlignment="1" pivotButton="0" quotePrefix="0" xfId="15">
      <alignment horizontal="right" vertical="center" wrapText="1"/>
    </xf>
    <xf numFmtId="165" fontId="28" fillId="2" borderId="27" applyAlignment="1" pivotButton="0" quotePrefix="0" xfId="15">
      <alignment horizontal="right" vertical="center" wrapText="1"/>
    </xf>
    <xf numFmtId="9" fontId="28" fillId="2" borderId="27" applyAlignment="1" pivotButton="0" quotePrefix="0" xfId="19">
      <alignment horizontal="center" vertical="center" wrapText="1"/>
    </xf>
    <xf numFmtId="9" fontId="27" fillId="2" borderId="27" applyAlignment="1" pivotButton="0" quotePrefix="0" xfId="19">
      <alignment horizontal="right" vertical="center" wrapText="1"/>
    </xf>
    <xf numFmtId="0" fontId="28" fillId="3" borderId="50" applyAlignment="1" pivotButton="0" quotePrefix="0" xfId="0">
      <alignment horizontal="justify" vertical="center" wrapText="1"/>
    </xf>
    <xf numFmtId="165" fontId="28" fillId="3" borderId="27" applyAlignment="1" pivotButton="0" quotePrefix="0" xfId="15">
      <alignment horizontal="right" vertical="center" wrapText="1"/>
    </xf>
    <xf numFmtId="165" fontId="27" fillId="0" borderId="27" applyAlignment="1" pivotButton="0" quotePrefix="0" xfId="15">
      <alignment horizontal="right" vertical="center" wrapText="1"/>
    </xf>
    <xf numFmtId="165" fontId="27" fillId="3" borderId="27" applyAlignment="1" pivotButton="0" quotePrefix="0" xfId="15">
      <alignment horizontal="right" vertical="center" wrapText="1"/>
    </xf>
    <xf numFmtId="0" fontId="66" fillId="0" borderId="0" applyAlignment="1" pivotButton="0" quotePrefix="0" xfId="0">
      <alignment horizontal="left" vertical="center" indent="8"/>
    </xf>
    <xf numFmtId="0" fontId="69" fillId="0" borderId="26" applyAlignment="1" pivotButton="0" quotePrefix="0" xfId="0">
      <alignment horizontal="center" vertical="center"/>
    </xf>
    <xf numFmtId="0" fontId="38" fillId="3" borderId="30" applyAlignment="1" pivotButton="0" quotePrefix="0" xfId="0">
      <alignment horizontal="center" vertical="center" wrapText="1"/>
    </xf>
    <xf numFmtId="0" fontId="28" fillId="0" borderId="50" applyAlignment="1" pivotButton="0" quotePrefix="0" xfId="0">
      <alignment horizontal="center" vertical="center" wrapText="1"/>
    </xf>
    <xf numFmtId="0" fontId="27" fillId="0" borderId="30" applyAlignment="1" pivotButton="0" quotePrefix="0" xfId="0">
      <alignment horizontal="center" vertical="center" wrapText="1"/>
    </xf>
    <xf numFmtId="0" fontId="28" fillId="0" borderId="30" applyAlignment="1" pivotButton="0" quotePrefix="0" xfId="0">
      <alignment horizontal="center" vertical="center" wrapText="1"/>
    </xf>
    <xf numFmtId="0" fontId="27" fillId="0" borderId="27" applyAlignment="1" pivotButton="0" quotePrefix="0" xfId="0">
      <alignment horizontal="justify" vertical="center" wrapText="1"/>
    </xf>
    <xf numFmtId="0" fontId="27" fillId="0" borderId="27" applyAlignment="1" pivotButton="0" quotePrefix="0" xfId="0">
      <alignment horizontal="general" vertical="center" wrapText="1"/>
    </xf>
    <xf numFmtId="165" fontId="27" fillId="0" borderId="27" applyAlignment="1" pivotButton="0" quotePrefix="0" xfId="15">
      <alignment horizontal="general" vertical="center" wrapText="1"/>
    </xf>
    <xf numFmtId="0" fontId="27" fillId="3" borderId="27" applyAlignment="1" pivotButton="0" quotePrefix="0" xfId="0">
      <alignment horizontal="general" vertical="center" wrapText="1"/>
    </xf>
    <xf numFmtId="0" fontId="28" fillId="0" borderId="27" applyAlignment="1" pivotButton="0" quotePrefix="0" xfId="0">
      <alignment horizontal="right" vertical="center" wrapText="1"/>
    </xf>
    <xf numFmtId="0" fontId="28" fillId="0" borderId="50" applyAlignment="1" pivotButton="0" quotePrefix="0" xfId="0">
      <alignment horizontal="left" vertical="center" wrapText="1" indent="1"/>
    </xf>
    <xf numFmtId="0" fontId="28" fillId="0" borderId="27" applyAlignment="1" pivotButton="0" quotePrefix="0" xfId="0">
      <alignment horizontal="general" vertical="center" wrapText="1"/>
    </xf>
    <xf numFmtId="0" fontId="100" fillId="0" borderId="0" applyAlignment="1" pivotButton="0" quotePrefix="0" xfId="0">
      <alignment horizontal="left" vertical="center" indent="3"/>
    </xf>
    <xf numFmtId="0" fontId="68" fillId="0" borderId="0" applyAlignment="1" pivotButton="0" quotePrefix="0" xfId="0">
      <alignment horizontal="left" vertical="center" indent="1"/>
    </xf>
    <xf numFmtId="0" fontId="66" fillId="0" borderId="0" applyAlignment="1" pivotButton="0" quotePrefix="0" xfId="0">
      <alignment horizontal="left" vertical="center" indent="1"/>
    </xf>
    <xf numFmtId="0" fontId="89" fillId="0" borderId="0" applyAlignment="1" pivotButton="0" quotePrefix="0" xfId="0">
      <alignment horizontal="center" vertical="center"/>
    </xf>
    <xf numFmtId="0" fontId="90" fillId="0" borderId="26" applyAlignment="1" pivotButton="0" quotePrefix="0" xfId="0">
      <alignment horizontal="center" vertical="center"/>
    </xf>
    <xf numFmtId="0" fontId="49" fillId="9" borderId="30" applyAlignment="1" pivotButton="0" quotePrefix="0" xfId="0">
      <alignment horizontal="center" vertical="center" wrapText="1"/>
    </xf>
    <xf numFmtId="0" fontId="28" fillId="3" borderId="27" applyAlignment="1" pivotButton="0" quotePrefix="0" xfId="0">
      <alignment horizontal="general" vertical="center" wrapText="1"/>
    </xf>
    <xf numFmtId="0" fontId="28" fillId="3" borderId="50" applyAlignment="1" pivotButton="0" quotePrefix="0" xfId="0">
      <alignment horizontal="center" vertical="center" wrapText="1"/>
    </xf>
    <xf numFmtId="0" fontId="76" fillId="0" borderId="0" applyAlignment="1" pivotButton="0" quotePrefix="0" xfId="0">
      <alignment horizontal="general" vertical="bottom" wrapText="1"/>
    </xf>
    <xf numFmtId="0" fontId="80" fillId="0" borderId="0" applyAlignment="1" pivotButton="0" quotePrefix="0" xfId="0">
      <alignment horizontal="general" vertical="center"/>
    </xf>
    <xf numFmtId="0" fontId="26" fillId="0" borderId="0" applyAlignment="1" pivotButton="0" quotePrefix="0" xfId="0">
      <alignment horizontal="right" vertical="bottom"/>
    </xf>
    <xf numFmtId="0" fontId="27" fillId="2" borderId="11" applyAlignment="1" pivotButton="0" quotePrefix="0" xfId="0">
      <alignment horizontal="general" vertical="center" wrapText="1"/>
    </xf>
    <xf numFmtId="0" fontId="27" fillId="2" borderId="34" applyAlignment="1" pivotButton="0" quotePrefix="0" xfId="0">
      <alignment horizontal="general" vertical="center" wrapText="1"/>
    </xf>
    <xf numFmtId="0" fontId="27" fillId="2" borderId="35" applyAlignment="1" pivotButton="0" quotePrefix="0" xfId="0">
      <alignment horizontal="general" vertical="center" wrapText="1"/>
    </xf>
    <xf numFmtId="0" fontId="27" fillId="2" borderId="36" applyAlignment="1" pivotButton="0" quotePrefix="0" xfId="0">
      <alignment horizontal="general" vertical="center" wrapText="1"/>
    </xf>
    <xf numFmtId="0" fontId="27" fillId="2" borderId="17" applyAlignment="1" pivotButton="0" quotePrefix="0" xfId="0">
      <alignment horizontal="general" vertical="center" wrapText="1"/>
    </xf>
    <xf numFmtId="0" fontId="28" fillId="3" borderId="30" applyAlignment="1" pivotButton="0" quotePrefix="0" xfId="0">
      <alignment horizontal="general" vertical="center" wrapText="1"/>
    </xf>
    <xf numFmtId="0" fontId="28" fillId="3" borderId="91" applyAlignment="1" pivotButton="0" quotePrefix="0" xfId="0">
      <alignment horizontal="general" vertical="center" wrapText="1"/>
    </xf>
    <xf numFmtId="0" fontId="27" fillId="0" borderId="17" applyAlignment="1" pivotButton="0" quotePrefix="0" xfId="0">
      <alignment horizontal="general" vertical="center" wrapText="1"/>
    </xf>
    <xf numFmtId="0" fontId="28" fillId="3" borderId="30" applyAlignment="1" pivotButton="0" quotePrefix="0" xfId="0">
      <alignment horizontal="center" vertical="center" wrapText="1"/>
    </xf>
    <xf numFmtId="0" fontId="27" fillId="3" borderId="91" applyAlignment="1" pivotButton="0" quotePrefix="0" xfId="0">
      <alignment horizontal="general" vertical="center" wrapText="1"/>
    </xf>
    <xf numFmtId="0" fontId="101" fillId="0" borderId="0" applyAlignment="1" pivotButton="0" quotePrefix="0" xfId="0">
      <alignment horizontal="left" vertical="center" indent="9"/>
    </xf>
    <xf numFmtId="0" fontId="101" fillId="0" borderId="0" applyAlignment="1" pivotButton="0" quotePrefix="0" xfId="0">
      <alignment horizontal="general" vertical="bottom"/>
    </xf>
    <xf numFmtId="0" fontId="103" fillId="0" borderId="0" applyAlignment="1" pivotButton="0" quotePrefix="0" xfId="0">
      <alignment horizontal="general" vertical="bottom"/>
    </xf>
    <xf numFmtId="0" fontId="30" fillId="2" borderId="0" applyAlignment="1" pivotButton="0" quotePrefix="0" xfId="0">
      <alignment horizontal="general" vertical="bottom"/>
    </xf>
    <xf numFmtId="0" fontId="49" fillId="9" borderId="88" applyAlignment="1" pivotButton="0" quotePrefix="0" xfId="0">
      <alignment horizontal="center" vertical="center" wrapText="1"/>
    </xf>
    <xf numFmtId="0" fontId="38" fillId="9" borderId="97" applyAlignment="1" pivotButton="0" quotePrefix="0" xfId="0">
      <alignment horizontal="center" vertical="center" wrapText="1"/>
    </xf>
    <xf numFmtId="0" fontId="38" fillId="9" borderId="98" applyAlignment="1" pivotButton="0" quotePrefix="0" xfId="0">
      <alignment horizontal="center" vertical="center" wrapText="1"/>
    </xf>
    <xf numFmtId="9" fontId="28" fillId="2" borderId="15" applyAlignment="1" pivotButton="0" quotePrefix="0" xfId="19">
      <alignment horizontal="right" vertical="center" wrapText="1"/>
    </xf>
    <xf numFmtId="9" fontId="27" fillId="2" borderId="46" applyAlignment="1" pivotButton="0" quotePrefix="0" xfId="19">
      <alignment horizontal="right" vertical="center" wrapText="1"/>
    </xf>
    <xf numFmtId="165" fontId="28" fillId="2" borderId="20" applyAlignment="1" pivotButton="0" quotePrefix="0" xfId="15">
      <alignment horizontal="right" vertical="center" wrapText="1"/>
    </xf>
    <xf numFmtId="9" fontId="27" fillId="2" borderId="47" applyAlignment="1" pivotButton="0" quotePrefix="0" xfId="19">
      <alignment horizontal="right" vertical="center" wrapText="1"/>
    </xf>
    <xf numFmtId="9" fontId="28" fillId="3" borderId="44" applyAlignment="1" pivotButton="0" quotePrefix="0" xfId="19">
      <alignment horizontal="right" vertical="center" wrapText="1"/>
    </xf>
    <xf numFmtId="165" fontId="27" fillId="2" borderId="9" applyAlignment="1" pivotButton="0" quotePrefix="0" xfId="15">
      <alignment horizontal="right" vertical="center" wrapText="1"/>
    </xf>
    <xf numFmtId="9" fontId="27" fillId="2" borderId="15" applyAlignment="1" pivotButton="0" quotePrefix="0" xfId="19">
      <alignment horizontal="right" vertical="center" wrapText="1"/>
    </xf>
    <xf numFmtId="9" fontId="27" fillId="0" borderId="47" applyAlignment="1" pivotButton="0" quotePrefix="0" xfId="19">
      <alignment horizontal="right" vertical="center" wrapText="1"/>
    </xf>
    <xf numFmtId="0" fontId="28" fillId="3" borderId="88" applyAlignment="1" pivotButton="0" quotePrefix="0" xfId="0">
      <alignment horizontal="justify" vertical="center" wrapText="1"/>
    </xf>
    <xf numFmtId="0" fontId="86" fillId="0" borderId="0" applyAlignment="1" pivotButton="0" quotePrefix="0" xfId="0">
      <alignment horizontal="left" vertical="center" wrapText="1"/>
    </xf>
    <xf numFmtId="0" fontId="38" fillId="9" borderId="41" applyAlignment="1" pivotButton="0" quotePrefix="0" xfId="0">
      <alignment horizontal="center" vertical="center" wrapText="1"/>
    </xf>
    <xf numFmtId="0" fontId="38" fillId="9" borderId="34" applyAlignment="1" pivotButton="0" quotePrefix="0" xfId="0">
      <alignment horizontal="center" vertical="center" wrapText="1"/>
    </xf>
    <xf numFmtId="0" fontId="38" fillId="9" borderId="37" applyAlignment="1" pivotButton="0" quotePrefix="0" xfId="0">
      <alignment horizontal="center" vertical="center" wrapText="1"/>
    </xf>
    <xf numFmtId="166" fontId="38" fillId="9" borderId="37" applyAlignment="1" pivotButton="0" quotePrefix="0" xfId="0">
      <alignment horizontal="center" vertical="center" wrapText="1"/>
    </xf>
    <xf numFmtId="0" fontId="37" fillId="0" borderId="39" applyAlignment="1" pivotButton="0" quotePrefix="0" xfId="0">
      <alignment horizontal="general" vertical="center" wrapText="1"/>
    </xf>
    <xf numFmtId="0" fontId="37" fillId="0" borderId="34" applyAlignment="1" pivotButton="0" quotePrefix="0" xfId="0">
      <alignment horizontal="general" vertical="center" wrapText="1"/>
    </xf>
    <xf numFmtId="0" fontId="27" fillId="0" borderId="82" applyAlignment="1" pivotButton="0" quotePrefix="0" xfId="0">
      <alignment horizontal="general" vertical="center" wrapText="1"/>
    </xf>
    <xf numFmtId="0" fontId="27" fillId="0" borderId="38" applyAlignment="1" pivotButton="0" quotePrefix="0" xfId="0">
      <alignment horizontal="general" vertical="center" wrapText="1"/>
    </xf>
    <xf numFmtId="0" fontId="28" fillId="0" borderId="0" applyAlignment="1" pivotButton="0" quotePrefix="0" xfId="0">
      <alignment horizontal="left" vertical="center" indent="1"/>
    </xf>
    <xf numFmtId="0" fontId="30" fillId="0" borderId="0" applyAlignment="1" pivotButton="0" quotePrefix="0" xfId="0">
      <alignment horizontal="left" vertical="center" indent="9"/>
    </xf>
    <xf numFmtId="0" fontId="104" fillId="0" borderId="0" applyAlignment="1" pivotButton="0" quotePrefix="0" xfId="0">
      <alignment horizontal="center" vertical="center"/>
    </xf>
    <xf numFmtId="0" fontId="106"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8" fillId="0" borderId="5" applyAlignment="1" pivotButton="0" quotePrefix="0" xfId="0">
      <alignment horizontal="center" vertical="center" wrapText="1"/>
    </xf>
    <xf numFmtId="165" fontId="27" fillId="2" borderId="32" applyAlignment="1" pivotButton="0" quotePrefix="0" xfId="15">
      <alignment horizontal="general" vertical="center" wrapText="1"/>
    </xf>
    <xf numFmtId="0" fontId="38" fillId="13" borderId="41" applyAlignment="1" pivotButton="0" quotePrefix="0" xfId="0">
      <alignment horizontal="center" vertical="center" wrapText="1"/>
    </xf>
    <xf numFmtId="0" fontId="38" fillId="13" borderId="43" applyAlignment="1" pivotButton="0" quotePrefix="0" xfId="0">
      <alignment horizontal="center" vertical="center" wrapText="1"/>
    </xf>
    <xf numFmtId="0" fontId="38" fillId="13" borderId="3" applyAlignment="1" pivotButton="0" quotePrefix="0" xfId="0">
      <alignment horizontal="center" vertical="center" wrapText="1"/>
    </xf>
    <xf numFmtId="0" fontId="38" fillId="13" borderId="5" applyAlignment="1" pivotButton="0" quotePrefix="0" xfId="0">
      <alignment horizontal="center" vertical="center" wrapText="1"/>
    </xf>
    <xf numFmtId="0" fontId="38" fillId="13" borderId="27" applyAlignment="1" pivotButton="0" quotePrefix="0" xfId="0">
      <alignment horizontal="center" vertical="center" wrapText="1"/>
    </xf>
    <xf numFmtId="0" fontId="27" fillId="0" borderId="9" applyAlignment="1" pivotButton="0" quotePrefix="0" xfId="0">
      <alignment horizontal="general" vertical="center" wrapText="1"/>
    </xf>
    <xf numFmtId="165" fontId="27" fillId="0" borderId="9" applyAlignment="1" pivotButton="0" quotePrefix="0" xfId="15">
      <alignment horizontal="general" vertical="center" wrapText="1"/>
    </xf>
    <xf numFmtId="0" fontId="27" fillId="0" borderId="20" applyAlignment="1" pivotButton="0" quotePrefix="0" xfId="0">
      <alignment horizontal="general" vertical="center" wrapText="1"/>
    </xf>
    <xf numFmtId="0" fontId="28" fillId="0" borderId="90" applyAlignment="1" pivotButton="0" quotePrefix="0" xfId="0">
      <alignment horizontal="general" vertical="center" wrapText="1"/>
    </xf>
    <xf numFmtId="0" fontId="27" fillId="3" borderId="23" applyAlignment="1" pivotButton="0" quotePrefix="0" xfId="0">
      <alignment horizontal="general" vertical="center" wrapText="1"/>
    </xf>
    <xf numFmtId="165" fontId="27" fillId="3" borderId="47" applyAlignment="1" pivotButton="0" quotePrefix="0" xfId="15">
      <alignment horizontal="right" vertical="center" wrapText="1"/>
    </xf>
    <xf numFmtId="0" fontId="28" fillId="0" borderId="88" applyAlignment="1" pivotButton="0" quotePrefix="0" xfId="0">
      <alignment horizontal="right" vertical="center" wrapText="1"/>
    </xf>
    <xf numFmtId="0" fontId="0" fillId="0" borderId="42" pivotButton="0" quotePrefix="0" xfId="0"/>
    <xf numFmtId="0" fontId="28" fillId="0" borderId="43" applyAlignment="1" pivotButton="0" quotePrefix="0" xfId="0">
      <alignment horizontal="general" vertical="center" wrapText="1"/>
    </xf>
    <xf numFmtId="165" fontId="28" fillId="0" borderId="43" applyAlignment="1" pivotButton="0" quotePrefix="0" xfId="15">
      <alignment horizontal="right" vertical="center" wrapText="1"/>
    </xf>
    <xf numFmtId="0" fontId="27" fillId="0" borderId="0" applyAlignment="1" pivotButton="0" quotePrefix="0" xfId="0">
      <alignment horizontal="general" vertical="center"/>
    </xf>
    <xf numFmtId="0" fontId="107" fillId="0" borderId="0" applyAlignment="1" pivotButton="0" quotePrefix="0" xfId="0">
      <alignment horizontal="left" vertical="center" indent="7"/>
    </xf>
    <xf numFmtId="0" fontId="57" fillId="0" borderId="0" applyAlignment="1" pivotButton="0" quotePrefix="0" xfId="0">
      <alignment horizontal="general" vertical="bottom"/>
    </xf>
    <xf numFmtId="0" fontId="63" fillId="0" borderId="0" applyAlignment="1" pivotButton="0" quotePrefix="0" xfId="0">
      <alignment horizontal="center" vertical="center"/>
    </xf>
    <xf numFmtId="165" fontId="27" fillId="2" borderId="9" applyAlignment="1" pivotButton="0" quotePrefix="0" xfId="15">
      <alignment horizontal="general" vertical="center" wrapText="1"/>
    </xf>
    <xf numFmtId="165" fontId="27" fillId="2" borderId="15" applyAlignment="1" pivotButton="0" quotePrefix="0" xfId="15">
      <alignment horizontal="general" vertical="center" wrapText="1"/>
    </xf>
    <xf numFmtId="0" fontId="28" fillId="3" borderId="6" applyAlignment="1" pivotButton="0" quotePrefix="0" xfId="0">
      <alignment horizontal="general" vertical="center" wrapText="1"/>
    </xf>
    <xf numFmtId="165" fontId="28" fillId="3" borderId="20" applyAlignment="1" pivotButton="0" quotePrefix="0" xfId="15">
      <alignment horizontal="general" vertical="center" wrapText="1"/>
    </xf>
    <xf numFmtId="165" fontId="28" fillId="3" borderId="46" applyAlignment="1" pivotButton="0" quotePrefix="0" xfId="15">
      <alignment horizontal="general" vertical="center" wrapText="1"/>
    </xf>
    <xf numFmtId="165" fontId="27" fillId="0" borderId="20" applyAlignment="1" pivotButton="0" quotePrefix="0" xfId="15">
      <alignment horizontal="general" vertical="center" wrapText="1"/>
    </xf>
    <xf numFmtId="165" fontId="27" fillId="0" borderId="46" applyAlignment="1" pivotButton="0" quotePrefix="0" xfId="15">
      <alignment horizontal="general" vertical="center" wrapText="1"/>
    </xf>
    <xf numFmtId="165" fontId="27" fillId="3" borderId="20" applyAlignment="1" pivotButton="0" quotePrefix="0" xfId="15">
      <alignment horizontal="general" vertical="center" wrapText="1"/>
    </xf>
    <xf numFmtId="165" fontId="27" fillId="3" borderId="46" applyAlignment="1" pivotButton="0" quotePrefix="0" xfId="15">
      <alignment horizontal="general" vertical="center" wrapText="1"/>
    </xf>
    <xf numFmtId="0" fontId="28" fillId="0" borderId="6" applyAlignment="1" pivotButton="0" quotePrefix="0" xfId="0">
      <alignment horizontal="general" vertical="center" wrapText="1"/>
    </xf>
    <xf numFmtId="0" fontId="28" fillId="0" borderId="99" applyAlignment="1" pivotButton="0" quotePrefix="0" xfId="0">
      <alignment horizontal="general" vertical="center" wrapText="1"/>
    </xf>
    <xf numFmtId="165" fontId="28" fillId="0" borderId="85" applyAlignment="1" pivotButton="0" quotePrefix="0" xfId="15">
      <alignment horizontal="general" vertical="center" wrapText="1"/>
    </xf>
    <xf numFmtId="9" fontId="28" fillId="0" borderId="100" applyAlignment="1" pivotButton="0" quotePrefix="0" xfId="19">
      <alignment horizontal="center" vertical="center" wrapText="1"/>
    </xf>
    <xf numFmtId="0" fontId="111" fillId="0" borderId="0" applyAlignment="1" pivotButton="0" quotePrefix="0" xfId="0">
      <alignment horizontal="left" vertical="center" indent="1"/>
    </xf>
    <xf numFmtId="0" fontId="23" fillId="0" borderId="0" applyAlignment="1" pivotButton="0" quotePrefix="0" xfId="0">
      <alignment horizontal="center" vertical="center"/>
    </xf>
    <xf numFmtId="0" fontId="47" fillId="0" borderId="26" applyAlignment="1" pivotButton="0" quotePrefix="0" xfId="0">
      <alignment horizontal="center" vertical="center"/>
    </xf>
    <xf numFmtId="0" fontId="36" fillId="9" borderId="88" applyAlignment="1" pivotButton="0" quotePrefix="0" xfId="0">
      <alignment horizontal="center" vertical="center" wrapText="1"/>
    </xf>
    <xf numFmtId="0" fontId="36" fillId="9" borderId="43" applyAlignment="1" pivotButton="0" quotePrefix="0" xfId="0">
      <alignment horizontal="center" vertical="center" wrapText="1"/>
    </xf>
    <xf numFmtId="0" fontId="36" fillId="9" borderId="44" applyAlignment="1" pivotButton="0" quotePrefix="0" xfId="0">
      <alignment horizontal="center" vertical="center" wrapText="1"/>
    </xf>
    <xf numFmtId="0" fontId="26" fillId="0" borderId="13" applyAlignment="1" pivotButton="0" quotePrefix="0" xfId="0">
      <alignment horizontal="general" vertical="center" wrapText="1"/>
    </xf>
    <xf numFmtId="0" fontId="26" fillId="0" borderId="9" applyAlignment="1" pivotButton="0" quotePrefix="0" xfId="0">
      <alignment horizontal="center" vertical="center" wrapText="1"/>
    </xf>
    <xf numFmtId="0" fontId="26" fillId="2" borderId="9" applyAlignment="1" pivotButton="0" quotePrefix="0" xfId="0">
      <alignment horizontal="general" vertical="center" wrapText="1"/>
    </xf>
    <xf numFmtId="0" fontId="26" fillId="2" borderId="9" applyAlignment="1" pivotButton="0" quotePrefix="0" xfId="0">
      <alignment horizontal="center" vertical="center" wrapText="1"/>
    </xf>
    <xf numFmtId="0" fontId="26" fillId="2" borderId="15" applyAlignment="1" pivotButton="0" quotePrefix="0" xfId="0">
      <alignment horizontal="general" vertical="center" wrapText="1"/>
    </xf>
    <xf numFmtId="0" fontId="26" fillId="0" borderId="6" applyAlignment="1" pivotButton="0" quotePrefix="0" xfId="0">
      <alignment horizontal="general" vertical="center" wrapText="1"/>
    </xf>
    <xf numFmtId="0" fontId="26" fillId="0" borderId="20" applyAlignment="1" pivotButton="0" quotePrefix="0" xfId="0">
      <alignment horizontal="center" vertical="center" wrapText="1"/>
    </xf>
    <xf numFmtId="0" fontId="26" fillId="2" borderId="20" applyAlignment="1" pivotButton="0" quotePrefix="0" xfId="0">
      <alignment horizontal="general" vertical="center" wrapText="1"/>
    </xf>
    <xf numFmtId="0" fontId="26" fillId="2" borderId="20" applyAlignment="1" pivotButton="0" quotePrefix="0" xfId="0">
      <alignment horizontal="center" vertical="center" wrapText="1"/>
    </xf>
    <xf numFmtId="0" fontId="26" fillId="2" borderId="46" applyAlignment="1" pivotButton="0" quotePrefix="0" xfId="0">
      <alignment horizontal="general" vertical="center" wrapText="1"/>
    </xf>
    <xf numFmtId="0" fontId="26" fillId="0" borderId="90" applyAlignment="1" pivotButton="0" quotePrefix="0" xfId="0">
      <alignment horizontal="general" vertical="center" wrapText="1"/>
    </xf>
    <xf numFmtId="0" fontId="26" fillId="0" borderId="23" applyAlignment="1" pivotButton="0" quotePrefix="0" xfId="0">
      <alignment horizontal="center" vertical="center" wrapText="1"/>
    </xf>
    <xf numFmtId="0" fontId="26" fillId="2" borderId="23" applyAlignment="1" pivotButton="0" quotePrefix="0" xfId="0">
      <alignment horizontal="general" vertical="center" wrapText="1"/>
    </xf>
    <xf numFmtId="0" fontId="26" fillId="2" borderId="23" applyAlignment="1" pivotButton="0" quotePrefix="0" xfId="0">
      <alignment horizontal="center" vertical="center" wrapText="1"/>
    </xf>
    <xf numFmtId="0" fontId="26" fillId="2" borderId="47" applyAlignment="1" pivotButton="0" quotePrefix="0" xfId="0">
      <alignment horizontal="general" vertical="center" wrapText="1"/>
    </xf>
    <xf numFmtId="0" fontId="24" fillId="3" borderId="88" applyAlignment="1" pivotButton="0" quotePrefix="0" xfId="0">
      <alignment horizontal="general" vertical="center" wrapText="1"/>
    </xf>
    <xf numFmtId="0" fontId="24" fillId="3" borderId="43" applyAlignment="1" pivotButton="0" quotePrefix="0" xfId="0">
      <alignment horizontal="center" vertical="center" wrapText="1"/>
    </xf>
    <xf numFmtId="0" fontId="26" fillId="3" borderId="43" applyAlignment="1" pivotButton="0" quotePrefix="0" xfId="0">
      <alignment horizontal="general" vertical="center" wrapText="1"/>
    </xf>
    <xf numFmtId="0" fontId="26" fillId="3" borderId="44" applyAlignment="1" pivotButton="0" quotePrefix="0" xfId="0">
      <alignment horizontal="general" vertical="center" wrapText="1"/>
    </xf>
    <xf numFmtId="0" fontId="26" fillId="0" borderId="9" applyAlignment="1" pivotButton="0" quotePrefix="0" xfId="0">
      <alignment horizontal="general" vertical="center" wrapText="1"/>
    </xf>
    <xf numFmtId="0" fontId="26" fillId="0" borderId="15" applyAlignment="1" pivotButton="0" quotePrefix="0" xfId="0">
      <alignment horizontal="general" vertical="center" wrapText="1"/>
    </xf>
    <xf numFmtId="3" fontId="26" fillId="2" borderId="23" applyAlignment="1" pivotButton="0" quotePrefix="0" xfId="0">
      <alignment horizontal="general" vertical="center" wrapText="1"/>
    </xf>
    <xf numFmtId="0" fontId="26" fillId="0" borderId="101" applyAlignment="1" pivotButton="0" quotePrefix="0" xfId="0">
      <alignment horizontal="general" vertical="center" wrapText="1"/>
    </xf>
    <xf numFmtId="0" fontId="26" fillId="0" borderId="24" applyAlignment="1" pivotButton="0" quotePrefix="0" xfId="0">
      <alignment horizontal="center" vertical="center" wrapText="1"/>
    </xf>
    <xf numFmtId="0" fontId="26" fillId="0" borderId="24" applyAlignment="1" pivotButton="0" quotePrefix="0" xfId="0">
      <alignment horizontal="general" vertical="center" wrapText="1"/>
    </xf>
    <xf numFmtId="0" fontId="26" fillId="0" borderId="102" applyAlignment="1" pivotButton="0" quotePrefix="0" xfId="0">
      <alignment horizontal="general" vertical="center" wrapText="1"/>
    </xf>
    <xf numFmtId="0" fontId="36" fillId="7" borderId="103" applyAlignment="1" pivotButton="0" quotePrefix="0" xfId="0">
      <alignment horizontal="general" vertical="center" wrapText="1"/>
    </xf>
    <xf numFmtId="0" fontId="36" fillId="7" borderId="42" applyAlignment="1" pivotButton="0" quotePrefix="0" xfId="0">
      <alignment horizontal="center" vertical="center" wrapText="1"/>
    </xf>
    <xf numFmtId="3" fontId="41" fillId="7" borderId="43" applyAlignment="1" pivotButton="0" quotePrefix="0" xfId="0">
      <alignment horizontal="general" vertical="center" wrapText="1"/>
    </xf>
    <xf numFmtId="0" fontId="41" fillId="7" borderId="43" applyAlignment="1" pivotButton="0" quotePrefix="0" xfId="0">
      <alignment horizontal="general" vertical="center" wrapText="1"/>
    </xf>
    <xf numFmtId="0" fontId="41" fillId="7" borderId="44" applyAlignment="1" pivotButton="0" quotePrefix="0" xfId="0">
      <alignment horizontal="general" vertical="center" wrapText="1"/>
    </xf>
    <xf numFmtId="0" fontId="36" fillId="7" borderId="104" applyAlignment="1" pivotButton="0" quotePrefix="0" xfId="0">
      <alignment horizontal="general" vertical="center" wrapText="1"/>
    </xf>
    <xf numFmtId="0" fontId="0" fillId="0" borderId="137" pivotButton="0" quotePrefix="0" xfId="0"/>
    <xf numFmtId="0" fontId="111" fillId="0" borderId="0" applyAlignment="1" pivotButton="0" quotePrefix="0" xfId="0">
      <alignment horizontal="left" vertical="center" indent="3"/>
    </xf>
    <xf numFmtId="0" fontId="24" fillId="0" borderId="0" applyAlignment="1" pivotButton="0" quotePrefix="0" xfId="0">
      <alignment horizontal="left" vertical="center" indent="3"/>
    </xf>
    <xf numFmtId="0" fontId="26" fillId="0" borderId="0" applyAlignment="1" pivotButton="0" quotePrefix="0" xfId="0">
      <alignment horizontal="left" vertical="center" wrapText="1"/>
    </xf>
    <xf numFmtId="0" fontId="0" fillId="0" borderId="0" applyAlignment="1" pivotButton="0" quotePrefix="0" xfId="0">
      <alignment horizontal="left" vertical="center" indent="3"/>
    </xf>
    <xf numFmtId="0" fontId="112" fillId="0" borderId="0" applyAlignment="1" pivotButton="0" quotePrefix="0" xfId="0">
      <alignment horizontal="left" vertical="center" indent="3"/>
    </xf>
    <xf numFmtId="0" fontId="23" fillId="9" borderId="30" applyAlignment="1" pivotButton="0" quotePrefix="0" xfId="0">
      <alignment horizontal="center" vertical="center" wrapText="1"/>
    </xf>
    <xf numFmtId="0" fontId="113" fillId="9" borderId="91" applyAlignment="1" pivotButton="0" quotePrefix="0" xfId="0">
      <alignment horizontal="center" vertical="center" wrapText="1"/>
    </xf>
    <xf numFmtId="0" fontId="113" fillId="9" borderId="91" applyAlignment="1" pivotButton="0" quotePrefix="0" xfId="0">
      <alignment horizontal="justify" vertical="center" wrapText="1"/>
    </xf>
    <xf numFmtId="0" fontId="21" fillId="0" borderId="50" applyAlignment="1" pivotButton="0" quotePrefix="0" xfId="0">
      <alignment horizontal="general" vertical="center" wrapText="1"/>
    </xf>
    <xf numFmtId="0" fontId="114" fillId="0" borderId="27" applyAlignment="1" pivotButton="0" quotePrefix="0" xfId="0">
      <alignment horizontal="center" vertical="center" wrapText="1"/>
    </xf>
    <xf numFmtId="0" fontId="114" fillId="0" borderId="27" applyAlignment="1" pivotButton="0" quotePrefix="0" xfId="0">
      <alignment horizontal="general" vertical="center" wrapText="1"/>
    </xf>
    <xf numFmtId="0" fontId="21" fillId="0" borderId="50" applyAlignment="1" pivotButton="0" quotePrefix="0" xfId="0">
      <alignment horizontal="justify" vertical="center" wrapText="1"/>
    </xf>
    <xf numFmtId="0" fontId="23" fillId="3" borderId="50" applyAlignment="1" pivotButton="0" quotePrefix="0" xfId="0">
      <alignment horizontal="general" vertical="center" wrapText="1"/>
    </xf>
    <xf numFmtId="0" fontId="116" fillId="3" borderId="27" applyAlignment="1" pivotButton="0" quotePrefix="0" xfId="0">
      <alignment horizontal="center" vertical="center" wrapText="1"/>
    </xf>
    <xf numFmtId="0" fontId="114" fillId="3" borderId="27" applyAlignment="1" pivotButton="0" quotePrefix="0" xfId="0">
      <alignment horizontal="general" vertical="center" wrapText="1"/>
    </xf>
    <xf numFmtId="0" fontId="87" fillId="0" borderId="0" applyAlignment="1" pivotButton="0" quotePrefix="0" xfId="0">
      <alignment horizontal="justify" vertical="center"/>
    </xf>
    <xf numFmtId="0" fontId="24" fillId="0" borderId="0" applyAlignment="1" pivotButton="0" quotePrefix="0" xfId="0">
      <alignment horizontal="left" vertical="center" wrapText="1"/>
    </xf>
    <xf numFmtId="0" fontId="118" fillId="0" borderId="0" applyAlignment="1" pivotButton="0" quotePrefix="0" xfId="0">
      <alignment horizontal="left" vertical="center" wrapText="1"/>
    </xf>
    <xf numFmtId="0" fontId="119" fillId="0" borderId="0" applyAlignment="1" pivotButton="0" quotePrefix="0" xfId="0">
      <alignment horizontal="left" vertical="center" wrapText="1"/>
    </xf>
    <xf numFmtId="0" fontId="87" fillId="0" borderId="0" applyAlignment="1" pivotButton="0" quotePrefix="0" xfId="0">
      <alignment horizontal="left" vertical="center" indent="1"/>
    </xf>
    <xf numFmtId="0" fontId="122" fillId="0" borderId="0" applyAlignment="1" pivotButton="0" quotePrefix="0" xfId="0">
      <alignment horizontal="center" vertical="center"/>
    </xf>
    <xf numFmtId="0" fontId="123" fillId="13" borderId="88" applyAlignment="1" pivotButton="0" quotePrefix="0" xfId="0">
      <alignment horizontal="center" vertical="center" wrapText="1"/>
    </xf>
    <xf numFmtId="0" fontId="123" fillId="13" borderId="43" applyAlignment="1" pivotButton="0" quotePrefix="0" xfId="0">
      <alignment horizontal="center" vertical="center" wrapText="1"/>
    </xf>
    <xf numFmtId="0" fontId="123" fillId="13" borderId="44" applyAlignment="1" pivotButton="0" quotePrefix="0" xfId="0">
      <alignment horizontal="center" vertical="center" wrapText="1"/>
    </xf>
    <xf numFmtId="165" fontId="27" fillId="2" borderId="20" applyAlignment="1" pivotButton="0" quotePrefix="0" xfId="19">
      <alignment horizontal="center" vertical="center" wrapText="1"/>
    </xf>
    <xf numFmtId="9" fontId="27" fillId="2" borderId="20" applyAlignment="1" pivotButton="0" quotePrefix="0" xfId="19">
      <alignment horizontal="center" vertical="center" wrapText="1"/>
    </xf>
    <xf numFmtId="0" fontId="27" fillId="0" borderId="15" applyAlignment="1" pivotButton="0" quotePrefix="0" xfId="0">
      <alignment horizontal="general" vertical="center" wrapText="1"/>
    </xf>
    <xf numFmtId="0" fontId="27" fillId="3" borderId="105" applyAlignment="1" pivotButton="0" quotePrefix="0" xfId="0">
      <alignment horizontal="general" vertical="center" wrapText="1"/>
    </xf>
    <xf numFmtId="0" fontId="27" fillId="3" borderId="106" applyAlignment="1" pivotButton="0" quotePrefix="0" xfId="0">
      <alignment horizontal="general" vertical="center" wrapText="1"/>
    </xf>
    <xf numFmtId="0" fontId="27" fillId="3" borderId="107" applyAlignment="1" pivotButton="0" quotePrefix="0" xfId="0">
      <alignment horizontal="general" vertical="center" wrapText="1"/>
    </xf>
    <xf numFmtId="0" fontId="27" fillId="3" borderId="108" applyAlignment="1" pivotButton="0" quotePrefix="0" xfId="0">
      <alignment horizontal="general" vertical="center" wrapText="1"/>
    </xf>
    <xf numFmtId="0" fontId="27" fillId="3" borderId="109" applyAlignment="1" pivotButton="0" quotePrefix="0" xfId="0">
      <alignment horizontal="general" vertical="center" wrapText="1"/>
    </xf>
    <xf numFmtId="0" fontId="27" fillId="3" borderId="110" applyAlignment="1" pivotButton="0" quotePrefix="0" xfId="0">
      <alignment horizontal="general" vertical="center" wrapText="1"/>
    </xf>
    <xf numFmtId="0" fontId="124" fillId="0" borderId="0" applyAlignment="1" pivotButton="0" quotePrefix="0" xfId="0">
      <alignment horizontal="left" vertical="top" wrapText="1"/>
    </xf>
    <xf numFmtId="0" fontId="124" fillId="0" borderId="0" applyAlignment="1" pivotButton="0" quotePrefix="0" xfId="0">
      <alignment horizontal="general" vertical="top" wrapText="1"/>
    </xf>
    <xf numFmtId="0" fontId="38" fillId="9" borderId="111" applyAlignment="1" pivotButton="0" quotePrefix="0" xfId="0">
      <alignment horizontal="center" vertical="center" wrapText="1"/>
    </xf>
    <xf numFmtId="0" fontId="27" fillId="9" borderId="112" applyAlignment="1" pivotButton="0" quotePrefix="0" xfId="0">
      <alignment horizontal="general" vertical="center" wrapText="1"/>
    </xf>
    <xf numFmtId="0" fontId="27" fillId="9" borderId="113" applyAlignment="1" pivotButton="0" quotePrefix="0" xfId="0">
      <alignment horizontal="general" vertical="center" wrapText="1"/>
    </xf>
    <xf numFmtId="0" fontId="38" fillId="9" borderId="99" applyAlignment="1" pivotButton="0" quotePrefix="0" xfId="0">
      <alignment horizontal="general" vertical="center" wrapText="1"/>
    </xf>
    <xf numFmtId="0" fontId="38" fillId="9" borderId="85" applyAlignment="1" pivotButton="0" quotePrefix="0" xfId="0">
      <alignment horizontal="center" vertical="center" wrapText="1"/>
    </xf>
    <xf numFmtId="0" fontId="51" fillId="9" borderId="100" applyAlignment="1" pivotButton="0" quotePrefix="0" xfId="0">
      <alignment horizontal="center" vertical="center" wrapText="1"/>
    </xf>
    <xf numFmtId="0" fontId="27" fillId="2" borderId="9" applyAlignment="1" pivotButton="0" quotePrefix="0" xfId="0">
      <alignment horizontal="general" vertical="center" wrapText="1"/>
    </xf>
    <xf numFmtId="0" fontId="27" fillId="2" borderId="15" applyAlignment="1" pivotButton="0" quotePrefix="0" xfId="0">
      <alignment horizontal="general" vertical="center" wrapText="1"/>
    </xf>
    <xf numFmtId="0" fontId="27" fillId="2" borderId="20" applyAlignment="1" pivotButton="0" quotePrefix="0" xfId="0">
      <alignment horizontal="general" vertical="center" wrapText="1"/>
    </xf>
    <xf numFmtId="0" fontId="27" fillId="2" borderId="46" applyAlignment="1" pivotButton="0" quotePrefix="0" xfId="0">
      <alignment horizontal="general" vertical="center" wrapText="1"/>
    </xf>
    <xf numFmtId="0" fontId="27" fillId="0" borderId="99" applyAlignment="1" pivotButton="0" quotePrefix="0" xfId="0">
      <alignment horizontal="general" vertical="center" wrapText="1"/>
    </xf>
    <xf numFmtId="0" fontId="27" fillId="2" borderId="85" applyAlignment="1" pivotButton="0" quotePrefix="0" xfId="0">
      <alignment horizontal="general" vertical="center" wrapText="1"/>
    </xf>
    <xf numFmtId="0" fontId="27" fillId="2" borderId="100" applyAlignment="1" pivotButton="0" quotePrefix="0" xfId="0">
      <alignment horizontal="general" vertical="center" wrapText="1"/>
    </xf>
    <xf numFmtId="0" fontId="28" fillId="0" borderId="0" applyAlignment="1" pivotButton="0" quotePrefix="0" xfId="0">
      <alignment horizontal="left" vertical="center" indent="4"/>
    </xf>
    <xf numFmtId="0" fontId="27" fillId="0" borderId="0" applyAlignment="1" pivotButton="0" quotePrefix="0" xfId="0">
      <alignment horizontal="left" vertical="center" wrapText="1"/>
    </xf>
    <xf numFmtId="0" fontId="30" fillId="0" borderId="0" applyAlignment="1" pivotButton="0" quotePrefix="0" xfId="0">
      <alignment horizontal="left" vertical="center" indent="12"/>
    </xf>
    <xf numFmtId="0" fontId="28" fillId="3" borderId="13" applyAlignment="1" pivotButton="0" quotePrefix="0" xfId="0">
      <alignment horizontal="general" vertical="center" wrapText="1"/>
    </xf>
    <xf numFmtId="0" fontId="28" fillId="3" borderId="9" applyAlignment="1" pivotButton="0" quotePrefix="0" xfId="0">
      <alignment horizontal="center" vertical="center" wrapText="1"/>
    </xf>
    <xf numFmtId="0" fontId="28" fillId="3" borderId="15" applyAlignment="1" pivotButton="0" quotePrefix="0" xfId="0">
      <alignment horizontal="center" vertical="center" wrapText="1"/>
    </xf>
    <xf numFmtId="0" fontId="27" fillId="2" borderId="20" applyAlignment="1" pivotButton="0" quotePrefix="0" xfId="0">
      <alignment horizontal="center" vertical="center" wrapText="1"/>
    </xf>
    <xf numFmtId="0" fontId="27" fillId="2" borderId="46" applyAlignment="1" pivotButton="0" quotePrefix="0" xfId="0">
      <alignment horizontal="center" vertical="center" wrapText="1"/>
    </xf>
    <xf numFmtId="0" fontId="27" fillId="2" borderId="23" applyAlignment="1" pivotButton="0" quotePrefix="0" xfId="0">
      <alignment horizontal="center" vertical="center" wrapText="1"/>
    </xf>
    <xf numFmtId="0" fontId="27" fillId="2" borderId="47" applyAlignment="1" pivotButton="0" quotePrefix="0" xfId="0">
      <alignment horizontal="center" vertical="center" wrapText="1"/>
    </xf>
    <xf numFmtId="0" fontId="28" fillId="3" borderId="43" applyAlignment="1" pivotButton="0" quotePrefix="0" xfId="0">
      <alignment horizontal="center" vertical="center" wrapText="1"/>
    </xf>
    <xf numFmtId="0" fontId="27" fillId="3" borderId="44" applyAlignment="1" pivotButton="0" quotePrefix="0" xfId="0">
      <alignment horizontal="center" vertical="center" wrapText="1"/>
    </xf>
    <xf numFmtId="0" fontId="28" fillId="3" borderId="0" applyAlignment="1" pivotButton="0" quotePrefix="0" xfId="0">
      <alignment horizontal="general" vertical="center" wrapText="1"/>
    </xf>
    <xf numFmtId="0" fontId="28" fillId="3" borderId="0" applyAlignment="1" pivotButton="0" quotePrefix="0" xfId="0">
      <alignment horizontal="center" vertical="center" wrapText="1"/>
    </xf>
    <xf numFmtId="0" fontId="27" fillId="3" borderId="0" applyAlignment="1" pivotButton="0" quotePrefix="0" xfId="0">
      <alignment horizontal="center" vertical="center" wrapText="1"/>
    </xf>
    <xf numFmtId="0" fontId="27" fillId="0" borderId="0" applyAlignment="1" pivotButton="0" quotePrefix="0" xfId="0">
      <alignment horizontal="left" vertical="center" indent="12"/>
    </xf>
    <xf numFmtId="0" fontId="51" fillId="9" borderId="88" applyAlignment="1" pivotButton="0" quotePrefix="0" xfId="0">
      <alignment horizontal="center" vertical="center" wrapText="1"/>
    </xf>
    <xf numFmtId="0" fontId="51" fillId="9" borderId="43" applyAlignment="1" pivotButton="0" quotePrefix="0" xfId="0">
      <alignment horizontal="center" vertical="center" wrapText="1"/>
    </xf>
    <xf numFmtId="0" fontId="51" fillId="9" borderId="44" applyAlignment="1" pivotButton="0" quotePrefix="0" xfId="0">
      <alignment horizontal="center" vertical="center" wrapText="1"/>
    </xf>
    <xf numFmtId="0" fontId="27" fillId="3" borderId="13" applyAlignment="1" pivotButton="0" quotePrefix="0" xfId="0">
      <alignment horizontal="center" vertical="center" wrapText="1"/>
    </xf>
    <xf numFmtId="0" fontId="27" fillId="3" borderId="9" applyAlignment="1" pivotButton="0" quotePrefix="0" xfId="0">
      <alignment horizontal="center" vertical="center" wrapText="1"/>
    </xf>
    <xf numFmtId="0" fontId="27" fillId="3" borderId="15" applyAlignment="1" pivotButton="0" quotePrefix="0" xfId="0">
      <alignment horizontal="center" vertical="center" wrapText="1"/>
    </xf>
    <xf numFmtId="0" fontId="0" fillId="0" borderId="9" pivotButton="0" quotePrefix="0" xfId="0"/>
    <xf numFmtId="0" fontId="0" fillId="0" borderId="15" pivotButton="0" quotePrefix="0" xfId="0"/>
    <xf numFmtId="0" fontId="91" fillId="0" borderId="0" applyAlignment="1" pivotButton="0" quotePrefix="0" xfId="0">
      <alignment horizontal="general" vertical="center"/>
    </xf>
    <xf numFmtId="0" fontId="27" fillId="2" borderId="27" applyAlignment="1" pivotButton="0" quotePrefix="0" xfId="0">
      <alignment horizontal="center" vertical="center" wrapText="1"/>
    </xf>
    <xf numFmtId="0" fontId="27" fillId="2" borderId="114" applyAlignment="1" pivotButton="0" quotePrefix="0" xfId="0">
      <alignment horizontal="center" vertical="center" wrapText="1"/>
    </xf>
    <xf numFmtId="0" fontId="27" fillId="3" borderId="27" applyAlignment="1" pivotButton="0" quotePrefix="0" xfId="0">
      <alignment horizontal="center" vertical="center" wrapText="1"/>
    </xf>
    <xf numFmtId="0" fontId="37" fillId="0" borderId="0" applyAlignment="1" pivotButton="0" quotePrefix="0" xfId="0">
      <alignment horizontal="left" vertical="center" indent="9"/>
    </xf>
    <xf numFmtId="0" fontId="27" fillId="0" borderId="50" applyAlignment="1" pivotButton="0" quotePrefix="0" xfId="0">
      <alignment horizontal="center" vertical="center" wrapText="1"/>
    </xf>
    <xf numFmtId="0" fontId="27" fillId="2" borderId="27" applyAlignment="1" pivotButton="0" quotePrefix="0" xfId="0">
      <alignment horizontal="general" vertical="center" wrapText="1"/>
    </xf>
    <xf numFmtId="0" fontId="27" fillId="3" borderId="50" applyAlignment="1" pivotButton="0" quotePrefix="0" xfId="0">
      <alignment horizontal="general" vertical="center" wrapText="1"/>
    </xf>
    <xf numFmtId="0" fontId="28" fillId="9" borderId="88" applyAlignment="1" pivotButton="0" quotePrefix="0" xfId="0">
      <alignment horizontal="center" vertical="center" wrapText="1"/>
    </xf>
    <xf numFmtId="0" fontId="28" fillId="3" borderId="43" applyAlignment="1" pivotButton="0" quotePrefix="0" xfId="0">
      <alignment horizontal="general" vertical="center" wrapText="1"/>
    </xf>
    <xf numFmtId="0" fontId="28" fillId="3" borderId="44" applyAlignment="1" pivotButton="0" quotePrefix="0" xfId="0">
      <alignment horizontal="general" vertical="center" wrapText="1"/>
    </xf>
    <xf numFmtId="0" fontId="28" fillId="0" borderId="9" applyAlignment="1" pivotButton="0" quotePrefix="0" xfId="0">
      <alignment horizontal="general" vertical="center" wrapText="1"/>
    </xf>
    <xf numFmtId="0" fontId="28" fillId="0" borderId="15" applyAlignment="1" pivotButton="0" quotePrefix="0" xfId="0">
      <alignment horizontal="general" vertical="center" wrapText="1"/>
    </xf>
    <xf numFmtId="0" fontId="27" fillId="0" borderId="46" applyAlignment="1" pivotButton="0" quotePrefix="0" xfId="0">
      <alignment horizontal="general" vertical="center" wrapText="1"/>
    </xf>
    <xf numFmtId="0" fontId="27" fillId="0" borderId="23" applyAlignment="1" pivotButton="0" quotePrefix="0" xfId="0">
      <alignment horizontal="general" vertical="center" wrapText="1"/>
    </xf>
    <xf numFmtId="0" fontId="27" fillId="0" borderId="47" applyAlignment="1" pivotButton="0" quotePrefix="0" xfId="0">
      <alignment horizontal="general" vertical="center" wrapText="1"/>
    </xf>
    <xf numFmtId="0" fontId="27" fillId="0" borderId="85" applyAlignment="1" pivotButton="0" quotePrefix="0" xfId="0">
      <alignment horizontal="general" vertical="center" wrapText="1"/>
    </xf>
    <xf numFmtId="0" fontId="27" fillId="0" borderId="100" applyAlignment="1" pivotButton="0" quotePrefix="0" xfId="0">
      <alignment horizontal="general" vertical="center" wrapText="1"/>
    </xf>
    <xf numFmtId="0" fontId="28" fillId="0" borderId="0" applyAlignment="1" pivotButton="0" quotePrefix="0" xfId="0">
      <alignment horizontal="center" vertical="center"/>
    </xf>
    <xf numFmtId="0" fontId="38" fillId="9" borderId="44" applyAlignment="1" pivotButton="0" quotePrefix="0" xfId="0">
      <alignment horizontal="justify" vertical="center" wrapText="1"/>
    </xf>
    <xf numFmtId="0" fontId="27" fillId="0" borderId="13" applyAlignment="1" pivotButton="0" quotePrefix="0" xfId="0">
      <alignment horizontal="justify" vertical="center" wrapText="1"/>
    </xf>
    <xf numFmtId="9" fontId="28" fillId="2" borderId="9" applyAlignment="1" pivotButton="0" quotePrefix="0" xfId="19">
      <alignment horizontal="center" vertical="center" wrapText="1"/>
    </xf>
    <xf numFmtId="165" fontId="28" fillId="3" borderId="44" applyAlignment="1" pivotButton="0" quotePrefix="0" xfId="15">
      <alignment horizontal="right" vertical="center" wrapText="1"/>
    </xf>
    <xf numFmtId="165" fontId="27" fillId="0" borderId="15" applyAlignment="1" pivotButton="0" quotePrefix="0" xfId="15">
      <alignment horizontal="general" vertical="center" wrapText="1"/>
    </xf>
    <xf numFmtId="165" fontId="27" fillId="2" borderId="47" applyAlignment="1" pivotButton="0" quotePrefix="0" xfId="15">
      <alignment horizontal="general" vertical="center" wrapText="1"/>
    </xf>
    <xf numFmtId="165" fontId="27" fillId="3" borderId="44" applyAlignment="1" pivotButton="0" quotePrefix="0" xfId="15">
      <alignment horizontal="general" vertical="center" wrapText="1"/>
    </xf>
    <xf numFmtId="0" fontId="27" fillId="0" borderId="0" applyAlignment="1" pivotButton="0" quotePrefix="0" xfId="0">
      <alignment horizontal="left" vertical="top" wrapText="1"/>
    </xf>
    <xf numFmtId="0" fontId="38" fillId="9" borderId="91" applyAlignment="1" pivotButton="0" quotePrefix="0" xfId="0">
      <alignment horizontal="justify" vertical="center" wrapText="1"/>
    </xf>
    <xf numFmtId="9" fontId="28" fillId="2" borderId="20" applyAlignment="1" pivotButton="0" quotePrefix="0" xfId="19">
      <alignment horizontal="right" vertical="center" wrapText="1"/>
    </xf>
    <xf numFmtId="9" fontId="27" fillId="2" borderId="20" applyAlignment="1" pivotButton="0" quotePrefix="0" xfId="19">
      <alignment horizontal="right" vertical="center" wrapText="1"/>
    </xf>
    <xf numFmtId="0" fontId="27" fillId="0" borderId="101" applyAlignment="1" pivotButton="0" quotePrefix="0" xfId="0">
      <alignment horizontal="general" vertical="bottom"/>
    </xf>
    <xf numFmtId="165" fontId="27" fillId="0" borderId="24" applyAlignment="1" pivotButton="0" quotePrefix="0" xfId="15">
      <alignment horizontal="right" vertical="bottom"/>
    </xf>
    <xf numFmtId="165" fontId="27" fillId="0" borderId="102" applyAlignment="1" pivotButton="0" quotePrefix="0" xfId="15">
      <alignment horizontal="right" vertical="bottom"/>
    </xf>
    <xf numFmtId="0" fontId="36" fillId="7" borderId="88" applyAlignment="1" pivotButton="0" quotePrefix="0" xfId="0">
      <alignment horizontal="general" vertical="center" wrapText="1"/>
    </xf>
    <xf numFmtId="165" fontId="36" fillId="7" borderId="43" applyAlignment="1" pivotButton="0" quotePrefix="0" xfId="15">
      <alignment horizontal="right" vertical="center" wrapText="1"/>
    </xf>
    <xf numFmtId="9" fontId="36" fillId="7" borderId="43" applyAlignment="1" pivotButton="0" quotePrefix="0" xfId="19">
      <alignment horizontal="right" vertical="center" wrapText="1"/>
    </xf>
    <xf numFmtId="165" fontId="36" fillId="7" borderId="44" applyAlignment="1" pivotButton="0" quotePrefix="0" xfId="15">
      <alignment horizontal="right" vertical="center" wrapText="1"/>
    </xf>
    <xf numFmtId="0" fontId="61" fillId="0" borderId="0" applyAlignment="1" pivotButton="0" quotePrefix="0" xfId="0">
      <alignment horizontal="left" vertical="center" indent="1"/>
    </xf>
    <xf numFmtId="0" fontId="127" fillId="0" borderId="0" applyAlignment="1" pivotButton="0" quotePrefix="0" xfId="0">
      <alignment horizontal="left" vertical="center" indent="7"/>
    </xf>
    <xf numFmtId="0" fontId="87" fillId="0" borderId="0" applyAlignment="1" pivotButton="0" quotePrefix="0" xfId="0">
      <alignment horizontal="right" vertical="center"/>
    </xf>
    <xf numFmtId="0" fontId="128" fillId="0" borderId="0" applyAlignment="1" pivotButton="0" quotePrefix="0" xfId="0">
      <alignment horizontal="right" vertical="center"/>
    </xf>
    <xf numFmtId="0" fontId="129" fillId="0" borderId="0" applyAlignment="1" pivotButton="0" quotePrefix="0" xfId="0">
      <alignment horizontal="left" vertical="center" indent="5"/>
    </xf>
    <xf numFmtId="0" fontId="27" fillId="0" borderId="9" applyAlignment="1" pivotButton="0" quotePrefix="0" xfId="0">
      <alignment horizontal="center" vertical="center" wrapText="1"/>
    </xf>
    <xf numFmtId="0" fontId="27" fillId="2" borderId="9" applyAlignment="1" pivotButton="0" quotePrefix="0" xfId="0">
      <alignment horizontal="center" vertical="center" wrapText="1"/>
    </xf>
    <xf numFmtId="0" fontId="27" fillId="0" borderId="20" applyAlignment="1" pivotButton="0" quotePrefix="0" xfId="0">
      <alignment horizontal="center" vertical="center" wrapText="1"/>
    </xf>
    <xf numFmtId="0" fontId="27" fillId="2" borderId="23" applyAlignment="1" pivotButton="0" quotePrefix="0" xfId="0">
      <alignment horizontal="general" vertical="center" wrapText="1"/>
    </xf>
    <xf numFmtId="0" fontId="27" fillId="3" borderId="43" applyAlignment="1" pivotButton="0" quotePrefix="0" xfId="0">
      <alignment horizontal="general" vertical="center" wrapText="1"/>
    </xf>
    <xf numFmtId="0" fontId="27" fillId="3" borderId="44" applyAlignment="1" pivotButton="0" quotePrefix="0" xfId="0">
      <alignment horizontal="general" vertical="center" wrapText="1"/>
    </xf>
    <xf numFmtId="165" fontId="28" fillId="0" borderId="20" applyAlignment="1" pivotButton="0" quotePrefix="0" xfId="15">
      <alignment horizontal="general" vertical="center" wrapText="1"/>
    </xf>
    <xf numFmtId="165" fontId="28" fillId="2" borderId="20" applyAlignment="1" pivotButton="0" quotePrefix="0" xfId="15">
      <alignment horizontal="general" vertical="center" wrapText="1"/>
    </xf>
    <xf numFmtId="9" fontId="28" fillId="2" borderId="20" applyAlignment="1" pivotButton="0" quotePrefix="0" xfId="19">
      <alignment horizontal="general" vertical="center" wrapText="1"/>
    </xf>
    <xf numFmtId="165" fontId="28" fillId="3" borderId="43" applyAlignment="1" pivotButton="0" quotePrefix="0" xfId="0">
      <alignment horizontal="general" vertical="center" wrapText="1"/>
    </xf>
    <xf numFmtId="0" fontId="27" fillId="0" borderId="20" applyAlignment="1" pivotButton="0" quotePrefix="0" xfId="0">
      <alignment horizontal="justify" vertical="center" wrapText="1"/>
    </xf>
    <xf numFmtId="0" fontId="28" fillId="3" borderId="20" applyAlignment="1" pivotButton="0" quotePrefix="0" xfId="0">
      <alignment horizontal="general" vertical="center" wrapText="1"/>
    </xf>
    <xf numFmtId="0" fontId="27" fillId="3" borderId="20" applyAlignment="1" pivotButton="0" quotePrefix="0" xfId="0">
      <alignment horizontal="general" vertical="center" wrapText="1"/>
    </xf>
    <xf numFmtId="0" fontId="38" fillId="7" borderId="88" applyAlignment="1" pivotButton="0" quotePrefix="0" xfId="0">
      <alignment horizontal="general" vertical="center" wrapText="1"/>
    </xf>
    <xf numFmtId="165" fontId="38" fillId="7" borderId="43" applyAlignment="1" pivotButton="0" quotePrefix="0" xfId="0">
      <alignment horizontal="general" vertical="center" wrapText="1"/>
    </xf>
    <xf numFmtId="9" fontId="38" fillId="7" borderId="43" applyAlignment="1" pivotButton="0" quotePrefix="0" xfId="19">
      <alignment horizontal="general" vertical="center" wrapText="1"/>
    </xf>
    <xf numFmtId="0" fontId="51" fillId="7" borderId="43" applyAlignment="1" pivotButton="0" quotePrefix="0" xfId="0">
      <alignment horizontal="general" vertical="center" wrapText="1"/>
    </xf>
    <xf numFmtId="0" fontId="51" fillId="7" borderId="44" applyAlignment="1" pivotButton="0" quotePrefix="0" xfId="0">
      <alignment horizontal="general" vertical="center" wrapText="1"/>
    </xf>
    <xf numFmtId="0" fontId="91" fillId="0" borderId="26" applyAlignment="1" pivotButton="0" quotePrefix="0" xfId="0">
      <alignment horizontal="center" vertical="center"/>
    </xf>
    <xf numFmtId="0" fontId="28" fillId="2" borderId="9" applyAlignment="1" pivotButton="0" quotePrefix="0" xfId="0">
      <alignment horizontal="center" vertical="center" wrapText="1"/>
    </xf>
    <xf numFmtId="0" fontId="28" fillId="2" borderId="15" applyAlignment="1" pivotButton="0" quotePrefix="0" xfId="0">
      <alignment horizontal="center" vertical="center" wrapText="1"/>
    </xf>
    <xf numFmtId="0" fontId="28" fillId="2" borderId="23" applyAlignment="1" pivotButton="0" quotePrefix="0" xfId="0">
      <alignment horizontal="center" vertical="center" wrapText="1"/>
    </xf>
    <xf numFmtId="0" fontId="28" fillId="2" borderId="47" applyAlignment="1" pivotButton="0" quotePrefix="0" xfId="0">
      <alignment horizontal="center" vertical="center" wrapText="1"/>
    </xf>
    <xf numFmtId="0" fontId="28" fillId="3" borderId="111" applyAlignment="1" pivotButton="0" quotePrefix="0" xfId="0">
      <alignment horizontal="general" vertical="center" wrapText="1"/>
    </xf>
    <xf numFmtId="0" fontId="28" fillId="3" borderId="44" applyAlignment="1" pivotButton="0" quotePrefix="0" xfId="0">
      <alignment horizontal="center" vertical="center" wrapText="1"/>
    </xf>
    <xf numFmtId="0" fontId="28" fillId="3" borderId="99" applyAlignment="1" pivotButton="0" quotePrefix="0" xfId="0">
      <alignment horizontal="general" vertical="center" wrapText="1"/>
    </xf>
    <xf numFmtId="0" fontId="28" fillId="0" borderId="9" applyAlignment="1" pivotButton="0" quotePrefix="0" xfId="0">
      <alignment horizontal="center" vertical="center" wrapText="1"/>
    </xf>
    <xf numFmtId="0" fontId="28" fillId="0" borderId="15" applyAlignment="1" pivotButton="0" quotePrefix="0" xfId="0">
      <alignment horizontal="center" vertical="center" wrapText="1"/>
    </xf>
    <xf numFmtId="0" fontId="28" fillId="2" borderId="20" applyAlignment="1" pivotButton="0" quotePrefix="0" xfId="0">
      <alignment horizontal="general" vertical="center" wrapText="1"/>
    </xf>
    <xf numFmtId="0" fontId="28" fillId="2" borderId="46" applyAlignment="1" pivotButton="0" quotePrefix="0" xfId="0">
      <alignment horizontal="general" vertical="center" wrapText="1"/>
    </xf>
    <xf numFmtId="3" fontId="28" fillId="2" borderId="23" applyAlignment="1" pivotButton="0" quotePrefix="0" xfId="0">
      <alignment horizontal="general" vertical="center" wrapText="1"/>
    </xf>
    <xf numFmtId="9" fontId="28" fillId="2" borderId="47" applyAlignment="1" pivotButton="0" quotePrefix="0" xfId="19">
      <alignment horizontal="general" vertical="center" wrapText="1"/>
    </xf>
    <xf numFmtId="3" fontId="28" fillId="3" borderId="43" applyAlignment="1" pivotButton="0" quotePrefix="0" xfId="0">
      <alignment horizontal="general" vertical="center" wrapText="1"/>
    </xf>
    <xf numFmtId="0" fontId="38" fillId="7" borderId="99" applyAlignment="1" pivotButton="0" quotePrefix="0" xfId="0">
      <alignment horizontal="center" vertical="center" wrapText="1"/>
    </xf>
    <xf numFmtId="3" fontId="38" fillId="7" borderId="85" applyAlignment="1" pivotButton="0" quotePrefix="0" xfId="0">
      <alignment horizontal="general" vertical="center" wrapText="1"/>
    </xf>
    <xf numFmtId="9" fontId="38" fillId="7" borderId="85" applyAlignment="1" pivotButton="0" quotePrefix="0" xfId="19">
      <alignment horizontal="general" vertical="center" wrapText="1"/>
    </xf>
    <xf numFmtId="0" fontId="130" fillId="0" borderId="0" applyAlignment="1" pivotButton="0" quotePrefix="0" xfId="0">
      <alignment horizontal="left" vertical="center" indent="1"/>
    </xf>
    <xf numFmtId="165" fontId="28" fillId="2" borderId="112" applyAlignment="1" pivotButton="0" quotePrefix="0" xfId="15">
      <alignment horizontal="general" vertical="bottom"/>
    </xf>
    <xf numFmtId="9" fontId="24" fillId="2" borderId="113" applyAlignment="1" pivotButton="0" quotePrefix="0" xfId="19">
      <alignment horizontal="right" vertical="bottom"/>
    </xf>
    <xf numFmtId="165" fontId="28" fillId="2" borderId="23" applyAlignment="1" pivotButton="0" quotePrefix="0" xfId="15">
      <alignment horizontal="right" vertical="center" wrapText="1"/>
    </xf>
    <xf numFmtId="9" fontId="24" fillId="0" borderId="113" applyAlignment="1" pivotButton="0" quotePrefix="0" xfId="19">
      <alignment horizontal="right" vertical="bottom"/>
    </xf>
    <xf numFmtId="0" fontId="38" fillId="10" borderId="88" applyAlignment="1" pivotButton="0" quotePrefix="0" xfId="0">
      <alignment horizontal="general" vertical="center" wrapText="1"/>
    </xf>
    <xf numFmtId="165" fontId="38" fillId="10" borderId="43" applyAlignment="1" pivotButton="0" quotePrefix="0" xfId="15">
      <alignment horizontal="right" vertical="center" wrapText="1"/>
    </xf>
    <xf numFmtId="0" fontId="27" fillId="0" borderId="101" applyAlignment="1" pivotButton="0" quotePrefix="0" xfId="0">
      <alignment horizontal="general" vertical="center" wrapText="1"/>
    </xf>
    <xf numFmtId="165" fontId="28" fillId="0" borderId="24" applyAlignment="1" pivotButton="0" quotePrefix="0" xfId="15">
      <alignment horizontal="right" vertical="center" wrapText="1"/>
    </xf>
    <xf numFmtId="165" fontId="38" fillId="7" borderId="43" applyAlignment="1" pivotButton="0" quotePrefix="0" xfId="15">
      <alignment horizontal="right" vertical="center" wrapText="1"/>
    </xf>
    <xf numFmtId="0" fontId="38" fillId="9" borderId="112" applyAlignment="1" pivotButton="0" quotePrefix="0" xfId="0">
      <alignment horizontal="center" vertical="center" wrapText="1"/>
    </xf>
    <xf numFmtId="0" fontId="38" fillId="9" borderId="113" applyAlignment="1" pivotButton="0" quotePrefix="0" xfId="0">
      <alignment horizontal="center" vertical="center" wrapText="1"/>
    </xf>
    <xf numFmtId="9" fontId="28" fillId="2" borderId="46" applyAlignment="1" pivotButton="0" quotePrefix="0" xfId="19">
      <alignment horizontal="right" vertical="center" wrapText="1"/>
    </xf>
    <xf numFmtId="165" fontId="28" fillId="2" borderId="46" applyAlignment="1" pivotButton="0" quotePrefix="0" xfId="15">
      <alignment horizontal="right" vertical="center" wrapText="1"/>
    </xf>
    <xf numFmtId="165" fontId="28" fillId="2" borderId="47" applyAlignment="1" pivotButton="0" quotePrefix="0" xfId="15">
      <alignment horizontal="right" vertical="center" wrapText="1"/>
    </xf>
    <xf numFmtId="165" fontId="28" fillId="0" borderId="15" applyAlignment="1" pivotButton="0" quotePrefix="0" xfId="15">
      <alignment horizontal="right" vertical="center" wrapText="1"/>
    </xf>
    <xf numFmtId="0" fontId="28" fillId="2" borderId="46" applyAlignment="1" pivotButton="0" quotePrefix="0" xfId="19">
      <alignment horizontal="right" vertical="center" wrapText="1"/>
    </xf>
    <xf numFmtId="9" fontId="28" fillId="2" borderId="46" applyAlignment="1" pivotButton="0" quotePrefix="0" xfId="19">
      <alignment horizontal="center" vertical="center" wrapText="1"/>
    </xf>
    <xf numFmtId="10" fontId="28" fillId="2" borderId="46" applyAlignment="1" pivotButton="0" quotePrefix="0" xfId="19">
      <alignment horizontal="right" vertical="center" wrapText="1"/>
    </xf>
    <xf numFmtId="0" fontId="30" fillId="0" borderId="0" applyAlignment="1" pivotButton="0" quotePrefix="0" xfId="0">
      <alignment horizontal="left" vertical="center" indent="5"/>
    </xf>
    <xf numFmtId="0" fontId="39" fillId="0" borderId="0" applyAlignment="1" pivotButton="0" quotePrefix="0" xfId="0">
      <alignment horizontal="general" vertical="bottom"/>
    </xf>
    <xf numFmtId="0" fontId="49" fillId="9" borderId="111" applyAlignment="1" pivotButton="0" quotePrefix="0" xfId="0">
      <alignment horizontal="center" vertical="center" wrapText="1"/>
    </xf>
    <xf numFmtId="0" fontId="27" fillId="2" borderId="46" applyAlignment="1" pivotButton="0" quotePrefix="0" xfId="19">
      <alignment horizontal="right" vertical="center" wrapText="1"/>
    </xf>
    <xf numFmtId="9" fontId="27" fillId="2" borderId="46" applyAlignment="1" pivotButton="0" quotePrefix="0" xfId="19">
      <alignment horizontal="center" vertical="center" wrapText="1"/>
    </xf>
    <xf numFmtId="0" fontId="27" fillId="2" borderId="46" applyAlignment="1" pivotButton="0" quotePrefix="0" xfId="19">
      <alignment horizontal="center" vertical="center" wrapText="1"/>
    </xf>
    <xf numFmtId="9" fontId="28" fillId="2" borderId="44" applyAlignment="1" pivotButton="0" quotePrefix="0" xfId="19">
      <alignment horizontal="center" vertical="center" wrapText="1"/>
    </xf>
    <xf numFmtId="9" fontId="28" fillId="3" borderId="44" applyAlignment="1" pivotButton="0" quotePrefix="0" xfId="19">
      <alignment horizontal="center" vertical="center" wrapText="1"/>
    </xf>
    <xf numFmtId="0" fontId="89" fillId="0" borderId="0" applyAlignment="1" pivotButton="0" quotePrefix="0" xfId="0">
      <alignment horizontal="general" vertical="center"/>
    </xf>
    <xf numFmtId="0" fontId="90" fillId="0" borderId="0" applyAlignment="1" pivotButton="0" quotePrefix="0" xfId="0">
      <alignment horizontal="general" vertical="center"/>
    </xf>
    <xf numFmtId="0" fontId="28" fillId="2" borderId="46" applyAlignment="1" pivotButton="0" quotePrefix="0" xfId="19">
      <alignment horizontal="center" vertical="center" wrapText="1"/>
    </xf>
    <xf numFmtId="0" fontId="111" fillId="0" borderId="0" applyAlignment="1" pivotButton="0" quotePrefix="0" xfId="0">
      <alignment horizontal="center" vertical="center"/>
    </xf>
    <xf numFmtId="0" fontId="133" fillId="0" borderId="26" applyAlignment="1" pivotButton="0" quotePrefix="0" xfId="0">
      <alignment horizontal="center" vertical="center"/>
    </xf>
    <xf numFmtId="0" fontId="133" fillId="0" borderId="0" applyAlignment="1" pivotButton="0" quotePrefix="0" xfId="0">
      <alignment horizontal="center" vertical="center"/>
    </xf>
    <xf numFmtId="165" fontId="28" fillId="2" borderId="9" applyAlignment="1" pivotButton="0" quotePrefix="0" xfId="15">
      <alignment horizontal="center" vertical="center" wrapText="1"/>
    </xf>
    <xf numFmtId="0" fontId="28" fillId="2" borderId="15" applyAlignment="1" pivotButton="0" quotePrefix="0" xfId="19">
      <alignment horizontal="center" vertical="center" wrapText="1"/>
    </xf>
    <xf numFmtId="165" fontId="28" fillId="2" borderId="20" applyAlignment="1" pivotButton="0" quotePrefix="0" xfId="15">
      <alignment horizontal="center" vertical="center" wrapText="1"/>
    </xf>
    <xf numFmtId="9" fontId="28" fillId="2" borderId="15" applyAlignment="1" pivotButton="0" quotePrefix="0" xfId="19">
      <alignment horizontal="center" vertical="center" wrapText="1"/>
    </xf>
    <xf numFmtId="0" fontId="134" fillId="0" borderId="0" applyAlignment="1" pivotButton="0" quotePrefix="0" xfId="0">
      <alignment horizontal="left" vertical="center" indent="1"/>
    </xf>
    <xf numFmtId="0" fontId="87" fillId="0" borderId="0" applyAlignment="1" pivotButton="0" quotePrefix="0" xfId="0">
      <alignment horizontal="general" vertical="center"/>
    </xf>
    <xf numFmtId="0" fontId="27" fillId="2" borderId="15" applyAlignment="1" pivotButton="0" quotePrefix="0" xfId="15">
      <alignment horizontal="right" vertical="center" wrapText="1"/>
    </xf>
    <xf numFmtId="10" fontId="28" fillId="2" borderId="15" applyAlignment="1" pivotButton="0" quotePrefix="0" xfId="19">
      <alignment horizontal="center" vertical="center" wrapText="1"/>
    </xf>
    <xf numFmtId="10" fontId="28" fillId="2" borderId="15" applyAlignment="1" pivotButton="0" quotePrefix="0" xfId="19">
      <alignment horizontal="right" vertical="center" wrapText="1"/>
    </xf>
    <xf numFmtId="0" fontId="27" fillId="0" borderId="0" applyAlignment="1" pivotButton="0" quotePrefix="0" xfId="0">
      <alignment horizontal="left" vertical="center" indent="1"/>
    </xf>
    <xf numFmtId="0" fontId="27" fillId="2" borderId="0" applyAlignment="1" pivotButton="0" quotePrefix="0" xfId="0">
      <alignment horizontal="general" vertical="bottom"/>
    </xf>
    <xf numFmtId="0" fontId="136" fillId="0" borderId="0" applyAlignment="1" pivotButton="0" quotePrefix="0" xfId="0">
      <alignment horizontal="center" vertical="center"/>
    </xf>
    <xf numFmtId="0" fontId="138" fillId="0" borderId="0" applyAlignment="1" pivotButton="0" quotePrefix="0" xfId="0">
      <alignment horizontal="center" vertical="center"/>
    </xf>
    <xf numFmtId="0" fontId="39" fillId="0" borderId="0" applyAlignment="1" pivotButton="0" quotePrefix="0" xfId="0">
      <alignment horizontal="general" vertical="center" wrapText="1"/>
    </xf>
    <xf numFmtId="0" fontId="44" fillId="13" borderId="103" applyAlignment="1" pivotButton="0" quotePrefix="0" xfId="0">
      <alignment horizontal="general" vertical="center" wrapText="1"/>
    </xf>
    <xf numFmtId="0" fontId="44" fillId="13" borderId="112" applyAlignment="1" pivotButton="0" quotePrefix="0" xfId="0">
      <alignment horizontal="center" vertical="center" wrapText="1"/>
    </xf>
    <xf numFmtId="0" fontId="0" fillId="0" borderId="136" pivotButton="0" quotePrefix="0" xfId="0"/>
    <xf numFmtId="0" fontId="44" fillId="13" borderId="112" applyAlignment="1" pivotButton="0" quotePrefix="0" xfId="0">
      <alignment horizontal="general" vertical="center" wrapText="1"/>
    </xf>
    <xf numFmtId="0" fontId="44" fillId="13" borderId="113" applyAlignment="1" pivotButton="0" quotePrefix="0" xfId="0">
      <alignment horizontal="center" vertical="center" wrapText="1"/>
    </xf>
    <xf numFmtId="0" fontId="44" fillId="13" borderId="101" applyAlignment="1" pivotButton="0" quotePrefix="0" xfId="0">
      <alignment horizontal="general" vertical="center" wrapText="1"/>
    </xf>
    <xf numFmtId="0" fontId="0" fillId="0" borderId="8" pivotButton="0" quotePrefix="0" xfId="0"/>
    <xf numFmtId="0" fontId="44" fillId="13" borderId="115" applyAlignment="1" pivotButton="0" quotePrefix="0" xfId="0">
      <alignment horizontal="general" vertical="center" wrapText="1"/>
    </xf>
    <xf numFmtId="0" fontId="0" fillId="0" borderId="10" pivotButton="0" quotePrefix="0" xfId="0"/>
    <xf numFmtId="0" fontId="0" fillId="0" borderId="14" pivotButton="0" quotePrefix="0" xfId="0"/>
    <xf numFmtId="0" fontId="44" fillId="13" borderId="49" applyAlignment="1" pivotButton="0" quotePrefix="0" xfId="0">
      <alignment horizontal="general" vertical="center" wrapText="1"/>
    </xf>
    <xf numFmtId="0" fontId="44" fillId="13" borderId="22" applyAlignment="1" pivotButton="0" quotePrefix="0" xfId="0">
      <alignment horizontal="center" vertical="center" wrapText="1"/>
    </xf>
    <xf numFmtId="0" fontId="44" fillId="13" borderId="20" applyAlignment="1" pivotButton="0" quotePrefix="0" xfId="0">
      <alignment horizontal="center" vertical="center" wrapText="1"/>
    </xf>
    <xf numFmtId="0" fontId="44" fillId="13" borderId="46" applyAlignment="1" pivotButton="0" quotePrefix="0" xfId="0">
      <alignment horizontal="center" vertical="center" wrapText="1"/>
    </xf>
    <xf numFmtId="0" fontId="39" fillId="0" borderId="26" applyAlignment="1" pivotButton="0" quotePrefix="0" xfId="0">
      <alignment horizontal="general" vertical="center" wrapText="1"/>
    </xf>
    <xf numFmtId="0" fontId="44" fillId="13" borderId="33" applyAlignment="1" pivotButton="0" quotePrefix="0" xfId="0">
      <alignment horizontal="general" vertical="center" wrapText="1"/>
    </xf>
    <xf numFmtId="0" fontId="46" fillId="3" borderId="25" applyAlignment="1" pivotButton="0" quotePrefix="0" xfId="0">
      <alignment horizontal="general" vertical="center" wrapText="1"/>
    </xf>
    <xf numFmtId="0" fontId="39" fillId="2" borderId="20" applyAlignment="1" pivotButton="0" quotePrefix="0" xfId="0">
      <alignment horizontal="general" vertical="center" wrapText="1"/>
    </xf>
    <xf numFmtId="165" fontId="39" fillId="2" borderId="20" applyAlignment="1" pivotButton="0" quotePrefix="0" xfId="15">
      <alignment horizontal="right" vertical="center" wrapText="1"/>
    </xf>
    <xf numFmtId="165" fontId="39" fillId="2" borderId="46" applyAlignment="1" pivotButton="0" quotePrefix="0" xfId="15">
      <alignment horizontal="right" vertical="center" wrapText="1"/>
    </xf>
    <xf numFmtId="0" fontId="46" fillId="3" borderId="4" applyAlignment="1" pivotButton="0" quotePrefix="0" xfId="0">
      <alignment horizontal="general" vertical="center" wrapText="1"/>
    </xf>
    <xf numFmtId="0" fontId="39" fillId="2" borderId="23" applyAlignment="1" pivotButton="0" quotePrefix="0" xfId="0">
      <alignment horizontal="general" vertical="center" wrapText="1"/>
    </xf>
    <xf numFmtId="165" fontId="39" fillId="2" borderId="23" applyAlignment="1" pivotButton="0" quotePrefix="0" xfId="15">
      <alignment horizontal="right" vertical="center" wrapText="1"/>
    </xf>
    <xf numFmtId="0" fontId="46" fillId="3" borderId="41" applyAlignment="1" pivotButton="0" quotePrefix="0" xfId="0">
      <alignment horizontal="general" vertical="center" wrapText="1"/>
    </xf>
    <xf numFmtId="0" fontId="46" fillId="0" borderId="88" applyAlignment="1" pivotButton="0" quotePrefix="0" xfId="0">
      <alignment horizontal="general" vertical="center" wrapText="1"/>
    </xf>
    <xf numFmtId="0" fontId="46" fillId="0" borderId="43" applyAlignment="1" pivotButton="0" quotePrefix="0" xfId="0">
      <alignment horizontal="general" vertical="center" wrapText="1"/>
    </xf>
    <xf numFmtId="165" fontId="46" fillId="0" borderId="43" applyAlignment="1" pivotButton="0" quotePrefix="0" xfId="15">
      <alignment horizontal="right" vertical="center" wrapText="1"/>
    </xf>
    <xf numFmtId="0" fontId="39" fillId="2" borderId="9" applyAlignment="1" pivotButton="0" quotePrefix="0" xfId="0">
      <alignment horizontal="general" vertical="center" wrapText="1"/>
    </xf>
    <xf numFmtId="165" fontId="39" fillId="2" borderId="9" applyAlignment="1" pivotButton="0" quotePrefix="0" xfId="15">
      <alignment horizontal="right" vertical="center" wrapText="1"/>
    </xf>
    <xf numFmtId="165" fontId="39" fillId="2" borderId="15" applyAlignment="1" pivotButton="0" quotePrefix="0" xfId="15">
      <alignment horizontal="right" vertical="center" wrapText="1"/>
    </xf>
    <xf numFmtId="0" fontId="46" fillId="2" borderId="20" applyAlignment="1" pivotButton="0" quotePrefix="0" xfId="0">
      <alignment horizontal="general" vertical="center" wrapText="1"/>
    </xf>
    <xf numFmtId="165" fontId="46" fillId="2" borderId="20" applyAlignment="1" pivotButton="0" quotePrefix="0" xfId="15">
      <alignment horizontal="right" vertical="center" wrapText="1"/>
    </xf>
    <xf numFmtId="0" fontId="39" fillId="0" borderId="99" applyAlignment="1" pivotButton="0" quotePrefix="0" xfId="0">
      <alignment horizontal="general" vertical="center" wrapText="1"/>
    </xf>
    <xf numFmtId="0" fontId="139" fillId="2" borderId="20" applyAlignment="1" pivotButton="0" quotePrefix="0" xfId="15">
      <alignment horizontal="center" vertical="center"/>
    </xf>
    <xf numFmtId="165" fontId="39" fillId="2" borderId="85" applyAlignment="1" pivotButton="0" quotePrefix="0" xfId="15">
      <alignment horizontal="right" vertical="center" wrapText="1"/>
    </xf>
    <xf numFmtId="165" fontId="39" fillId="2" borderId="100" applyAlignment="1" pivotButton="0" quotePrefix="0" xfId="15">
      <alignment horizontal="right" vertical="center" wrapText="1"/>
    </xf>
    <xf numFmtId="0" fontId="39" fillId="0" borderId="5" applyAlignment="1" pivotButton="0" quotePrefix="0" xfId="0">
      <alignment horizontal="general" vertical="center" wrapText="1"/>
    </xf>
    <xf numFmtId="0" fontId="39" fillId="0" borderId="32" applyAlignment="1" pivotButton="0" quotePrefix="0" xfId="0">
      <alignment horizontal="center" vertical="center" wrapText="1"/>
    </xf>
    <xf numFmtId="0" fontId="46" fillId="0" borderId="0" applyAlignment="1" pivotButton="0" quotePrefix="0" xfId="0">
      <alignment horizontal="general" vertical="center" wrapText="1"/>
    </xf>
    <xf numFmtId="165" fontId="39" fillId="0" borderId="0" applyAlignment="1" pivotButton="0" quotePrefix="0" xfId="15">
      <alignment horizontal="general" vertical="center" wrapText="1"/>
    </xf>
    <xf numFmtId="165" fontId="39" fillId="0" borderId="0" applyAlignment="1" pivotButton="0" quotePrefix="0" xfId="0">
      <alignment horizontal="general" vertical="center" wrapText="1"/>
    </xf>
    <xf numFmtId="0" fontId="46" fillId="3" borderId="111" applyAlignment="1" pivotButton="0" quotePrefix="0" xfId="0">
      <alignment horizontal="general" vertical="center" wrapText="1"/>
    </xf>
    <xf numFmtId="0" fontId="39" fillId="0" borderId="112" applyAlignment="1" pivotButton="0" quotePrefix="0" xfId="0">
      <alignment horizontal="general" vertical="center" wrapText="1"/>
    </xf>
    <xf numFmtId="0" fontId="39" fillId="2" borderId="112" applyAlignment="1" pivotButton="0" quotePrefix="0" xfId="0">
      <alignment horizontal="general" vertical="center" wrapText="1"/>
    </xf>
    <xf numFmtId="165" fontId="39" fillId="2" borderId="112" applyAlignment="1" pivotButton="0" quotePrefix="0" xfId="15">
      <alignment horizontal="right" vertical="center" wrapText="1"/>
    </xf>
    <xf numFmtId="165" fontId="39" fillId="2" borderId="113" applyAlignment="1" pivotButton="0" quotePrefix="0" xfId="15">
      <alignment horizontal="right" vertical="center" wrapText="1"/>
    </xf>
    <xf numFmtId="0" fontId="46" fillId="3" borderId="6" applyAlignment="1" pivotButton="0" quotePrefix="0" xfId="0">
      <alignment horizontal="general" vertical="center" wrapText="1"/>
    </xf>
    <xf numFmtId="0" fontId="39" fillId="0" borderId="20" applyAlignment="1" pivotButton="0" quotePrefix="0" xfId="0">
      <alignment horizontal="general" vertical="center" wrapText="1"/>
    </xf>
    <xf numFmtId="0" fontId="46" fillId="0" borderId="20" applyAlignment="1" pivotButton="0" quotePrefix="0" xfId="0">
      <alignment horizontal="general" vertical="center" wrapText="1"/>
    </xf>
    <xf numFmtId="0" fontId="46" fillId="3" borderId="90" applyAlignment="1" pivotButton="0" quotePrefix="0" xfId="0">
      <alignment horizontal="general" vertical="center" wrapText="1"/>
    </xf>
    <xf numFmtId="0" fontId="39" fillId="0" borderId="23" applyAlignment="1" pivotButton="0" quotePrefix="0" xfId="0">
      <alignment horizontal="general" vertical="center" wrapText="1"/>
    </xf>
    <xf numFmtId="0" fontId="39" fillId="3" borderId="107" applyAlignment="1" pivotButton="0" quotePrefix="0" xfId="0">
      <alignment horizontal="general" vertical="center" wrapText="1"/>
    </xf>
    <xf numFmtId="0" fontId="39" fillId="3" borderId="108" applyAlignment="1" pivotButton="0" quotePrefix="0" xfId="0">
      <alignment horizontal="general" vertical="center" wrapText="1"/>
    </xf>
    <xf numFmtId="0" fontId="46" fillId="3" borderId="88" applyAlignment="1" pivotButton="0" quotePrefix="0" xfId="0">
      <alignment horizontal="general" vertical="center" wrapText="1"/>
    </xf>
    <xf numFmtId="0" fontId="39" fillId="3" borderId="109" applyAlignment="1" pivotButton="0" quotePrefix="0" xfId="0">
      <alignment horizontal="general" vertical="center" wrapText="1"/>
    </xf>
    <xf numFmtId="0" fontId="39" fillId="3" borderId="110" applyAlignment="1" pivotButton="0" quotePrefix="0" xfId="0">
      <alignment horizontal="general" vertical="center" wrapText="1"/>
    </xf>
    <xf numFmtId="0" fontId="140" fillId="0" borderId="0" applyAlignment="1" pivotButton="0" quotePrefix="0" xfId="0">
      <alignment horizontal="general" vertical="center"/>
    </xf>
    <xf numFmtId="0" fontId="24" fillId="0" borderId="0" applyAlignment="1" pivotButton="0" quotePrefix="0" xfId="0">
      <alignment horizontal="general" vertical="center"/>
    </xf>
    <xf numFmtId="0" fontId="141" fillId="0" borderId="0" applyAlignment="1" pivotButton="0" quotePrefix="0" xfId="0">
      <alignment horizontal="left" vertical="center" indent="7"/>
    </xf>
    <xf numFmtId="0" fontId="143" fillId="0" borderId="0" applyAlignment="1" pivotButton="0" quotePrefix="0" xfId="0">
      <alignment horizontal="general" vertical="center"/>
    </xf>
    <xf numFmtId="0" fontId="66" fillId="0" borderId="0" applyAlignment="1" pivotButton="0" quotePrefix="0" xfId="0">
      <alignment horizontal="general" vertical="center"/>
    </xf>
    <xf numFmtId="0" fontId="82" fillId="0" borderId="0" applyAlignment="1" pivotButton="0" quotePrefix="0" xfId="0">
      <alignment horizontal="left" vertical="center" indent="13"/>
    </xf>
    <xf numFmtId="0" fontId="44" fillId="13" borderId="116" applyAlignment="1" pivotButton="0" quotePrefix="0" xfId="0">
      <alignment horizontal="left" vertical="top" wrapText="1"/>
    </xf>
    <xf numFmtId="0" fontId="44" fillId="13" borderId="32" applyAlignment="1" pivotButton="0" quotePrefix="0" xfId="0">
      <alignment horizontal="center" vertical="center" wrapText="1"/>
    </xf>
    <xf numFmtId="0" fontId="44" fillId="13" borderId="30" applyAlignment="1" pivotButton="0" quotePrefix="0" xfId="0">
      <alignment horizontal="center" vertical="center" wrapText="1"/>
    </xf>
    <xf numFmtId="0" fontId="44" fillId="13" borderId="27" applyAlignment="1" pivotButton="0" quotePrefix="0" xfId="0">
      <alignment horizontal="center" vertical="center" wrapText="1"/>
    </xf>
    <xf numFmtId="0" fontId="27" fillId="0" borderId="30" applyAlignment="1" pivotButton="0" quotePrefix="0" xfId="0">
      <alignment horizontal="general" vertical="center" wrapText="1"/>
    </xf>
    <xf numFmtId="165" fontId="27" fillId="2" borderId="91" applyAlignment="1" pivotButton="0" quotePrefix="0" xfId="15">
      <alignment horizontal="right" vertical="center" wrapText="1"/>
    </xf>
    <xf numFmtId="165" fontId="28" fillId="3" borderId="30" applyAlignment="1" pivotButton="0" quotePrefix="0" xfId="15">
      <alignment horizontal="right" vertical="center" wrapText="1"/>
    </xf>
    <xf numFmtId="165" fontId="27" fillId="2" borderId="30" applyAlignment="1" pivotButton="0" quotePrefix="0" xfId="15">
      <alignment horizontal="right" vertical="center" wrapText="1"/>
    </xf>
    <xf numFmtId="165" fontId="27" fillId="2" borderId="30" applyAlignment="1" pivotButton="0" quotePrefix="0" xfId="15">
      <alignment horizontal="general" vertical="center" wrapText="1"/>
    </xf>
    <xf numFmtId="165" fontId="28" fillId="0" borderId="27" applyAlignment="1" pivotButton="0" quotePrefix="0" xfId="15">
      <alignment horizontal="right" vertical="center" wrapText="1"/>
    </xf>
    <xf numFmtId="165" fontId="28" fillId="0" borderId="30" applyAlignment="1" pivotButton="0" quotePrefix="0" xfId="15">
      <alignment horizontal="right" vertical="center" wrapText="1"/>
    </xf>
    <xf numFmtId="0" fontId="38" fillId="11" borderId="50" applyAlignment="1" pivotButton="0" quotePrefix="0" xfId="0">
      <alignment horizontal="general" vertical="center" wrapText="1"/>
    </xf>
    <xf numFmtId="165" fontId="38" fillId="11" borderId="27" applyAlignment="1" pivotButton="0" quotePrefix="0" xfId="15">
      <alignment horizontal="right" vertical="center" wrapText="1"/>
    </xf>
    <xf numFmtId="165" fontId="38" fillId="11" borderId="30" applyAlignment="1" pivotButton="0" quotePrefix="0" xfId="15">
      <alignment horizontal="right" vertical="center" wrapText="1"/>
    </xf>
    <xf numFmtId="0" fontId="144" fillId="0" borderId="0" applyAlignment="1" pivotButton="0" quotePrefix="0" xfId="0">
      <alignment horizontal="center" vertical="center"/>
    </xf>
    <xf numFmtId="0" fontId="90" fillId="0" borderId="18" applyAlignment="1" pivotButton="0" quotePrefix="0" xfId="0">
      <alignment horizontal="center" vertical="center"/>
    </xf>
    <xf numFmtId="0" fontId="38" fillId="9" borderId="20" applyAlignment="1" pivotButton="0" quotePrefix="0" xfId="0">
      <alignment horizontal="center" vertical="center" wrapText="1"/>
    </xf>
    <xf numFmtId="9" fontId="28" fillId="2" borderId="20" applyAlignment="1" pivotButton="0" quotePrefix="0" xfId="19">
      <alignment horizontal="center" vertical="center" wrapText="1"/>
    </xf>
    <xf numFmtId="165" fontId="27" fillId="2" borderId="20" applyAlignment="1" pivotButton="0" quotePrefix="0" xfId="15">
      <alignment horizontal="center" vertical="center" wrapText="1"/>
    </xf>
    <xf numFmtId="9" fontId="28" fillId="2" borderId="23" applyAlignment="1" pivotButton="0" quotePrefix="0" xfId="19">
      <alignment horizontal="right" vertical="center" wrapText="1"/>
    </xf>
    <xf numFmtId="0" fontId="27" fillId="0" borderId="24" applyAlignment="1" pivotButton="0" quotePrefix="0" xfId="0">
      <alignment horizontal="general" vertical="center" wrapText="1"/>
    </xf>
    <xf numFmtId="165" fontId="27" fillId="0" borderId="24" applyAlignment="1" pivotButton="0" quotePrefix="0" xfId="15">
      <alignment horizontal="general" vertical="center" wrapText="1"/>
    </xf>
    <xf numFmtId="0" fontId="68" fillId="0" borderId="0" applyAlignment="1" pivotButton="0" quotePrefix="0" xfId="0">
      <alignment horizontal="left" vertical="center" indent="4"/>
    </xf>
    <xf numFmtId="0" fontId="27" fillId="2" borderId="15" applyAlignment="1" pivotButton="0" quotePrefix="0" xfId="0">
      <alignment horizontal="center" vertical="center" wrapText="1"/>
    </xf>
    <xf numFmtId="0" fontId="27" fillId="2" borderId="47" applyAlignment="1" pivotButton="0" quotePrefix="0" xfId="0">
      <alignment horizontal="general" vertical="center" wrapText="1"/>
    </xf>
    <xf numFmtId="0" fontId="27" fillId="0" borderId="102" applyAlignment="1" pivotButton="0" quotePrefix="0" xfId="0">
      <alignment horizontal="general" vertical="center" wrapText="1"/>
    </xf>
    <xf numFmtId="0" fontId="138" fillId="0" borderId="26" applyAlignment="1" pivotButton="0" quotePrefix="0" xfId="0">
      <alignment horizontal="center" vertical="center" wrapText="1"/>
    </xf>
    <xf numFmtId="0" fontId="36" fillId="13" borderId="117" applyAlignment="1" pivotButton="0" quotePrefix="0" xfId="0">
      <alignment horizontal="center" vertical="center" wrapText="1"/>
    </xf>
    <xf numFmtId="0" fontId="36" fillId="13" borderId="43" applyAlignment="1" pivotButton="0" quotePrefix="0" xfId="0">
      <alignment horizontal="center" vertical="center" wrapText="1"/>
    </xf>
    <xf numFmtId="0" fontId="36" fillId="13" borderId="44" applyAlignment="1" pivotButton="0" quotePrefix="0" xfId="0">
      <alignment horizontal="center" vertical="center" wrapText="1"/>
    </xf>
    <xf numFmtId="0" fontId="0" fillId="0" borderId="0" applyAlignment="1" pivotButton="0" quotePrefix="0" xfId="0">
      <alignment horizontal="left" vertical="bottom"/>
    </xf>
    <xf numFmtId="165" fontId="24" fillId="3" borderId="43" applyAlignment="1" pivotButton="0" quotePrefix="0" xfId="0">
      <alignment horizontal="general" vertical="center" wrapText="1"/>
    </xf>
    <xf numFmtId="165" fontId="24" fillId="3" borderId="44" applyAlignment="1" pivotButton="0" quotePrefix="0" xfId="0">
      <alignment horizontal="general" vertical="center" wrapText="1"/>
    </xf>
    <xf numFmtId="165" fontId="26" fillId="2" borderId="9" applyAlignment="1" pivotButton="0" quotePrefix="0" xfId="15">
      <alignment horizontal="general" vertical="center" wrapText="1"/>
    </xf>
    <xf numFmtId="165" fontId="26" fillId="2" borderId="20" applyAlignment="1" pivotButton="0" quotePrefix="0" xfId="15">
      <alignment horizontal="right" vertical="center" wrapText="1"/>
    </xf>
    <xf numFmtId="165" fontId="26" fillId="2" borderId="46" applyAlignment="1" pivotButton="0" quotePrefix="0" xfId="15">
      <alignment horizontal="right" vertical="center" wrapText="1"/>
    </xf>
    <xf numFmtId="0" fontId="140" fillId="0" borderId="6" applyAlignment="1" pivotButton="0" quotePrefix="0" xfId="0">
      <alignment horizontal="left" vertical="center" wrapText="1" indent="7"/>
    </xf>
    <xf numFmtId="165" fontId="26" fillId="0" borderId="20" applyAlignment="1" pivotButton="0" quotePrefix="0" xfId="15">
      <alignment horizontal="right" vertical="center" wrapText="1"/>
    </xf>
    <xf numFmtId="165" fontId="26" fillId="0" borderId="46" applyAlignment="1" pivotButton="0" quotePrefix="0" xfId="15">
      <alignment horizontal="right" vertical="center" wrapText="1"/>
    </xf>
    <xf numFmtId="0" fontId="140" fillId="0" borderId="90" applyAlignment="1" pivotButton="0" quotePrefix="0" xfId="0">
      <alignment horizontal="left" vertical="center" wrapText="1" indent="7"/>
    </xf>
    <xf numFmtId="165" fontId="26" fillId="0" borderId="23" applyAlignment="1" pivotButton="0" quotePrefix="0" xfId="15">
      <alignment horizontal="right" vertical="center" wrapText="1"/>
    </xf>
    <xf numFmtId="165" fontId="26" fillId="0" borderId="47" applyAlignment="1" pivotButton="0" quotePrefix="0" xfId="15">
      <alignment horizontal="right" vertical="center" wrapText="1"/>
    </xf>
    <xf numFmtId="165" fontId="24" fillId="3" borderId="43" applyAlignment="1" pivotButton="0" quotePrefix="0" xfId="15">
      <alignment horizontal="right" vertical="center" wrapText="1"/>
    </xf>
    <xf numFmtId="165" fontId="24" fillId="3" borderId="44" applyAlignment="1" pivotButton="0" quotePrefix="0" xfId="15">
      <alignment horizontal="right" vertical="center" wrapText="1"/>
    </xf>
    <xf numFmtId="165" fontId="26" fillId="2" borderId="9" applyAlignment="1" pivotButton="0" quotePrefix="0" xfId="15">
      <alignment horizontal="right" vertical="center" wrapText="1"/>
    </xf>
    <xf numFmtId="165" fontId="26" fillId="2" borderId="15" applyAlignment="1" pivotButton="0" quotePrefix="0" xfId="15">
      <alignment horizontal="right" vertical="center" wrapText="1"/>
    </xf>
    <xf numFmtId="165" fontId="26" fillId="2" borderId="23" applyAlignment="1" pivotButton="0" quotePrefix="0" xfId="15">
      <alignment horizontal="right" vertical="center" wrapText="1"/>
    </xf>
    <xf numFmtId="165" fontId="26" fillId="2" borderId="47" applyAlignment="1" pivotButton="0" quotePrefix="0" xfId="15">
      <alignment horizontal="right" vertical="center" wrapText="1"/>
    </xf>
    <xf numFmtId="165" fontId="26" fillId="3" borderId="43" applyAlignment="1" pivotButton="0" quotePrefix="0" xfId="15">
      <alignment horizontal="right" vertical="center" wrapText="1"/>
    </xf>
    <xf numFmtId="165" fontId="26" fillId="3" borderId="44" applyAlignment="1" pivotButton="0" quotePrefix="0" xfId="15">
      <alignment horizontal="right" vertical="center" wrapText="1"/>
    </xf>
    <xf numFmtId="0" fontId="26" fillId="0" borderId="99" applyAlignment="1" pivotButton="0" quotePrefix="0" xfId="0">
      <alignment horizontal="general" vertical="center" wrapText="1"/>
    </xf>
    <xf numFmtId="165" fontId="26" fillId="2" borderId="85" applyAlignment="1" pivotButton="0" quotePrefix="0" xfId="15">
      <alignment horizontal="right" vertical="center" wrapText="1"/>
    </xf>
    <xf numFmtId="165" fontId="26" fillId="2" borderId="100" applyAlignment="1" pivotButton="0" quotePrefix="0" xfId="15">
      <alignment horizontal="right" vertical="center" wrapText="1"/>
    </xf>
    <xf numFmtId="0" fontId="81" fillId="0" borderId="48" applyAlignment="1" pivotButton="0" quotePrefix="0" xfId="0">
      <alignment horizontal="center" vertical="center"/>
    </xf>
    <xf numFmtId="0" fontId="39" fillId="0" borderId="111" applyAlignment="1" pivotButton="0" quotePrefix="0" xfId="0">
      <alignment horizontal="general" vertical="center" wrapText="1"/>
    </xf>
    <xf numFmtId="0" fontId="39" fillId="0" borderId="113" applyAlignment="1" pivotButton="0" quotePrefix="0" xfId="0">
      <alignment horizontal="general" vertical="center" wrapText="1"/>
    </xf>
    <xf numFmtId="0" fontId="39" fillId="0" borderId="46" applyAlignment="1" pivotButton="0" quotePrefix="0" xfId="0">
      <alignment horizontal="general" vertical="center" wrapText="1"/>
    </xf>
    <xf numFmtId="0" fontId="39" fillId="0" borderId="100" applyAlignment="1" pivotButton="0" quotePrefix="0" xfId="0">
      <alignment horizontal="general" vertical="center" wrapText="1"/>
    </xf>
    <xf numFmtId="0" fontId="38" fillId="13" borderId="30" applyAlignment="1" pivotButton="0" quotePrefix="0" xfId="0">
      <alignment horizontal="center" vertical="center" wrapText="1"/>
    </xf>
    <xf numFmtId="0" fontId="38" fillId="13" borderId="31" applyAlignment="1" pivotButton="0" quotePrefix="0" xfId="0">
      <alignment horizontal="center" vertical="center" wrapText="1"/>
    </xf>
    <xf numFmtId="0" fontId="38" fillId="13" borderId="94" applyAlignment="1" pivotButton="0" quotePrefix="0" xfId="0">
      <alignment horizontal="center" vertical="center" wrapText="1"/>
    </xf>
    <xf numFmtId="0" fontId="147" fillId="13" borderId="99" applyAlignment="1" pivotButton="0" quotePrefix="0" xfId="0">
      <alignment horizontal="center" vertical="center" wrapText="1"/>
    </xf>
    <xf numFmtId="0" fontId="147" fillId="13" borderId="118" applyAlignment="1" pivotButton="0" quotePrefix="0" xfId="0">
      <alignment horizontal="center" vertical="center" wrapText="1"/>
    </xf>
    <xf numFmtId="0" fontId="147" fillId="13" borderId="100" applyAlignment="1" pivotButton="0" quotePrefix="0" xfId="0">
      <alignment horizontal="center" vertical="center" wrapText="1"/>
    </xf>
    <xf numFmtId="0" fontId="147" fillId="13" borderId="119" applyAlignment="1" pivotButton="0" quotePrefix="0" xfId="0">
      <alignment horizontal="general" vertical="center" wrapText="1"/>
    </xf>
    <xf numFmtId="0" fontId="27" fillId="0" borderId="33" applyAlignment="1" pivotButton="0" quotePrefix="0" xfId="0">
      <alignment horizontal="center" vertical="center" wrapText="1"/>
    </xf>
    <xf numFmtId="0" fontId="27" fillId="0" borderId="13" applyAlignment="1" pivotButton="0" quotePrefix="0" xfId="0">
      <alignment horizontal="center" vertical="center" wrapText="1"/>
    </xf>
    <xf numFmtId="0" fontId="27" fillId="0" borderId="10" applyAlignment="1" pivotButton="0" quotePrefix="0" xfId="0">
      <alignment horizontal="center" vertical="center" wrapText="1"/>
    </xf>
    <xf numFmtId="0" fontId="27" fillId="0" borderId="15" applyAlignment="1" pivotButton="0" quotePrefix="0" xfId="0">
      <alignment horizontal="center" vertical="center" wrapText="1"/>
    </xf>
    <xf numFmtId="0" fontId="27" fillId="0" borderId="14" applyAlignment="1" pivotButton="0" quotePrefix="0" xfId="0">
      <alignment horizontal="center" vertical="center" wrapText="1"/>
    </xf>
    <xf numFmtId="0" fontId="27" fillId="0" borderId="39" applyAlignment="1" pivotButton="0" quotePrefix="0" xfId="0">
      <alignment horizontal="center" vertical="center" wrapText="1"/>
    </xf>
    <xf numFmtId="0" fontId="27" fillId="0" borderId="6" applyAlignment="1" pivotButton="0" quotePrefix="0" xfId="0">
      <alignment horizontal="center" vertical="center" wrapText="1"/>
    </xf>
    <xf numFmtId="0" fontId="27" fillId="0" borderId="21" applyAlignment="1" pivotButton="0" quotePrefix="0" xfId="0">
      <alignment horizontal="center" vertical="center" wrapText="1"/>
    </xf>
    <xf numFmtId="0" fontId="27" fillId="0" borderId="46" applyAlignment="1" pivotButton="0" quotePrefix="0" xfId="0">
      <alignment horizontal="center" vertical="center" wrapText="1"/>
    </xf>
    <xf numFmtId="0" fontId="27" fillId="0" borderId="22" applyAlignment="1" pivotButton="0" quotePrefix="0" xfId="0">
      <alignment horizontal="center" vertical="center" wrapText="1"/>
    </xf>
    <xf numFmtId="0" fontId="28" fillId="0" borderId="12" applyAlignment="1" pivotButton="0" quotePrefix="0" xfId="0">
      <alignment horizontal="center" vertical="center" wrapText="1"/>
    </xf>
    <xf numFmtId="0" fontId="27" fillId="0" borderId="36" applyAlignment="1" pivotButton="0" quotePrefix="0" xfId="0">
      <alignment horizontal="center" vertical="center" wrapText="1"/>
    </xf>
    <xf numFmtId="0" fontId="27" fillId="0" borderId="90" applyAlignment="1" pivotButton="0" quotePrefix="0" xfId="0">
      <alignment horizontal="center" vertical="center" wrapText="1"/>
    </xf>
    <xf numFmtId="0" fontId="27" fillId="0" borderId="28" applyAlignment="1" pivotButton="0" quotePrefix="0" xfId="0">
      <alignment horizontal="center" vertical="center" wrapText="1"/>
    </xf>
    <xf numFmtId="0" fontId="27" fillId="0" borderId="47" applyAlignment="1" pivotButton="0" quotePrefix="0" xfId="0">
      <alignment horizontal="center" vertical="center" wrapText="1"/>
    </xf>
    <xf numFmtId="0" fontId="27" fillId="0" borderId="29" applyAlignment="1" pivotButton="0" quotePrefix="0" xfId="0">
      <alignment horizontal="center" vertical="center" wrapText="1"/>
    </xf>
    <xf numFmtId="0" fontId="28" fillId="14" borderId="41" applyAlignment="1" pivotButton="0" quotePrefix="0" xfId="0">
      <alignment horizontal="center" vertical="center" wrapText="1"/>
    </xf>
    <xf numFmtId="0" fontId="27" fillId="14" borderId="30" applyAlignment="1" pivotButton="0" quotePrefix="0" xfId="0">
      <alignment horizontal="center" vertical="center" wrapText="1"/>
    </xf>
    <xf numFmtId="0" fontId="27" fillId="14" borderId="111" applyAlignment="1" pivotButton="0" quotePrefix="0" xfId="0">
      <alignment horizontal="center" vertical="center" wrapText="1"/>
    </xf>
    <xf numFmtId="0" fontId="27" fillId="14" borderId="120" applyAlignment="1" pivotButton="0" quotePrefix="0" xfId="0">
      <alignment horizontal="center" vertical="center" wrapText="1"/>
    </xf>
    <xf numFmtId="0" fontId="27" fillId="14" borderId="113" applyAlignment="1" pivotButton="0" quotePrefix="0" xfId="0">
      <alignment horizontal="center" vertical="center" wrapText="1"/>
    </xf>
    <xf numFmtId="0" fontId="27" fillId="14" borderId="121" applyAlignment="1" pivotButton="0" quotePrefix="0" xfId="0">
      <alignment horizontal="center" vertical="center" wrapText="1"/>
    </xf>
    <xf numFmtId="0" fontId="27" fillId="14" borderId="99" applyAlignment="1" pivotButton="0" quotePrefix="0" xfId="0">
      <alignment horizontal="general" vertical="center" wrapText="1"/>
    </xf>
    <xf numFmtId="0" fontId="27" fillId="14" borderId="118" applyAlignment="1" pivotButton="0" quotePrefix="0" xfId="0">
      <alignment horizontal="general" vertical="center" wrapText="1"/>
    </xf>
    <xf numFmtId="0" fontId="27" fillId="14" borderId="100" applyAlignment="1" pivotButton="0" quotePrefix="0" xfId="0">
      <alignment horizontal="general" vertical="center" wrapText="1"/>
    </xf>
    <xf numFmtId="0" fontId="27" fillId="14" borderId="119" applyAlignment="1" pivotButton="0" quotePrefix="0" xfId="0">
      <alignment horizontal="general" vertical="center" wrapText="1"/>
    </xf>
    <xf numFmtId="0" fontId="105" fillId="0" borderId="0" applyAlignment="1" pivotButton="0" quotePrefix="0" xfId="0">
      <alignment horizontal="center" vertical="center"/>
    </xf>
    <xf numFmtId="0" fontId="38" fillId="13" borderId="48" applyAlignment="1" pivotButton="0" quotePrefix="0" xfId="0">
      <alignment horizontal="center" vertical="center" wrapText="1"/>
    </xf>
    <xf numFmtId="0" fontId="38" fillId="13" borderId="6" applyAlignment="1" pivotButton="0" quotePrefix="0" xfId="0">
      <alignment horizontal="center" vertical="center" wrapText="1"/>
    </xf>
    <xf numFmtId="0" fontId="0" fillId="0" borderId="29" pivotButton="0" quotePrefix="0" xfId="0"/>
    <xf numFmtId="0" fontId="38" fillId="13" borderId="46" applyAlignment="1" pivotButton="0" quotePrefix="0" xfId="0">
      <alignment horizontal="center" vertical="center" wrapText="1"/>
    </xf>
    <xf numFmtId="0" fontId="38" fillId="13" borderId="35" applyAlignment="1" pivotButton="0" quotePrefix="0" xfId="0">
      <alignment horizontal="center" vertical="center" wrapText="1"/>
    </xf>
    <xf numFmtId="0" fontId="38" fillId="13" borderId="20" applyAlignment="1" pivotButton="0" quotePrefix="0" xfId="0">
      <alignment horizontal="center" vertical="center" wrapText="1"/>
    </xf>
    <xf numFmtId="0" fontId="30" fillId="13" borderId="35" applyAlignment="1" pivotButton="0" quotePrefix="0" xfId="0">
      <alignment horizontal="general" vertical="center" wrapText="1"/>
    </xf>
    <xf numFmtId="0" fontId="148" fillId="13" borderId="99" applyAlignment="1" pivotButton="0" quotePrefix="0" xfId="0">
      <alignment horizontal="center" vertical="center" wrapText="1"/>
    </xf>
    <xf numFmtId="0" fontId="148" fillId="13" borderId="85" applyAlignment="1" pivotButton="0" quotePrefix="0" xfId="0">
      <alignment horizontal="center" vertical="center" wrapText="1"/>
    </xf>
    <xf numFmtId="0" fontId="148" fillId="13" borderId="100" applyAlignment="1" pivotButton="0" quotePrefix="0" xfId="0">
      <alignment horizontal="center" vertical="center" wrapText="1"/>
    </xf>
    <xf numFmtId="0" fontId="148" fillId="13" borderId="38" applyAlignment="1" pivotButton="0" quotePrefix="0" xfId="0">
      <alignment horizontal="center" vertical="center" wrapText="1"/>
    </xf>
    <xf numFmtId="0" fontId="27" fillId="0" borderId="18" applyAlignment="1" pivotButton="0" quotePrefix="0" xfId="0">
      <alignment horizontal="general" vertical="center" wrapText="1"/>
    </xf>
    <xf numFmtId="0" fontId="27" fillId="0" borderId="11" applyAlignment="1" pivotButton="0" quotePrefix="0" xfId="0">
      <alignment horizontal="general" vertical="center" wrapText="1"/>
    </xf>
    <xf numFmtId="0" fontId="27" fillId="0" borderId="40" applyAlignment="1" pivotButton="0" quotePrefix="0" xfId="0">
      <alignment horizontal="general" vertical="center" wrapText="1"/>
    </xf>
    <xf numFmtId="0" fontId="28" fillId="0" borderId="36" applyAlignment="1" pivotButton="0" quotePrefix="0" xfId="0">
      <alignment horizontal="center" vertical="center" wrapText="1"/>
    </xf>
    <xf numFmtId="0" fontId="27" fillId="0" borderId="16" applyAlignment="1" pivotButton="0" quotePrefix="0" xfId="0">
      <alignment horizontal="general" vertical="center" wrapText="1"/>
    </xf>
    <xf numFmtId="0" fontId="28" fillId="14" borderId="30" applyAlignment="1" pivotButton="0" quotePrefix="0" xfId="0">
      <alignment horizontal="center" vertical="center" wrapText="1"/>
    </xf>
    <xf numFmtId="0" fontId="27" fillId="14" borderId="48" applyAlignment="1" pivotButton="0" quotePrefix="0" xfId="0">
      <alignment horizontal="general" vertical="center" wrapText="1"/>
    </xf>
    <xf numFmtId="0" fontId="27" fillId="14" borderId="111" applyAlignment="1" pivotButton="0" quotePrefix="0" xfId="0">
      <alignment horizontal="general" vertical="center" wrapText="1"/>
    </xf>
    <xf numFmtId="0" fontId="27" fillId="14" borderId="112" applyAlignment="1" pivotButton="0" quotePrefix="0" xfId="0">
      <alignment horizontal="general" vertical="center" wrapText="1"/>
    </xf>
    <xf numFmtId="0" fontId="27" fillId="14" borderId="113" applyAlignment="1" pivotButton="0" quotePrefix="0" xfId="0">
      <alignment horizontal="general" vertical="center" wrapText="1"/>
    </xf>
    <xf numFmtId="0" fontId="27" fillId="14" borderId="94" applyAlignment="1" pivotButton="0" quotePrefix="0" xfId="0">
      <alignment horizontal="general" vertical="center" wrapText="1"/>
    </xf>
    <xf numFmtId="0" fontId="27" fillId="14" borderId="85" applyAlignment="1" pivotButton="0" quotePrefix="0" xfId="0">
      <alignment horizontal="general" vertical="center" wrapText="1"/>
    </xf>
    <xf numFmtId="0" fontId="27" fillId="14" borderId="38" applyAlignment="1" pivotButton="0" quotePrefix="0" xfId="0">
      <alignment horizontal="general" vertical="center" wrapText="1"/>
    </xf>
    <xf numFmtId="0" fontId="149" fillId="0" borderId="0" applyAlignment="1" pivotButton="0" quotePrefix="0" xfId="0">
      <alignment horizontal="left" vertical="center" indent="1"/>
    </xf>
    <xf numFmtId="0" fontId="150" fillId="0" borderId="0" applyAlignment="1" pivotButton="0" quotePrefix="0" xfId="0">
      <alignment horizontal="left" vertical="center" indent="1"/>
    </xf>
    <xf numFmtId="0" fontId="44" fillId="9" borderId="30" applyAlignment="1" pivotButton="0" quotePrefix="0" xfId="0">
      <alignment horizontal="center" vertical="center" wrapText="1"/>
    </xf>
    <xf numFmtId="0" fontId="46" fillId="13" borderId="41" applyAlignment="1" pivotButton="0" quotePrefix="0" xfId="0">
      <alignment horizontal="center" vertical="center" wrapText="1"/>
    </xf>
    <xf numFmtId="0" fontId="39" fillId="13" borderId="26" applyAlignment="1" pivotButton="0" quotePrefix="0" xfId="0">
      <alignment horizontal="general" vertical="center" wrapText="1"/>
    </xf>
    <xf numFmtId="0" fontId="39" fillId="13" borderId="27" applyAlignment="1" pivotButton="0" quotePrefix="0" xfId="0">
      <alignment horizontal="general" vertical="center" wrapText="1"/>
    </xf>
    <xf numFmtId="0" fontId="46" fillId="3" borderId="30" applyAlignment="1" pivotButton="0" quotePrefix="0" xfId="0">
      <alignment horizontal="general" vertical="center" wrapText="1"/>
    </xf>
    <xf numFmtId="0" fontId="45" fillId="3" borderId="27" applyAlignment="1" pivotButton="0" quotePrefix="0" xfId="0">
      <alignment horizontal="general" vertical="center" wrapText="1"/>
    </xf>
    <xf numFmtId="0" fontId="39" fillId="0" borderId="32" applyAlignment="1" pivotButton="0" quotePrefix="0" xfId="0">
      <alignment horizontal="general" vertical="center" wrapText="1"/>
    </xf>
    <xf numFmtId="165" fontId="39" fillId="2" borderId="27" applyAlignment="1" pivotButton="0" quotePrefix="0" xfId="15">
      <alignment horizontal="general" vertical="center" wrapText="1"/>
    </xf>
    <xf numFmtId="10" fontId="39" fillId="2" borderId="27" applyAlignment="1" pivotButton="0" quotePrefix="0" xfId="19">
      <alignment horizontal="right" vertical="center" wrapText="1"/>
    </xf>
    <xf numFmtId="0" fontId="39" fillId="0" borderId="49" applyAlignment="1" pivotButton="0" quotePrefix="0" xfId="0">
      <alignment horizontal="general" vertical="center" wrapText="1"/>
    </xf>
    <xf numFmtId="9" fontId="39" fillId="2" borderId="27" applyAlignment="1" pivotButton="0" quotePrefix="0" xfId="19">
      <alignment horizontal="right" vertical="center" wrapText="1"/>
    </xf>
    <xf numFmtId="0" fontId="39" fillId="0" borderId="50" applyAlignment="1" pivotButton="0" quotePrefix="0" xfId="0">
      <alignment horizontal="general" vertical="center" wrapText="1"/>
    </xf>
    <xf numFmtId="165" fontId="39" fillId="3" borderId="27" applyAlignment="1" pivotButton="0" quotePrefix="0" xfId="15">
      <alignment horizontal="general" vertical="center" wrapText="1"/>
    </xf>
    <xf numFmtId="0" fontId="39" fillId="3" borderId="27" applyAlignment="1" pivotButton="0" quotePrefix="0" xfId="0">
      <alignment horizontal="general" vertical="center" wrapText="1"/>
    </xf>
    <xf numFmtId="0" fontId="46" fillId="0" borderId="32" applyAlignment="1" pivotButton="0" quotePrefix="0" xfId="0">
      <alignment horizontal="general" vertical="center" wrapText="1"/>
    </xf>
    <xf numFmtId="0" fontId="39" fillId="0" borderId="122" applyAlignment="1" pivotButton="0" quotePrefix="0" xfId="0">
      <alignment horizontal="general" vertical="center" wrapText="1"/>
    </xf>
    <xf numFmtId="0" fontId="0" fillId="0" borderId="138" pivotButton="0" quotePrefix="0" xfId="0"/>
    <xf numFmtId="0" fontId="44" fillId="15" borderId="123" applyAlignment="1" pivotButton="0" quotePrefix="0" xfId="0">
      <alignment horizontal="left" vertical="center" wrapText="1"/>
    </xf>
    <xf numFmtId="0" fontId="0" fillId="0" borderId="140" pivotButton="0" quotePrefix="0" xfId="0"/>
    <xf numFmtId="165" fontId="45" fillId="16" borderId="27" applyAlignment="1" pivotButton="0" quotePrefix="0" xfId="15">
      <alignment horizontal="general" vertical="center" wrapText="1"/>
    </xf>
    <xf numFmtId="0" fontId="45" fillId="16" borderId="26" applyAlignment="1" pivotButton="0" quotePrefix="0" xfId="0">
      <alignment horizontal="general" vertical="center" wrapText="1"/>
    </xf>
    <xf numFmtId="0" fontId="59" fillId="0" borderId="49" applyAlignment="1" pivotButton="0" quotePrefix="0" xfId="0">
      <alignment horizontal="left" vertical="center" wrapText="1" indent="1"/>
    </xf>
    <xf numFmtId="0" fontId="59" fillId="0" borderId="122" applyAlignment="1" pivotButton="0" quotePrefix="0" xfId="0">
      <alignment horizontal="left" vertical="center" wrapText="1" indent="1"/>
    </xf>
    <xf numFmtId="0" fontId="44" fillId="15" borderId="123" applyAlignment="1" pivotButton="0" quotePrefix="0" xfId="0">
      <alignment horizontal="general" vertical="center" wrapText="1"/>
    </xf>
    <xf numFmtId="165" fontId="45" fillId="15" borderId="27" applyAlignment="1" pivotButton="0" quotePrefix="0" xfId="15">
      <alignment horizontal="general" vertical="center" wrapText="1"/>
    </xf>
    <xf numFmtId="0" fontId="45" fillId="15" borderId="27" applyAlignment="1" pivotButton="0" quotePrefix="0" xfId="0">
      <alignment horizontal="general" vertical="center" wrapText="1"/>
    </xf>
    <xf numFmtId="0" fontId="39" fillId="2" borderId="27" applyAlignment="1" pivotButton="0" quotePrefix="0" xfId="0">
      <alignment horizontal="general" vertical="center" wrapText="1"/>
    </xf>
    <xf numFmtId="0" fontId="44" fillId="15" borderId="124" applyAlignment="1" pivotButton="0" quotePrefix="0" xfId="0">
      <alignment horizontal="general" vertical="center" wrapText="1"/>
    </xf>
    <xf numFmtId="0" fontId="0" fillId="0" borderId="141" pivotButton="0" quotePrefix="0" xfId="0"/>
    <xf numFmtId="165" fontId="45" fillId="15" borderId="27" applyAlignment="1" pivotButton="0" quotePrefix="0" xfId="0">
      <alignment horizontal="general" vertical="center" wrapText="1"/>
    </xf>
    <xf numFmtId="9" fontId="45" fillId="15" borderId="27" applyAlignment="1" pivotButton="0" quotePrefix="0" xfId="19">
      <alignment horizontal="center" vertical="center" wrapText="1"/>
    </xf>
    <xf numFmtId="0" fontId="46" fillId="13" borderId="30" applyAlignment="1" pivotButton="0" quotePrefix="0" xfId="0">
      <alignment horizontal="center" vertical="center" wrapText="1"/>
    </xf>
    <xf numFmtId="0" fontId="46" fillId="0" borderId="32" applyAlignment="1" pivotButton="0" quotePrefix="0" xfId="0">
      <alignment horizontal="justify" vertical="center" wrapText="1"/>
    </xf>
    <xf numFmtId="10" fontId="39" fillId="2" borderId="27" applyAlignment="1" pivotButton="0" quotePrefix="0" xfId="19">
      <alignment horizontal="center" vertical="center" wrapText="1"/>
    </xf>
    <xf numFmtId="0" fontId="46" fillId="0" borderId="50" applyAlignment="1" pivotButton="0" quotePrefix="0" xfId="0">
      <alignment horizontal="general" vertical="center" wrapText="1"/>
    </xf>
    <xf numFmtId="0" fontId="46" fillId="0" borderId="49" applyAlignment="1" pivotButton="0" quotePrefix="0" xfId="0">
      <alignment horizontal="general" vertical="center" wrapText="1"/>
    </xf>
    <xf numFmtId="165" fontId="46" fillId="2" borderId="27" applyAlignment="1" pivotButton="0" quotePrefix="0" xfId="15">
      <alignment horizontal="general" vertical="center" wrapText="1"/>
    </xf>
    <xf numFmtId="9" fontId="46" fillId="2" borderId="27" applyAlignment="1" pivotButton="0" quotePrefix="0" xfId="19">
      <alignment horizontal="right" vertical="center" wrapText="1"/>
    </xf>
    <xf numFmtId="0" fontId="46" fillId="0" borderId="122" applyAlignment="1" pivotButton="0" quotePrefix="0" xfId="0">
      <alignment horizontal="general" vertical="center" wrapText="1"/>
    </xf>
    <xf numFmtId="0" fontId="44" fillId="15" borderId="123" applyAlignment="1" pivotButton="0" quotePrefix="0" xfId="0">
      <alignment horizontal="justify" vertical="center" wrapText="1"/>
    </xf>
    <xf numFmtId="165" fontId="44" fillId="15" borderId="27" applyAlignment="1" pivotButton="0" quotePrefix="0" xfId="15">
      <alignment horizontal="general" vertical="center" wrapText="1"/>
    </xf>
    <xf numFmtId="9" fontId="44" fillId="15" borderId="27" applyAlignment="1" pivotButton="0" quotePrefix="0" xfId="19">
      <alignment horizontal="right" vertical="center" wrapText="1"/>
    </xf>
    <xf numFmtId="165" fontId="39" fillId="2" borderId="30" applyAlignment="1" pivotButton="0" quotePrefix="0" xfId="15">
      <alignment horizontal="general" vertical="center" wrapText="1"/>
    </xf>
    <xf numFmtId="10" fontId="39" fillId="2" borderId="30" applyAlignment="1" pivotButton="0" quotePrefix="0" xfId="19">
      <alignment horizontal="right" vertical="center" wrapText="1"/>
    </xf>
    <xf numFmtId="9" fontId="39" fillId="2" borderId="30" applyAlignment="1" pivotButton="0" quotePrefix="0" xfId="19">
      <alignment horizontal="right" vertical="center" wrapText="1"/>
    </xf>
    <xf numFmtId="0" fontId="45" fillId="0" borderId="122" applyAlignment="1" pivotButton="0" quotePrefix="0" xfId="0">
      <alignment horizontal="general" vertical="center" wrapText="1"/>
    </xf>
    <xf numFmtId="165" fontId="45" fillId="0" borderId="27" applyAlignment="1" pivotButton="0" quotePrefix="0" xfId="15">
      <alignment horizontal="general" vertical="center" wrapText="1"/>
    </xf>
    <xf numFmtId="165" fontId="45" fillId="0" borderId="27" applyAlignment="1" pivotButton="0" quotePrefix="0" xfId="15">
      <alignment horizontal="right" vertical="center" wrapText="1"/>
    </xf>
    <xf numFmtId="0" fontId="44" fillId="15" borderId="49" applyAlignment="1" pivotButton="0" quotePrefix="0" xfId="0">
      <alignment horizontal="justify" vertical="center" wrapText="1"/>
    </xf>
    <xf numFmtId="165" fontId="44" fillId="15" borderId="50" applyAlignment="1" pivotButton="0" quotePrefix="0" xfId="15">
      <alignment horizontal="general" vertical="center" wrapText="1"/>
    </xf>
    <xf numFmtId="9" fontId="44" fillId="15" borderId="50" applyAlignment="1" pivotButton="0" quotePrefix="0" xfId="19">
      <alignment horizontal="right" vertical="center" wrapText="1"/>
    </xf>
    <xf numFmtId="0" fontId="44" fillId="15" borderId="124" applyAlignment="1" pivotButton="0" quotePrefix="0" xfId="0">
      <alignment horizontal="justify" vertical="center" wrapText="1"/>
    </xf>
    <xf numFmtId="165" fontId="44" fillId="15" borderId="27" applyAlignment="1" pivotButton="0" quotePrefix="0" xfId="15">
      <alignment horizontal="right" vertical="center" wrapText="1"/>
    </xf>
    <xf numFmtId="0" fontId="45" fillId="15" borderId="124" applyAlignment="1" pivotButton="0" quotePrefix="0" xfId="0">
      <alignment horizontal="justify" vertical="center" wrapText="1"/>
    </xf>
    <xf numFmtId="0" fontId="30" fillId="0" borderId="0" applyAlignment="1" pivotButton="0" quotePrefix="0" xfId="0">
      <alignment horizontal="left" vertical="bottom"/>
    </xf>
    <xf numFmtId="0" fontId="150" fillId="0" borderId="0" applyAlignment="1" pivotButton="0" quotePrefix="0" xfId="0">
      <alignment horizontal="center" vertical="center"/>
    </xf>
    <xf numFmtId="0" fontId="75" fillId="0" borderId="0" applyAlignment="1" pivotButton="0" quotePrefix="0" xfId="0">
      <alignment horizontal="center" vertical="center"/>
    </xf>
    <xf numFmtId="0" fontId="59" fillId="0" borderId="49" applyAlignment="1" pivotButton="0" quotePrefix="0" xfId="0">
      <alignment horizontal="general" vertical="center" wrapText="1"/>
    </xf>
    <xf numFmtId="0" fontId="59" fillId="0" borderId="50" applyAlignment="1" pivotButton="0" quotePrefix="0" xfId="0">
      <alignment horizontal="left" vertical="center" wrapText="1" indent="1"/>
    </xf>
    <xf numFmtId="0" fontId="128" fillId="0" borderId="49" applyAlignment="1" pivotButton="0" quotePrefix="0" xfId="0">
      <alignment horizontal="left" vertical="center" wrapText="1" indent="1"/>
    </xf>
    <xf numFmtId="0" fontId="128" fillId="0" borderId="50" applyAlignment="1" pivotButton="0" quotePrefix="0" xfId="0">
      <alignment horizontal="left" vertical="center" wrapText="1" indent="1"/>
    </xf>
    <xf numFmtId="0" fontId="59" fillId="0" borderId="50" applyAlignment="1" pivotButton="0" quotePrefix="0" xfId="0">
      <alignment horizontal="general" vertical="center" wrapText="1"/>
    </xf>
    <xf numFmtId="0" fontId="128" fillId="0" borderId="49" applyAlignment="1" pivotButton="0" quotePrefix="0" xfId="0">
      <alignment horizontal="general" vertical="center" wrapText="1"/>
    </xf>
    <xf numFmtId="0" fontId="128" fillId="0" borderId="50" applyAlignment="1" pivotButton="0" quotePrefix="0" xfId="0">
      <alignment horizontal="general" vertical="center" wrapText="1"/>
    </xf>
    <xf numFmtId="0" fontId="28" fillId="3" borderId="49" applyAlignment="1" pivotButton="0" quotePrefix="0" xfId="0">
      <alignment horizontal="center" vertical="center" wrapText="1"/>
    </xf>
    <xf numFmtId="0" fontId="0" fillId="0" borderId="0" applyAlignment="1" pivotButton="0" quotePrefix="0" xfId="0">
      <alignment horizontal="justify" vertical="center"/>
    </xf>
    <xf numFmtId="0" fontId="24" fillId="0" borderId="6" applyAlignment="1" pivotButton="0" quotePrefix="0" xfId="0">
      <alignment horizontal="center" vertical="center" wrapText="1"/>
    </xf>
    <xf numFmtId="0" fontId="24" fillId="0" borderId="20" applyAlignment="1" pivotButton="0" quotePrefix="0" xfId="0">
      <alignment horizontal="center" vertical="center" wrapText="1"/>
    </xf>
    <xf numFmtId="0" fontId="26" fillId="0" borderId="46" applyAlignment="1" pivotButton="0" quotePrefix="0" xfId="0">
      <alignment horizontal="center" vertical="center" wrapText="1"/>
    </xf>
    <xf numFmtId="0" fontId="26" fillId="0" borderId="20" applyAlignment="1" pivotButton="0" quotePrefix="0" xfId="0">
      <alignment horizontal="general" vertical="center" wrapText="1"/>
    </xf>
    <xf numFmtId="0" fontId="26" fillId="0" borderId="85" applyAlignment="1" pivotButton="0" quotePrefix="0" xfId="0">
      <alignment horizontal="center" vertical="center" wrapText="1"/>
    </xf>
    <xf numFmtId="0" fontId="26" fillId="0" borderId="85" applyAlignment="1" pivotButton="0" quotePrefix="0" xfId="0">
      <alignment horizontal="general" vertical="center" wrapText="1"/>
    </xf>
    <xf numFmtId="0" fontId="26" fillId="0" borderId="100" applyAlignment="1" pivotButton="0" quotePrefix="0" xfId="0">
      <alignment horizontal="center" vertical="center" wrapText="1"/>
    </xf>
    <xf numFmtId="0" fontId="152" fillId="0" borderId="0" applyAlignment="1" pivotButton="0" quotePrefix="0" xfId="0">
      <alignment horizontal="general" vertical="center"/>
    </xf>
    <xf numFmtId="0" fontId="154" fillId="0" borderId="0" applyAlignment="1" pivotButton="0" quotePrefix="0" xfId="0">
      <alignment horizontal="center" vertical="center"/>
    </xf>
    <xf numFmtId="0" fontId="155" fillId="0" borderId="26" applyAlignment="1" pivotButton="0" quotePrefix="0" xfId="0">
      <alignment horizontal="center" vertical="center"/>
    </xf>
    <xf numFmtId="0" fontId="154" fillId="0" borderId="0" applyAlignment="1" pivotButton="0" quotePrefix="0" xfId="0">
      <alignment horizontal="left" vertical="center"/>
    </xf>
    <xf numFmtId="0" fontId="156" fillId="0" borderId="125" applyAlignment="1" pivotButton="0" quotePrefix="0" xfId="0">
      <alignment horizontal="general" vertical="center" wrapText="1"/>
    </xf>
    <xf numFmtId="0" fontId="157" fillId="3" borderId="126" applyAlignment="1" pivotButton="0" quotePrefix="0" xfId="0">
      <alignment horizontal="general" vertical="center" wrapText="1"/>
    </xf>
    <xf numFmtId="0" fontId="156" fillId="0" borderId="127" applyAlignment="1" pivotButton="0" quotePrefix="0" xfId="0">
      <alignment horizontal="general" vertical="center" wrapText="1"/>
    </xf>
    <xf numFmtId="0" fontId="157" fillId="0" borderId="128" applyAlignment="1" pivotButton="0" quotePrefix="0" xfId="0">
      <alignment horizontal="general" vertical="center" wrapText="1"/>
    </xf>
    <xf numFmtId="0" fontId="157" fillId="3" borderId="129" applyAlignment="1" pivotButton="0" quotePrefix="0" xfId="0">
      <alignment horizontal="general" vertical="center" wrapText="1"/>
    </xf>
    <xf numFmtId="0" fontId="157" fillId="0" borderId="130" applyAlignment="1" pivotButton="0" quotePrefix="0" xfId="0">
      <alignment horizontal="general" vertical="center" wrapText="1"/>
    </xf>
    <xf numFmtId="0" fontId="156" fillId="0" borderId="130" applyAlignment="1" pivotButton="0" quotePrefix="0" xfId="0">
      <alignment horizontal="general" vertical="center" wrapText="1"/>
    </xf>
    <xf numFmtId="0" fontId="156" fillId="0" borderId="128" applyAlignment="1" pivotButton="0" quotePrefix="0" xfId="0">
      <alignment horizontal="general" vertical="center" wrapText="1"/>
    </xf>
    <xf numFmtId="0" fontId="157" fillId="0" borderId="131" applyAlignment="1" pivotButton="0" quotePrefix="0" xfId="0">
      <alignment horizontal="general" vertical="center" wrapText="1"/>
    </xf>
    <xf numFmtId="0" fontId="157" fillId="3" borderId="132" applyAlignment="1" pivotButton="0" quotePrefix="0" xfId="0">
      <alignment horizontal="general" vertical="center" wrapText="1"/>
    </xf>
    <xf numFmtId="0" fontId="157" fillId="0" borderId="133" applyAlignment="1" pivotButton="0" quotePrefix="0" xfId="0">
      <alignment horizontal="general" vertical="center" wrapText="1"/>
    </xf>
    <xf numFmtId="0" fontId="73" fillId="0" borderId="0" applyAlignment="1" pivotButton="0" quotePrefix="0" xfId="0">
      <alignment horizontal="general" vertical="center"/>
    </xf>
    <xf numFmtId="0" fontId="73" fillId="0" borderId="0" applyAlignment="1" pivotButton="0" quotePrefix="0" xfId="0">
      <alignment horizontal="general" vertical="bottom"/>
    </xf>
    <xf numFmtId="0" fontId="160" fillId="19" borderId="0" applyAlignment="1" pivotButton="0" quotePrefix="0" xfId="0">
      <alignment horizontal="center" vertical="center" wrapText="1"/>
    </xf>
    <xf numFmtId="0" fontId="161" fillId="0" borderId="0" applyAlignment="1" pivotButton="0" quotePrefix="0" xfId="0">
      <alignment horizontal="center" vertical="center" wrapText="1"/>
    </xf>
    <xf numFmtId="0" fontId="162" fillId="0" borderId="0" pivotButton="0" quotePrefix="0" xfId="0"/>
    <xf numFmtId="0" fontId="161" fillId="0" borderId="0" pivotButton="0" quotePrefix="0" xfId="0"/>
    <xf numFmtId="0" fontId="159" fillId="0" borderId="0" applyAlignment="1" pivotButton="0" quotePrefix="0" xfId="0">
      <alignment horizontal="left" vertical="center" wrapText="1"/>
    </xf>
    <xf numFmtId="168" fontId="27" fillId="2" borderId="35" applyAlignment="1" pivotButton="0" quotePrefix="0" xfId="15">
      <alignment horizontal="right" vertical="center" wrapText="1"/>
    </xf>
    <xf numFmtId="168" fontId="27" fillId="0" borderId="35" applyAlignment="1" pivotButton="0" quotePrefix="0" xfId="15">
      <alignment horizontal="right" vertical="center" wrapText="1"/>
    </xf>
    <xf numFmtId="168" fontId="27" fillId="2" borderId="34" applyAlignment="1" pivotButton="0" quotePrefix="0" xfId="15">
      <alignment horizontal="right" vertical="center" wrapText="1"/>
    </xf>
    <xf numFmtId="168" fontId="27" fillId="0" borderId="34" applyAlignment="1" pivotButton="0" quotePrefix="0" xfId="15">
      <alignment horizontal="right" vertical="center" wrapText="1"/>
    </xf>
    <xf numFmtId="168" fontId="27" fillId="2" borderId="35" applyAlignment="1" pivotButton="0" quotePrefix="0" xfId="15">
      <alignment horizontal="center" vertical="center" wrapText="1"/>
    </xf>
    <xf numFmtId="168" fontId="28" fillId="2" borderId="35" applyAlignment="1" pivotButton="0" quotePrefix="0" xfId="15">
      <alignment horizontal="right" vertical="center" wrapText="1"/>
    </xf>
    <xf numFmtId="168" fontId="28" fillId="0" borderId="35" applyAlignment="1" pivotButton="0" quotePrefix="0" xfId="15">
      <alignment horizontal="right" vertical="center" wrapText="1"/>
    </xf>
    <xf numFmtId="168" fontId="26" fillId="2" borderId="34" applyAlignment="1" pivotButton="0" quotePrefix="0" xfId="15">
      <alignment horizontal="general" vertical="center" wrapText="1"/>
    </xf>
    <xf numFmtId="168" fontId="26" fillId="2" borderId="34" applyAlignment="1" pivotButton="0" quotePrefix="0" xfId="15">
      <alignment horizontal="center" vertical="center" wrapText="1"/>
    </xf>
    <xf numFmtId="168" fontId="24" fillId="2" borderId="34" applyAlignment="1" pivotButton="0" quotePrefix="0" xfId="15">
      <alignment horizontal="general" vertical="center" wrapText="1"/>
    </xf>
    <xf numFmtId="168" fontId="24" fillId="2" borderId="34" applyAlignment="1" pivotButton="0" quotePrefix="0" xfId="15">
      <alignment horizontal="center" vertical="center" wrapText="1"/>
    </xf>
    <xf numFmtId="168" fontId="38" fillId="2" borderId="34" applyAlignment="1" pivotButton="0" quotePrefix="0" xfId="15">
      <alignment horizontal="center" vertical="center" wrapText="1"/>
    </xf>
    <xf numFmtId="168" fontId="52" fillId="2" borderId="34" applyAlignment="1" pivotButton="0" quotePrefix="0" xfId="15">
      <alignment horizontal="general" vertical="center" wrapText="1"/>
    </xf>
    <xf numFmtId="168" fontId="54" fillId="2" borderId="34" applyAlignment="1" pivotButton="0" quotePrefix="0" xfId="15">
      <alignment horizontal="general" vertical="center" wrapText="1"/>
    </xf>
    <xf numFmtId="168" fontId="27" fillId="2" borderId="40" applyAlignment="1" pivotButton="0" quotePrefix="0" xfId="15">
      <alignment horizontal="right" vertical="center" wrapText="1"/>
    </xf>
    <xf numFmtId="168" fontId="28" fillId="3" borderId="34" applyAlignment="1" pivotButton="0" quotePrefix="0" xfId="15">
      <alignment horizontal="right" vertical="center" wrapText="1"/>
    </xf>
    <xf numFmtId="168" fontId="27" fillId="2" borderId="27" applyAlignment="1" pivotButton="0" quotePrefix="0" xfId="15">
      <alignment horizontal="general" vertical="center" wrapText="1"/>
    </xf>
    <xf numFmtId="168" fontId="28" fillId="2" borderId="27" applyAlignment="1" pivotButton="0" quotePrefix="0" xfId="15">
      <alignment horizontal="general" vertical="center" wrapText="1"/>
    </xf>
    <xf numFmtId="168" fontId="28" fillId="3" borderId="30" applyAlignment="1" pivotButton="0" quotePrefix="0" xfId="15">
      <alignment horizontal="general" vertical="center" wrapText="1"/>
    </xf>
    <xf numFmtId="168" fontId="28" fillId="3" borderId="48" applyAlignment="1" pivotButton="0" quotePrefix="0" xfId="15">
      <alignment horizontal="general" vertical="center" wrapText="1"/>
    </xf>
    <xf numFmtId="168" fontId="27" fillId="3" borderId="30" applyAlignment="1" pivotButton="0" quotePrefix="0" xfId="15">
      <alignment horizontal="general" vertical="center" wrapText="1"/>
    </xf>
    <xf numFmtId="168" fontId="27" fillId="3" borderId="48" applyAlignment="1" pivotButton="0" quotePrefix="0" xfId="15">
      <alignment horizontal="general" vertical="center" wrapText="1"/>
    </xf>
    <xf numFmtId="168" fontId="27" fillId="3" borderId="30" applyAlignment="1" pivotButton="0" quotePrefix="0" xfId="15">
      <alignment horizontal="right" vertical="center" wrapText="1"/>
    </xf>
    <xf numFmtId="168" fontId="27" fillId="3" borderId="48" applyAlignment="1" pivotButton="0" quotePrefix="0" xfId="15">
      <alignment horizontal="right" vertical="center" wrapText="1"/>
    </xf>
    <xf numFmtId="168" fontId="38" fillId="7" borderId="30" applyAlignment="1" pivotButton="0" quotePrefix="0" xfId="15">
      <alignment horizontal="general" vertical="center" wrapText="1"/>
    </xf>
    <xf numFmtId="168" fontId="38" fillId="7" borderId="48" applyAlignment="1" pivotButton="0" quotePrefix="0" xfId="15">
      <alignment horizontal="general" vertical="center" wrapText="1"/>
    </xf>
    <xf numFmtId="168" fontId="39" fillId="0" borderId="9" applyAlignment="1" pivotButton="0" quotePrefix="0" xfId="15">
      <alignment horizontal="right" vertical="center" wrapText="1"/>
    </xf>
    <xf numFmtId="168" fontId="39" fillId="0" borderId="20" applyAlignment="1" pivotButton="0" quotePrefix="0" xfId="15">
      <alignment horizontal="right" vertical="center" wrapText="1"/>
    </xf>
    <xf numFmtId="168" fontId="46" fillId="0" borderId="20" applyAlignment="1" pivotButton="0" quotePrefix="0" xfId="15">
      <alignment horizontal="right" vertical="center" wrapText="1"/>
    </xf>
    <xf numFmtId="168" fontId="39" fillId="0" borderId="23" applyAlignment="1" pivotButton="0" quotePrefix="0" xfId="15">
      <alignment horizontal="right" vertical="center" wrapText="1"/>
    </xf>
    <xf numFmtId="168" fontId="39" fillId="0" borderId="9" applyAlignment="1" pivotButton="0" quotePrefix="0" xfId="15">
      <alignment horizontal="general" vertical="center" wrapText="1"/>
    </xf>
    <xf numFmtId="168" fontId="39" fillId="0" borderId="20" applyAlignment="1" pivotButton="0" quotePrefix="0" xfId="15">
      <alignment horizontal="general" vertical="center" wrapText="1"/>
    </xf>
    <xf numFmtId="168" fontId="39" fillId="3" borderId="43" applyAlignment="1" pivotButton="0" quotePrefix="0" xfId="15">
      <alignment horizontal="general" vertical="center" wrapText="1"/>
    </xf>
    <xf numFmtId="168" fontId="27" fillId="2" borderId="40" applyAlignment="1" pivotButton="0" quotePrefix="0" xfId="15">
      <alignment horizontal="general" vertical="center" wrapText="1"/>
    </xf>
    <xf numFmtId="168" fontId="27" fillId="2" borderId="34" applyAlignment="1" pivotButton="0" quotePrefix="0" xfId="15">
      <alignment horizontal="general" vertical="center" wrapText="1"/>
    </xf>
    <xf numFmtId="168" fontId="27" fillId="2" borderId="16" applyAlignment="1" pivotButton="0" quotePrefix="0" xfId="15">
      <alignment horizontal="general" vertical="center" wrapText="1"/>
    </xf>
    <xf numFmtId="168" fontId="27" fillId="2" borderId="36" applyAlignment="1" pivotButton="0" quotePrefix="0" xfId="15">
      <alignment horizontal="general" vertical="center" wrapText="1"/>
    </xf>
    <xf numFmtId="168" fontId="27" fillId="2" borderId="18" applyAlignment="1" pivotButton="0" quotePrefix="0" xfId="15">
      <alignment horizontal="general" vertical="center" wrapText="1"/>
    </xf>
    <xf numFmtId="168" fontId="27" fillId="2" borderId="33" applyAlignment="1" pivotButton="0" quotePrefix="0" xfId="15">
      <alignment horizontal="general" vertical="center" wrapText="1"/>
    </xf>
    <xf numFmtId="168" fontId="28" fillId="2" borderId="9" applyAlignment="1" pivotButton="0" quotePrefix="0" xfId="15">
      <alignment horizontal="general" vertical="center" wrapText="1"/>
    </xf>
    <xf numFmtId="168" fontId="27" fillId="2" borderId="20" applyAlignment="1" pivotButton="0" quotePrefix="0" xfId="15">
      <alignment horizontal="general" vertical="center" wrapText="1"/>
    </xf>
    <xf numFmtId="168" fontId="27" fillId="2" borderId="23" applyAlignment="1" pivotButton="0" quotePrefix="0" xfId="15">
      <alignment horizontal="general" vertical="center" wrapText="1"/>
    </xf>
    <xf numFmtId="168" fontId="27" fillId="3" borderId="43" applyAlignment="1" pivotButton="0" quotePrefix="0" xfId="15">
      <alignment horizontal="general" vertical="center" wrapText="1"/>
    </xf>
    <xf numFmtId="168" fontId="28" fillId="2" borderId="9" applyAlignment="1" pivotButton="0" quotePrefix="0" xfId="15">
      <alignment horizontal="right" vertical="center" wrapText="1"/>
    </xf>
    <xf numFmtId="168" fontId="27" fillId="2" borderId="20" applyAlignment="1" pivotButton="0" quotePrefix="0" xfId="15">
      <alignment horizontal="right" vertical="center" wrapText="1"/>
    </xf>
    <xf numFmtId="168" fontId="27" fillId="2" borderId="23" applyAlignment="1" pivotButton="0" quotePrefix="0" xfId="15">
      <alignment horizontal="right" vertical="center" wrapText="1"/>
    </xf>
    <xf numFmtId="168" fontId="28" fillId="3" borderId="43" applyAlignment="1" pivotButton="0" quotePrefix="0" xfId="15">
      <alignment horizontal="right" vertical="center" wrapText="1"/>
    </xf>
    <xf numFmtId="168" fontId="27" fillId="3" borderId="43" applyAlignment="1" pivotButton="0" quotePrefix="0" xfId="15">
      <alignment horizontal="right" vertical="center" wrapText="1"/>
    </xf>
    <xf numFmtId="168" fontId="27" fillId="2" borderId="27" applyAlignment="1" pivotButton="0" quotePrefix="0" xfId="15">
      <alignment horizontal="right" vertical="center" wrapText="1"/>
    </xf>
    <xf numFmtId="168" fontId="28" fillId="2" borderId="27" applyAlignment="1" pivotButton="0" quotePrefix="0" xfId="15">
      <alignment horizontal="right" vertical="center" wrapText="1"/>
    </xf>
    <xf numFmtId="168" fontId="28" fillId="3" borderId="27" applyAlignment="1" pivotButton="0" quotePrefix="0" xfId="15">
      <alignment horizontal="right" vertical="center" wrapText="1"/>
    </xf>
    <xf numFmtId="168" fontId="27" fillId="0" borderId="27" applyAlignment="1" pivotButton="0" quotePrefix="0" xfId="0">
      <alignment horizontal="general" vertical="center" wrapText="1"/>
    </xf>
    <xf numFmtId="168" fontId="28" fillId="3" borderId="27" applyAlignment="1" pivotButton="0" quotePrefix="0" xfId="0">
      <alignment horizontal="general" vertical="center" wrapText="1"/>
    </xf>
    <xf numFmtId="168" fontId="27" fillId="3" borderId="27" applyAlignment="1" pivotButton="0" quotePrefix="0" xfId="0">
      <alignment horizontal="general" vertical="center" wrapText="1"/>
    </xf>
    <xf numFmtId="168" fontId="27" fillId="2" borderId="33" applyAlignment="1" pivotButton="0" quotePrefix="0" xfId="0">
      <alignment horizontal="general" vertical="center" wrapText="1"/>
    </xf>
    <xf numFmtId="168" fontId="27" fillId="2" borderId="34" applyAlignment="1" pivotButton="0" quotePrefix="0" xfId="0">
      <alignment horizontal="general" vertical="center" wrapText="1"/>
    </xf>
    <xf numFmtId="168" fontId="27" fillId="2" borderId="36" applyAlignment="1" pivotButton="0" quotePrefix="0" xfId="0">
      <alignment horizontal="general" vertical="center" wrapText="1"/>
    </xf>
    <xf numFmtId="168" fontId="28" fillId="3" borderId="30" applyAlignment="1" pivotButton="0" quotePrefix="0" xfId="0">
      <alignment horizontal="general" vertical="center" wrapText="1"/>
    </xf>
    <xf numFmtId="168" fontId="27" fillId="3" borderId="30" applyAlignment="1" pivotButton="0" quotePrefix="0" xfId="0">
      <alignment horizontal="general" vertical="center" wrapText="1"/>
    </xf>
    <xf numFmtId="168" fontId="28" fillId="2" borderId="20" applyAlignment="1" pivotButton="0" quotePrefix="0" xfId="15">
      <alignment horizontal="right" vertical="center" wrapText="1"/>
    </xf>
    <xf numFmtId="168" fontId="27" fillId="2" borderId="9" applyAlignment="1" pivotButton="0" quotePrefix="0" xfId="15">
      <alignment horizontal="right" vertical="center" wrapText="1"/>
    </xf>
    <xf numFmtId="168" fontId="27" fillId="2" borderId="9" applyAlignment="1" pivotButton="0" quotePrefix="0" xfId="15">
      <alignment horizontal="general" vertical="center" wrapText="1"/>
    </xf>
    <xf numFmtId="168" fontId="28" fillId="3" borderId="20" applyAlignment="1" pivotButton="0" quotePrefix="0" xfId="15">
      <alignment horizontal="general" vertical="center" wrapText="1"/>
    </xf>
    <xf numFmtId="168" fontId="27" fillId="3" borderId="20" applyAlignment="1" pivotButton="0" quotePrefix="0" xfId="15">
      <alignment horizontal="general" vertical="center" wrapText="1"/>
    </xf>
    <xf numFmtId="168" fontId="26" fillId="2" borderId="9" applyAlignment="1" pivotButton="0" quotePrefix="0" xfId="0">
      <alignment horizontal="general" vertical="center" wrapText="1"/>
    </xf>
    <xf numFmtId="168" fontId="26" fillId="2" borderId="20" applyAlignment="1" pivotButton="0" quotePrefix="0" xfId="0">
      <alignment horizontal="general" vertical="center" wrapText="1"/>
    </xf>
    <xf numFmtId="168" fontId="26" fillId="2" borderId="23" applyAlignment="1" pivotButton="0" quotePrefix="0" xfId="0">
      <alignment horizontal="general" vertical="center" wrapText="1"/>
    </xf>
    <xf numFmtId="168" fontId="26" fillId="3" borderId="43" applyAlignment="1" pivotButton="0" quotePrefix="0" xfId="0">
      <alignment horizontal="general" vertical="center" wrapText="1"/>
    </xf>
    <xf numFmtId="168" fontId="41" fillId="7" borderId="43" applyAlignment="1" pivotButton="0" quotePrefix="0" xfId="0">
      <alignment horizontal="general" vertical="center" wrapText="1"/>
    </xf>
    <xf numFmtId="168" fontId="114" fillId="0" borderId="27" applyAlignment="1" pivotButton="0" quotePrefix="0" xfId="0">
      <alignment horizontal="general" vertical="center" wrapText="1"/>
    </xf>
    <xf numFmtId="168" fontId="114" fillId="3" borderId="27" applyAlignment="1" pivotButton="0" quotePrefix="0" xfId="0">
      <alignment horizontal="general" vertical="center" wrapText="1"/>
    </xf>
    <xf numFmtId="168" fontId="27" fillId="0" borderId="9" applyAlignment="1" pivotButton="0" quotePrefix="0" xfId="0">
      <alignment horizontal="center" vertical="center" wrapText="1"/>
    </xf>
    <xf numFmtId="168" fontId="27" fillId="2" borderId="9" applyAlignment="1" pivotButton="0" quotePrefix="0" xfId="0">
      <alignment horizontal="center" vertical="center" wrapText="1"/>
    </xf>
    <xf numFmtId="168" fontId="27" fillId="0" borderId="20" applyAlignment="1" pivotButton="0" quotePrefix="0" xfId="0">
      <alignment horizontal="general" vertical="center" wrapText="1"/>
    </xf>
    <xf numFmtId="168" fontId="27" fillId="2" borderId="20" applyAlignment="1" pivotButton="0" quotePrefix="0" xfId="0">
      <alignment horizontal="general" vertical="center" wrapText="1"/>
    </xf>
    <xf numFmtId="168" fontId="27" fillId="0" borderId="23" applyAlignment="1" pivotButton="0" quotePrefix="0" xfId="0">
      <alignment horizontal="general" vertical="center" wrapText="1"/>
    </xf>
    <xf numFmtId="168" fontId="27" fillId="2" borderId="23" applyAlignment="1" pivotButton="0" quotePrefix="0" xfId="0">
      <alignment horizontal="general" vertical="center" wrapText="1"/>
    </xf>
    <xf numFmtId="168" fontId="27" fillId="3" borderId="43" applyAlignment="1" pivotButton="0" quotePrefix="0" xfId="0">
      <alignment horizontal="general" vertical="center" wrapText="1"/>
    </xf>
    <xf numFmtId="168" fontId="28" fillId="0" borderId="20" applyAlignment="1" pivotButton="0" quotePrefix="0" xfId="15">
      <alignment horizontal="general" vertical="center" wrapText="1"/>
    </xf>
    <xf numFmtId="168" fontId="28" fillId="2" borderId="20" applyAlignment="1" pivotButton="0" quotePrefix="0" xfId="15">
      <alignment horizontal="general" vertical="center" wrapText="1"/>
    </xf>
    <xf numFmtId="168" fontId="28" fillId="3" borderId="43" applyAlignment="1" pivotButton="0" quotePrefix="0" xfId="0">
      <alignment horizontal="general" vertical="center" wrapText="1"/>
    </xf>
    <xf numFmtId="168" fontId="27" fillId="3" borderId="20" applyAlignment="1" pivotButton="0" quotePrefix="0" xfId="0">
      <alignment horizontal="general" vertical="center" wrapText="1"/>
    </xf>
    <xf numFmtId="168" fontId="38" fillId="7" borderId="43" applyAlignment="1" pivotButton="0" quotePrefix="0" xfId="0">
      <alignment horizontal="general" vertical="center" wrapText="1"/>
    </xf>
    <xf numFmtId="168" fontId="28" fillId="2" borderId="9" applyAlignment="1" pivotButton="0" quotePrefix="0" xfId="0">
      <alignment horizontal="center" vertical="center" wrapText="1"/>
    </xf>
    <xf numFmtId="168" fontId="28" fillId="2" borderId="23" applyAlignment="1" pivotButton="0" quotePrefix="0" xfId="0">
      <alignment horizontal="center" vertical="center" wrapText="1"/>
    </xf>
    <xf numFmtId="168" fontId="28" fillId="3" borderId="43" applyAlignment="1" pivotButton="0" quotePrefix="0" xfId="0">
      <alignment horizontal="center" vertical="center" wrapText="1"/>
    </xf>
    <xf numFmtId="168" fontId="28" fillId="2" borderId="20" applyAlignment="1" pivotButton="0" quotePrefix="0" xfId="0">
      <alignment horizontal="general" vertical="center" wrapText="1"/>
    </xf>
    <xf numFmtId="168" fontId="28" fillId="2" borderId="23" applyAlignment="1" pivotButton="0" quotePrefix="0" xfId="0">
      <alignment horizontal="general" vertical="center" wrapText="1"/>
    </xf>
    <xf numFmtId="168" fontId="38" fillId="7" borderId="85" applyAlignment="1" pivotButton="0" quotePrefix="0" xfId="0">
      <alignment horizontal="general" vertical="center" wrapText="1"/>
    </xf>
    <xf numFmtId="168" fontId="28" fillId="2" borderId="112" applyAlignment="1" pivotButton="0" quotePrefix="0" xfId="15">
      <alignment horizontal="general" vertical="bottom"/>
    </xf>
    <xf numFmtId="168" fontId="28" fillId="2" borderId="23" applyAlignment="1" pivotButton="0" quotePrefix="0" xfId="15">
      <alignment horizontal="right" vertical="center" wrapText="1"/>
    </xf>
    <xf numFmtId="168" fontId="28" fillId="2" borderId="9" applyAlignment="1" pivotButton="0" quotePrefix="0" xfId="15">
      <alignment horizontal="center" vertical="center" wrapText="1"/>
    </xf>
    <xf numFmtId="168" fontId="28" fillId="2" borderId="20" applyAlignment="1" pivotButton="0" quotePrefix="0" xfId="15">
      <alignment horizontal="center" vertical="center" wrapText="1"/>
    </xf>
    <xf numFmtId="168" fontId="27" fillId="2" borderId="91" applyAlignment="1" pivotButton="0" quotePrefix="0" xfId="15">
      <alignment horizontal="right" vertical="center" wrapText="1"/>
    </xf>
    <xf numFmtId="168" fontId="28" fillId="3" borderId="30" applyAlignment="1" pivotButton="0" quotePrefix="0" xfId="15">
      <alignment horizontal="right" vertical="center" wrapText="1"/>
    </xf>
    <xf numFmtId="168" fontId="27" fillId="2" borderId="30" applyAlignment="1" pivotButton="0" quotePrefix="0" xfId="15">
      <alignment horizontal="right" vertical="center" wrapText="1"/>
    </xf>
    <xf numFmtId="168" fontId="27" fillId="2" borderId="30" applyAlignment="1" pivotButton="0" quotePrefix="0" xfId="15">
      <alignment horizontal="general" vertical="center" wrapText="1"/>
    </xf>
    <xf numFmtId="168" fontId="38" fillId="11" borderId="27" applyAlignment="1" pivotButton="0" quotePrefix="0" xfId="15">
      <alignment horizontal="right" vertical="center" wrapText="1"/>
    </xf>
    <xf numFmtId="168" fontId="38" fillId="11" borderId="30" applyAlignment="1" pivotButton="0" quotePrefix="0" xfId="15">
      <alignment horizontal="right" vertical="center" wrapText="1"/>
    </xf>
    <xf numFmtId="168" fontId="27" fillId="2" borderId="20" applyAlignment="1" pivotButton="0" quotePrefix="0" xfId="15">
      <alignment horizontal="center" vertical="center" wrapText="1"/>
    </xf>
    <xf numFmtId="168" fontId="27" fillId="2" borderId="20" applyAlignment="1" pivotButton="0" quotePrefix="0" xfId="0">
      <alignment horizontal="center" vertical="center" wrapText="1"/>
    </xf>
    <xf numFmtId="168" fontId="51" fillId="7" borderId="43" applyAlignment="1" pivotButton="0" quotePrefix="0" xfId="0">
      <alignment horizontal="general" vertical="center" wrapText="1"/>
    </xf>
    <xf numFmtId="168" fontId="39" fillId="2" borderId="27" applyAlignment="1" pivotButton="0" quotePrefix="0" xfId="15">
      <alignment horizontal="general" vertical="center" wrapText="1"/>
    </xf>
    <xf numFmtId="0" fontId="158" fillId="17" borderId="142" applyAlignment="1" pivotButton="0" quotePrefix="0" xfId="0">
      <alignment horizontal="center" vertical="center" wrapText="1"/>
    </xf>
    <xf numFmtId="0" fontId="159" fillId="18" borderId="142" pivotButton="0" quotePrefix="0" xfId="0"/>
    <xf numFmtId="168" fontId="159" fillId="18" borderId="142" pivotButton="0" quotePrefix="0" xfId="0"/>
    <xf numFmtId="0" fontId="159" fillId="0" borderId="142" pivotButton="0" quotePrefix="0" xfId="0"/>
    <xf numFmtId="168" fontId="159" fillId="0" borderId="142" pivotButton="0" quotePrefix="0" xfId="0"/>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 xfId="7"/>
    <cellStyle name="Normal 3" xfId="8"/>
    <cellStyle name="Normal 3 2" xfId="9"/>
    <cellStyle name="Normal_LIASSE SYSCOA ESSAI 1999" xfId="10"/>
  </cellStyles>
  <colors>
    <indexedColors>
      <rgbColor rgb="FF000000"/>
      <rgbColor rgb="FFFFFFFF"/>
      <rgbColor rgb="FFDD0806"/>
      <rgbColor rgb="FF00FF00"/>
      <rgbColor rgb="FF0000FF"/>
      <rgbColor rgb="FFFCF305"/>
      <rgbColor rgb="FFFF00FF"/>
      <rgbColor rgb="FF00FFFF"/>
      <rgbColor rgb="FF800000"/>
      <rgbColor rgb="FF008000"/>
      <rgbColor rgb="FF000080"/>
      <rgbColor rgb="FF90713A"/>
      <rgbColor rgb="FF800080"/>
      <rgbColor rgb="FF008080"/>
      <rgbColor rgb="FFC0C0C0"/>
      <rgbColor rgb="FF808080"/>
      <rgbColor rgb="FF63AAFE"/>
      <rgbColor rgb="FF993366"/>
      <rgbColor rgb="FFFFFFCC"/>
      <rgbColor rgb="FFCCFFFF"/>
      <rgbColor rgb="FF660066"/>
      <rgbColor rgb="FFFF8080"/>
      <rgbColor rgb="FF0066CC"/>
      <rgbColor rgb="FFA2BD90"/>
      <rgbColor rgb="FF000080"/>
      <rgbColor rgb="FFFF00FF"/>
      <rgbColor rgb="FFFFFF00"/>
      <rgbColor rgb="FF00FFFF"/>
      <rgbColor rgb="FF800080"/>
      <rgbColor rgb="FF800000"/>
      <rgbColor rgb="FF008080"/>
      <rgbColor rgb="FF0000FF"/>
      <rgbColor rgb="FF00ABEA"/>
      <rgbColor rgb="FFCCFFFF"/>
      <rgbColor rgb="FFCCFFCC"/>
      <rgbColor rgb="FFFFFF99"/>
      <rgbColor rgb="FF99CCFF"/>
      <rgbColor rgb="FFFF99CC"/>
      <rgbColor rgb="FFCC99FF"/>
      <rgbColor rgb="FFFFCC99"/>
      <rgbColor rgb="FF3366FF"/>
      <rgbColor rgb="FF33CCCC"/>
      <rgbColor rgb="FF4EE257"/>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externalLink" Target="/xl/externalLinks/externalLink1.xml" Id="rId61" /><Relationship Type="http://schemas.openxmlformats.org/officeDocument/2006/relationships/styles" Target="styles.xml" Id="rId62" /><Relationship Type="http://schemas.openxmlformats.org/officeDocument/2006/relationships/theme" Target="theme/theme1.xml" Id="rId63" /></Relationships>
</file>

<file path=xl/externalLinks/_rels/externalLink1.xml.rels><Relationships xmlns="http://schemas.openxmlformats.org/package/2006/relationships"><Relationship Type="http://schemas.openxmlformats.org/officeDocument/2006/relationships/externalLinkPath" Target="ANCIEN%2520PRODICOM%25202018.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AGE DE GARDE"/>
      <sheetName val="FICHE R1 "/>
      <sheetName val="FICHE R2 "/>
      <sheetName val="FICHE R3 "/>
      <sheetName val="FICHE R4"/>
      <sheetName val="ACTIF"/>
      <sheetName val="PASSIF"/>
      <sheetName val="Compte de Résultat"/>
      <sheetName val="TFT"/>
      <sheetName val="NOTE 1"/>
      <sheetName val="NOTE 2"/>
      <sheetName val="NOTE 3A"/>
      <sheetName val="NOTE 3B"/>
      <sheetName val="NOTE 3C"/>
      <sheetName val="NOTE 3D"/>
      <sheetName val="NOTE 3E"/>
      <sheetName val="NOTE 4"/>
      <sheetName val="NOTE 5"/>
      <sheetName val="NOTE 6"/>
      <sheetName val="NOTE 7"/>
      <sheetName val="NOTE 8"/>
      <sheetName val="NOTE 8A"/>
      <sheetName val="NOTE 9"/>
      <sheetName val="NOTE 10"/>
      <sheetName val="NOTE 11"/>
      <sheetName val="NOTE 12"/>
      <sheetName val="NOTE 13"/>
      <sheetName val="NOTE 14"/>
      <sheetName val="NOTE 15A"/>
      <sheetName val="NOTES 15B"/>
      <sheetName val="NOTE 16A"/>
      <sheetName val="NOTE 16B"/>
      <sheetName val="NOTE 16B bis"/>
      <sheetName val="NOTE 16C"/>
      <sheetName val="NOTE 17"/>
      <sheetName val="NOTE 18"/>
      <sheetName val="NOTE 19"/>
      <sheetName val="NOTE 20"/>
      <sheetName val="NOTE 21"/>
      <sheetName val="NOTE 22"/>
      <sheetName val="NOTE 23"/>
      <sheetName val="NOTE 24"/>
      <sheetName val="NOTE 25"/>
      <sheetName val="NOTE 26"/>
      <sheetName val="NOTE 27A"/>
      <sheetName val="NOTE 27B"/>
      <sheetName val="NOTE 28"/>
      <sheetName val="NOTE 29"/>
      <sheetName val="NOTE 30"/>
      <sheetName val="NOTE 31"/>
      <sheetName val="NOTE 32"/>
      <sheetName val="NOTE 33"/>
      <sheetName val="NOTE 34"/>
      <sheetName val="NOTE 35"/>
      <sheetName val="NOTE 36"/>
      <sheetName val="CODES"/>
      <sheetName val="PAGE DE GARDE_LIASSE FISCALE"/>
      <sheetName val="FICHE RECAP"/>
      <sheetName val="LF_IS_P1_IDENTIFICATION"/>
      <sheetName val="LF_IS_P2_RESULTAT TAXABLE "/>
      <sheetName val="LF_IS_P3_ACTIF"/>
      <sheetName val="LF_IS_P4_PASSIF"/>
      <sheetName val="LF_IS_P5_FICHE DE LIQUIDATION"/>
      <sheetName val="LF_IS_P6_PAGE DECLARANT"/>
      <sheetName val="A1_DETAILS DES REINTEGRATIONS"/>
      <sheetName val="A2_DETAILS DES DEDUCTIONS"/>
      <sheetName val="A3_PRODUITS ENCAISSABLES"/>
      <sheetName val="A4_CREANCES SUR L'ETAT"/>
      <sheetName val="A5_CHARGES FISCALES "/>
      <sheetName val="A6_PLUS VALUES A REINVESTIR"/>
      <sheetName val="A7_REPORT DU DEFICIT "/>
      <sheetName val="A8_AMORT REPUTES DIFFERES"/>
      <sheetName val="A9_DECLARATION_HONORAIRES"/>
      <sheetName val="A10_TABLEAU DES IMMOBILISA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Relationships xmlns="http://schemas.openxmlformats.org/package/2006/relationships"><Relationship Type="http://schemas.openxmlformats.org/officeDocument/2006/relationships/hyperlink" Target="mailto:er@tgur.ji" TargetMode="External" Id="rId1" /></Relationships>
</file>

<file path=xl/worksheets/sheet1.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3" customWidth="1" style="1354" min="1" max="1"/>
    <col width="34" customWidth="1" style="1354" min="2" max="2"/>
    <col width="12" customWidth="1" style="1354" min="3" max="3"/>
    <col width="26" customWidth="1" style="1354" min="4" max="4"/>
    <col width="14" customWidth="1" style="1354" min="5" max="5"/>
    <col width="14" customWidth="1" style="1354" min="6" max="6"/>
  </cols>
  <sheetData>
    <row r="1"/>
    <row r="2">
      <c r="B2" s="2757" t="inlineStr">
        <is>
          <t>LIASSE FISCALE OHADA - SYSCOHADA RÉVISÉ</t>
        </is>
      </c>
    </row>
    <row r="3"/>
    <row r="4">
      <c r="B4" s="2758" t="inlineStr">
        <is>
          <t>Système normal - États financiers annuels et notes annexes</t>
        </is>
      </c>
    </row>
    <row r="5"/>
    <row r="6">
      <c r="B6" s="2759" t="inlineStr">
        <is>
          <t>Désignation de l'entité</t>
        </is>
      </c>
      <c r="D6" t="inlineStr">
        <is>
          <t>ENTREPRISE TEST SARL</t>
        </is>
      </c>
    </row>
    <row r="7">
      <c r="B7" s="2759" t="inlineStr">
        <is>
          <t>Numéro d'identification</t>
        </is>
      </c>
      <c r="D7" t="inlineStr">
        <is>
          <t>CD/KNG/RCCM/23-B-01234</t>
        </is>
      </c>
    </row>
    <row r="8">
      <c r="B8" s="2759" t="inlineStr">
        <is>
          <t>Exercice clos le</t>
        </is>
      </c>
      <c r="D8" t="inlineStr">
        <is>
          <t>31/12/2025</t>
        </is>
      </c>
    </row>
    <row r="9">
      <c r="B9" s="2759" t="inlineStr">
        <is>
          <t>Durée de l'exercice (mois)</t>
        </is>
      </c>
      <c r="D9" t="inlineStr">
        <is>
          <t>12</t>
        </is>
      </c>
    </row>
    <row r="10">
      <c r="B10" s="2759" t="inlineStr">
        <is>
          <t>Balance N-1 fournie</t>
        </is>
      </c>
      <c r="D10" t="inlineStr">
        <is>
          <t>Oui</t>
        </is>
      </c>
    </row>
    <row r="11">
      <c r="B11" s="2759" t="inlineStr">
        <is>
          <t>Colonnes de mouvement fournies</t>
        </is>
      </c>
      <c r="D11" t="inlineStr">
        <is>
          <t>Non</t>
        </is>
      </c>
    </row>
    <row r="12"/>
    <row r="13">
      <c r="B13" s="2760" t="inlineStr">
        <is>
          <t>Composition de la liasse</t>
        </is>
      </c>
    </row>
    <row r="14">
      <c r="B14" t="inlineStr">
        <is>
          <t>• Fiches R1 à R4 - identification (à compléter)</t>
        </is>
      </c>
    </row>
    <row r="15">
      <c r="B15" t="inlineStr">
        <is>
          <t>• Bilan - Actif (feuille ACTIF) et Passif (feuille PASSIF)</t>
        </is>
      </c>
    </row>
    <row r="16">
      <c r="B16" t="inlineStr">
        <is>
          <t>• Compte de résultat</t>
        </is>
      </c>
    </row>
    <row r="17">
      <c r="B17" t="inlineStr">
        <is>
          <t>• Tableau des flux de trésorerie (TFT)</t>
        </is>
      </c>
    </row>
    <row r="18">
      <c r="B18" t="inlineStr">
        <is>
          <t>• Notes annexes 1 à 36 (une note par feuille)</t>
        </is>
      </c>
    </row>
    <row r="19">
      <c r="B19" t="inlineStr">
        <is>
          <t>• Feuilles d'audit : BALANCE, BALANCE_N1, CONTROLES, ANOMALIES</t>
        </is>
      </c>
    </row>
    <row r="20"/>
    <row r="21">
      <c r="B21" s="2761" t="inlineStr">
        <is>
          <t>Chaque poste et chaque ligne de note calculée porte une formule Excel pointant vers la feuille BALANCE : tout chiffre est retraçable jusqu'au compte qui l'alimente.</t>
        </is>
      </c>
    </row>
    <row r="22"/>
    <row r="23"/>
  </sheetData>
  <mergeCells count="3">
    <mergeCell ref="B4:F4"/>
    <mergeCell ref="B2:F3"/>
    <mergeCell ref="B21:F23"/>
  </mergeCells>
  <pageMargins left="0.75" right="0.75" top="1" bottom="1" header="0.5" footer="0.5"/>
</worksheet>
</file>

<file path=xl/worksheets/sheet2.xml><?xml version="1.0" encoding="utf-8"?>
<worksheet xmlns="http://schemas.openxmlformats.org/spreadsheetml/2006/main">
  <sheetPr filterMode="0">
    <outlinePr summaryBelow="1" summaryRight="1"/>
    <pageSetUpPr fitToPage="0"/>
  </sheetPr>
  <dimension ref="A1:AR6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0.8125" defaultRowHeight="14" zeroHeight="0" outlineLevelRow="0"/>
  <cols>
    <col width="1.99" customWidth="1" style="1353" min="1" max="1"/>
    <col width="5.72" customWidth="1" style="1353" min="2" max="2"/>
    <col width="0.99" customWidth="1" style="1353" min="3" max="6"/>
    <col width="4.26" customWidth="1" style="1353" min="7" max="8"/>
    <col width="2.72" customWidth="1" style="1353" min="9" max="16"/>
    <col width="1.44" customWidth="1" style="1353" min="17" max="17"/>
    <col width="2.72" customWidth="1" style="1353" min="18" max="20"/>
    <col width="1.44" customWidth="1" style="1353" min="21" max="21"/>
    <col width="1.81" customWidth="1" style="1353" min="22" max="22"/>
    <col width="2.81" customWidth="1" style="1353" min="23" max="23"/>
    <col width="2.72" customWidth="1" style="1353" min="24" max="25"/>
    <col width="2.81" customWidth="1" style="1353" min="26" max="26"/>
    <col width="3.17" customWidth="1" style="1353" min="27" max="28"/>
    <col width="2.26" customWidth="1" style="1353" min="29" max="29"/>
    <col width="2.72" customWidth="1" style="1353" min="30" max="30"/>
    <col width="1.26" customWidth="1" style="1353" min="31" max="31"/>
    <col width="1.17" customWidth="1" style="1353" min="32" max="32"/>
    <col width="2.72" customWidth="1" style="1353" min="33" max="33"/>
    <col width="1.26" customWidth="1" style="1353" min="34" max="35"/>
    <col width="3.44" customWidth="1" style="1353" min="36" max="38"/>
    <col width="2.72" customWidth="1" style="1353" min="39" max="39"/>
    <col width="6.72" customWidth="1" style="1353" min="40" max="40"/>
    <col width="4.26" customWidth="1" style="1353" min="41" max="41"/>
    <col width="3.72" customWidth="1" style="1353" min="42" max="42"/>
    <col width="5.44" customWidth="1" style="1353" min="43" max="43"/>
    <col width="2.72" customWidth="1" style="1353" min="44" max="44"/>
    <col width="4.44" customWidth="1" style="1353" min="45" max="45"/>
    <col width="2.72" customWidth="1" style="1353" min="46" max="61"/>
    <col width="10.81" customWidth="1" style="1353" min="62" max="257"/>
  </cols>
  <sheetData>
    <row r="1"/>
    <row r="2"/>
    <row r="3"/>
    <row r="4" ht="14.5" customHeight="1" s="1354"/>
    <row r="5" ht="14.25" customFormat="1" customHeight="1" s="1355">
      <c r="B5" s="1356" t="inlineStr">
        <is>
          <t>Dénomination sociale de l'entité:</t>
        </is>
      </c>
      <c r="C5" s="1357" t="n"/>
      <c r="D5" s="1357" t="n"/>
      <c r="E5" s="1357" t="n"/>
      <c r="F5" s="1357" t="n"/>
      <c r="G5" s="1357" t="n"/>
      <c r="H5" s="1357" t="n"/>
      <c r="I5" s="1358" t="n"/>
      <c r="J5" s="1358" t="n"/>
      <c r="K5" s="1358" t="n"/>
      <c r="L5" s="1358" t="n"/>
      <c r="M5" s="1359" t="n"/>
      <c r="N5" s="1360" t="n"/>
      <c r="O5" s="1360" t="n"/>
      <c r="P5" s="1360" t="n"/>
      <c r="Q5" s="1360" t="n"/>
      <c r="R5" s="1360" t="n"/>
      <c r="S5" s="1360" t="n"/>
      <c r="T5" s="1360" t="n"/>
      <c r="U5" s="1360" t="n"/>
      <c r="V5" s="1360" t="n"/>
      <c r="W5" s="1360" t="n"/>
      <c r="X5" s="1360" t="n"/>
      <c r="Y5" s="1360" t="n"/>
      <c r="Z5" s="1360" t="n"/>
      <c r="AA5" s="1360" t="n"/>
      <c r="AB5" s="1360" t="n"/>
      <c r="AC5" s="1360" t="n"/>
      <c r="AD5" s="1360" t="n"/>
      <c r="AE5" s="1360" t="n"/>
      <c r="AF5" s="1360" t="n"/>
      <c r="AG5" s="1360" t="n"/>
      <c r="AH5" s="1360" t="n"/>
      <c r="AI5" s="1360" t="n"/>
      <c r="AJ5" s="1360" t="n"/>
      <c r="AK5" s="1360" t="n"/>
      <c r="AL5" s="1360" t="n"/>
      <c r="AM5" s="1360" t="n"/>
      <c r="AN5" s="1360" t="n"/>
      <c r="AO5" s="1360" t="n"/>
      <c r="AP5" s="1360" t="n"/>
      <c r="AQ5" s="1360" t="n"/>
      <c r="AR5" s="1361" t="n"/>
    </row>
    <row r="6" ht="14" customFormat="1" customHeight="1" s="1355">
      <c r="B6" s="1362" t="n"/>
      <c r="C6" s="1363" t="n"/>
      <c r="D6" s="1363" t="n"/>
      <c r="E6" s="1363" t="n"/>
      <c r="F6" s="1363" t="n"/>
      <c r="G6" s="1363" t="n"/>
      <c r="H6" s="1363" t="n"/>
      <c r="I6" s="1363" t="n"/>
      <c r="J6" s="1363" t="n"/>
      <c r="K6" s="1363" t="n"/>
      <c r="L6" s="1363" t="n"/>
      <c r="M6" s="1363" t="n"/>
      <c r="N6" s="1363" t="n"/>
      <c r="O6" s="1363" t="n"/>
      <c r="P6" s="1363" t="n"/>
      <c r="Q6" s="1363" t="n"/>
      <c r="R6" s="1363" t="n"/>
      <c r="S6" s="1363" t="n"/>
      <c r="T6" s="1363" t="n"/>
      <c r="U6" s="1363" t="n"/>
      <c r="V6" s="1363" t="n"/>
      <c r="W6" s="1363" t="n"/>
      <c r="X6" s="1363" t="n"/>
      <c r="Y6" s="1363" t="n"/>
      <c r="Z6" s="1363" t="n"/>
      <c r="AA6" s="1363" t="n"/>
      <c r="AB6" s="1363" t="n"/>
      <c r="AC6" s="1364" t="inlineStr">
        <is>
          <t>Sigle usuel :</t>
        </is>
      </c>
      <c r="AD6" s="1363" t="n"/>
      <c r="AE6" s="1363" t="n"/>
      <c r="AF6" s="1363" t="n"/>
      <c r="AG6" s="1363" t="n"/>
      <c r="AH6" s="1365" t="n"/>
      <c r="AI6" s="1366" t="n"/>
      <c r="AJ6" s="1363" t="n"/>
      <c r="AK6" s="1363" t="n"/>
      <c r="AL6" s="1363" t="n"/>
      <c r="AM6" s="1363" t="n"/>
      <c r="AN6" s="1363" t="n"/>
      <c r="AO6" s="1363" t="n"/>
      <c r="AP6" s="1363" t="n"/>
      <c r="AQ6" s="1363" t="n"/>
      <c r="AR6" s="1367" t="n"/>
    </row>
    <row r="7" ht="14.25" customFormat="1" customHeight="1" s="1355">
      <c r="B7" s="1368" t="inlineStr">
        <is>
          <t>Adresse :</t>
        </is>
      </c>
      <c r="C7" s="1363" t="n"/>
      <c r="D7" s="1363" t="n"/>
      <c r="E7" s="1363" t="n"/>
      <c r="F7" s="1363" t="n"/>
      <c r="G7" s="1363" t="n"/>
      <c r="H7" s="1369" t="n"/>
      <c r="I7" s="1363" t="n"/>
      <c r="J7" s="1363" t="n"/>
      <c r="K7" s="1363" t="n"/>
      <c r="L7" s="1363" t="n"/>
      <c r="M7" s="1363" t="n"/>
      <c r="N7" s="1363" t="n"/>
      <c r="O7" s="1363" t="n"/>
      <c r="P7" s="1363" t="n"/>
      <c r="Q7" s="1363" t="n"/>
      <c r="R7" s="1363" t="n"/>
      <c r="S7" s="1363" t="n"/>
      <c r="T7" s="1363" t="n"/>
      <c r="U7" s="1370" t="n"/>
      <c r="V7" s="1370" t="n"/>
      <c r="W7" s="1370" t="n"/>
      <c r="X7" s="1370" t="n"/>
      <c r="Y7" s="1370" t="n"/>
      <c r="Z7" s="1370" t="n"/>
      <c r="AA7" s="1370" t="n"/>
      <c r="AB7" s="1370" t="n"/>
      <c r="AC7" s="1370" t="n"/>
      <c r="AD7" s="1370" t="n"/>
      <c r="AE7" s="1370" t="n"/>
      <c r="AF7" s="1370" t="n"/>
      <c r="AG7" s="1370" t="n"/>
      <c r="AH7" s="1370" t="n"/>
      <c r="AI7" s="1370" t="n"/>
      <c r="AJ7" s="1370" t="n"/>
      <c r="AK7" s="1370" t="n"/>
      <c r="AL7" s="1370" t="n"/>
      <c r="AM7" s="1370" t="n"/>
      <c r="AN7" s="1370" t="n"/>
      <c r="AO7" s="1370" t="n"/>
      <c r="AP7" s="1370" t="n"/>
      <c r="AQ7" s="1370" t="n"/>
      <c r="AR7" s="1371" t="n"/>
    </row>
    <row r="8" ht="14.25" customFormat="1" customHeight="1" s="1355">
      <c r="B8" s="1368" t="inlineStr">
        <is>
          <t>N° d'identification fiscale :</t>
        </is>
      </c>
      <c r="C8" s="1372" t="n"/>
      <c r="D8" s="1372" t="n"/>
      <c r="E8" s="1372" t="n"/>
      <c r="F8" s="1372" t="n"/>
      <c r="K8" s="1373" t="n"/>
      <c r="L8" s="1363" t="n"/>
      <c r="M8" s="1363" t="n"/>
      <c r="N8" s="1363" t="n"/>
      <c r="O8" s="1363" t="n"/>
      <c r="P8" s="1363" t="n"/>
      <c r="Q8" s="1363" t="n"/>
      <c r="R8" s="1363" t="n"/>
      <c r="S8" s="1363" t="n"/>
      <c r="T8" s="1363" t="n"/>
      <c r="U8" s="1374" t="n"/>
      <c r="V8" s="1374" t="n"/>
      <c r="W8" s="1364" t="inlineStr">
        <is>
          <t>Exercice clos le : 31/12/2025</t>
        </is>
      </c>
      <c r="X8" s="1363" t="n"/>
      <c r="Y8" s="1363" t="n"/>
      <c r="Z8" s="1363" t="n"/>
      <c r="AA8" s="1363" t="n"/>
      <c r="AB8" s="1363" t="n"/>
      <c r="AC8" s="1375" t="n"/>
      <c r="AD8" s="1363" t="n"/>
      <c r="AE8" s="1363" t="n"/>
      <c r="AF8" s="1363" t="n"/>
      <c r="AG8" s="1363" t="n"/>
      <c r="AH8" s="1363" t="n"/>
      <c r="AI8" s="1363" t="n"/>
      <c r="AJ8" s="1363" t="n"/>
      <c r="AK8" s="1363" t="n"/>
      <c r="AN8" s="1372" t="inlineStr">
        <is>
          <t>Durée (en mois) : 12</t>
        </is>
      </c>
      <c r="AO8" s="1372" t="n"/>
      <c r="AP8" s="1376" t="n"/>
      <c r="AQ8" s="1377" t="n"/>
      <c r="AR8" s="1378" t="n"/>
    </row>
    <row r="9" ht="14.25" customFormat="1" customHeight="1" s="1355">
      <c r="B9" s="1368" t="n"/>
      <c r="C9" s="1372" t="n"/>
      <c r="D9" s="1372" t="n"/>
      <c r="E9" s="1372" t="n"/>
      <c r="F9" s="1372" t="n"/>
      <c r="M9" s="1379" t="n"/>
      <c r="N9" s="1380" t="n"/>
      <c r="O9" s="1380" t="n"/>
      <c r="P9" s="1380" t="n"/>
      <c r="Q9" s="1380" t="n"/>
      <c r="R9" s="1380" t="n"/>
      <c r="S9" s="1380" t="n"/>
      <c r="T9" s="1380" t="n"/>
      <c r="U9" s="1380" t="n"/>
      <c r="V9" s="1380" t="n"/>
      <c r="W9" s="1364" t="n"/>
      <c r="X9" s="1364" t="n"/>
      <c r="Y9" s="1364" t="n"/>
      <c r="Z9" s="1364" t="n"/>
      <c r="AA9" s="1364" t="n"/>
      <c r="AB9" s="1364" t="n"/>
      <c r="AC9" s="1381" t="n"/>
      <c r="AD9" s="1381" t="n"/>
      <c r="AE9" s="1381" t="n"/>
      <c r="AF9" s="1381" t="n"/>
      <c r="AG9" s="1381" t="n"/>
      <c r="AH9" s="1364" t="n"/>
      <c r="AI9" s="1364" t="n"/>
      <c r="AJ9" s="1364" t="n"/>
      <c r="AK9" s="1364" t="n"/>
      <c r="AL9" s="1364" t="n"/>
      <c r="AM9" s="1364" t="n"/>
      <c r="AN9" s="1364" t="n"/>
      <c r="AO9" s="1364" t="n"/>
      <c r="AP9" s="1376" t="n"/>
      <c r="AQ9" s="1376" t="n"/>
      <c r="AR9" s="1378" t="n"/>
    </row>
    <row r="10" ht="14.25" customFormat="1" customHeight="1" s="1355">
      <c r="B10" s="1382" t="inlineStr">
        <is>
          <t>ZA</t>
        </is>
      </c>
      <c r="C10" s="1353" t="n"/>
      <c r="D10" s="1353" t="n"/>
      <c r="E10" s="1353" t="n"/>
      <c r="F10" s="1353" t="n"/>
      <c r="G10" s="1383" t="inlineStr">
        <is>
          <t>EXERCICE COMPTABLE:</t>
        </is>
      </c>
      <c r="H10" s="1383" t="n"/>
      <c r="I10" s="1353" t="n"/>
      <c r="J10" s="1353" t="n"/>
      <c r="K10" s="1353" t="n"/>
      <c r="L10" s="1353" t="n"/>
      <c r="M10" s="1353" t="n"/>
      <c r="N10" s="1353" t="n"/>
      <c r="O10" s="1353" t="n"/>
      <c r="P10" s="1353" t="n"/>
      <c r="Q10" s="1353" t="n"/>
      <c r="R10" s="1353" t="n"/>
      <c r="S10" s="1353" t="n"/>
      <c r="T10" s="1384" t="n"/>
      <c r="U10" s="1384" t="n"/>
      <c r="V10" s="1384" t="n"/>
      <c r="W10" s="1364" t="n"/>
      <c r="X10" s="1364" t="n"/>
      <c r="Y10" s="1364" t="n"/>
      <c r="Z10" s="1364" t="inlineStr">
        <is>
          <t>DU:</t>
        </is>
      </c>
      <c r="AA10" s="1364" t="n"/>
      <c r="AB10" s="1385" t="n"/>
      <c r="AC10" s="1386" t="n"/>
      <c r="AD10" s="1386" t="n"/>
      <c r="AE10" s="1386" t="n"/>
      <c r="AF10" s="1386" t="n"/>
      <c r="AG10" s="1386" t="n"/>
      <c r="AH10" s="1364" t="n"/>
      <c r="AJ10" s="1364" t="inlineStr">
        <is>
          <t>AU</t>
        </is>
      </c>
      <c r="AK10" s="1364" t="n"/>
      <c r="AL10" s="1364" t="n"/>
      <c r="AN10" s="1387" t="n"/>
      <c r="AO10" s="1386" t="n"/>
      <c r="AP10" s="1386" t="n"/>
      <c r="AQ10" s="1386" t="n"/>
      <c r="AR10" s="1378" t="n"/>
    </row>
    <row r="11" ht="14.25" customFormat="1" customHeight="1" s="1355">
      <c r="B11" s="1388" t="n"/>
      <c r="C11" s="1353" t="n"/>
      <c r="D11" s="1353" t="n"/>
      <c r="E11" s="1353" t="n"/>
      <c r="F11" s="1353" t="n"/>
      <c r="G11" s="1383" t="n"/>
      <c r="H11" s="1383" t="n"/>
      <c r="I11" s="1353" t="n"/>
      <c r="J11" s="1353" t="n"/>
      <c r="K11" s="1353" t="n"/>
      <c r="L11" s="1353" t="n"/>
      <c r="M11" s="1353" t="n"/>
      <c r="N11" s="1353" t="n"/>
      <c r="O11" s="1353" t="n"/>
      <c r="P11" s="1353" t="n"/>
      <c r="Q11" s="1353" t="n"/>
      <c r="R11" s="1353" t="n"/>
      <c r="S11" s="1353" t="n"/>
      <c r="T11" s="1384" t="n"/>
      <c r="U11" s="1384" t="n"/>
      <c r="V11" s="1384" t="n"/>
      <c r="W11" s="1364" t="n"/>
      <c r="X11" s="1364" t="n"/>
      <c r="Y11" s="1364" t="n"/>
      <c r="Z11" s="1364" t="n"/>
      <c r="AA11" s="1364" t="n"/>
      <c r="AB11" s="1364" t="n"/>
      <c r="AC11" s="1364" t="n"/>
      <c r="AD11" s="1364" t="n"/>
      <c r="AE11" s="1364" t="n"/>
      <c r="AF11" s="1364" t="n"/>
      <c r="AG11" s="1364" t="n"/>
      <c r="AH11" s="1364" t="n"/>
      <c r="AI11" s="1364" t="n"/>
      <c r="AJ11" s="1364" t="n"/>
      <c r="AK11" s="1364" t="n"/>
      <c r="AL11" s="1364" t="n"/>
      <c r="AM11" s="1364" t="n"/>
      <c r="AN11" s="1364" t="n"/>
      <c r="AO11" s="1364" t="n"/>
      <c r="AP11" s="1376" t="n"/>
      <c r="AQ11" s="1376" t="n"/>
      <c r="AR11" s="1378" t="n"/>
    </row>
    <row r="12" ht="14.25" customFormat="1" customHeight="1" s="1355">
      <c r="B12" s="1382" t="inlineStr">
        <is>
          <t>ZB</t>
        </is>
      </c>
      <c r="C12" s="1353" t="n"/>
      <c r="D12" s="1353" t="n"/>
      <c r="E12" s="1353" t="n"/>
      <c r="F12" s="1353" t="n"/>
      <c r="G12" s="1389" t="inlineStr">
        <is>
          <t>DATE D'ARRETE EFFECTIF DES COMPTES</t>
        </is>
      </c>
      <c r="H12" s="1383" t="n"/>
      <c r="I12" s="1353" t="n"/>
      <c r="J12" s="1353" t="n"/>
      <c r="K12" s="1353" t="n"/>
      <c r="L12" s="1353" t="n"/>
      <c r="M12" s="1353" t="n"/>
      <c r="N12" s="1353" t="n"/>
      <c r="O12" s="1353" t="n"/>
      <c r="P12" s="1353" t="n"/>
      <c r="Q12" s="1353" t="n"/>
      <c r="R12" s="1353" t="n"/>
      <c r="S12" s="1353" t="n"/>
      <c r="T12" s="1384" t="n"/>
      <c r="U12" s="1384" t="n"/>
      <c r="V12" s="1384" t="n"/>
      <c r="W12" s="1390" t="n"/>
      <c r="X12" s="1391" t="n"/>
      <c r="Y12" s="1391" t="n"/>
      <c r="Z12" s="1392" t="n"/>
      <c r="AA12" s="1384" t="n"/>
      <c r="AB12" s="1393" t="n"/>
      <c r="AC12" s="1383" t="n"/>
      <c r="AD12" s="1384" t="n"/>
      <c r="AE12" s="1384" t="n"/>
      <c r="AF12" s="1384" t="n"/>
      <c r="AG12" s="1384" t="n"/>
      <c r="AH12" s="1384" t="n"/>
      <c r="AI12" s="1384" t="n"/>
      <c r="AJ12" s="1384" t="n"/>
      <c r="AK12" s="1384" t="n"/>
      <c r="AL12" s="1384" t="n"/>
      <c r="AM12" s="1384" t="n"/>
      <c r="AN12" s="1384" t="n"/>
      <c r="AO12" s="1384" t="n"/>
      <c r="AP12" s="1384" t="n"/>
      <c r="AQ12" s="1394" t="n"/>
      <c r="AR12" s="1395" t="n"/>
    </row>
    <row r="13" ht="14.25" customFormat="1" customHeight="1" s="1355">
      <c r="B13" s="1396" t="n"/>
      <c r="C13" s="1353" t="n"/>
      <c r="D13" s="1353" t="n"/>
      <c r="E13" s="1353" t="n"/>
      <c r="F13" s="1353" t="n"/>
      <c r="G13" s="1353" t="n"/>
      <c r="H13" s="1353" t="n"/>
      <c r="I13" s="1353" t="n"/>
      <c r="J13" s="1353" t="n"/>
      <c r="K13" s="1353" t="n"/>
      <c r="L13" s="1353" t="n"/>
      <c r="M13" s="1353" t="n"/>
      <c r="N13" s="1353" t="n"/>
      <c r="O13" s="1353" t="n"/>
      <c r="P13" s="1353" t="n"/>
      <c r="Q13" s="1353" t="n"/>
      <c r="R13" s="1353" t="n"/>
      <c r="S13" s="1353" t="n"/>
      <c r="T13" s="1384" t="n"/>
      <c r="U13" s="1384" t="n"/>
      <c r="V13" s="1384" t="n"/>
      <c r="W13" s="1397" t="n"/>
      <c r="X13" s="1397" t="n"/>
      <c r="Y13" s="1398" t="n"/>
      <c r="Z13" s="1384" t="n"/>
      <c r="AA13" s="1384" t="n"/>
      <c r="AB13" s="1384" t="n"/>
      <c r="AC13" s="1384" t="n"/>
      <c r="AD13" s="1384" t="n"/>
      <c r="AE13" s="1384" t="n"/>
      <c r="AF13" s="1384" t="n"/>
      <c r="AG13" s="1384" t="n"/>
      <c r="AH13" s="1384" t="n"/>
      <c r="AI13" s="1384" t="n"/>
      <c r="AJ13" s="1384" t="n"/>
      <c r="AK13" s="1384" t="n"/>
      <c r="AL13" s="1384" t="n"/>
      <c r="AM13" s="1384" t="n"/>
      <c r="AN13" s="1384" t="n"/>
      <c r="AO13" s="1384" t="n"/>
      <c r="AP13" s="1384" t="n"/>
      <c r="AQ13" s="1384" t="n"/>
      <c r="AR13" s="1395" t="n"/>
    </row>
    <row r="14" ht="14.25" customFormat="1" customHeight="1" s="1355">
      <c r="B14" s="1382" t="inlineStr">
        <is>
          <t>ZC</t>
        </is>
      </c>
      <c r="C14" s="1353" t="n"/>
      <c r="D14" s="1353" t="n"/>
      <c r="E14" s="1353" t="n"/>
      <c r="F14" s="1353" t="n"/>
      <c r="G14" s="1389" t="inlineStr">
        <is>
          <t>EXERCICE PRECEDENT CLOS LE:</t>
        </is>
      </c>
      <c r="H14" s="1383" t="n"/>
      <c r="I14" s="1353" t="n"/>
      <c r="J14" s="1353" t="n"/>
      <c r="K14" s="1353" t="n"/>
      <c r="L14" s="1353" t="n"/>
      <c r="M14" s="1353" t="n"/>
      <c r="N14" s="1353" t="n"/>
      <c r="O14" s="1353" t="n"/>
      <c r="P14" s="1353" t="n"/>
      <c r="Q14" s="1353" t="n"/>
      <c r="R14" s="1353" t="n"/>
      <c r="S14" s="1353" t="n"/>
      <c r="T14" s="1384" t="n"/>
      <c r="U14" s="1384" t="n"/>
      <c r="V14" s="1384" t="n"/>
      <c r="W14" s="1390" t="n"/>
      <c r="X14" s="1391" t="n"/>
      <c r="Y14" s="1391" t="n"/>
      <c r="Z14" s="1392" t="n"/>
      <c r="AA14" s="1384" t="n"/>
      <c r="AB14" s="1389" t="inlineStr">
        <is>
          <t>DUREE EXERCICE PRECEDENT EN MOIS:</t>
        </is>
      </c>
      <c r="AC14" s="1383" t="n"/>
      <c r="AD14" s="1383" t="n"/>
      <c r="AE14" s="1384" t="n"/>
      <c r="AF14" s="1384" t="n"/>
      <c r="AG14" s="1384" t="n"/>
      <c r="AH14" s="1384" t="n"/>
      <c r="AI14" s="1384" t="n"/>
      <c r="AJ14" s="1384" t="n"/>
      <c r="AK14" s="1384" t="n"/>
      <c r="AL14" s="1384" t="n"/>
      <c r="AM14" s="1384" t="n"/>
      <c r="AN14" s="1384" t="n"/>
      <c r="AO14" s="1384" t="n"/>
      <c r="AP14" s="1384" t="n"/>
      <c r="AQ14" s="1399" t="n"/>
      <c r="AR14" s="1400" t="n"/>
    </row>
    <row r="15" ht="14.25" customFormat="1" customHeight="1" s="1355">
      <c r="B15" s="1396" t="n"/>
      <c r="C15" s="1353" t="n"/>
      <c r="D15" s="1353" t="n"/>
      <c r="E15" s="1353" t="n"/>
      <c r="F15" s="1353" t="n"/>
      <c r="G15" s="1353" t="n"/>
      <c r="H15" s="1353" t="n"/>
      <c r="I15" s="1353" t="n"/>
      <c r="J15" s="1353" t="n"/>
      <c r="K15" s="1353" t="n"/>
      <c r="L15" s="1353" t="n"/>
      <c r="M15" s="1353" t="n"/>
      <c r="N15" s="1353" t="n"/>
      <c r="O15" s="1353" t="n"/>
      <c r="P15" s="1353" t="n"/>
      <c r="Q15" s="1353" t="n"/>
      <c r="R15" s="1353" t="n"/>
      <c r="S15" s="1353" t="n"/>
      <c r="T15" s="1384" t="n"/>
      <c r="U15" s="1384" t="n"/>
      <c r="V15" s="1384" t="n"/>
      <c r="W15" s="1397" t="n"/>
      <c r="X15" s="1397" t="n"/>
      <c r="Y15" s="1398" t="n"/>
      <c r="Z15" s="1384" t="n"/>
      <c r="AA15" s="1384" t="n"/>
      <c r="AB15" s="1384" t="n"/>
      <c r="AC15" s="1384" t="n"/>
      <c r="AD15" s="1384" t="n"/>
      <c r="AE15" s="1384" t="n"/>
      <c r="AF15" s="1384" t="n"/>
      <c r="AG15" s="1384" t="n"/>
      <c r="AH15" s="1384" t="n"/>
      <c r="AI15" s="1384" t="n"/>
      <c r="AJ15" s="1384" t="n"/>
      <c r="AK15" s="1384" t="n"/>
      <c r="AL15" s="1384" t="n"/>
      <c r="AM15" s="1384" t="n"/>
      <c r="AN15" s="1384" t="n"/>
      <c r="AO15" s="1384" t="n"/>
      <c r="AP15" s="1384" t="n"/>
      <c r="AQ15" s="1401" t="n"/>
      <c r="AR15" s="1395" t="n"/>
    </row>
    <row r="16" ht="14.25" customFormat="1" customHeight="1" s="1355">
      <c r="B16" s="1382" t="inlineStr">
        <is>
          <t>ZD</t>
        </is>
      </c>
      <c r="C16" s="1353" t="n"/>
      <c r="D16" s="1353" t="n"/>
      <c r="E16" s="1402" t="n"/>
      <c r="F16" s="1403" t="n"/>
      <c r="G16" s="1403" t="n"/>
      <c r="H16" s="1403" t="n"/>
      <c r="I16" s="1404" t="n"/>
      <c r="J16" s="1405" t="n"/>
      <c r="K16" s="1403" t="n"/>
      <c r="L16" s="1403" t="n"/>
      <c r="M16" s="1403" t="n"/>
      <c r="N16" s="1403" t="n"/>
      <c r="O16" s="1403" t="n"/>
      <c r="P16" s="1404" t="n"/>
      <c r="Q16" s="1353" t="n"/>
      <c r="R16" s="1353" t="n"/>
      <c r="S16" s="1353" t="n"/>
      <c r="T16" s="1384" t="n"/>
      <c r="U16" s="1384" t="n"/>
      <c r="V16" s="1384" t="n"/>
      <c r="W16" s="1406" t="n"/>
      <c r="X16" s="1406" t="n"/>
      <c r="Y16" s="1407" t="n"/>
      <c r="Z16" s="1384" t="n"/>
      <c r="AA16" s="1384" t="n"/>
      <c r="AB16" s="1408" t="n"/>
      <c r="AC16" s="1403" t="n"/>
      <c r="AD16" s="1403" t="n"/>
      <c r="AE16" s="1403" t="n"/>
      <c r="AF16" s="1403" t="n"/>
      <c r="AG16" s="1403" t="n"/>
      <c r="AH16" s="1403" t="n"/>
      <c r="AI16" s="1403" t="n"/>
      <c r="AJ16" s="1403" t="n"/>
      <c r="AK16" s="1403" t="n"/>
      <c r="AL16" s="1403" t="n"/>
      <c r="AM16" s="1403" t="n"/>
      <c r="AN16" s="1404" t="n"/>
      <c r="AO16" s="1384" t="n"/>
      <c r="AP16" s="1384" t="n"/>
      <c r="AQ16" s="1394" t="n"/>
      <c r="AR16" s="1395" t="n"/>
    </row>
    <row r="17" ht="14.25" customFormat="1" customHeight="1" s="1355">
      <c r="B17" s="1396" t="n"/>
      <c r="C17" s="1353" t="n"/>
      <c r="D17" s="1353" t="n"/>
      <c r="E17" s="1353" t="n"/>
      <c r="F17" s="1353" t="n"/>
      <c r="G17" s="1389" t="inlineStr">
        <is>
          <t>Greffe</t>
        </is>
      </c>
      <c r="H17" s="1383" t="n"/>
      <c r="I17" s="1353" t="n"/>
      <c r="J17" s="1389" t="inlineStr">
        <is>
          <t>N° Registre du commerce</t>
        </is>
      </c>
      <c r="K17" s="1353" t="n"/>
      <c r="L17" s="1353" t="n"/>
      <c r="M17" s="1353" t="n"/>
      <c r="N17" s="1353" t="n"/>
      <c r="O17" s="1353" t="n"/>
      <c r="P17" s="1353" t="n"/>
      <c r="Q17" s="1353" t="n"/>
      <c r="R17" s="1353" t="n"/>
      <c r="S17" s="1353" t="n"/>
      <c r="T17" s="1384" t="n"/>
      <c r="U17" s="1384" t="n"/>
      <c r="V17" s="1384" t="n"/>
      <c r="W17" s="1397" t="n"/>
      <c r="X17" s="1397" t="n"/>
      <c r="Y17" s="1398" t="n"/>
      <c r="Z17" s="1384" t="n"/>
      <c r="AA17" s="1384" t="n"/>
      <c r="AB17" s="1384" t="n"/>
      <c r="AC17" s="1384" t="inlineStr">
        <is>
          <t>N° Répertoire des entités</t>
        </is>
      </c>
      <c r="AD17" s="1384" t="n"/>
      <c r="AE17" s="1384" t="n"/>
      <c r="AF17" s="1384" t="n"/>
      <c r="AG17" s="1384" t="n"/>
      <c r="AH17" s="1384" t="n"/>
      <c r="AI17" s="1384" t="n"/>
      <c r="AJ17" s="1384" t="n"/>
      <c r="AK17" s="1384" t="n"/>
      <c r="AL17" s="1384" t="n"/>
      <c r="AM17" s="1384" t="n"/>
      <c r="AN17" s="1384" t="n"/>
      <c r="AO17" s="1384" t="n"/>
      <c r="AP17" s="1384" t="n"/>
      <c r="AQ17" s="1401" t="n"/>
      <c r="AR17" s="1395" t="n"/>
    </row>
    <row r="18" ht="14.25" customFormat="1" customHeight="1" s="1355">
      <c r="B18" s="1396" t="n"/>
      <c r="C18" s="1353" t="n"/>
      <c r="D18" s="1353" t="n"/>
      <c r="E18" s="1353" t="n"/>
      <c r="F18" s="1353" t="n"/>
      <c r="G18" s="1353" t="n"/>
      <c r="H18" s="1353" t="n"/>
      <c r="I18" s="1353" t="n"/>
      <c r="J18" s="1353" t="n"/>
      <c r="K18" s="1353" t="n"/>
      <c r="L18" s="1353" t="n"/>
      <c r="M18" s="1353" t="n"/>
      <c r="N18" s="1353" t="n"/>
      <c r="O18" s="1353" t="n"/>
      <c r="P18" s="1353" t="n"/>
      <c r="Q18" s="1353" t="n"/>
      <c r="R18" s="1353" t="n"/>
      <c r="S18" s="1353" t="n"/>
      <c r="T18" s="1384" t="n"/>
      <c r="U18" s="1384" t="n"/>
      <c r="V18" s="1384" t="n"/>
      <c r="W18" s="1397" t="n"/>
      <c r="X18" s="1397" t="n"/>
      <c r="Y18" s="1398" t="n"/>
      <c r="Z18" s="1384" t="n"/>
      <c r="AA18" s="1384" t="n"/>
      <c r="AB18" s="1384" t="n"/>
      <c r="AC18" s="1384" t="n"/>
      <c r="AD18" s="1384" t="n"/>
      <c r="AE18" s="1384" t="n"/>
      <c r="AF18" s="1384" t="n"/>
      <c r="AG18" s="1384" t="n"/>
      <c r="AH18" s="1384" t="n"/>
      <c r="AI18" s="1384" t="n"/>
      <c r="AJ18" s="1384" t="n"/>
      <c r="AK18" s="1384" t="n"/>
      <c r="AL18" s="1384" t="n"/>
      <c r="AM18" s="1384" t="n"/>
      <c r="AN18" s="1384" t="n"/>
      <c r="AO18" s="1384" t="n"/>
      <c r="AP18" s="1384" t="n"/>
      <c r="AQ18" s="1401" t="n"/>
      <c r="AR18" s="1395" t="n"/>
    </row>
    <row r="19" ht="14.25" customFormat="1" customHeight="1" s="1355">
      <c r="B19" s="1382" t="inlineStr">
        <is>
          <t>ZE</t>
        </is>
      </c>
      <c r="C19" s="1353" t="n"/>
      <c r="D19" s="1353" t="n"/>
      <c r="E19" s="1353" t="n"/>
      <c r="F19" s="1353" t="n"/>
      <c r="G19" s="1409" t="n"/>
      <c r="H19" s="1403" t="n"/>
      <c r="I19" s="1403" t="n"/>
      <c r="J19" s="1403" t="n"/>
      <c r="K19" s="1404" t="n"/>
      <c r="L19" s="1364" t="n"/>
      <c r="M19" s="1364" t="n"/>
      <c r="N19" s="1364" t="n"/>
      <c r="O19" s="1364" t="n"/>
      <c r="P19" s="1402" t="n"/>
      <c r="Q19" s="1403" t="n"/>
      <c r="R19" s="1403" t="n"/>
      <c r="S19" s="1403" t="n"/>
      <c r="T19" s="1403" t="n"/>
      <c r="U19" s="1403" t="n"/>
      <c r="V19" s="1404" t="n"/>
      <c r="W19" s="1406" t="n"/>
      <c r="X19" s="1406" t="n"/>
      <c r="Y19" s="1407" t="n"/>
      <c r="Z19" s="1384" t="n"/>
      <c r="AA19" s="1384" t="n"/>
      <c r="AB19" s="1410" t="n"/>
      <c r="AC19" s="1410" t="n"/>
      <c r="AD19" s="1410" t="n"/>
      <c r="AE19" s="1410" t="n"/>
      <c r="AF19" s="1410" t="n"/>
      <c r="AG19" s="1410" t="n"/>
      <c r="AH19" s="1410" t="n"/>
      <c r="AI19" s="1410" t="n"/>
      <c r="AJ19" s="1405" t="n"/>
      <c r="AK19" s="1403" t="n"/>
      <c r="AL19" s="1403" t="n"/>
      <c r="AM19" s="1403" t="n"/>
      <c r="AN19" s="1403" t="n"/>
      <c r="AO19" s="1403" t="n"/>
      <c r="AP19" s="1404" t="n"/>
      <c r="AQ19" s="1394" t="n"/>
      <c r="AR19" s="1395" t="n"/>
    </row>
    <row r="20" ht="14.25" customFormat="1" customHeight="1" s="1355">
      <c r="B20" s="1411" t="n"/>
      <c r="C20" s="1353" t="n"/>
      <c r="D20" s="1353" t="n"/>
      <c r="E20" s="1353" t="n"/>
      <c r="F20" s="1353" t="n"/>
      <c r="G20" s="1372" t="inlineStr">
        <is>
          <t>N° de caisse sociale</t>
        </is>
      </c>
      <c r="H20" s="1372" t="n"/>
      <c r="I20" s="1372" t="n"/>
      <c r="J20" s="1372" t="n"/>
      <c r="K20" s="1372" t="n"/>
      <c r="L20" s="1372" t="n"/>
      <c r="M20" s="1364" t="n"/>
      <c r="N20" s="1364" t="n"/>
      <c r="O20" s="1364" t="n"/>
      <c r="P20" s="1372" t="inlineStr">
        <is>
          <t>N° Code Importateur</t>
        </is>
      </c>
      <c r="Q20" s="1372" t="n"/>
      <c r="R20" s="1372" t="n"/>
      <c r="S20" s="1372" t="n"/>
      <c r="T20" s="1372" t="n"/>
      <c r="U20" s="1372" t="n"/>
      <c r="V20" s="1372" t="n"/>
      <c r="W20" s="1406" t="n"/>
      <c r="X20" s="1406" t="n"/>
      <c r="Y20" s="1398" t="n"/>
      <c r="Z20" s="1384" t="n"/>
      <c r="AA20" s="1384" t="n"/>
      <c r="AB20" s="1410" t="n"/>
      <c r="AC20" s="1410" t="n"/>
      <c r="AE20" s="1410" t="n"/>
      <c r="AF20" s="1410" t="n"/>
      <c r="AG20" s="1410" t="n"/>
      <c r="AH20" s="1410" t="n"/>
      <c r="AI20" s="1410" t="n"/>
      <c r="AJ20" s="1412" t="inlineStr">
        <is>
          <t>Code activité principale</t>
        </is>
      </c>
      <c r="AK20" s="1412" t="n"/>
      <c r="AL20" s="1412" t="n"/>
      <c r="AM20" s="1410" t="n"/>
      <c r="AN20" s="1410" t="n"/>
      <c r="AO20" s="1384" t="n"/>
      <c r="AP20" s="1384" t="n"/>
      <c r="AQ20" s="1394" t="n"/>
      <c r="AR20" s="1395" t="n"/>
    </row>
    <row r="21" ht="14.25" customFormat="1" customHeight="1" s="1355">
      <c r="B21" s="1388" t="n"/>
      <c r="C21" s="1353" t="n"/>
      <c r="D21" s="1353" t="n"/>
      <c r="E21" s="1353" t="n"/>
      <c r="F21" s="1353" t="n"/>
      <c r="G21" s="1383" t="n"/>
      <c r="H21" s="1383" t="n"/>
      <c r="I21" s="1410" t="n"/>
      <c r="J21" s="1410" t="n"/>
      <c r="K21" s="1410" t="n"/>
      <c r="L21" s="1410" t="n"/>
      <c r="M21" s="1410" t="n"/>
      <c r="N21" s="1410" t="n"/>
      <c r="O21" s="1410" t="n"/>
      <c r="P21" s="1353" t="n"/>
      <c r="Q21" s="1353" t="n"/>
      <c r="R21" s="1353" t="n"/>
      <c r="S21" s="1353" t="n"/>
      <c r="T21" s="1384" t="n"/>
      <c r="U21" s="1384" t="n"/>
      <c r="V21" s="1384" t="n"/>
      <c r="W21" s="1406" t="n"/>
      <c r="X21" s="1406" t="n"/>
      <c r="Y21" s="1398" t="n"/>
      <c r="Z21" s="1384" t="n"/>
      <c r="AA21" s="1384" t="n"/>
      <c r="AB21" s="1410" t="n"/>
      <c r="AC21" s="1410" t="n"/>
      <c r="AD21" s="1410" t="n"/>
      <c r="AE21" s="1410" t="n"/>
      <c r="AF21" s="1410" t="n"/>
      <c r="AG21" s="1410" t="n"/>
      <c r="AH21" s="1410" t="n"/>
      <c r="AI21" s="1410" t="n"/>
      <c r="AJ21" s="1410" t="n"/>
      <c r="AK21" s="1410" t="n"/>
      <c r="AL21" s="1410" t="n"/>
      <c r="AM21" s="1410" t="n"/>
      <c r="AN21" s="1410" t="n"/>
      <c r="AO21" s="1384" t="n"/>
      <c r="AP21" s="1384" t="n"/>
      <c r="AQ21" s="1394" t="n"/>
      <c r="AR21" s="1395" t="n"/>
    </row>
    <row r="22" ht="14.25" customFormat="1" customHeight="1" s="1355">
      <c r="B22" s="1413" t="inlineStr">
        <is>
          <t>ZF</t>
        </is>
      </c>
      <c r="C22" s="1353" t="n"/>
      <c r="D22" s="1353" t="n"/>
      <c r="E22" s="1353" t="n"/>
      <c r="F22" s="1353" t="n"/>
      <c r="G22" s="1414" t="n"/>
      <c r="H22" s="1403" t="n"/>
      <c r="I22" s="1403" t="n"/>
      <c r="J22" s="1403" t="n"/>
      <c r="K22" s="1403" t="n"/>
      <c r="L22" s="1403" t="n"/>
      <c r="M22" s="1403" t="n"/>
      <c r="N22" s="1403" t="n"/>
      <c r="O22" s="1403" t="n"/>
      <c r="P22" s="1403" t="n"/>
      <c r="Q22" s="1403" t="n"/>
      <c r="R22" s="1403" t="n"/>
      <c r="S22" s="1403" t="n"/>
      <c r="T22" s="1403" t="n"/>
      <c r="U22" s="1403" t="n"/>
      <c r="V22" s="1403" t="n"/>
      <c r="W22" s="1403" t="n"/>
      <c r="X22" s="1403" t="n"/>
      <c r="Y22" s="1403" t="n"/>
      <c r="Z22" s="1403" t="n"/>
      <c r="AA22" s="1403" t="n"/>
      <c r="AB22" s="1403" t="n"/>
      <c r="AC22" s="1403" t="n"/>
      <c r="AD22" s="1403" t="n"/>
      <c r="AE22" s="1403" t="n"/>
      <c r="AF22" s="1403" t="n"/>
      <c r="AG22" s="1403" t="n"/>
      <c r="AH22" s="1403" t="n"/>
      <c r="AI22" s="1403" t="n"/>
      <c r="AJ22" s="1403" t="n"/>
      <c r="AK22" s="1415" t="n"/>
      <c r="AL22" s="1416" t="n"/>
      <c r="AM22" s="1403" t="n"/>
      <c r="AN22" s="1403" t="n"/>
      <c r="AO22" s="1403" t="n"/>
      <c r="AP22" s="1403" t="n"/>
      <c r="AQ22" s="1403" t="n"/>
      <c r="AR22" s="1417" t="n"/>
    </row>
    <row r="23" ht="14.25" customFormat="1" customHeight="1" s="1355">
      <c r="B23" s="1396" t="n"/>
      <c r="C23" s="1353" t="n"/>
      <c r="D23" s="1353" t="n"/>
      <c r="E23" s="1353" t="n"/>
      <c r="F23" s="1353" t="n"/>
      <c r="G23" s="1353" t="n"/>
      <c r="H23" s="1353" t="n"/>
      <c r="I23" s="1353" t="n"/>
      <c r="J23" s="1353" t="n"/>
      <c r="K23" s="1353" t="n"/>
      <c r="L23" s="1353" t="n"/>
      <c r="M23" s="1353" t="n"/>
      <c r="N23" s="1353" t="n"/>
      <c r="O23" s="1353" t="n"/>
      <c r="P23" s="1353" t="n"/>
      <c r="Q23" s="1353" t="n"/>
      <c r="R23" s="1418" t="inlineStr">
        <is>
          <t>Désignation de l'entité</t>
        </is>
      </c>
      <c r="S23" s="1419" t="n"/>
      <c r="T23" s="1419" t="n"/>
      <c r="U23" s="1419" t="n"/>
      <c r="V23" s="1419" t="n"/>
      <c r="W23" s="1419" t="n"/>
      <c r="X23" s="1419" t="n"/>
      <c r="Y23" s="1419" t="n"/>
      <c r="Z23" s="1419" t="n"/>
      <c r="AA23" s="1384" t="n"/>
      <c r="AB23" s="1384" t="n"/>
      <c r="AC23" s="1384" t="n"/>
      <c r="AD23" s="1384" t="n"/>
      <c r="AE23" s="1384" t="n"/>
      <c r="AF23" s="1384" t="n"/>
      <c r="AG23" s="1384" t="n"/>
      <c r="AH23" s="1384" t="n"/>
      <c r="AI23" s="1384" t="n"/>
      <c r="AJ23" s="1384" t="n"/>
      <c r="AK23" s="1384" t="n"/>
      <c r="AL23" s="1384" t="n"/>
      <c r="AM23" s="1384" t="n"/>
      <c r="AN23" s="1420" t="inlineStr">
        <is>
          <t>Sigle</t>
        </is>
      </c>
      <c r="AO23" s="1419" t="n"/>
      <c r="AP23" s="1419" t="n"/>
      <c r="AQ23" s="1419" t="n"/>
      <c r="AR23" s="1395" t="n"/>
    </row>
    <row r="24" ht="14.25" customFormat="1" customHeight="1" s="1355">
      <c r="B24" s="1396" t="n"/>
      <c r="C24" s="1353" t="n"/>
      <c r="D24" s="1353" t="n"/>
      <c r="E24" s="1353" t="n"/>
      <c r="F24" s="1353" t="n"/>
      <c r="G24" s="1353" t="n"/>
      <c r="H24" s="1353" t="n"/>
      <c r="I24" s="1353" t="n"/>
      <c r="J24" s="1353" t="n"/>
      <c r="K24" s="1353" t="n"/>
      <c r="L24" s="1353" t="n"/>
      <c r="M24" s="1353" t="n"/>
      <c r="N24" s="1353" t="n"/>
      <c r="O24" s="1353" t="n"/>
      <c r="P24" s="1353" t="n"/>
      <c r="Q24" s="1353" t="n"/>
      <c r="R24" s="1353" t="n"/>
      <c r="S24" s="1353" t="n"/>
      <c r="T24" s="1384" t="n"/>
      <c r="U24" s="1384" t="n"/>
      <c r="V24" s="1384" t="n"/>
      <c r="W24" s="1397" t="n"/>
      <c r="X24" s="1397" t="n"/>
      <c r="Y24" s="1398" t="n"/>
      <c r="Z24" s="1384" t="n"/>
      <c r="AA24" s="1384" t="n"/>
      <c r="AB24" s="1384" t="n"/>
      <c r="AC24" s="1384" t="n"/>
      <c r="AD24" s="1384" t="n"/>
      <c r="AE24" s="1384" t="n"/>
      <c r="AF24" s="1384" t="n"/>
      <c r="AG24" s="1384" t="n"/>
      <c r="AH24" s="1384" t="n"/>
      <c r="AI24" s="1384" t="n"/>
      <c r="AJ24" s="1384" t="n"/>
      <c r="AK24" s="1384" t="n"/>
      <c r="AL24" s="1384" t="n"/>
      <c r="AM24" s="1384" t="n"/>
      <c r="AN24" s="1384" t="n"/>
      <c r="AO24" s="1384" t="n"/>
      <c r="AP24" s="1384" t="n"/>
      <c r="AQ24" s="1384" t="n"/>
      <c r="AR24" s="1395" t="n"/>
    </row>
    <row r="25" ht="14.25" customFormat="1" customHeight="1" s="1355">
      <c r="B25" s="1413" t="inlineStr">
        <is>
          <t>ZG</t>
        </is>
      </c>
      <c r="C25" s="1353" t="n"/>
      <c r="D25" s="1353" t="n"/>
      <c r="E25" s="1353" t="n"/>
      <c r="F25" s="1353" t="n"/>
      <c r="G25" s="1409" t="n"/>
      <c r="H25" s="1403" t="n"/>
      <c r="I25" s="1403" t="n"/>
      <c r="J25" s="1403" t="n"/>
      <c r="K25" s="1403" t="n"/>
      <c r="L25" s="1404" t="n"/>
      <c r="M25" s="1364" t="n"/>
      <c r="N25" s="1364" t="n"/>
      <c r="O25" s="1364" t="n"/>
      <c r="P25" s="1364" t="n"/>
      <c r="Q25" s="1402" t="n"/>
      <c r="R25" s="1403" t="n"/>
      <c r="S25" s="1403" t="n"/>
      <c r="T25" s="1404" t="n"/>
      <c r="U25" s="1364" t="n"/>
      <c r="V25" s="1364" t="n"/>
      <c r="W25" s="1402" t="n"/>
      <c r="X25" s="1403" t="n"/>
      <c r="Y25" s="1403" t="n"/>
      <c r="Z25" s="1404" t="n"/>
      <c r="AA25" s="1421" t="inlineStr">
        <is>
          <t>02</t>
        </is>
      </c>
      <c r="AB25" s="1403" t="n"/>
      <c r="AC25" s="1403" t="n"/>
      <c r="AD25" s="1403" t="n"/>
      <c r="AE25" s="1403" t="n"/>
      <c r="AF25" s="1404" t="n"/>
      <c r="AG25" s="1409" t="n"/>
      <c r="AH25" s="1403" t="n"/>
      <c r="AI25" s="1403" t="n"/>
      <c r="AJ25" s="1403" t="n"/>
      <c r="AK25" s="1403" t="n"/>
      <c r="AL25" s="1403" t="n"/>
      <c r="AM25" s="1404" t="n"/>
      <c r="AN25" s="1422" t="n"/>
      <c r="AO25" s="1403" t="n"/>
      <c r="AP25" s="1403" t="n"/>
      <c r="AQ25" s="1403" t="n"/>
      <c r="AR25" s="1417" t="n"/>
    </row>
    <row r="26" ht="14.25" customFormat="1" customHeight="1" s="1355">
      <c r="B26" s="1388" t="n"/>
      <c r="C26" s="1353" t="n"/>
      <c r="D26" s="1353" t="n"/>
      <c r="E26" s="1353" t="n"/>
      <c r="F26" s="1353" t="n"/>
      <c r="G26" s="1418" t="inlineStr">
        <is>
          <t>N° de téléphone</t>
        </is>
      </c>
      <c r="H26" s="1419" t="n"/>
      <c r="I26" s="1419" t="n"/>
      <c r="J26" s="1419" t="n"/>
      <c r="K26" s="1419" t="n"/>
      <c r="L26" s="1419" t="n"/>
      <c r="M26" s="1364" t="n"/>
      <c r="N26" s="1364" t="n"/>
      <c r="O26" s="1364" t="n"/>
      <c r="P26" s="1364" t="n"/>
      <c r="Q26" s="1423" t="inlineStr">
        <is>
          <t>email</t>
        </is>
      </c>
      <c r="R26" s="1419" t="n"/>
      <c r="S26" s="1419" t="n"/>
      <c r="T26" s="1419" t="n"/>
      <c r="U26" s="1384" t="n"/>
      <c r="V26" s="1364" t="n"/>
      <c r="W26" s="1364" t="n"/>
      <c r="X26" s="1364" t="n"/>
      <c r="Y26" s="1364" t="n"/>
      <c r="Z26" s="1364" t="n"/>
      <c r="AA26" s="1364" t="n"/>
      <c r="AB26" s="1418" t="inlineStr">
        <is>
          <t>Code</t>
        </is>
      </c>
      <c r="AC26" s="1419" t="n"/>
      <c r="AD26" s="1419" t="n"/>
      <c r="AE26" s="1418" t="inlineStr">
        <is>
          <t>Bote postale</t>
        </is>
      </c>
      <c r="AF26" s="1419" t="n"/>
      <c r="AG26" s="1419" t="n"/>
      <c r="AH26" s="1419" t="n"/>
      <c r="AI26" s="1419" t="n"/>
      <c r="AJ26" s="1419" t="n"/>
      <c r="AK26" s="1419" t="n"/>
      <c r="AL26" s="1364" t="n"/>
      <c r="AM26" s="1412" t="n"/>
      <c r="AN26" s="1424" t="inlineStr">
        <is>
          <t>Ville</t>
        </is>
      </c>
      <c r="AO26" s="1419" t="n"/>
      <c r="AP26" s="1419" t="n"/>
      <c r="AQ26" s="1419" t="n"/>
      <c r="AR26" s="1425" t="n"/>
    </row>
    <row r="27" ht="14.25" customFormat="1" customHeight="1" s="1355">
      <c r="B27" s="1388" t="n"/>
      <c r="C27" s="1353" t="n"/>
      <c r="D27" s="1353" t="n"/>
      <c r="E27" s="1353" t="n"/>
      <c r="F27" s="1353" t="n"/>
      <c r="G27" s="1364" t="n"/>
      <c r="H27" s="1364" t="n"/>
      <c r="I27" s="1364" t="n"/>
      <c r="J27" s="1364" t="n"/>
      <c r="K27" s="1364" t="n"/>
      <c r="L27" s="1364" t="n"/>
      <c r="M27" s="1364" t="n"/>
      <c r="N27" s="1364" t="n"/>
      <c r="O27" s="1364" t="n"/>
      <c r="P27" s="1364" t="n"/>
      <c r="Q27" s="1410" t="n"/>
      <c r="R27" s="1410" t="n"/>
      <c r="S27" s="1410" t="n"/>
      <c r="T27" s="1410" t="n"/>
      <c r="U27" s="1384" t="n"/>
      <c r="V27" s="1364" t="n"/>
      <c r="W27" s="1364" t="n"/>
      <c r="X27" s="1364" t="n"/>
      <c r="Y27" s="1364" t="n"/>
      <c r="Z27" s="1364" t="n"/>
      <c r="AA27" s="1364" t="n"/>
      <c r="AB27" s="1364" t="n"/>
      <c r="AC27" s="1364" t="n"/>
      <c r="AD27" s="1364" t="n"/>
      <c r="AE27" s="1364" t="n"/>
      <c r="AF27" s="1364" t="n"/>
      <c r="AG27" s="1364" t="n"/>
      <c r="AH27" s="1364" t="n"/>
      <c r="AI27" s="1364" t="n"/>
      <c r="AJ27" s="1364" t="n"/>
      <c r="AK27" s="1364" t="n"/>
      <c r="AL27" s="1364" t="n"/>
      <c r="AM27" s="1412" t="n"/>
      <c r="AN27" s="1412" t="n"/>
      <c r="AO27" s="1384" t="n"/>
      <c r="AP27" s="1384" t="n"/>
      <c r="AQ27" s="1394" t="n"/>
      <c r="AR27" s="1395" t="n"/>
    </row>
    <row r="28" ht="14.25" customFormat="1" customHeight="1" s="1355">
      <c r="B28" s="1382" t="inlineStr">
        <is>
          <t>ZH</t>
        </is>
      </c>
      <c r="C28" s="1353" t="n"/>
      <c r="D28" s="1353" t="n"/>
      <c r="E28" s="1353" t="n"/>
      <c r="F28" s="1353" t="n"/>
      <c r="G28" s="1426" t="n"/>
      <c r="H28" s="1403" t="n"/>
      <c r="I28" s="1403" t="n"/>
      <c r="J28" s="1403" t="n"/>
      <c r="K28" s="1403" t="n"/>
      <c r="L28" s="1403" t="n"/>
      <c r="M28" s="1403" t="n"/>
      <c r="N28" s="1403" t="n"/>
      <c r="O28" s="1403" t="n"/>
      <c r="P28" s="1403" t="n"/>
      <c r="Q28" s="1403" t="n"/>
      <c r="R28" s="1403" t="n"/>
      <c r="S28" s="1403" t="n"/>
      <c r="T28" s="1403" t="n"/>
      <c r="U28" s="1403" t="n"/>
      <c r="V28" s="1403" t="n"/>
      <c r="W28" s="1403" t="n"/>
      <c r="X28" s="1403" t="n"/>
      <c r="Y28" s="1403" t="n"/>
      <c r="Z28" s="1403" t="n"/>
      <c r="AA28" s="1403" t="n"/>
      <c r="AB28" s="1403" t="n"/>
      <c r="AC28" s="1403" t="n"/>
      <c r="AD28" s="1403" t="n"/>
      <c r="AE28" s="1403" t="n"/>
      <c r="AF28" s="1403" t="n"/>
      <c r="AG28" s="1403" t="n"/>
      <c r="AH28" s="1403" t="n"/>
      <c r="AI28" s="1403" t="n"/>
      <c r="AJ28" s="1403" t="n"/>
      <c r="AK28" s="1403" t="n"/>
      <c r="AL28" s="1403" t="n"/>
      <c r="AM28" s="1403" t="n"/>
      <c r="AN28" s="1403" t="n"/>
      <c r="AO28" s="1403" t="n"/>
      <c r="AP28" s="1403" t="n"/>
      <c r="AQ28" s="1403" t="n"/>
      <c r="AR28" s="1417" t="n"/>
    </row>
    <row r="29" ht="14.25" customFormat="1" customHeight="1" s="1355">
      <c r="B29" s="1411" t="n"/>
      <c r="C29" s="1353" t="n"/>
      <c r="D29" s="1353" t="n"/>
      <c r="E29" s="1353" t="n"/>
      <c r="F29" s="1353" t="n"/>
      <c r="G29" s="1418" t="inlineStr">
        <is>
          <t>Adresse géographique complète (Immeuble, rue, quartier, ville, pays)</t>
        </is>
      </c>
      <c r="H29" s="1419" t="n"/>
      <c r="I29" s="1419" t="n"/>
      <c r="J29" s="1419" t="n"/>
      <c r="K29" s="1419" t="n"/>
      <c r="L29" s="1419" t="n"/>
      <c r="M29" s="1419" t="n"/>
      <c r="N29" s="1419" t="n"/>
      <c r="O29" s="1419" t="n"/>
      <c r="P29" s="1419" t="n"/>
      <c r="Q29" s="1419" t="n"/>
      <c r="R29" s="1419" t="n"/>
      <c r="S29" s="1419" t="n"/>
      <c r="T29" s="1419" t="n"/>
      <c r="U29" s="1419" t="n"/>
      <c r="V29" s="1419" t="n"/>
      <c r="W29" s="1419" t="n"/>
      <c r="X29" s="1419" t="n"/>
      <c r="Y29" s="1419" t="n"/>
      <c r="Z29" s="1419" t="n"/>
      <c r="AA29" s="1419" t="n"/>
      <c r="AB29" s="1419" t="n"/>
      <c r="AC29" s="1419" t="n"/>
      <c r="AD29" s="1419" t="n"/>
      <c r="AE29" s="1419" t="n"/>
      <c r="AF29" s="1419" t="n"/>
      <c r="AG29" s="1419" t="n"/>
      <c r="AH29" s="1419" t="n"/>
      <c r="AI29" s="1419" t="n"/>
      <c r="AJ29" s="1419" t="n"/>
      <c r="AK29" s="1419" t="n"/>
      <c r="AL29" s="1419" t="n"/>
      <c r="AM29" s="1419" t="n"/>
      <c r="AN29" s="1419" t="n"/>
      <c r="AO29" s="1419" t="n"/>
      <c r="AP29" s="1384" t="n"/>
      <c r="AQ29" s="1394" t="n"/>
      <c r="AR29" s="1395" t="n"/>
    </row>
    <row r="30" ht="14.25" customFormat="1" customHeight="1" s="1355">
      <c r="B30" s="1388" t="n"/>
      <c r="C30" s="1353" t="n"/>
      <c r="D30" s="1353" t="n"/>
      <c r="E30" s="1353" t="n"/>
      <c r="F30" s="1353" t="n"/>
      <c r="G30" s="1427" t="n"/>
      <c r="H30" s="1363" t="n"/>
      <c r="I30" s="1363" t="n"/>
      <c r="J30" s="1363" t="n"/>
      <c r="K30" s="1363" t="n"/>
      <c r="L30" s="1363" t="n"/>
      <c r="M30" s="1363" t="n"/>
      <c r="N30" s="1363" t="n"/>
      <c r="O30" s="1363" t="n"/>
      <c r="P30" s="1363" t="n"/>
      <c r="Q30" s="1363" t="n"/>
      <c r="R30" s="1363" t="n"/>
      <c r="S30" s="1363" t="n"/>
      <c r="T30" s="1363" t="n"/>
      <c r="U30" s="1363" t="n"/>
      <c r="V30" s="1363" t="n"/>
      <c r="W30" s="1363" t="n"/>
      <c r="X30" s="1363" t="n"/>
      <c r="Y30" s="1363" t="n"/>
      <c r="Z30" s="1363" t="n"/>
      <c r="AA30" s="1363" t="n"/>
      <c r="AB30" s="1363" t="n"/>
      <c r="AC30" s="1363" t="n"/>
      <c r="AD30" s="1363" t="n"/>
      <c r="AE30" s="1363" t="n"/>
      <c r="AF30" s="1363" t="n"/>
      <c r="AG30" s="1363" t="n"/>
      <c r="AH30" s="1363" t="n"/>
      <c r="AI30" s="1363" t="n"/>
      <c r="AJ30" s="1363" t="n"/>
      <c r="AK30" s="1363" t="n"/>
      <c r="AL30" s="1410" t="n"/>
      <c r="AM30" s="1410" t="n"/>
      <c r="AN30" s="1410" t="n"/>
      <c r="AO30" s="1384" t="n"/>
      <c r="AP30" s="1384" t="n"/>
      <c r="AQ30" s="1394" t="n"/>
      <c r="AR30" s="1395" t="n"/>
    </row>
    <row r="31" ht="14.25" customFormat="1" customHeight="1" s="1355">
      <c r="B31" s="1413" t="inlineStr">
        <is>
          <t>ZI</t>
        </is>
      </c>
      <c r="C31" s="1353" t="n"/>
      <c r="D31" s="1353" t="n"/>
      <c r="E31" s="1353" t="n"/>
      <c r="F31" s="1353" t="n"/>
      <c r="G31" s="1403" t="n"/>
      <c r="H31" s="1403" t="n"/>
      <c r="I31" s="1403" t="n"/>
      <c r="J31" s="1403" t="n"/>
      <c r="K31" s="1403" t="n"/>
      <c r="L31" s="1403" t="n"/>
      <c r="M31" s="1403" t="n"/>
      <c r="N31" s="1403" t="n"/>
      <c r="O31" s="1403" t="n"/>
      <c r="P31" s="1403" t="n"/>
      <c r="Q31" s="1403" t="n"/>
      <c r="R31" s="1403" t="n"/>
      <c r="S31" s="1403" t="n"/>
      <c r="T31" s="1403" t="n"/>
      <c r="U31" s="1403" t="n"/>
      <c r="V31" s="1403" t="n"/>
      <c r="W31" s="1403" t="n"/>
      <c r="X31" s="1403" t="n"/>
      <c r="Y31" s="1403" t="n"/>
      <c r="Z31" s="1403" t="n"/>
      <c r="AA31" s="1403" t="n"/>
      <c r="AB31" s="1403" t="n"/>
      <c r="AC31" s="1403" t="n"/>
      <c r="AD31" s="1403" t="n"/>
      <c r="AE31" s="1403" t="n"/>
      <c r="AF31" s="1403" t="n"/>
      <c r="AG31" s="1403" t="n"/>
      <c r="AH31" s="1403" t="n"/>
      <c r="AI31" s="1403" t="n"/>
      <c r="AJ31" s="1403" t="n"/>
      <c r="AK31" s="1403" t="n"/>
      <c r="AL31" s="1428" t="n"/>
      <c r="AM31" s="1429" t="n"/>
      <c r="AN31" s="1429" t="n"/>
      <c r="AO31" s="1429" t="n"/>
      <c r="AP31" s="1429" t="n"/>
      <c r="AQ31" s="1429" t="n"/>
      <c r="AR31" s="1430" t="n"/>
    </row>
    <row r="32" ht="14.25" customFormat="1" customHeight="1" s="1355">
      <c r="B32" s="1396" t="n"/>
      <c r="C32" s="1353" t="n"/>
      <c r="D32" s="1353" t="n"/>
      <c r="E32" s="1353" t="n"/>
      <c r="F32" s="1353" t="n"/>
      <c r="G32" s="1353" t="n"/>
      <c r="H32" s="1353" t="n"/>
      <c r="I32" s="1418" t="inlineStr">
        <is>
          <t>Désignation précise de l'activité principale exercée par l'entité</t>
        </is>
      </c>
      <c r="J32" s="1419" t="n"/>
      <c r="K32" s="1419" t="n"/>
      <c r="L32" s="1419" t="n"/>
      <c r="M32" s="1419" t="n"/>
      <c r="N32" s="1419" t="n"/>
      <c r="O32" s="1419" t="n"/>
      <c r="P32" s="1419" t="n"/>
      <c r="Q32" s="1419" t="n"/>
      <c r="R32" s="1419" t="n"/>
      <c r="S32" s="1419" t="n"/>
      <c r="T32" s="1419" t="n"/>
      <c r="U32" s="1419" t="n"/>
      <c r="V32" s="1419" t="n"/>
      <c r="W32" s="1419" t="n"/>
      <c r="X32" s="1419" t="n"/>
      <c r="Y32" s="1419" t="n"/>
      <c r="Z32" s="1419" t="n"/>
      <c r="AA32" s="1419" t="n"/>
      <c r="AB32" s="1419" t="n"/>
      <c r="AC32" s="1419" t="n"/>
      <c r="AD32" s="1419" t="n"/>
      <c r="AE32" s="1419" t="n"/>
      <c r="AF32" s="1419" t="n"/>
      <c r="AG32" s="1419" t="n"/>
      <c r="AH32" s="1419" t="n"/>
      <c r="AI32" s="1419" t="n"/>
      <c r="AJ32" s="1419" t="n"/>
      <c r="AK32" s="1384" t="n"/>
      <c r="AL32" s="1384" t="n"/>
      <c r="AM32" s="1384" t="n"/>
      <c r="AN32" s="1420" t="n"/>
      <c r="AO32" s="1419" t="n"/>
      <c r="AP32" s="1419" t="n"/>
      <c r="AQ32" s="1419" t="n"/>
      <c r="AR32" s="1395" t="n"/>
    </row>
    <row r="33" ht="14.25" customFormat="1" customHeight="1" s="1355">
      <c r="B33" s="1396" t="n"/>
      <c r="C33" s="1353" t="n"/>
      <c r="D33" s="1353" t="n"/>
      <c r="E33" s="1353" t="n"/>
      <c r="F33" s="1353" t="n"/>
      <c r="G33" s="1353" t="n"/>
      <c r="H33" s="1353" t="n"/>
      <c r="I33" s="1364" t="n"/>
      <c r="J33" s="1364" t="n"/>
      <c r="K33" s="1364" t="n"/>
      <c r="L33" s="1364" t="n"/>
      <c r="M33" s="1364" t="n"/>
      <c r="N33" s="1364" t="n"/>
      <c r="O33" s="1364" t="n"/>
      <c r="P33" s="1364" t="n"/>
      <c r="Q33" s="1364" t="n"/>
      <c r="R33" s="1364" t="n"/>
      <c r="S33" s="1364" t="n"/>
      <c r="T33" s="1364" t="n"/>
      <c r="U33" s="1364" t="n"/>
      <c r="V33" s="1364" t="n"/>
      <c r="W33" s="1364" t="n"/>
      <c r="X33" s="1364" t="n"/>
      <c r="Y33" s="1364" t="n"/>
      <c r="Z33" s="1364" t="n"/>
      <c r="AA33" s="1364" t="n"/>
      <c r="AB33" s="1364" t="n"/>
      <c r="AC33" s="1364" t="n"/>
      <c r="AD33" s="1364" t="n"/>
      <c r="AE33" s="1364" t="n"/>
      <c r="AF33" s="1364" t="n"/>
      <c r="AG33" s="1364" t="n"/>
      <c r="AH33" s="1364" t="n"/>
      <c r="AI33" s="1364" t="n"/>
      <c r="AJ33" s="1364" t="n"/>
      <c r="AK33" s="1384" t="n"/>
      <c r="AL33" s="1384" t="n"/>
      <c r="AM33" s="1384" t="n"/>
      <c r="AN33" s="1410" t="n"/>
      <c r="AO33" s="1410" t="n"/>
      <c r="AP33" s="1410" t="n"/>
      <c r="AQ33" s="1410" t="n"/>
      <c r="AR33" s="1395" t="n"/>
    </row>
    <row r="34" ht="14.25" customFormat="1" customHeight="1" s="1355">
      <c r="B34" s="1396" t="n"/>
      <c r="C34" s="1353" t="n"/>
      <c r="D34" s="1353" t="n"/>
      <c r="E34" s="1353" t="n"/>
      <c r="F34" s="1353" t="n"/>
      <c r="G34" s="1426" t="n"/>
      <c r="H34" s="1403" t="n"/>
      <c r="I34" s="1403" t="n"/>
      <c r="J34" s="1403" t="n"/>
      <c r="K34" s="1403" t="n"/>
      <c r="L34" s="1403" t="n"/>
      <c r="M34" s="1403" t="n"/>
      <c r="N34" s="1403" t="n"/>
      <c r="O34" s="1403" t="n"/>
      <c r="P34" s="1403" t="n"/>
      <c r="Q34" s="1403" t="n"/>
      <c r="R34" s="1403" t="n"/>
      <c r="S34" s="1403" t="n"/>
      <c r="T34" s="1403" t="n"/>
      <c r="U34" s="1403" t="n"/>
      <c r="V34" s="1403" t="n"/>
      <c r="W34" s="1403" t="n"/>
      <c r="X34" s="1403" t="n"/>
      <c r="Y34" s="1403" t="n"/>
      <c r="Z34" s="1403" t="n"/>
      <c r="AA34" s="1403" t="n"/>
      <c r="AB34" s="1403" t="n"/>
      <c r="AC34" s="1403" t="n"/>
      <c r="AD34" s="1403" t="n"/>
      <c r="AE34" s="1403" t="n"/>
      <c r="AF34" s="1403" t="n"/>
      <c r="AG34" s="1403" t="n"/>
      <c r="AH34" s="1403" t="n"/>
      <c r="AI34" s="1403" t="n"/>
      <c r="AJ34" s="1403" t="n"/>
      <c r="AK34" s="1403" t="n"/>
      <c r="AL34" s="1403" t="n"/>
      <c r="AM34" s="1403" t="n"/>
      <c r="AN34" s="1403" t="n"/>
      <c r="AO34" s="1403" t="n"/>
      <c r="AP34" s="1403" t="n"/>
      <c r="AQ34" s="1403" t="n"/>
      <c r="AR34" s="1417" t="n"/>
    </row>
    <row r="35" ht="14.25" customFormat="1" customHeight="1" s="1355">
      <c r="B35" s="1396" t="n"/>
      <c r="C35" s="1353" t="n"/>
      <c r="D35" s="1353" t="n"/>
      <c r="E35" s="1353" t="n"/>
      <c r="F35" s="1353" t="n"/>
      <c r="G35" s="1418" t="inlineStr">
        <is>
          <t xml:space="preserve">Nom, adresse et qualité de la personne à contacter en cas de demande d'informations complémentaires </t>
        </is>
      </c>
      <c r="H35" s="1419" t="n"/>
      <c r="I35" s="1419" t="n"/>
      <c r="J35" s="1419" t="n"/>
      <c r="K35" s="1419" t="n"/>
      <c r="L35" s="1419" t="n"/>
      <c r="M35" s="1419" t="n"/>
      <c r="N35" s="1419" t="n"/>
      <c r="O35" s="1419" t="n"/>
      <c r="P35" s="1419" t="n"/>
      <c r="Q35" s="1419" t="n"/>
      <c r="R35" s="1419" t="n"/>
      <c r="S35" s="1419" t="n"/>
      <c r="T35" s="1419" t="n"/>
      <c r="U35" s="1419" t="n"/>
      <c r="V35" s="1419" t="n"/>
      <c r="W35" s="1419" t="n"/>
      <c r="X35" s="1419" t="n"/>
      <c r="Y35" s="1419" t="n"/>
      <c r="Z35" s="1419" t="n"/>
      <c r="AA35" s="1419" t="n"/>
      <c r="AB35" s="1419" t="n"/>
      <c r="AC35" s="1419" t="n"/>
      <c r="AD35" s="1419" t="n"/>
      <c r="AE35" s="1419" t="n"/>
      <c r="AF35" s="1419" t="n"/>
      <c r="AG35" s="1419" t="n"/>
      <c r="AH35" s="1419" t="n"/>
      <c r="AI35" s="1419" t="n"/>
      <c r="AJ35" s="1419" t="n"/>
      <c r="AK35" s="1419" t="n"/>
      <c r="AL35" s="1419" t="n"/>
      <c r="AM35" s="1419" t="n"/>
      <c r="AN35" s="1419" t="n"/>
      <c r="AO35" s="1419" t="n"/>
      <c r="AP35" s="1410" t="n"/>
      <c r="AQ35" s="1410" t="n"/>
      <c r="AR35" s="1395" t="n"/>
    </row>
    <row r="36" ht="14.25" customFormat="1" customHeight="1" s="1355">
      <c r="B36" s="1396" t="n"/>
      <c r="C36" s="1353" t="n"/>
      <c r="D36" s="1353" t="n"/>
      <c r="E36" s="1353" t="n"/>
      <c r="F36" s="1353" t="n"/>
      <c r="G36" s="1353" t="n"/>
      <c r="H36" s="1353" t="n"/>
      <c r="I36" s="1364" t="n"/>
      <c r="J36" s="1364" t="n"/>
      <c r="K36" s="1364" t="n"/>
      <c r="L36" s="1364" t="n"/>
      <c r="M36" s="1364" t="n"/>
      <c r="N36" s="1364" t="n"/>
      <c r="O36" s="1364" t="n"/>
      <c r="P36" s="1364" t="n"/>
      <c r="Q36" s="1364" t="n"/>
      <c r="R36" s="1364" t="n"/>
      <c r="S36" s="1364" t="n"/>
      <c r="T36" s="1364" t="n"/>
      <c r="U36" s="1364" t="n"/>
      <c r="V36" s="1364" t="n"/>
      <c r="W36" s="1364" t="n"/>
      <c r="X36" s="1364" t="n"/>
      <c r="Y36" s="1364" t="n"/>
      <c r="Z36" s="1364" t="n"/>
      <c r="AA36" s="1364" t="n"/>
      <c r="AB36" s="1364" t="n"/>
      <c r="AC36" s="1364" t="n"/>
      <c r="AD36" s="1364" t="n"/>
      <c r="AE36" s="1364" t="n"/>
      <c r="AF36" s="1364" t="n"/>
      <c r="AG36" s="1364" t="n"/>
      <c r="AH36" s="1364" t="n"/>
      <c r="AI36" s="1364" t="n"/>
      <c r="AJ36" s="1364" t="n"/>
      <c r="AK36" s="1384" t="n"/>
      <c r="AL36" s="1384" t="n"/>
      <c r="AM36" s="1384" t="n"/>
      <c r="AN36" s="1410" t="n"/>
      <c r="AO36" s="1410" t="n"/>
      <c r="AP36" s="1410" t="n"/>
      <c r="AQ36" s="1410" t="n"/>
      <c r="AR36" s="1395" t="n"/>
    </row>
    <row r="37" ht="14.25" customFormat="1" customHeight="1" s="1355">
      <c r="B37" s="1396" t="n"/>
      <c r="C37" s="1353" t="n"/>
      <c r="D37" s="1353" t="n"/>
      <c r="E37" s="1353" t="n"/>
      <c r="F37" s="1353" t="n"/>
      <c r="G37" s="1426" t="n"/>
      <c r="H37" s="1403" t="n"/>
      <c r="I37" s="1403" t="n"/>
      <c r="J37" s="1403" t="n"/>
      <c r="K37" s="1403" t="n"/>
      <c r="L37" s="1403" t="n"/>
      <c r="M37" s="1403" t="n"/>
      <c r="N37" s="1403" t="n"/>
      <c r="O37" s="1403" t="n"/>
      <c r="P37" s="1403" t="n"/>
      <c r="Q37" s="1403" t="n"/>
      <c r="R37" s="1403" t="n"/>
      <c r="S37" s="1403" t="n"/>
      <c r="T37" s="1403" t="n"/>
      <c r="U37" s="1403" t="n"/>
      <c r="V37" s="1403" t="n"/>
      <c r="W37" s="1403" t="n"/>
      <c r="X37" s="1403" t="n"/>
      <c r="Y37" s="1403" t="n"/>
      <c r="Z37" s="1403" t="n"/>
      <c r="AA37" s="1403" t="n"/>
      <c r="AB37" s="1403" t="n"/>
      <c r="AC37" s="1403" t="n"/>
      <c r="AD37" s="1403" t="n"/>
      <c r="AE37" s="1403" t="n"/>
      <c r="AF37" s="1403" t="n"/>
      <c r="AG37" s="1403" t="n"/>
      <c r="AH37" s="1403" t="n"/>
      <c r="AI37" s="1403" t="n"/>
      <c r="AJ37" s="1403" t="n"/>
      <c r="AK37" s="1403" t="n"/>
      <c r="AL37" s="1403" t="n"/>
      <c r="AM37" s="1403" t="n"/>
      <c r="AN37" s="1403" t="n"/>
      <c r="AO37" s="1403" t="n"/>
      <c r="AP37" s="1403" t="n"/>
      <c r="AQ37" s="1403" t="n"/>
      <c r="AR37" s="1417" t="n"/>
    </row>
    <row r="38" ht="14.25" customFormat="1" customHeight="1" s="1355">
      <c r="B38" s="1396" t="n"/>
      <c r="C38" s="1353" t="n"/>
      <c r="D38" s="1353" t="n"/>
      <c r="E38" s="1353" t="n"/>
      <c r="F38" s="1353" t="n"/>
      <c r="G38" s="1418" t="inlineStr">
        <is>
          <t>Nom du professionnel salarié de l'entité ou</t>
        </is>
      </c>
      <c r="H38" s="1419" t="n"/>
      <c r="I38" s="1419" t="n"/>
      <c r="J38" s="1419" t="n"/>
      <c r="K38" s="1419" t="n"/>
      <c r="L38" s="1419" t="n"/>
      <c r="M38" s="1419" t="n"/>
      <c r="N38" s="1419" t="n"/>
      <c r="O38" s="1419" t="n"/>
      <c r="P38" s="1419" t="n"/>
      <c r="Q38" s="1419" t="n"/>
      <c r="R38" s="1419" t="n"/>
      <c r="S38" s="1419" t="n"/>
      <c r="T38" s="1419" t="n"/>
      <c r="U38" s="1419" t="n"/>
      <c r="V38" s="1419" t="n"/>
      <c r="W38" s="1419" t="n"/>
      <c r="X38" s="1419" t="n"/>
      <c r="Y38" s="1419" t="n"/>
      <c r="Z38" s="1419" t="n"/>
      <c r="AA38" s="1419" t="n"/>
      <c r="AB38" s="1419" t="n"/>
      <c r="AC38" s="1419" t="n"/>
      <c r="AD38" s="1419" t="n"/>
      <c r="AE38" s="1419" t="n"/>
      <c r="AF38" s="1419" t="n"/>
      <c r="AG38" s="1419" t="n"/>
      <c r="AH38" s="1419" t="n"/>
      <c r="AI38" s="1419" t="n"/>
      <c r="AJ38" s="1419" t="n"/>
      <c r="AK38" s="1419" t="n"/>
      <c r="AL38" s="1419" t="n"/>
      <c r="AM38" s="1419" t="n"/>
      <c r="AN38" s="1419" t="n"/>
      <c r="AO38" s="1419" t="n"/>
      <c r="AP38" s="1410" t="n"/>
      <c r="AQ38" s="1410" t="n"/>
      <c r="AR38" s="1395" t="n"/>
    </row>
    <row r="39" ht="14.25" customFormat="1" customHeight="1" s="1355">
      <c r="B39" s="1396" t="n"/>
      <c r="C39" s="1353" t="n"/>
      <c r="D39" s="1353" t="n"/>
      <c r="E39" s="1353" t="n"/>
      <c r="F39" s="1353" t="n"/>
      <c r="G39" s="1418" t="inlineStr">
        <is>
          <t xml:space="preserve">Nom, adresse et téléhone du cabinet comptable ou du professionnel INSCRIT A L'ORDRE NATIONAL </t>
        </is>
      </c>
      <c r="H39" s="1419" t="n"/>
      <c r="I39" s="1419" t="n"/>
      <c r="J39" s="1419" t="n"/>
      <c r="K39" s="1419" t="n"/>
      <c r="L39" s="1419" t="n"/>
      <c r="M39" s="1419" t="n"/>
      <c r="N39" s="1419" t="n"/>
      <c r="O39" s="1419" t="n"/>
      <c r="P39" s="1419" t="n"/>
      <c r="Q39" s="1419" t="n"/>
      <c r="R39" s="1419" t="n"/>
      <c r="S39" s="1419" t="n"/>
      <c r="T39" s="1419" t="n"/>
      <c r="U39" s="1419" t="n"/>
      <c r="V39" s="1419" t="n"/>
      <c r="W39" s="1419" t="n"/>
      <c r="X39" s="1419" t="n"/>
      <c r="Y39" s="1419" t="n"/>
      <c r="Z39" s="1419" t="n"/>
      <c r="AA39" s="1419" t="n"/>
      <c r="AB39" s="1419" t="n"/>
      <c r="AC39" s="1419" t="n"/>
      <c r="AD39" s="1419" t="n"/>
      <c r="AE39" s="1419" t="n"/>
      <c r="AF39" s="1419" t="n"/>
      <c r="AG39" s="1419" t="n"/>
      <c r="AH39" s="1419" t="n"/>
      <c r="AI39" s="1419" t="n"/>
      <c r="AJ39" s="1419" t="n"/>
      <c r="AK39" s="1419" t="n"/>
      <c r="AL39" s="1419" t="n"/>
      <c r="AM39" s="1419" t="n"/>
      <c r="AN39" s="1419" t="n"/>
      <c r="AO39" s="1419" t="n"/>
      <c r="AP39" s="1410" t="n"/>
      <c r="AQ39" s="1410" t="n"/>
      <c r="AR39" s="1395" t="n"/>
    </row>
    <row r="40" ht="14.25" customFormat="1" customHeight="1" s="1355">
      <c r="B40" s="1396" t="n"/>
      <c r="C40" s="1353" t="n"/>
      <c r="D40" s="1353" t="n"/>
      <c r="E40" s="1353" t="n"/>
      <c r="F40" s="1353" t="n"/>
      <c r="G40" s="1364" t="inlineStr">
        <is>
          <t xml:space="preserve">DES EXPERTS COMPTABLES ET DES COMPTABLES AGREES ayant établi les états financiers </t>
        </is>
      </c>
      <c r="H40" s="1363" t="n"/>
      <c r="I40" s="1363" t="n"/>
      <c r="J40" s="1363" t="n"/>
      <c r="K40" s="1363" t="n"/>
      <c r="L40" s="1363" t="n"/>
      <c r="M40" s="1363" t="n"/>
      <c r="N40" s="1363" t="n"/>
      <c r="O40" s="1363" t="n"/>
      <c r="P40" s="1363" t="n"/>
      <c r="Q40" s="1363" t="n"/>
      <c r="R40" s="1363" t="n"/>
      <c r="S40" s="1363" t="n"/>
      <c r="T40" s="1363" t="n"/>
      <c r="U40" s="1363" t="n"/>
      <c r="V40" s="1363" t="n"/>
      <c r="W40" s="1363" t="n"/>
      <c r="X40" s="1363" t="n"/>
      <c r="Y40" s="1363" t="n"/>
      <c r="Z40" s="1363" t="n"/>
      <c r="AA40" s="1363" t="n"/>
      <c r="AB40" s="1363" t="n"/>
      <c r="AC40" s="1363" t="n"/>
      <c r="AD40" s="1363" t="n"/>
      <c r="AE40" s="1363" t="n"/>
      <c r="AF40" s="1363" t="n"/>
      <c r="AG40" s="1363" t="n"/>
      <c r="AH40" s="1363" t="n"/>
      <c r="AI40" s="1363" t="n"/>
      <c r="AJ40" s="1363" t="n"/>
      <c r="AK40" s="1363" t="n"/>
      <c r="AL40" s="1363" t="n"/>
      <c r="AM40" s="1363" t="n"/>
      <c r="AN40" s="1363" t="n"/>
      <c r="AO40" s="1363" t="n"/>
      <c r="AP40" s="1410" t="n"/>
      <c r="AQ40" s="1410" t="n"/>
      <c r="AR40" s="1395" t="n"/>
    </row>
    <row r="41" ht="14.25" customFormat="1" customHeight="1" s="1355">
      <c r="B41" s="1396" t="n"/>
      <c r="C41" s="1353" t="n"/>
      <c r="D41" s="1353" t="n"/>
      <c r="E41" s="1353" t="n"/>
      <c r="F41" s="1353" t="n"/>
      <c r="G41" s="1353" t="n"/>
      <c r="H41" s="1353" t="n"/>
      <c r="I41" s="1364" t="n"/>
      <c r="J41" s="1364" t="n"/>
      <c r="K41" s="1364" t="n"/>
      <c r="L41" s="1364" t="n"/>
      <c r="M41" s="1364" t="n"/>
      <c r="N41" s="1364" t="n"/>
      <c r="O41" s="1364" t="n"/>
      <c r="P41" s="1364" t="n"/>
      <c r="Q41" s="1364" t="n"/>
      <c r="R41" s="1364" t="n"/>
      <c r="S41" s="1364" t="n"/>
      <c r="T41" s="1364" t="n"/>
      <c r="U41" s="1364" t="n"/>
      <c r="V41" s="1364" t="n"/>
      <c r="W41" s="1364" t="n"/>
      <c r="X41" s="1364" t="n"/>
      <c r="Y41" s="1364" t="n"/>
      <c r="Z41" s="1364" t="n"/>
      <c r="AA41" s="1364" t="n"/>
      <c r="AB41" s="1364" t="n"/>
      <c r="AC41" s="1364" t="n"/>
      <c r="AD41" s="1364" t="n"/>
      <c r="AE41" s="1364" t="n"/>
      <c r="AF41" s="1364" t="n"/>
      <c r="AG41" s="1364" t="n"/>
      <c r="AH41" s="1364" t="n"/>
      <c r="AI41" s="1364" t="n"/>
      <c r="AJ41" s="1364" t="n"/>
      <c r="AK41" s="1384" t="n"/>
      <c r="AL41" s="1384" t="n"/>
      <c r="AM41" s="1384" t="n"/>
      <c r="AN41" s="1410" t="n"/>
      <c r="AO41" s="1410" t="n"/>
      <c r="AP41" s="1410" t="n"/>
      <c r="AQ41" s="1410" t="n"/>
      <c r="AR41" s="1395" t="n"/>
    </row>
    <row r="42" ht="14.25" customFormat="1" customHeight="1" s="1355">
      <c r="B42" s="1396" t="n"/>
      <c r="C42" s="1353" t="n"/>
      <c r="D42" s="1353" t="n"/>
      <c r="E42" s="1353" t="n"/>
      <c r="F42" s="1353" t="n"/>
      <c r="G42" s="1431" t="n"/>
      <c r="H42" s="1403" t="n"/>
      <c r="I42" s="1403" t="n"/>
      <c r="J42" s="1403" t="n"/>
      <c r="K42" s="1403" t="n"/>
      <c r="L42" s="1403" t="n"/>
      <c r="M42" s="1403" t="n"/>
      <c r="N42" s="1403" t="n"/>
      <c r="O42" s="1403" t="n"/>
      <c r="P42" s="1403" t="n"/>
      <c r="Q42" s="1403" t="n"/>
      <c r="R42" s="1403" t="n"/>
      <c r="S42" s="1403" t="n"/>
      <c r="T42" s="1403" t="n"/>
      <c r="U42" s="1403" t="n"/>
      <c r="V42" s="1403" t="n"/>
      <c r="W42" s="1403" t="n"/>
      <c r="X42" s="1403" t="n"/>
      <c r="Y42" s="1403" t="n"/>
      <c r="Z42" s="1403" t="n"/>
      <c r="AA42" s="1403" t="n"/>
      <c r="AB42" s="1403" t="n"/>
      <c r="AC42" s="1403" t="n"/>
      <c r="AD42" s="1403" t="n"/>
      <c r="AE42" s="1403" t="n"/>
      <c r="AF42" s="1403" t="n"/>
      <c r="AG42" s="1403" t="n"/>
      <c r="AH42" s="1403" t="n"/>
      <c r="AI42" s="1403" t="n"/>
      <c r="AJ42" s="1403" t="n"/>
      <c r="AK42" s="1403" t="n"/>
      <c r="AL42" s="1403" t="n"/>
      <c r="AM42" s="1403" t="n"/>
      <c r="AN42" s="1403" t="n"/>
      <c r="AO42" s="1403" t="n"/>
      <c r="AP42" s="1403" t="n"/>
      <c r="AQ42" s="1403" t="n"/>
      <c r="AR42" s="1417" t="n"/>
    </row>
    <row r="43" ht="14.25" customFormat="1" customHeight="1" s="1355">
      <c r="B43" s="1388" t="n"/>
      <c r="C43" s="1353" t="n"/>
      <c r="D43" s="1353" t="n"/>
      <c r="E43" s="1353" t="n"/>
      <c r="F43" s="1353" t="n"/>
      <c r="G43" s="1364" t="n"/>
      <c r="H43" s="1364" t="n"/>
      <c r="I43" s="1364" t="n"/>
      <c r="J43" s="1364" t="n"/>
      <c r="K43" s="1364" t="n"/>
      <c r="L43" s="1364" t="n"/>
      <c r="M43" s="1364" t="n"/>
      <c r="N43" s="1364" t="n"/>
      <c r="O43" s="1364" t="n"/>
      <c r="P43" s="1364" t="n"/>
      <c r="Q43" s="1432" t="n"/>
      <c r="R43" s="1364" t="n"/>
      <c r="S43" s="1364" t="n"/>
      <c r="T43" s="1364" t="n"/>
      <c r="U43" s="1364" t="n"/>
      <c r="V43" s="1364" t="n"/>
      <c r="W43" s="1364" t="n"/>
      <c r="X43" s="1364" t="n"/>
      <c r="Y43" s="1364" t="n"/>
      <c r="Z43" s="1364" t="n"/>
      <c r="AA43" s="1364" t="n"/>
      <c r="AB43" s="1364" t="n"/>
      <c r="AC43" s="1364" t="n"/>
      <c r="AD43" s="1364" t="n"/>
      <c r="AE43" s="1364" t="n"/>
      <c r="AF43" s="1364" t="n"/>
      <c r="AG43" s="1364" t="n"/>
      <c r="AH43" s="1364" t="n"/>
      <c r="AI43" s="1364" t="n"/>
      <c r="AJ43" s="1364" t="n"/>
      <c r="AK43" s="1364" t="n"/>
      <c r="AL43" s="1364" t="n"/>
      <c r="AM43" s="1412" t="n"/>
      <c r="AN43" s="1412" t="n"/>
      <c r="AO43" s="1384" t="n"/>
      <c r="AP43" s="1384" t="n"/>
      <c r="AQ43" s="1394" t="n"/>
      <c r="AR43" s="1395" t="n"/>
    </row>
    <row r="44" ht="14.25" customFormat="1" customHeight="1" s="1355">
      <c r="B44" s="1396" t="n"/>
      <c r="C44" s="1353" t="n"/>
      <c r="D44" s="1353" t="n"/>
      <c r="E44" s="1353" t="n"/>
      <c r="F44" s="1353" t="n"/>
      <c r="G44" s="1426" t="n"/>
      <c r="H44" s="1403" t="n"/>
      <c r="I44" s="1403" t="n"/>
      <c r="J44" s="1403" t="n"/>
      <c r="K44" s="1403" t="n"/>
      <c r="L44" s="1403" t="n"/>
      <c r="M44" s="1403" t="n"/>
      <c r="N44" s="1403" t="n"/>
      <c r="O44" s="1403" t="n"/>
      <c r="P44" s="1403" t="n"/>
      <c r="Q44" s="1403" t="n"/>
      <c r="R44" s="1403" t="n"/>
      <c r="S44" s="1403" t="n"/>
      <c r="T44" s="1403" t="n"/>
      <c r="U44" s="1403" t="n"/>
      <c r="V44" s="1403" t="n"/>
      <c r="W44" s="1403" t="n"/>
      <c r="X44" s="1403" t="n"/>
      <c r="Y44" s="1403" t="n"/>
      <c r="Z44" s="1403" t="n"/>
      <c r="AA44" s="1403" t="n"/>
      <c r="AB44" s="1403" t="n"/>
      <c r="AC44" s="1403" t="n"/>
      <c r="AD44" s="1403" t="n"/>
      <c r="AE44" s="1403" t="n"/>
      <c r="AF44" s="1403" t="n"/>
      <c r="AG44" s="1403" t="n"/>
      <c r="AH44" s="1403" t="n"/>
      <c r="AI44" s="1403" t="n"/>
      <c r="AJ44" s="1403" t="n"/>
      <c r="AK44" s="1403" t="n"/>
      <c r="AL44" s="1403" t="n"/>
      <c r="AM44" s="1403" t="n"/>
      <c r="AN44" s="1403" t="n"/>
      <c r="AO44" s="1403" t="n"/>
      <c r="AP44" s="1403" t="n"/>
      <c r="AQ44" s="1403" t="n"/>
      <c r="AR44" s="1417" t="n"/>
    </row>
    <row r="45" ht="14.25" customFormat="1" customHeight="1" s="1355">
      <c r="B45" s="1396" t="n"/>
      <c r="C45" s="1353" t="n"/>
      <c r="D45" s="1353" t="n"/>
      <c r="E45" s="1353" t="n"/>
      <c r="F45" s="1353" t="n"/>
      <c r="G45" s="1353" t="n"/>
      <c r="H45" s="1420" t="inlineStr">
        <is>
          <t>Visa de l'Expert comptable agrée</t>
        </is>
      </c>
      <c r="I45" s="1419" t="n"/>
      <c r="J45" s="1419" t="n"/>
      <c r="K45" s="1419" t="n"/>
      <c r="L45" s="1419" t="n"/>
      <c r="M45" s="1419" t="n"/>
      <c r="N45" s="1419" t="n"/>
      <c r="O45" s="1419" t="n"/>
      <c r="P45" s="1419" t="n"/>
      <c r="Q45" s="1419" t="n"/>
      <c r="R45" s="1419" t="n"/>
      <c r="S45" s="1419" t="n"/>
      <c r="T45" s="1419" t="n"/>
      <c r="U45" s="1419" t="n"/>
      <c r="V45" s="1419" t="n"/>
      <c r="W45" s="1419" t="n"/>
      <c r="X45" s="1419" t="n"/>
      <c r="Y45" s="1419" t="n"/>
      <c r="Z45" s="1419" t="n"/>
      <c r="AA45" s="1419" t="n"/>
      <c r="AB45" s="1419" t="n"/>
      <c r="AC45" s="1419" t="n"/>
      <c r="AD45" s="1419" t="n"/>
      <c r="AE45" s="1419" t="n"/>
      <c r="AF45" s="1419" t="n"/>
      <c r="AG45" s="1419" t="n"/>
      <c r="AH45" s="1419" t="n"/>
      <c r="AI45" s="1419" t="n"/>
      <c r="AJ45" s="1419" t="n"/>
      <c r="AK45" s="1419" t="n"/>
      <c r="AL45" s="1410" t="n"/>
      <c r="AM45" s="1384" t="n"/>
      <c r="AN45" s="1384" t="n"/>
      <c r="AO45" s="1384" t="n"/>
      <c r="AP45" s="1384" t="n"/>
      <c r="AQ45" s="1384" t="n"/>
      <c r="AR45" s="1395" t="n"/>
    </row>
    <row r="46" ht="14" customHeight="1" s="1354">
      <c r="B46" s="1433" t="n"/>
      <c r="C46" s="1434" t="n"/>
      <c r="D46" s="1434" t="n"/>
      <c r="E46" s="1434" t="n"/>
      <c r="F46" s="1434" t="n"/>
      <c r="G46" s="1434" t="n"/>
      <c r="H46" s="1434" t="n"/>
      <c r="I46" s="1434" t="n"/>
      <c r="J46" s="1434" t="n"/>
      <c r="K46" s="1434" t="n"/>
      <c r="L46" s="1434" t="n"/>
      <c r="M46" s="1434" t="n"/>
      <c r="N46" s="1434" t="n"/>
      <c r="O46" s="1434" t="n"/>
      <c r="P46" s="1434" t="n"/>
      <c r="Q46" s="1434" t="n"/>
      <c r="R46" s="1434" t="n"/>
      <c r="S46" s="1434" t="n"/>
      <c r="T46" s="1434" t="n"/>
      <c r="U46" s="1434" t="n"/>
      <c r="V46" s="1434" t="n"/>
      <c r="W46" s="1434" t="n"/>
      <c r="X46" s="1434" t="n"/>
      <c r="Y46" s="1434" t="n"/>
      <c r="Z46" s="1434" t="n"/>
      <c r="AA46" s="1434" t="n"/>
      <c r="AB46" s="1434" t="n"/>
      <c r="AC46" s="1434" t="n"/>
      <c r="AD46" s="1434" t="n"/>
      <c r="AE46" s="1434" t="n"/>
      <c r="AF46" s="1434" t="n"/>
      <c r="AG46" s="1434" t="n"/>
      <c r="AH46" s="1434" t="n"/>
      <c r="AI46" s="1434" t="n"/>
      <c r="AJ46" s="1434" t="n"/>
      <c r="AK46" s="1434" t="n"/>
      <c r="AL46" s="1434" t="n"/>
      <c r="AM46" s="1434" t="n"/>
      <c r="AN46" s="1434" t="n"/>
      <c r="AO46" s="1434" t="n"/>
      <c r="AP46" s="1434" t="n"/>
      <c r="AQ46" s="1434" t="n"/>
      <c r="AR46" s="1435" t="n"/>
    </row>
    <row r="47" ht="14" customHeight="1" s="1354">
      <c r="B47" s="1396" t="n"/>
      <c r="AR47" s="1436" t="n"/>
    </row>
    <row r="48" ht="14" customHeight="1" s="1354">
      <c r="B48" s="1396" t="n"/>
      <c r="G48" s="1437" t="n"/>
      <c r="AE48" s="1438" t="n"/>
      <c r="AF48" s="1437" t="n"/>
      <c r="AM48" s="1439" t="n"/>
      <c r="AP48" s="1440" t="n"/>
      <c r="AR48" s="1436" t="n"/>
    </row>
    <row r="49" ht="14" customHeight="1" s="1354">
      <c r="B49" s="1396" t="n"/>
      <c r="G49" s="1437" t="n"/>
      <c r="AE49" s="1438" t="n"/>
      <c r="AF49" s="1437" t="n"/>
      <c r="AJ49" s="1355" t="n"/>
      <c r="AK49" s="1355" t="n"/>
      <c r="AL49" s="1355" t="n"/>
      <c r="AM49" s="1355" t="inlineStr">
        <is>
          <t>Non</t>
        </is>
      </c>
      <c r="AN49" s="1355" t="n"/>
      <c r="AO49" s="1355" t="n"/>
      <c r="AP49" s="1355" t="inlineStr">
        <is>
          <t>Oui</t>
        </is>
      </c>
      <c r="AR49" s="1436" t="n"/>
    </row>
    <row r="50" ht="14" customHeight="1" s="1354">
      <c r="B50" s="1396" t="n"/>
      <c r="G50" s="1441" t="n"/>
      <c r="H50" s="1442" t="n"/>
      <c r="I50" s="1442" t="n"/>
      <c r="J50" s="1442" t="n"/>
      <c r="K50" s="1442" t="n"/>
      <c r="L50" s="1442" t="n"/>
      <c r="M50" s="1442" t="n"/>
      <c r="N50" s="1442" t="n"/>
      <c r="O50" s="1442" t="n"/>
      <c r="P50" s="1442" t="n"/>
      <c r="Q50" s="1442" t="n"/>
      <c r="R50" s="1442" t="n"/>
      <c r="S50" s="1442" t="n"/>
      <c r="T50" s="1442" t="n"/>
      <c r="U50" s="1442" t="n"/>
      <c r="V50" s="1442" t="n"/>
      <c r="W50" s="1442" t="n"/>
      <c r="X50" s="1442" t="n"/>
      <c r="Y50" s="1442" t="n"/>
      <c r="Z50" s="1442" t="n"/>
      <c r="AA50" s="1442" t="n"/>
      <c r="AB50" s="1442" t="n"/>
      <c r="AC50" s="1442" t="n"/>
      <c r="AD50" s="1442" t="n"/>
      <c r="AE50" s="1443" t="n"/>
      <c r="AF50" s="1441" t="n"/>
      <c r="AG50" s="1442" t="n"/>
      <c r="AH50" s="1442" t="n"/>
      <c r="AI50" s="1442" t="n"/>
      <c r="AJ50" s="1442" t="n"/>
      <c r="AK50" s="1442" t="n"/>
      <c r="AL50" s="1442" t="n"/>
      <c r="AM50" s="1442" t="n"/>
      <c r="AN50" s="1442" t="n"/>
      <c r="AO50" s="1442" t="n"/>
      <c r="AP50" s="1442" t="n"/>
      <c r="AQ50" s="1442" t="n"/>
      <c r="AR50" s="1444" t="n"/>
    </row>
    <row r="51" ht="31.5" customHeight="1" s="1354">
      <c r="B51" s="1396" t="n"/>
      <c r="AG51" s="1445" t="inlineStr">
        <is>
          <t>Etats financiers approuvés par l'Assemeblée Générale (cocher la case)</t>
        </is>
      </c>
      <c r="AH51" s="1419" t="n"/>
      <c r="AI51" s="1419" t="n"/>
      <c r="AJ51" s="1419" t="n"/>
      <c r="AK51" s="1419" t="n"/>
      <c r="AL51" s="1419" t="n"/>
      <c r="AM51" s="1419" t="n"/>
      <c r="AN51" s="1419" t="n"/>
      <c r="AO51" s="1419" t="n"/>
      <c r="AP51" s="1419" t="n"/>
      <c r="AQ51" s="1419" t="n"/>
      <c r="AR51" s="1425" t="n"/>
    </row>
    <row r="52" ht="14" customHeight="1" s="1354">
      <c r="B52" s="1396" t="n"/>
      <c r="AR52" s="1436" t="n"/>
    </row>
    <row r="53" ht="14" customHeight="1" s="1354">
      <c r="B53" s="1396" t="n"/>
      <c r="G53" s="1409" t="n"/>
      <c r="H53" s="1403" t="n"/>
      <c r="I53" s="1403" t="n"/>
      <c r="J53" s="1403" t="n"/>
      <c r="K53" s="1403" t="n"/>
      <c r="L53" s="1403" t="n"/>
      <c r="M53" s="1403" t="n"/>
      <c r="N53" s="1403" t="n"/>
      <c r="O53" s="1403" t="n"/>
      <c r="P53" s="1403" t="n"/>
      <c r="Q53" s="1403" t="n"/>
      <c r="R53" s="1403" t="n"/>
      <c r="S53" s="1403" t="n"/>
      <c r="T53" s="1403" t="n"/>
      <c r="U53" s="1403" t="n"/>
      <c r="V53" s="1403" t="n"/>
      <c r="W53" s="1404" t="n"/>
      <c r="AB53" s="1446" t="n"/>
      <c r="AC53" s="1447" t="inlineStr">
        <is>
          <t>Domiciliations bancaires:</t>
        </is>
      </c>
      <c r="AD53" s="1448" t="n"/>
      <c r="AE53" s="1448" t="n"/>
      <c r="AF53" s="1448" t="n"/>
      <c r="AG53" s="1448" t="n"/>
      <c r="AH53" s="1448" t="n"/>
      <c r="AI53" s="1448" t="n"/>
      <c r="AJ53" s="1448" t="n"/>
      <c r="AK53" s="1448" t="n"/>
      <c r="AL53" s="1448" t="n"/>
      <c r="AM53" s="1448" t="n"/>
      <c r="AN53" s="1448" t="n"/>
      <c r="AO53" s="1448" t="n"/>
      <c r="AP53" s="1448" t="n"/>
      <c r="AQ53" s="1449" t="n"/>
      <c r="AR53" s="1436" t="n"/>
    </row>
    <row r="54" ht="14" customHeight="1" s="1354">
      <c r="B54" s="1396" t="n"/>
      <c r="G54" s="1450" t="n"/>
      <c r="H54" s="1418" t="inlineStr">
        <is>
          <t>Nom du sigantaire des états financiers</t>
        </is>
      </c>
      <c r="I54" s="1419" t="n"/>
      <c r="J54" s="1419" t="n"/>
      <c r="K54" s="1419" t="n"/>
      <c r="L54" s="1419" t="n"/>
      <c r="M54" s="1419" t="n"/>
      <c r="N54" s="1419" t="n"/>
      <c r="O54" s="1419" t="n"/>
      <c r="P54" s="1419" t="n"/>
      <c r="Q54" s="1419" t="n"/>
      <c r="R54" s="1419" t="n"/>
      <c r="S54" s="1419" t="n"/>
      <c r="T54" s="1419" t="n"/>
      <c r="U54" s="1419" t="n"/>
      <c r="V54" s="1419" t="n"/>
      <c r="W54" s="1419" t="n"/>
      <c r="AB54" s="1451" t="inlineStr">
        <is>
          <t>Banque</t>
        </is>
      </c>
      <c r="AC54" s="1448" t="n"/>
      <c r="AD54" s="1448" t="n"/>
      <c r="AE54" s="1448" t="n"/>
      <c r="AF54" s="1448" t="n"/>
      <c r="AG54" s="1448" t="n"/>
      <c r="AH54" s="1448" t="n"/>
      <c r="AI54" s="1448" t="n"/>
      <c r="AJ54" s="1449" t="n"/>
      <c r="AK54" s="1447" t="inlineStr">
        <is>
          <t>Numéro de compte</t>
        </is>
      </c>
      <c r="AL54" s="1448" t="n"/>
      <c r="AM54" s="1448" t="n"/>
      <c r="AN54" s="1448" t="n"/>
      <c r="AO54" s="1448" t="n"/>
      <c r="AP54" s="1448" t="n"/>
      <c r="AQ54" s="1449" t="n"/>
      <c r="AR54" s="1436" t="n"/>
    </row>
    <row r="55" ht="14" customHeight="1" s="1354">
      <c r="B55" s="1396" t="n"/>
      <c r="G55" s="1450" t="n"/>
      <c r="H55" s="1450" t="n"/>
      <c r="I55" s="1450" t="n"/>
      <c r="J55" s="1450" t="n"/>
      <c r="K55" s="1450" t="n"/>
      <c r="L55" s="1450" t="n"/>
      <c r="M55" s="1450" t="n"/>
      <c r="N55" s="1450" t="n"/>
      <c r="O55" s="1450" t="n"/>
      <c r="P55" s="1450" t="n"/>
      <c r="Q55" s="1450" t="n"/>
      <c r="R55" s="1450" t="n"/>
      <c r="S55" s="1450" t="n"/>
      <c r="T55" s="1450" t="n"/>
      <c r="U55" s="1450" t="n"/>
      <c r="V55" s="1450" t="n"/>
      <c r="W55" s="1450" t="n"/>
      <c r="AB55" s="1452" t="n"/>
      <c r="AC55" s="1419" t="n"/>
      <c r="AD55" s="1419" t="n"/>
      <c r="AE55" s="1419" t="n"/>
      <c r="AF55" s="1419" t="n"/>
      <c r="AG55" s="1419" t="n"/>
      <c r="AH55" s="1419" t="n"/>
      <c r="AI55" s="1419" t="n"/>
      <c r="AJ55" s="1453" t="n"/>
      <c r="AK55" s="1454" t="n"/>
      <c r="AL55" s="1419" t="n"/>
      <c r="AM55" s="1419" t="n"/>
      <c r="AN55" s="1419" t="n"/>
      <c r="AO55" s="1419" t="n"/>
      <c r="AP55" s="1419" t="n"/>
      <c r="AQ55" s="1453" t="n"/>
      <c r="AR55" s="1436" t="n"/>
    </row>
    <row r="56" ht="14" customHeight="1" s="1354">
      <c r="B56" s="1396" t="n"/>
      <c r="G56" s="1409" t="n"/>
      <c r="H56" s="1403" t="n"/>
      <c r="I56" s="1403" t="n"/>
      <c r="J56" s="1403" t="n"/>
      <c r="K56" s="1403" t="n"/>
      <c r="L56" s="1403" t="n"/>
      <c r="M56" s="1403" t="n"/>
      <c r="N56" s="1403" t="n"/>
      <c r="O56" s="1403" t="n"/>
      <c r="P56" s="1403" t="n"/>
      <c r="Q56" s="1403" t="n"/>
      <c r="R56" s="1403" t="n"/>
      <c r="S56" s="1403" t="n"/>
      <c r="T56" s="1403" t="n"/>
      <c r="U56" s="1403" t="n"/>
      <c r="V56" s="1403" t="n"/>
      <c r="W56" s="1404" t="n"/>
      <c r="AB56" s="1455" t="n"/>
      <c r="AC56" s="1363" t="n"/>
      <c r="AD56" s="1363" t="n"/>
      <c r="AE56" s="1363" t="n"/>
      <c r="AF56" s="1363" t="n"/>
      <c r="AG56" s="1363" t="n"/>
      <c r="AH56" s="1363" t="n"/>
      <c r="AI56" s="1363" t="n"/>
      <c r="AJ56" s="1456" t="n"/>
      <c r="AK56" s="1457" t="n"/>
      <c r="AL56" s="1419" t="n"/>
      <c r="AM56" s="1419" t="n"/>
      <c r="AN56" s="1419" t="n"/>
      <c r="AO56" s="1419" t="n"/>
      <c r="AP56" s="1419" t="n"/>
      <c r="AQ56" s="1453" t="n"/>
      <c r="AR56" s="1436" t="n"/>
    </row>
    <row r="57" ht="14" customHeight="1" s="1354">
      <c r="B57" s="1396" t="n"/>
      <c r="G57" s="1450" t="n"/>
      <c r="H57" s="1418" t="inlineStr">
        <is>
          <t>Nom du sigantaire des états financiers</t>
        </is>
      </c>
      <c r="I57" s="1419" t="n"/>
      <c r="J57" s="1419" t="n"/>
      <c r="K57" s="1419" t="n"/>
      <c r="L57" s="1419" t="n"/>
      <c r="M57" s="1419" t="n"/>
      <c r="N57" s="1419" t="n"/>
      <c r="O57" s="1419" t="n"/>
      <c r="P57" s="1419" t="n"/>
      <c r="Q57" s="1419" t="n"/>
      <c r="R57" s="1419" t="n"/>
      <c r="S57" s="1419" t="n"/>
      <c r="T57" s="1419" t="n"/>
      <c r="U57" s="1419" t="n"/>
      <c r="V57" s="1419" t="n"/>
      <c r="W57" s="1419" t="n"/>
      <c r="AB57" s="1458" t="n"/>
      <c r="AC57" s="1363" t="n"/>
      <c r="AD57" s="1363" t="n"/>
      <c r="AE57" s="1363" t="n"/>
      <c r="AF57" s="1363" t="n"/>
      <c r="AG57" s="1363" t="n"/>
      <c r="AH57" s="1363" t="n"/>
      <c r="AI57" s="1363" t="n"/>
      <c r="AJ57" s="1456" t="n"/>
      <c r="AK57" s="1459" t="n"/>
      <c r="AL57" s="1363" t="n"/>
      <c r="AM57" s="1363" t="n"/>
      <c r="AN57" s="1363" t="n"/>
      <c r="AO57" s="1363" t="n"/>
      <c r="AP57" s="1363" t="n"/>
      <c r="AQ57" s="1456" t="n"/>
      <c r="AR57" s="1436" t="n"/>
    </row>
    <row r="58" ht="14" customHeight="1" s="1354">
      <c r="B58" s="1396" t="n"/>
      <c r="G58" s="1450" t="n"/>
      <c r="H58" s="1450" t="n"/>
      <c r="I58" s="1450" t="n"/>
      <c r="J58" s="1450" t="n"/>
      <c r="K58" s="1450" t="n"/>
      <c r="L58" s="1450" t="n"/>
      <c r="M58" s="1450" t="n"/>
      <c r="N58" s="1450" t="n"/>
      <c r="O58" s="1450" t="n"/>
      <c r="P58" s="1450" t="n"/>
      <c r="Q58" s="1450" t="n"/>
      <c r="R58" s="1450" t="n"/>
      <c r="S58" s="1450" t="n"/>
      <c r="T58" s="1450" t="n"/>
      <c r="U58" s="1450" t="n"/>
      <c r="V58" s="1450" t="n"/>
      <c r="W58" s="1450" t="n"/>
      <c r="AB58" s="1460" t="n"/>
      <c r="AC58" s="1363" t="n"/>
      <c r="AD58" s="1363" t="n"/>
      <c r="AE58" s="1363" t="n"/>
      <c r="AF58" s="1363" t="n"/>
      <c r="AG58" s="1363" t="n"/>
      <c r="AH58" s="1363" t="n"/>
      <c r="AI58" s="1363" t="n"/>
      <c r="AJ58" s="1456" t="n"/>
      <c r="AK58" s="1461" t="n"/>
      <c r="AL58" s="1363" t="n"/>
      <c r="AM58" s="1363" t="n"/>
      <c r="AN58" s="1363" t="n"/>
      <c r="AO58" s="1363" t="n"/>
      <c r="AP58" s="1363" t="n"/>
      <c r="AQ58" s="1456" t="n"/>
      <c r="AR58" s="1436" t="n"/>
    </row>
    <row r="59" ht="14" customHeight="1" s="1354">
      <c r="B59" s="1396" t="n"/>
      <c r="G59" s="1409" t="n"/>
      <c r="H59" s="1403" t="n"/>
      <c r="I59" s="1403" t="n"/>
      <c r="J59" s="1403" t="n"/>
      <c r="K59" s="1403" t="n"/>
      <c r="L59" s="1403" t="n"/>
      <c r="M59" s="1403" t="n"/>
      <c r="N59" s="1403" t="n"/>
      <c r="O59" s="1403" t="n"/>
      <c r="P59" s="1403" t="n"/>
      <c r="Q59" s="1403" t="n"/>
      <c r="R59" s="1403" t="n"/>
      <c r="S59" s="1403" t="n"/>
      <c r="T59" s="1403" t="n"/>
      <c r="U59" s="1403" t="n"/>
      <c r="V59" s="1403" t="n"/>
      <c r="W59" s="1404" t="n"/>
      <c r="AB59" s="1460" t="n"/>
      <c r="AC59" s="1363" t="n"/>
      <c r="AD59" s="1363" t="n"/>
      <c r="AE59" s="1363" t="n"/>
      <c r="AF59" s="1363" t="n"/>
      <c r="AG59" s="1363" t="n"/>
      <c r="AH59" s="1363" t="n"/>
      <c r="AI59" s="1363" t="n"/>
      <c r="AJ59" s="1456" t="n"/>
      <c r="AK59" s="1461" t="n"/>
      <c r="AL59" s="1363" t="n"/>
      <c r="AM59" s="1363" t="n"/>
      <c r="AN59" s="1363" t="n"/>
      <c r="AO59" s="1363" t="n"/>
      <c r="AP59" s="1363" t="n"/>
      <c r="AQ59" s="1456" t="n"/>
      <c r="AR59" s="1436" t="n"/>
    </row>
    <row r="60" ht="14" customHeight="1" s="1354">
      <c r="B60" s="1396" t="n"/>
      <c r="G60" s="1450" t="n"/>
      <c r="H60" s="1418" t="inlineStr">
        <is>
          <t>Date de signature</t>
        </is>
      </c>
      <c r="I60" s="1419" t="n"/>
      <c r="J60" s="1419" t="n"/>
      <c r="K60" s="1419" t="n"/>
      <c r="L60" s="1419" t="n"/>
      <c r="M60" s="1419" t="n"/>
      <c r="N60" s="1419" t="n"/>
      <c r="O60" s="1419" t="n"/>
      <c r="P60" s="1419" t="n"/>
      <c r="Q60" s="1419" t="n"/>
      <c r="R60" s="1419" t="n"/>
      <c r="S60" s="1419" t="n"/>
      <c r="T60" s="1419" t="n"/>
      <c r="U60" s="1419" t="n"/>
      <c r="V60" s="1419" t="n"/>
      <c r="W60" s="1419" t="n"/>
      <c r="AB60" s="1462" t="n"/>
      <c r="AC60" s="1363" t="n"/>
      <c r="AD60" s="1363" t="n"/>
      <c r="AE60" s="1363" t="n"/>
      <c r="AF60" s="1363" t="n"/>
      <c r="AG60" s="1363" t="n"/>
      <c r="AH60" s="1363" t="n"/>
      <c r="AI60" s="1363" t="n"/>
      <c r="AJ60" s="1456" t="n"/>
      <c r="AK60" s="1461" t="n"/>
      <c r="AL60" s="1363" t="n"/>
      <c r="AM60" s="1363" t="n"/>
      <c r="AN60" s="1363" t="n"/>
      <c r="AO60" s="1363" t="n"/>
      <c r="AP60" s="1363" t="n"/>
      <c r="AQ60" s="1456" t="n"/>
      <c r="AR60" s="1436" t="n"/>
    </row>
    <row r="61" ht="14" customHeight="1" s="1354">
      <c r="B61" s="1396" t="n"/>
      <c r="AB61" s="1462" t="n"/>
      <c r="AC61" s="1363" t="n"/>
      <c r="AD61" s="1363" t="n"/>
      <c r="AE61" s="1363" t="n"/>
      <c r="AF61" s="1363" t="n"/>
      <c r="AG61" s="1363" t="n"/>
      <c r="AH61" s="1363" t="n"/>
      <c r="AI61" s="1363" t="n"/>
      <c r="AJ61" s="1456" t="n"/>
      <c r="AK61" s="1461" t="n"/>
      <c r="AL61" s="1363" t="n"/>
      <c r="AM61" s="1363" t="n"/>
      <c r="AN61" s="1363" t="n"/>
      <c r="AO61" s="1363" t="n"/>
      <c r="AP61" s="1363" t="n"/>
      <c r="AQ61" s="1456" t="n"/>
      <c r="AR61" s="1436" t="n"/>
    </row>
    <row r="62" ht="14" customHeight="1" s="1354">
      <c r="B62" s="1396" t="n"/>
      <c r="G62" s="1439" t="n"/>
      <c r="H62" s="1419" t="n"/>
      <c r="I62" s="1419" t="n"/>
      <c r="J62" s="1419" t="n"/>
      <c r="K62" s="1419" t="n"/>
      <c r="L62" s="1419" t="n"/>
      <c r="M62" s="1419" t="n"/>
      <c r="N62" s="1419" t="n"/>
      <c r="O62" s="1419" t="n"/>
      <c r="P62" s="1419" t="n"/>
      <c r="Q62" s="1419" t="n"/>
      <c r="R62" s="1419" t="n"/>
      <c r="S62" s="1419" t="n"/>
      <c r="T62" s="1419" t="n"/>
      <c r="U62" s="1419" t="n"/>
      <c r="V62" s="1419" t="n"/>
      <c r="W62" s="1453" t="n"/>
      <c r="AB62" s="1462" t="n"/>
      <c r="AC62" s="1363" t="n"/>
      <c r="AD62" s="1363" t="n"/>
      <c r="AE62" s="1363" t="n"/>
      <c r="AF62" s="1363" t="n"/>
      <c r="AG62" s="1363" t="n"/>
      <c r="AH62" s="1363" t="n"/>
      <c r="AI62" s="1363" t="n"/>
      <c r="AJ62" s="1456" t="n"/>
      <c r="AK62" s="1461" t="n"/>
      <c r="AL62" s="1363" t="n"/>
      <c r="AM62" s="1363" t="n"/>
      <c r="AN62" s="1363" t="n"/>
      <c r="AO62" s="1363" t="n"/>
      <c r="AP62" s="1363" t="n"/>
      <c r="AQ62" s="1456" t="n"/>
      <c r="AR62" s="1436" t="n"/>
    </row>
    <row r="63" ht="14" customHeight="1" s="1354">
      <c r="B63" s="1396" t="n"/>
      <c r="G63" s="1463" t="n"/>
      <c r="H63" s="1363" t="n"/>
      <c r="I63" s="1363" t="n"/>
      <c r="J63" s="1363" t="n"/>
      <c r="K63" s="1363" t="n"/>
      <c r="L63" s="1363" t="n"/>
      <c r="M63" s="1363" t="n"/>
      <c r="N63" s="1363" t="n"/>
      <c r="O63" s="1363" t="n"/>
      <c r="P63" s="1363" t="n"/>
      <c r="Q63" s="1363" t="n"/>
      <c r="R63" s="1363" t="n"/>
      <c r="S63" s="1363" t="n"/>
      <c r="T63" s="1363" t="n"/>
      <c r="U63" s="1363" t="n"/>
      <c r="V63" s="1363" t="n"/>
      <c r="W63" s="1456" t="n"/>
      <c r="AB63" s="1462" t="n"/>
      <c r="AC63" s="1363" t="n"/>
      <c r="AD63" s="1363" t="n"/>
      <c r="AE63" s="1363" t="n"/>
      <c r="AF63" s="1363" t="n"/>
      <c r="AG63" s="1363" t="n"/>
      <c r="AH63" s="1363" t="n"/>
      <c r="AI63" s="1363" t="n"/>
      <c r="AJ63" s="1456" t="n"/>
      <c r="AK63" s="1461" t="n"/>
      <c r="AL63" s="1363" t="n"/>
      <c r="AM63" s="1363" t="n"/>
      <c r="AN63" s="1363" t="n"/>
      <c r="AO63" s="1363" t="n"/>
      <c r="AP63" s="1363" t="n"/>
      <c r="AQ63" s="1456" t="n"/>
      <c r="AR63" s="1436" t="n"/>
    </row>
    <row r="64" ht="14" customHeight="1" s="1354">
      <c r="B64" s="1396" t="n"/>
      <c r="G64" s="1463" t="n"/>
      <c r="H64" s="1363" t="n"/>
      <c r="I64" s="1363" t="n"/>
      <c r="J64" s="1363" t="n"/>
      <c r="K64" s="1363" t="n"/>
      <c r="L64" s="1363" t="n"/>
      <c r="M64" s="1363" t="n"/>
      <c r="N64" s="1363" t="n"/>
      <c r="O64" s="1363" t="n"/>
      <c r="P64" s="1363" t="n"/>
      <c r="Q64" s="1363" t="n"/>
      <c r="R64" s="1363" t="n"/>
      <c r="S64" s="1363" t="n"/>
      <c r="T64" s="1363" t="n"/>
      <c r="U64" s="1363" t="n"/>
      <c r="V64" s="1363" t="n"/>
      <c r="W64" s="1456" t="n"/>
      <c r="AB64" s="1462" t="n"/>
      <c r="AC64" s="1363" t="n"/>
      <c r="AD64" s="1363" t="n"/>
      <c r="AE64" s="1363" t="n"/>
      <c r="AF64" s="1363" t="n"/>
      <c r="AG64" s="1363" t="n"/>
      <c r="AH64" s="1363" t="n"/>
      <c r="AI64" s="1363" t="n"/>
      <c r="AJ64" s="1456" t="n"/>
      <c r="AK64" s="1461" t="n"/>
      <c r="AL64" s="1363" t="n"/>
      <c r="AM64" s="1363" t="n"/>
      <c r="AN64" s="1363" t="n"/>
      <c r="AO64" s="1363" t="n"/>
      <c r="AP64" s="1363" t="n"/>
      <c r="AQ64" s="1456" t="n"/>
      <c r="AR64" s="1436" t="n"/>
    </row>
    <row r="65" ht="14" customHeight="1" s="1354">
      <c r="B65" s="1396" t="n"/>
      <c r="G65" s="1464" t="n"/>
      <c r="H65" s="1403" t="n"/>
      <c r="I65" s="1403" t="n"/>
      <c r="J65" s="1403" t="n"/>
      <c r="K65" s="1403" t="n"/>
      <c r="L65" s="1403" t="n"/>
      <c r="M65" s="1403" t="n"/>
      <c r="N65" s="1403" t="n"/>
      <c r="O65" s="1403" t="n"/>
      <c r="P65" s="1403" t="n"/>
      <c r="Q65" s="1403" t="n"/>
      <c r="R65" s="1403" t="n"/>
      <c r="S65" s="1403" t="n"/>
      <c r="T65" s="1403" t="n"/>
      <c r="U65" s="1403" t="n"/>
      <c r="V65" s="1403" t="n"/>
      <c r="W65" s="1404" t="n"/>
      <c r="AB65" s="1465" t="n"/>
      <c r="AC65" s="1403" t="n"/>
      <c r="AD65" s="1403" t="n"/>
      <c r="AE65" s="1403" t="n"/>
      <c r="AF65" s="1403" t="n"/>
      <c r="AG65" s="1403" t="n"/>
      <c r="AH65" s="1403" t="n"/>
      <c r="AI65" s="1403" t="n"/>
      <c r="AJ65" s="1404" t="n"/>
      <c r="AK65" s="1466" t="n"/>
      <c r="AL65" s="1403" t="n"/>
      <c r="AM65" s="1403" t="n"/>
      <c r="AN65" s="1403" t="n"/>
      <c r="AO65" s="1403" t="n"/>
      <c r="AP65" s="1403" t="n"/>
      <c r="AQ65" s="1404" t="n"/>
      <c r="AR65" s="1436" t="n"/>
    </row>
    <row r="66" ht="14" customHeight="1" s="1354">
      <c r="B66" s="1396" t="n"/>
      <c r="H66" s="1418" t="inlineStr">
        <is>
          <t>Signature</t>
        </is>
      </c>
      <c r="I66" s="1419" t="n"/>
      <c r="J66" s="1419" t="n"/>
      <c r="K66" s="1419" t="n"/>
      <c r="L66" s="1419" t="n"/>
      <c r="M66" s="1419" t="n"/>
      <c r="N66" s="1419" t="n"/>
      <c r="O66" s="1419" t="n"/>
      <c r="P66" s="1419" t="n"/>
      <c r="Q66" s="1419" t="n"/>
      <c r="R66" s="1419" t="n"/>
      <c r="S66" s="1419" t="n"/>
      <c r="T66" s="1419" t="n"/>
      <c r="AK66" s="1467" t="n"/>
      <c r="AL66" s="1467" t="n"/>
      <c r="AM66" s="1467" t="n"/>
      <c r="AN66" s="1467" t="n"/>
      <c r="AO66" s="1467" t="n"/>
      <c r="AP66" s="1467" t="n"/>
      <c r="AQ66" s="1467" t="n"/>
      <c r="AR66" s="1436" t="n"/>
    </row>
    <row r="67" ht="14.5" customHeight="1" s="1354">
      <c r="B67" s="1468" t="n"/>
      <c r="C67" s="1469" t="n"/>
      <c r="D67" s="1469" t="n"/>
      <c r="E67" s="1469" t="n"/>
      <c r="F67" s="1469" t="n"/>
      <c r="G67" s="1469" t="n"/>
      <c r="H67" s="1469" t="n"/>
      <c r="I67" s="1469" t="n"/>
      <c r="J67" s="1469" t="n"/>
      <c r="K67" s="1469" t="n"/>
      <c r="L67" s="1469" t="n"/>
      <c r="M67" s="1469" t="n"/>
      <c r="N67" s="1469" t="n"/>
      <c r="O67" s="1469" t="n"/>
      <c r="P67" s="1469" t="n"/>
      <c r="Q67" s="1469" t="n"/>
      <c r="R67" s="1469" t="n"/>
      <c r="S67" s="1469" t="n"/>
      <c r="T67" s="1469" t="n"/>
      <c r="U67" s="1469" t="n"/>
      <c r="V67" s="1469" t="n"/>
      <c r="W67" s="1469" t="n"/>
      <c r="X67" s="1469" t="n"/>
      <c r="Y67" s="1469" t="n"/>
      <c r="Z67" s="1469" t="n"/>
      <c r="AA67" s="1469" t="n"/>
      <c r="AB67" s="1469" t="n"/>
      <c r="AC67" s="1469" t="n"/>
      <c r="AD67" s="1469" t="n"/>
      <c r="AE67" s="1469" t="n"/>
      <c r="AF67" s="1469" t="n"/>
      <c r="AG67" s="1469" t="n"/>
      <c r="AH67" s="1469" t="n"/>
      <c r="AI67" s="1469" t="n"/>
      <c r="AJ67" s="1469" t="n"/>
      <c r="AK67" s="1469" t="n"/>
      <c r="AL67" s="1469" t="n"/>
      <c r="AM67" s="1469" t="n"/>
      <c r="AN67" s="1469" t="n"/>
      <c r="AO67" s="1469" t="n"/>
      <c r="AP67" s="1469" t="n"/>
      <c r="AQ67" s="1469" t="n"/>
      <c r="AR67" s="1470" t="n"/>
    </row>
  </sheetData>
  <mergeCells count="82">
    <mergeCell ref="W12:Z12"/>
    <mergeCell ref="AB59:AJ59"/>
    <mergeCell ref="AC8:AK8"/>
    <mergeCell ref="AB61:AJ61"/>
    <mergeCell ref="AN10:AQ10"/>
    <mergeCell ref="AN26:AR26"/>
    <mergeCell ref="AK61:AQ61"/>
    <mergeCell ref="AN25:AR25"/>
    <mergeCell ref="G39:AO39"/>
    <mergeCell ref="H54:W54"/>
    <mergeCell ref="AB10:AG10"/>
    <mergeCell ref="AB65:AJ65"/>
    <mergeCell ref="Q26:T26"/>
    <mergeCell ref="E16:I16"/>
    <mergeCell ref="AB63:AJ63"/>
    <mergeCell ref="K8:T8"/>
    <mergeCell ref="AK63:AQ63"/>
    <mergeCell ref="G44:AR44"/>
    <mergeCell ref="G56:W56"/>
    <mergeCell ref="AN23:AQ23"/>
    <mergeCell ref="AK56:AQ56"/>
    <mergeCell ref="AK65:AQ65"/>
    <mergeCell ref="W14:Z14"/>
    <mergeCell ref="AA25:AF25"/>
    <mergeCell ref="M5:AR5"/>
    <mergeCell ref="AL22:AR22"/>
    <mergeCell ref="AG25:AM25"/>
    <mergeCell ref="G53:W53"/>
    <mergeCell ref="AB62:AJ62"/>
    <mergeCell ref="R23:Z23"/>
    <mergeCell ref="G34:AR34"/>
    <mergeCell ref="AG51:AR51"/>
    <mergeCell ref="H60:W60"/>
    <mergeCell ref="AB55:AJ55"/>
    <mergeCell ref="AC6:AG6"/>
    <mergeCell ref="AB64:AJ64"/>
    <mergeCell ref="AK54:AQ54"/>
    <mergeCell ref="AK55:AQ55"/>
    <mergeCell ref="AB54:AJ54"/>
    <mergeCell ref="AK64:AQ64"/>
    <mergeCell ref="J16:P16"/>
    <mergeCell ref="AK59:AQ59"/>
    <mergeCell ref="P19:V19"/>
    <mergeCell ref="H57:W57"/>
    <mergeCell ref="G40:AO40"/>
    <mergeCell ref="G62:W65"/>
    <mergeCell ref="AE26:AK26"/>
    <mergeCell ref="AB57:AJ57"/>
    <mergeCell ref="G19:K19"/>
    <mergeCell ref="W25:Z25"/>
    <mergeCell ref="W8:AB8"/>
    <mergeCell ref="AK57:AQ57"/>
    <mergeCell ref="G25:L25"/>
    <mergeCell ref="B6:AB6"/>
    <mergeCell ref="AB16:AN16"/>
    <mergeCell ref="B7:G7"/>
    <mergeCell ref="G30:AK31"/>
    <mergeCell ref="AK58:AQ58"/>
    <mergeCell ref="AK60:AQ60"/>
    <mergeCell ref="G29:AO29"/>
    <mergeCell ref="H66:T66"/>
    <mergeCell ref="AC53:AQ53"/>
    <mergeCell ref="G59:W59"/>
    <mergeCell ref="AB56:AJ56"/>
    <mergeCell ref="G42:AR42"/>
    <mergeCell ref="Q25:T25"/>
    <mergeCell ref="H45:AK45"/>
    <mergeCell ref="G26:L26"/>
    <mergeCell ref="G38:AO38"/>
    <mergeCell ref="AK62:AQ62"/>
    <mergeCell ref="G28:AR28"/>
    <mergeCell ref="G37:AR37"/>
    <mergeCell ref="AI6:AR6"/>
    <mergeCell ref="G22:AJ22"/>
    <mergeCell ref="AJ19:AP19"/>
    <mergeCell ref="AN32:AQ32"/>
    <mergeCell ref="AB58:AJ58"/>
    <mergeCell ref="I32:AJ32"/>
    <mergeCell ref="AB26:AD26"/>
    <mergeCell ref="G35:AO35"/>
    <mergeCell ref="AB60:AJ60"/>
    <mergeCell ref="H7:T7"/>
  </mergeCells>
  <hyperlinks>
    <hyperlink xmlns:r="http://schemas.openxmlformats.org/officeDocument/2006/relationships" ref="Q26" display="email" r:id="rId1"/>
  </hyperlinks>
  <printOptions horizontalCentered="0" verticalCentered="0" headings="0" gridLines="0" gridLinesSet="1"/>
  <pageMargins left="0.708333333333333" right="0.708333333333333" top="0.747916666666667" bottom="0.747916666666667" header="0.511811023622047" footer="0.511811023622047"/>
  <pageSetup orientation="portrait" paperSize="9" scale="7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E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37" activeCellId="2" sqref="B30:P30 B34:P34 B37:P37"/>
    </sheetView>
  </sheetViews>
  <sheetFormatPr baseColWidth="8" defaultColWidth="10.8125" defaultRowHeight="14" zeroHeight="0" outlineLevelRow="0"/>
  <cols>
    <col width="5.99" customWidth="1" style="1353" min="1" max="1"/>
    <col width="2.72" customWidth="1" style="1353" min="2" max="2"/>
    <col width="0.99" customWidth="1" style="1353" min="3" max="3"/>
    <col width="4.26" customWidth="1" style="1353" min="4" max="4"/>
    <col width="2.72" customWidth="1" style="1353" min="5" max="11"/>
    <col width="1.44" customWidth="1" style="1353" min="12" max="12"/>
    <col width="2.72" customWidth="1" style="1353" min="13" max="15"/>
    <col width="1.44" customWidth="1" style="1353" min="16" max="16"/>
    <col width="1.81" customWidth="1" style="1353" min="17" max="17"/>
    <col width="2.81" customWidth="1" style="1353" min="18" max="18"/>
    <col width="2.72" customWidth="1" style="1353" min="19" max="20"/>
    <col width="2.81" customWidth="1" style="1353" min="21" max="21"/>
    <col width="3.17" customWidth="1" style="1353" min="22" max="23"/>
    <col width="2.26" customWidth="1" style="1353" min="24" max="24"/>
    <col width="2.72" customWidth="1" style="1353" min="25" max="25"/>
    <col width="1.26" customWidth="1" style="1353" min="26" max="26"/>
    <col width="1.17" customWidth="1" style="1353" min="27" max="27"/>
    <col width="2.72" customWidth="1" style="1353" min="28" max="28"/>
    <col width="1.26" customWidth="1" style="1353" min="29" max="30"/>
    <col width="3.44" customWidth="1" style="1353" min="31" max="31"/>
    <col width="2.72" customWidth="1" style="1353" min="32" max="32"/>
    <col width="6.72" customWidth="1" style="1353" min="33" max="33"/>
    <col width="4.26" customWidth="1" style="1353" min="34" max="34"/>
    <col width="3.72" customWidth="1" style="1353" min="35" max="35"/>
    <col width="5.44" customWidth="1" style="1353" min="36" max="36"/>
    <col width="2.72" customWidth="1" style="1353" min="37" max="37"/>
    <col width="4.44" customWidth="1" style="1353" min="38" max="38"/>
    <col width="2.72" customWidth="1" style="1353" min="39" max="54"/>
    <col width="10.81" customWidth="1" style="1353" min="55" max="257"/>
  </cols>
  <sheetData>
    <row r="1"/>
    <row r="2"/>
    <row r="3"/>
    <row r="4" ht="14" customFormat="1" customHeight="1" s="1355">
      <c r="B4" s="1471" t="n"/>
      <c r="C4" s="1419" t="n"/>
      <c r="D4" s="1419" t="n"/>
      <c r="E4" s="1419" t="n"/>
      <c r="F4" s="1419" t="n"/>
      <c r="G4" s="1419" t="n"/>
      <c r="H4" s="1419" t="n"/>
      <c r="I4" s="1419" t="n"/>
      <c r="J4" s="1419" t="n"/>
      <c r="K4" s="1419" t="n"/>
      <c r="L4" s="1419" t="n"/>
      <c r="M4" s="1419" t="n"/>
      <c r="N4" s="1419" t="n"/>
      <c r="O4" s="1419" t="n"/>
      <c r="P4" s="1419" t="n"/>
      <c r="Q4" s="1419" t="n"/>
      <c r="R4" s="1419" t="n"/>
      <c r="S4" s="1419" t="n"/>
      <c r="T4" s="1419" t="n"/>
      <c r="U4" s="1419" t="n"/>
      <c r="V4" s="1419" t="n"/>
      <c r="W4" s="1419" t="n"/>
      <c r="X4" s="1419" t="n"/>
      <c r="Y4" s="1419" t="n"/>
      <c r="Z4" s="1419" t="n"/>
      <c r="AA4" s="1419" t="n"/>
      <c r="AB4" s="1419" t="n"/>
      <c r="AC4" s="1419" t="n"/>
      <c r="AD4" s="1419" t="n"/>
      <c r="AE4" s="1419" t="n"/>
      <c r="AF4" s="1419" t="n"/>
      <c r="AG4" s="1419" t="n"/>
      <c r="AH4" s="1419" t="n"/>
      <c r="AI4" s="1419" t="n"/>
      <c r="AJ4" s="1419" t="n"/>
      <c r="AK4" s="1453" t="n"/>
    </row>
    <row r="5" ht="14" customFormat="1" customHeight="1" s="1355">
      <c r="A5" s="1472" t="n"/>
      <c r="B5" s="1473" t="inlineStr">
        <is>
          <t>Désignation entité : ENTREPRISE TEST SARL</t>
        </is>
      </c>
      <c r="C5" s="1472" t="n"/>
      <c r="D5" s="1472" t="n"/>
      <c r="E5" s="1472" t="n"/>
      <c r="F5" s="1472" t="n"/>
      <c r="G5" s="1472" t="n"/>
      <c r="H5" s="1472" t="n"/>
      <c r="I5" s="1472" t="n"/>
      <c r="J5" s="1474" t="n"/>
      <c r="K5" s="1363" t="n"/>
      <c r="L5" s="1363" t="n"/>
      <c r="M5" s="1363" t="n"/>
      <c r="N5" s="1363" t="n"/>
      <c r="O5" s="1363" t="n"/>
      <c r="P5" s="1363" t="n"/>
      <c r="Q5" s="1363" t="n"/>
      <c r="R5" s="1363" t="n"/>
      <c r="S5" s="1363" t="n"/>
      <c r="T5" s="1363" t="n"/>
      <c r="U5" s="1363" t="n"/>
      <c r="V5" s="1363" t="n"/>
      <c r="W5" s="1363" t="n"/>
      <c r="X5" s="1363" t="n"/>
      <c r="Y5" s="1363" t="n"/>
      <c r="Z5" s="1363" t="n"/>
      <c r="AB5" s="1384" t="inlineStr">
        <is>
          <t>Exercice clos le : 31/12/2025</t>
        </is>
      </c>
      <c r="AC5" s="1363" t="n"/>
      <c r="AD5" s="1363" t="n"/>
      <c r="AE5" s="1363" t="n"/>
      <c r="AF5" s="1363" t="n"/>
      <c r="AG5" s="1363" t="n"/>
      <c r="AH5" s="1475" t="n"/>
      <c r="AI5" s="1363" t="n"/>
      <c r="AJ5" s="1363" t="n"/>
      <c r="AK5" s="1456" t="n"/>
    </row>
    <row r="6" ht="14.25" customFormat="1" customHeight="1" s="1355">
      <c r="A6" s="1472" t="n"/>
      <c r="B6" s="1473" t="inlineStr">
        <is>
          <t>Numéro d'identification : CD/KNG/RCCM/23-B-01234</t>
        </is>
      </c>
      <c r="C6" s="1472" t="n"/>
      <c r="D6" s="1472" t="n"/>
      <c r="E6" s="1472" t="n"/>
      <c r="F6" s="1472" t="n"/>
      <c r="G6" s="1472" t="n"/>
      <c r="H6" s="1472" t="n"/>
      <c r="I6" s="1472" t="n"/>
      <c r="K6" s="1476">
        <f>'FICHE R1 '!K8:T8</f>
        <v/>
      </c>
      <c r="L6" s="1363" t="n"/>
      <c r="M6" s="1363" t="n"/>
      <c r="N6" s="1363" t="n"/>
      <c r="O6" s="1363" t="n"/>
      <c r="P6" s="1363" t="n"/>
      <c r="Q6" s="1363" t="n"/>
      <c r="R6" s="1363" t="n"/>
      <c r="S6" s="1363" t="n"/>
      <c r="AB6" s="1384" t="inlineStr">
        <is>
          <t>Durée (en mois) 12 : 12</t>
        </is>
      </c>
      <c r="AC6" s="1477" t="n"/>
      <c r="AD6" s="1477" t="n"/>
      <c r="AE6" s="1478" t="n"/>
      <c r="AF6" s="1363" t="n"/>
      <c r="AG6" s="1363" t="n"/>
      <c r="AH6" s="1363" t="n"/>
      <c r="AI6" s="1363" t="n"/>
      <c r="AJ6" s="1363" t="n"/>
      <c r="AK6" s="1456" t="n"/>
    </row>
    <row r="7" ht="14" customFormat="1" customHeight="1" s="1355">
      <c r="B7" s="1479" t="n"/>
      <c r="AC7" s="1477" t="n"/>
      <c r="AD7" s="1477" t="n"/>
      <c r="AE7" s="1480" t="n"/>
      <c r="AF7" s="1363" t="n"/>
      <c r="AG7" s="1363" t="n"/>
      <c r="AH7" s="1363" t="n"/>
      <c r="AI7" s="1363" t="n"/>
      <c r="AJ7" s="1363" t="n"/>
      <c r="AK7" s="1456" t="n"/>
    </row>
    <row r="8" ht="14.25" customFormat="1" customHeight="1" s="1355">
      <c r="B8" s="1481" t="n"/>
      <c r="C8" s="1372" t="n"/>
      <c r="I8" s="1379" t="n"/>
      <c r="J8" s="1380" t="n"/>
      <c r="K8" s="1380" t="n"/>
      <c r="L8" s="1380" t="n"/>
      <c r="M8" s="1380" t="n"/>
      <c r="N8" s="1380" t="n"/>
      <c r="O8" s="1380" t="n"/>
      <c r="P8" s="1380" t="n"/>
      <c r="Q8" s="1380" t="n"/>
      <c r="R8" s="1364" t="n"/>
      <c r="S8" s="1364" t="n"/>
      <c r="T8" s="1364" t="n"/>
      <c r="U8" s="1364" t="n"/>
      <c r="V8" s="1364" t="n"/>
      <c r="W8" s="1364" t="n"/>
      <c r="X8" s="1381" t="n"/>
      <c r="Y8" s="1381" t="n"/>
      <c r="Z8" s="1381" t="n"/>
      <c r="AA8" s="1381" t="n"/>
      <c r="AB8" s="1381" t="n"/>
      <c r="AC8" s="1364" t="n"/>
      <c r="AD8" s="1364" t="n"/>
      <c r="AE8" s="1364" t="n"/>
      <c r="AF8" s="1364" t="n"/>
      <c r="AG8" s="1364" t="n"/>
      <c r="AH8" s="1364" t="n"/>
      <c r="AI8" s="1376" t="n"/>
      <c r="AJ8" s="1376" t="n"/>
      <c r="AK8" s="1482" t="n"/>
    </row>
    <row r="9" ht="14.25" customFormat="1" customHeight="1" s="1355">
      <c r="B9" s="1483" t="n"/>
      <c r="C9" s="1484" t="n"/>
      <c r="D9" s="1484" t="n"/>
      <c r="E9" s="1484" t="n"/>
      <c r="F9" s="1484" t="n"/>
      <c r="G9" s="1484" t="n"/>
      <c r="H9" s="1484" t="n"/>
      <c r="I9" s="1484" t="n"/>
      <c r="J9" s="1484" t="n"/>
      <c r="K9" s="1484" t="n"/>
      <c r="L9" s="1484" t="n"/>
      <c r="M9" s="1484" t="n"/>
      <c r="N9" s="1484" t="n"/>
      <c r="O9" s="1484" t="n"/>
      <c r="P9" s="1484" t="n"/>
      <c r="Q9" s="1484" t="n"/>
      <c r="R9" s="1484" t="n"/>
      <c r="S9" s="1484" t="n"/>
      <c r="T9" s="1485" t="n"/>
      <c r="U9" s="1486" t="n"/>
      <c r="V9" s="1487" t="n"/>
      <c r="W9" s="1488" t="inlineStr">
        <is>
          <t>Contrôle de l'entité (cocher la case)</t>
        </is>
      </c>
      <c r="X9" s="1448" t="n"/>
      <c r="Y9" s="1448" t="n"/>
      <c r="Z9" s="1448" t="n"/>
      <c r="AA9" s="1448" t="n"/>
      <c r="AB9" s="1448" t="n"/>
      <c r="AC9" s="1448" t="n"/>
      <c r="AD9" s="1448" t="n"/>
      <c r="AE9" s="1448" t="n"/>
      <c r="AF9" s="1448" t="n"/>
      <c r="AG9" s="1448" t="n"/>
      <c r="AH9" s="1448" t="n"/>
      <c r="AI9" s="1448" t="n"/>
      <c r="AJ9" s="1448" t="n"/>
      <c r="AK9" s="1449" t="n"/>
    </row>
    <row r="10" ht="14.25" customFormat="1" customHeight="1" s="1355">
      <c r="B10" s="1489" t="inlineStr">
        <is>
          <t>ZK</t>
        </is>
      </c>
      <c r="C10" s="1353" t="n"/>
      <c r="D10" s="1389" t="inlineStr">
        <is>
          <t>Forme juridique (1) :</t>
        </is>
      </c>
      <c r="E10" s="1353" t="n"/>
      <c r="F10" s="1353" t="n"/>
      <c r="G10" s="1353" t="n"/>
      <c r="H10" s="1353" t="n"/>
      <c r="I10" s="1353" t="n"/>
      <c r="J10" s="1353" t="n"/>
      <c r="K10" s="1353" t="n"/>
      <c r="L10" s="1353" t="n"/>
      <c r="M10" s="1353" t="n"/>
      <c r="N10" s="1353" t="n"/>
      <c r="O10" s="1384" t="n"/>
      <c r="P10" s="1384" t="n"/>
      <c r="Q10" s="1384" t="n"/>
      <c r="R10" s="1490" t="n"/>
      <c r="S10" s="1490" t="n"/>
      <c r="T10" s="1491" t="n"/>
      <c r="U10" s="1384" t="n"/>
      <c r="V10" s="1384" t="n"/>
      <c r="W10" s="1489" t="inlineStr">
        <is>
          <t>ZQ</t>
        </is>
      </c>
      <c r="X10" s="1383" t="inlineStr">
        <is>
          <t xml:space="preserve"> Entité sous contrôle public</t>
        </is>
      </c>
      <c r="Y10" s="1384" t="n"/>
      <c r="Z10" s="1384" t="n"/>
      <c r="AA10" s="1384" t="n"/>
      <c r="AB10" s="1384" t="n"/>
      <c r="AC10" s="1384" t="n"/>
      <c r="AD10" s="1384" t="n"/>
      <c r="AE10" s="1384" t="n"/>
      <c r="AF10" s="1384" t="n"/>
      <c r="AG10" s="1384" t="n"/>
      <c r="AH10" s="1384" t="n"/>
      <c r="AI10" s="1492" t="n"/>
      <c r="AJ10" s="1493" t="n"/>
      <c r="AK10" s="1487" t="n"/>
    </row>
    <row r="11" ht="14.25" customFormat="1" customHeight="1" s="1355">
      <c r="B11" s="1437" t="n"/>
      <c r="C11" s="1353" t="n"/>
      <c r="D11" s="1353" t="n"/>
      <c r="E11" s="1353" t="n"/>
      <c r="F11" s="1353" t="n"/>
      <c r="G11" s="1353" t="n"/>
      <c r="H11" s="1353" t="n"/>
      <c r="I11" s="1353" t="n"/>
      <c r="J11" s="1353" t="n"/>
      <c r="K11" s="1353" t="n"/>
      <c r="L11" s="1353" t="n"/>
      <c r="M11" s="1353" t="n"/>
      <c r="N11" s="1353" t="n"/>
      <c r="O11" s="1384" t="n"/>
      <c r="P11" s="1384" t="n"/>
      <c r="Q11" s="1384" t="n"/>
      <c r="R11" s="1397" t="n"/>
      <c r="S11" s="1397" t="n"/>
      <c r="T11" s="1398" t="n"/>
      <c r="U11" s="1384" t="n"/>
      <c r="V11" s="1384" t="n"/>
      <c r="W11" s="1473" t="n"/>
      <c r="X11" s="1384" t="n"/>
      <c r="Y11" s="1384" t="n"/>
      <c r="Z11" s="1384" t="n"/>
      <c r="AA11" s="1384" t="n"/>
      <c r="AB11" s="1384" t="n"/>
      <c r="AC11" s="1384" t="n"/>
      <c r="AD11" s="1384" t="n"/>
      <c r="AE11" s="1384" t="n"/>
      <c r="AF11" s="1384" t="n"/>
      <c r="AG11" s="1384" t="n"/>
      <c r="AH11" s="1384" t="n"/>
      <c r="AI11" s="1473" t="n"/>
      <c r="AJ11" s="1384" t="n"/>
      <c r="AK11" s="1494" t="n"/>
    </row>
    <row r="12" ht="14.25" customFormat="1" customHeight="1" s="1355">
      <c r="B12" s="1489" t="inlineStr">
        <is>
          <t>ZL</t>
        </is>
      </c>
      <c r="C12" s="1353" t="n"/>
      <c r="D12" s="1389" t="inlineStr">
        <is>
          <t>Régime fiscal (1) :</t>
        </is>
      </c>
      <c r="E12" s="1353" t="n"/>
      <c r="F12" s="1353" t="n"/>
      <c r="G12" s="1353" t="n"/>
      <c r="H12" s="1353" t="n"/>
      <c r="I12" s="1353" t="n"/>
      <c r="J12" s="1353" t="n"/>
      <c r="K12" s="1353" t="n"/>
      <c r="L12" s="1353" t="n"/>
      <c r="M12" s="1353" t="n"/>
      <c r="N12" s="1353" t="n"/>
      <c r="O12" s="1384" t="n"/>
      <c r="P12" s="1384" t="n"/>
      <c r="Q12" s="1384" t="n"/>
      <c r="R12" s="1490" t="n"/>
      <c r="S12" s="1495" t="n"/>
      <c r="T12" s="1398" t="n"/>
      <c r="U12" s="1384" t="n"/>
      <c r="V12" s="1384" t="n"/>
      <c r="W12" s="1489" t="inlineStr">
        <is>
          <t>ZR</t>
        </is>
      </c>
      <c r="X12" s="1383" t="inlineStr">
        <is>
          <t xml:space="preserve"> Entité sous contrôle privé national</t>
        </is>
      </c>
      <c r="Y12" s="1384" t="n"/>
      <c r="Z12" s="1384" t="n"/>
      <c r="AA12" s="1384" t="n"/>
      <c r="AB12" s="1384" t="n"/>
      <c r="AC12" s="1384" t="n"/>
      <c r="AD12" s="1384" t="n"/>
      <c r="AE12" s="1384" t="n"/>
      <c r="AF12" s="1384" t="n"/>
      <c r="AG12" s="1384" t="n"/>
      <c r="AH12" s="1384" t="n"/>
      <c r="AI12" s="1473" t="n"/>
      <c r="AJ12" s="1496" t="n"/>
      <c r="AK12" s="1494" t="n"/>
    </row>
    <row r="13" ht="14.25" customFormat="1" customHeight="1" s="1355">
      <c r="B13" s="1437" t="n"/>
      <c r="C13" s="1353" t="n"/>
      <c r="D13" s="1353" t="n"/>
      <c r="E13" s="1353" t="n"/>
      <c r="F13" s="1353" t="n"/>
      <c r="G13" s="1353" t="n"/>
      <c r="H13" s="1353" t="n"/>
      <c r="I13" s="1353" t="n"/>
      <c r="J13" s="1353" t="n"/>
      <c r="K13" s="1353" t="n"/>
      <c r="L13" s="1353" t="n"/>
      <c r="M13" s="1353" t="n"/>
      <c r="N13" s="1353" t="n"/>
      <c r="O13" s="1384" t="n"/>
      <c r="P13" s="1384" t="n"/>
      <c r="Q13" s="1384" t="n"/>
      <c r="R13" s="1397" t="n"/>
      <c r="S13" s="1397" t="n"/>
      <c r="T13" s="1398" t="n"/>
      <c r="U13" s="1384" t="n"/>
      <c r="V13" s="1384" t="n"/>
      <c r="W13" s="1473" t="n"/>
      <c r="X13" s="1384" t="n"/>
      <c r="Y13" s="1384" t="n"/>
      <c r="Z13" s="1384" t="n"/>
      <c r="AA13" s="1384" t="n"/>
      <c r="AB13" s="1384" t="n"/>
      <c r="AC13" s="1384" t="n"/>
      <c r="AD13" s="1384" t="n"/>
      <c r="AE13" s="1384" t="n"/>
      <c r="AF13" s="1384" t="n"/>
      <c r="AG13" s="1384" t="n"/>
      <c r="AH13" s="1384" t="n"/>
      <c r="AI13" s="1473" t="n"/>
      <c r="AJ13" s="1401" t="n"/>
      <c r="AK13" s="1494" t="n"/>
    </row>
    <row r="14" ht="14.25" customFormat="1" customHeight="1" s="1355">
      <c r="B14" s="1489" t="inlineStr">
        <is>
          <t>ZM</t>
        </is>
      </c>
      <c r="C14" s="1353" t="n"/>
      <c r="D14" s="1389" t="inlineStr">
        <is>
          <t>Pays du siège social (1) :</t>
        </is>
      </c>
      <c r="E14" s="1353" t="n"/>
      <c r="F14" s="1353" t="n"/>
      <c r="G14" s="1353" t="n"/>
      <c r="H14" s="1353" t="n"/>
      <c r="I14" s="1353" t="n"/>
      <c r="J14" s="1353" t="n"/>
      <c r="K14" s="1353" t="n"/>
      <c r="L14" s="1353" t="n"/>
      <c r="M14" s="1353" t="n"/>
      <c r="N14" s="1353" t="n"/>
      <c r="O14" s="1384" t="n"/>
      <c r="P14" s="1384" t="n"/>
      <c r="Q14" s="1384" t="n"/>
      <c r="R14" s="1490" t="n"/>
      <c r="S14" s="1490" t="n"/>
      <c r="T14" s="1407" t="n"/>
      <c r="U14" s="1384" t="n"/>
      <c r="V14" s="1384" t="n"/>
      <c r="W14" s="1489" t="inlineStr">
        <is>
          <t>ZS</t>
        </is>
      </c>
      <c r="X14" s="1383" t="inlineStr">
        <is>
          <t xml:space="preserve"> Entité sous contrôle privé étranger</t>
        </is>
      </c>
      <c r="Y14" s="1384" t="n"/>
      <c r="Z14" s="1384" t="n"/>
      <c r="AA14" s="1384" t="n"/>
      <c r="AB14" s="1384" t="n"/>
      <c r="AC14" s="1384" t="n"/>
      <c r="AD14" s="1384" t="n"/>
      <c r="AE14" s="1384" t="n"/>
      <c r="AF14" s="1384" t="n"/>
      <c r="AG14" s="1384" t="n"/>
      <c r="AH14" s="1384" t="n"/>
      <c r="AI14" s="1473" t="n"/>
      <c r="AJ14" s="1496" t="n"/>
      <c r="AK14" s="1494" t="n"/>
    </row>
    <row r="15" ht="14.25" customFormat="1" customHeight="1" s="1355">
      <c r="B15" s="1437" t="n"/>
      <c r="C15" s="1353" t="n"/>
      <c r="D15" s="1353" t="n"/>
      <c r="E15" s="1353" t="n"/>
      <c r="F15" s="1353" t="n"/>
      <c r="G15" s="1353" t="n"/>
      <c r="H15" s="1353" t="n"/>
      <c r="I15" s="1353" t="n"/>
      <c r="J15" s="1353" t="n"/>
      <c r="K15" s="1353" t="n"/>
      <c r="L15" s="1353" t="n"/>
      <c r="M15" s="1353" t="n"/>
      <c r="N15" s="1353" t="n"/>
      <c r="O15" s="1384" t="n"/>
      <c r="P15" s="1384" t="n"/>
      <c r="Q15" s="1384" t="n"/>
      <c r="R15" s="1397" t="n"/>
      <c r="S15" s="1397" t="n"/>
      <c r="T15" s="1398" t="n"/>
      <c r="U15" s="1384" t="n"/>
      <c r="V15" s="1384" t="n"/>
      <c r="W15" s="1473" t="n"/>
      <c r="X15" s="1384" t="n"/>
      <c r="Y15" s="1384" t="n"/>
      <c r="Z15" s="1384" t="n"/>
      <c r="AA15" s="1384" t="n"/>
      <c r="AB15" s="1384" t="n"/>
      <c r="AC15" s="1384" t="n"/>
      <c r="AD15" s="1384" t="n"/>
      <c r="AE15" s="1384" t="n"/>
      <c r="AF15" s="1384" t="n"/>
      <c r="AG15" s="1384" t="n"/>
      <c r="AH15" s="1384" t="n"/>
      <c r="AI15" s="1473" t="n"/>
      <c r="AJ15" s="1384" t="n"/>
      <c r="AK15" s="1494" t="n"/>
    </row>
    <row r="16" ht="14.25" customFormat="1" customHeight="1" s="1355">
      <c r="B16" s="1489" t="inlineStr">
        <is>
          <t>ZN</t>
        </is>
      </c>
      <c r="D16" s="1497" t="inlineStr">
        <is>
          <t>Nombre d'établissements dans le pays :</t>
        </is>
      </c>
      <c r="E16" s="1353" t="n"/>
      <c r="F16" s="1353" t="n"/>
      <c r="G16" s="1353" t="n"/>
      <c r="H16" s="1353" t="n"/>
      <c r="I16" s="1353" t="n"/>
      <c r="J16" s="1353" t="n"/>
      <c r="K16" s="1353" t="n"/>
      <c r="L16" s="1353" t="n"/>
      <c r="M16" s="1353" t="n"/>
      <c r="N16" s="1353" t="n"/>
      <c r="O16" s="1384" t="n"/>
      <c r="P16" s="1384" t="n"/>
      <c r="Q16" s="1384" t="n"/>
      <c r="R16" s="1490" t="n"/>
      <c r="S16" s="1490" t="n"/>
      <c r="T16" s="1398" t="n"/>
      <c r="U16" s="1384" t="n"/>
      <c r="V16" s="1384" t="n"/>
      <c r="W16" s="1473" t="n"/>
      <c r="X16" s="1384" t="n"/>
      <c r="Y16" s="1384" t="n"/>
      <c r="Z16" s="1384" t="n"/>
      <c r="AA16" s="1384" t="n"/>
      <c r="AB16" s="1384" t="n"/>
      <c r="AC16" s="1384" t="n"/>
      <c r="AD16" s="1384" t="n"/>
      <c r="AE16" s="1384" t="n"/>
      <c r="AF16" s="1384" t="n"/>
      <c r="AG16" s="1384" t="n"/>
      <c r="AH16" s="1384" t="n"/>
      <c r="AI16" s="1473" t="n"/>
      <c r="AJ16" s="1384" t="n"/>
      <c r="AK16" s="1494" t="n"/>
    </row>
    <row r="17" ht="14.25" customFormat="1" customHeight="1" s="1355">
      <c r="B17" s="1437" t="n"/>
      <c r="C17" s="1353" t="n"/>
      <c r="D17" s="1353" t="n"/>
      <c r="E17" s="1353" t="n"/>
      <c r="F17" s="1353" t="n"/>
      <c r="G17" s="1353" t="n"/>
      <c r="H17" s="1353" t="n"/>
      <c r="I17" s="1353" t="n"/>
      <c r="J17" s="1353" t="n"/>
      <c r="K17" s="1353" t="n"/>
      <c r="L17" s="1353" t="n"/>
      <c r="M17" s="1353" t="n"/>
      <c r="N17" s="1353" t="n"/>
      <c r="O17" s="1384" t="n"/>
      <c r="P17" s="1384" t="n"/>
      <c r="Q17" s="1384" t="n"/>
      <c r="R17" s="1353" t="n"/>
      <c r="S17" s="1353" t="n"/>
      <c r="T17" s="1398" t="n"/>
      <c r="U17" s="1384" t="n"/>
      <c r="V17" s="1384" t="n"/>
      <c r="W17" s="1473" t="n"/>
      <c r="X17" s="1384" t="n"/>
      <c r="Y17" s="1384" t="n"/>
      <c r="Z17" s="1384" t="n"/>
      <c r="AA17" s="1384" t="n"/>
      <c r="AB17" s="1384" t="n"/>
      <c r="AC17" s="1384" t="n"/>
      <c r="AD17" s="1384" t="n"/>
      <c r="AE17" s="1384" t="n"/>
      <c r="AF17" s="1384" t="n"/>
      <c r="AG17" s="1384" t="n"/>
      <c r="AH17" s="1384" t="n"/>
      <c r="AI17" s="1473" t="n"/>
      <c r="AJ17" s="1384" t="n"/>
      <c r="AK17" s="1494" t="n"/>
    </row>
    <row r="18" ht="14.25" customFormat="1" customHeight="1" s="1355">
      <c r="B18" s="1489" t="inlineStr">
        <is>
          <t>ZO</t>
        </is>
      </c>
      <c r="C18" s="1353" t="n"/>
      <c r="D18" s="1389" t="inlineStr">
        <is>
          <t xml:space="preserve">Nombre d'établissements hors du pays pour </t>
        </is>
      </c>
      <c r="E18" s="1353" t="n"/>
      <c r="F18" s="1353" t="n"/>
      <c r="G18" s="1353" t="n"/>
      <c r="H18" s="1353" t="n"/>
      <c r="I18" s="1353" t="n"/>
      <c r="J18" s="1353" t="n"/>
      <c r="K18" s="1353" t="n"/>
      <c r="L18" s="1353" t="n"/>
      <c r="M18" s="1353" t="n"/>
      <c r="N18" s="1353" t="n"/>
      <c r="O18" s="1384" t="n"/>
      <c r="P18" s="1384" t="n"/>
      <c r="Q18" s="1384" t="n"/>
      <c r="R18" s="1490" t="n"/>
      <c r="S18" s="1490" t="n"/>
      <c r="T18" s="1398" t="n"/>
      <c r="U18" s="1384" t="n"/>
      <c r="V18" s="1384" t="n"/>
      <c r="W18" s="1473" t="n"/>
      <c r="X18" s="1384" t="n"/>
      <c r="Y18" s="1384" t="n"/>
      <c r="Z18" s="1384" t="n"/>
      <c r="AA18" s="1384" t="n"/>
      <c r="AB18" s="1384" t="n"/>
      <c r="AC18" s="1384" t="n"/>
      <c r="AD18" s="1384" t="n"/>
      <c r="AE18" s="1384" t="n"/>
      <c r="AF18" s="1384" t="n"/>
      <c r="AG18" s="1384" t="n"/>
      <c r="AH18" s="1384" t="n"/>
      <c r="AI18" s="1473" t="n"/>
      <c r="AJ18" s="1384" t="n"/>
      <c r="AK18" s="1494" t="n"/>
    </row>
    <row r="19" ht="14.25" customFormat="1" customHeight="1" s="1355">
      <c r="B19" s="1473" t="n"/>
      <c r="C19" s="1353" t="n"/>
      <c r="D19" s="1389" t="inlineStr">
        <is>
          <t>lesquels une comptabilité distincte est tenue :</t>
        </is>
      </c>
      <c r="E19" s="1353" t="n"/>
      <c r="F19" s="1353" t="n"/>
      <c r="G19" s="1353" t="n"/>
      <c r="H19" s="1353" t="n"/>
      <c r="I19" s="1353" t="n"/>
      <c r="J19" s="1353" t="n"/>
      <c r="K19" s="1353" t="n"/>
      <c r="L19" s="1353" t="n"/>
      <c r="M19" s="1353" t="n"/>
      <c r="N19" s="1353" t="n"/>
      <c r="O19" s="1384" t="n"/>
      <c r="P19" s="1384" t="n"/>
      <c r="Q19" s="1384" t="n"/>
      <c r="R19" s="1353" t="n"/>
      <c r="S19" s="1353" t="n"/>
      <c r="T19" s="1398" t="n"/>
      <c r="U19" s="1384" t="n"/>
      <c r="V19" s="1384" t="n"/>
      <c r="W19" s="1473" t="n"/>
      <c r="X19" s="1384" t="n"/>
      <c r="Y19" s="1384" t="n"/>
      <c r="Z19" s="1384" t="n"/>
      <c r="AA19" s="1384" t="n"/>
      <c r="AB19" s="1384" t="n"/>
      <c r="AC19" s="1384" t="n"/>
      <c r="AD19" s="1384" t="n"/>
      <c r="AE19" s="1384" t="n"/>
      <c r="AF19" s="1384" t="n"/>
      <c r="AG19" s="1384" t="n"/>
      <c r="AH19" s="1384" t="n"/>
      <c r="AI19" s="1473" t="n"/>
      <c r="AJ19" s="1384" t="n"/>
      <c r="AK19" s="1494" t="n"/>
    </row>
    <row r="20" ht="14.25" customFormat="1" customHeight="1" s="1355">
      <c r="B20" s="1437" t="n"/>
      <c r="C20" s="1353" t="n"/>
      <c r="D20" s="1353" t="n"/>
      <c r="E20" s="1353" t="n"/>
      <c r="F20" s="1353" t="n"/>
      <c r="G20" s="1353" t="n"/>
      <c r="H20" s="1353" t="n"/>
      <c r="I20" s="1353" t="n"/>
      <c r="J20" s="1353" t="n"/>
      <c r="K20" s="1353" t="n"/>
      <c r="L20" s="1353" t="n"/>
      <c r="M20" s="1353" t="n"/>
      <c r="N20" s="1353" t="n"/>
      <c r="O20" s="1384" t="n"/>
      <c r="P20" s="1384" t="n"/>
      <c r="Q20" s="1384" t="n"/>
      <c r="R20" s="1353" t="n"/>
      <c r="S20" s="1353" t="n"/>
      <c r="T20" s="1398" t="n"/>
      <c r="U20" s="1384" t="n"/>
      <c r="V20" s="1384" t="n"/>
      <c r="W20" s="1473" t="n"/>
      <c r="X20" s="1384" t="n"/>
      <c r="Y20" s="1384" t="n"/>
      <c r="Z20" s="1384" t="n"/>
      <c r="AA20" s="1384" t="n"/>
      <c r="AB20" s="1384" t="n"/>
      <c r="AC20" s="1384" t="n"/>
      <c r="AD20" s="1384" t="n"/>
      <c r="AE20" s="1384" t="n"/>
      <c r="AF20" s="1384" t="n"/>
      <c r="AG20" s="1384" t="n"/>
      <c r="AH20" s="1384" t="n"/>
      <c r="AI20" s="1473" t="n"/>
      <c r="AJ20" s="1384" t="n"/>
      <c r="AK20" s="1494" t="n"/>
    </row>
    <row r="21" ht="14.25" customFormat="1" customHeight="1" s="1355">
      <c r="B21" s="1489" t="inlineStr">
        <is>
          <t>ZP</t>
        </is>
      </c>
      <c r="C21" s="1353" t="n"/>
      <c r="D21" s="1389" t="inlineStr">
        <is>
          <t>Première année d'exercice dans le pays :</t>
        </is>
      </c>
      <c r="E21" s="1353" t="n"/>
      <c r="F21" s="1353" t="n"/>
      <c r="G21" s="1353" t="n"/>
      <c r="H21" s="1353" t="n"/>
      <c r="I21" s="1353" t="n"/>
      <c r="J21" s="1353" t="n"/>
      <c r="K21" s="1353" t="n"/>
      <c r="L21" s="1353" t="n"/>
      <c r="M21" s="1353" t="n"/>
      <c r="N21" s="1353" t="n"/>
      <c r="O21" s="1384" t="n"/>
      <c r="P21" s="1384" t="n"/>
      <c r="Q21" s="1384" t="n"/>
      <c r="R21" s="1490" t="n"/>
      <c r="S21" s="1490" t="n"/>
      <c r="T21" s="1490" t="n"/>
      <c r="U21" s="1490" t="n"/>
      <c r="V21" s="1498" t="n"/>
      <c r="W21" s="1473" t="n"/>
      <c r="X21" s="1384" t="n"/>
      <c r="Y21" s="1384" t="n"/>
      <c r="Z21" s="1384" t="n"/>
      <c r="AA21" s="1384" t="n"/>
      <c r="AB21" s="1384" t="n"/>
      <c r="AC21" s="1384" t="n"/>
      <c r="AD21" s="1384" t="n"/>
      <c r="AE21" s="1384" t="n"/>
      <c r="AF21" s="1384" t="n"/>
      <c r="AG21" s="1384" t="n"/>
      <c r="AH21" s="1384" t="n"/>
      <c r="AI21" s="1473" t="n"/>
      <c r="AJ21" s="1384" t="n"/>
      <c r="AK21" s="1494" t="n"/>
    </row>
    <row r="22" ht="14.25" customFormat="1" customHeight="1" s="1355">
      <c r="B22" s="1499" t="n"/>
      <c r="C22" s="1442" t="n"/>
      <c r="D22" s="1442" t="n"/>
      <c r="E22" s="1442" t="n"/>
      <c r="F22" s="1442" t="n"/>
      <c r="G22" s="1442" t="n"/>
      <c r="H22" s="1442" t="n"/>
      <c r="I22" s="1442" t="n"/>
      <c r="J22" s="1442" t="n"/>
      <c r="K22" s="1442" t="n"/>
      <c r="L22" s="1442" t="n"/>
      <c r="M22" s="1442" t="n"/>
      <c r="N22" s="1442" t="n"/>
      <c r="O22" s="1500" t="n"/>
      <c r="P22" s="1500" t="n"/>
      <c r="Q22" s="1500" t="n"/>
      <c r="R22" s="1500" t="n"/>
      <c r="S22" s="1500" t="n"/>
      <c r="T22" s="1500" t="n"/>
      <c r="U22" s="1500" t="n"/>
      <c r="V22" s="1501" t="n"/>
      <c r="W22" s="1499" t="n"/>
      <c r="X22" s="1500" t="n"/>
      <c r="Y22" s="1500" t="n"/>
      <c r="Z22" s="1500" t="n"/>
      <c r="AA22" s="1500" t="n"/>
      <c r="AB22" s="1500" t="n"/>
      <c r="AC22" s="1500" t="n"/>
      <c r="AD22" s="1500" t="n"/>
      <c r="AE22" s="1500" t="n"/>
      <c r="AF22" s="1500" t="n"/>
      <c r="AG22" s="1500" t="n"/>
      <c r="AH22" s="1500" t="n"/>
      <c r="AI22" s="1499" t="n"/>
      <c r="AJ22" s="1500" t="n"/>
      <c r="AK22" s="1501" t="n"/>
    </row>
    <row r="23" ht="14.25" customFormat="1" customHeight="1" s="1355">
      <c r="B23" s="1502" t="n"/>
      <c r="C23" s="1503" t="n"/>
      <c r="D23" s="1503" t="n"/>
      <c r="E23" s="1503" t="n"/>
      <c r="F23" s="1503" t="n"/>
      <c r="G23" s="1503" t="n"/>
      <c r="H23" s="1503" t="n"/>
      <c r="I23" s="1503" t="n"/>
      <c r="J23" s="1503" t="n"/>
      <c r="AK23" s="1504" t="n"/>
    </row>
    <row r="24" ht="14" customHeight="1" s="1354">
      <c r="B24" s="1505" t="inlineStr">
        <is>
          <t>ACTIVITE DE L'ENTITE</t>
        </is>
      </c>
      <c r="C24" s="1363" t="n"/>
      <c r="D24" s="1363" t="n"/>
      <c r="E24" s="1363" t="n"/>
      <c r="F24" s="1363" t="n"/>
      <c r="G24" s="1363" t="n"/>
      <c r="H24" s="1363" t="n"/>
      <c r="I24" s="1363" t="n"/>
      <c r="J24" s="1363" t="n"/>
      <c r="K24" s="1363" t="n"/>
      <c r="L24" s="1363" t="n"/>
      <c r="M24" s="1363" t="n"/>
      <c r="N24" s="1363" t="n"/>
      <c r="O24" s="1363" t="n"/>
      <c r="P24" s="1363" t="n"/>
      <c r="Q24" s="1363" t="n"/>
      <c r="R24" s="1363" t="n"/>
      <c r="S24" s="1363" t="n"/>
      <c r="T24" s="1363" t="n"/>
      <c r="U24" s="1363" t="n"/>
      <c r="V24" s="1363" t="n"/>
      <c r="W24" s="1363" t="n"/>
      <c r="X24" s="1363" t="n"/>
      <c r="Y24" s="1363" t="n"/>
      <c r="Z24" s="1363" t="n"/>
      <c r="AA24" s="1363" t="n"/>
      <c r="AB24" s="1363" t="n"/>
      <c r="AC24" s="1363" t="n"/>
      <c r="AD24" s="1363" t="n"/>
      <c r="AE24" s="1363" t="n"/>
      <c r="AF24" s="1363" t="n"/>
      <c r="AG24" s="1363" t="n"/>
      <c r="AH24" s="1363" t="n"/>
      <c r="AI24" s="1363" t="n"/>
      <c r="AJ24" s="1363" t="n"/>
      <c r="AK24" s="1456" t="n"/>
      <c r="AL24" s="1506" t="n"/>
      <c r="AM24" s="1506" t="n"/>
      <c r="AN24" s="1506" t="n"/>
      <c r="AO24" s="1506" t="n"/>
      <c r="AP24" s="1506" t="n"/>
      <c r="AQ24" s="1506" t="n"/>
      <c r="AR24" s="1506" t="n"/>
      <c r="AS24" s="1506" t="n"/>
      <c r="AT24" s="1506" t="n"/>
      <c r="AU24" s="1506" t="n"/>
      <c r="AV24" s="1506" t="n"/>
      <c r="AW24" s="1506" t="n"/>
      <c r="AX24" s="1506" t="n"/>
    </row>
    <row r="25" ht="15" customHeight="1" s="1354">
      <c r="B25" s="1437" t="n"/>
      <c r="AK25" s="1438" t="n"/>
    </row>
    <row r="26" ht="14.25" customHeight="1" s="1354">
      <c r="B26" s="1507" t="inlineStr">
        <is>
          <t>Désignation de l'activité (2)</t>
        </is>
      </c>
      <c r="C26" s="1419" t="n"/>
      <c r="D26" s="1419" t="n"/>
      <c r="E26" s="1419" t="n"/>
      <c r="F26" s="1419" t="n"/>
      <c r="G26" s="1419" t="n"/>
      <c r="H26" s="1419" t="n"/>
      <c r="I26" s="1419" t="n"/>
      <c r="J26" s="1419" t="n"/>
      <c r="K26" s="1419" t="n"/>
      <c r="L26" s="1419" t="n"/>
      <c r="M26" s="1419" t="n"/>
      <c r="N26" s="1419" t="n"/>
      <c r="O26" s="1419" t="n"/>
      <c r="P26" s="1453" t="n"/>
      <c r="Q26" s="1507" t="inlineStr">
        <is>
          <t>Code nomenclature</t>
        </is>
      </c>
      <c r="R26" s="1419" t="n"/>
      <c r="S26" s="1419" t="n"/>
      <c r="T26" s="1419" t="n"/>
      <c r="U26" s="1419" t="n"/>
      <c r="V26" s="1419" t="n"/>
      <c r="W26" s="1419" t="n"/>
      <c r="X26" s="1453" t="n"/>
      <c r="Y26" s="1508" t="inlineStr">
        <is>
          <t xml:space="preserve">Chiffre d'affaires HT </t>
        </is>
      </c>
      <c r="Z26" s="1419" t="n"/>
      <c r="AA26" s="1419" t="n"/>
      <c r="AB26" s="1419" t="n"/>
      <c r="AC26" s="1419" t="n"/>
      <c r="AD26" s="1419" t="n"/>
      <c r="AE26" s="1419" t="n"/>
      <c r="AF26" s="1419" t="n"/>
      <c r="AG26" s="1453" t="n"/>
      <c r="AH26" s="1508" t="inlineStr">
        <is>
          <t>% activité</t>
        </is>
      </c>
      <c r="AI26" s="1419" t="n"/>
      <c r="AJ26" s="1419" t="n"/>
      <c r="AK26" s="1453" t="n"/>
      <c r="AM26" s="1384" t="n"/>
      <c r="AN26" s="1384" t="n"/>
      <c r="AO26" s="1384" t="n"/>
      <c r="AP26" s="1384" t="n"/>
      <c r="AQ26" s="1384" t="n"/>
      <c r="AR26" s="1384" t="n"/>
      <c r="AS26" s="1384" t="n"/>
      <c r="AT26" s="1384" t="n"/>
      <c r="AU26" s="1384" t="n"/>
      <c r="AV26" s="1384" t="n"/>
      <c r="AW26" s="1384" t="n"/>
      <c r="AX26" s="1384" t="n"/>
      <c r="AY26" s="1384" t="n"/>
      <c r="AZ26" s="1384" t="n"/>
      <c r="BA26" s="1384" t="n"/>
      <c r="BB26" s="1384" t="n"/>
      <c r="BD26" s="1384" t="n"/>
      <c r="BE26" s="1384" t="n"/>
    </row>
    <row r="27" ht="14.25" customHeight="1" s="1354">
      <c r="B27" s="1509" t="n"/>
      <c r="C27" s="1510" t="n"/>
      <c r="D27" s="1510" t="n"/>
      <c r="E27" s="1510" t="n"/>
      <c r="F27" s="1510" t="n"/>
      <c r="G27" s="1510" t="n"/>
      <c r="H27" s="1510" t="n"/>
      <c r="I27" s="1510" t="n"/>
      <c r="J27" s="1510" t="n"/>
      <c r="K27" s="1510" t="n"/>
      <c r="L27" s="1510" t="n"/>
      <c r="M27" s="1510" t="n"/>
      <c r="N27" s="1510" t="n"/>
      <c r="O27" s="1510" t="n"/>
      <c r="P27" s="1511" t="n"/>
      <c r="Q27" s="1512" t="inlineStr">
        <is>
          <t>d'activité (1)</t>
        </is>
      </c>
      <c r="R27" s="1363" t="n"/>
      <c r="S27" s="1363" t="n"/>
      <c r="T27" s="1363" t="n"/>
      <c r="U27" s="1363" t="n"/>
      <c r="V27" s="1363" t="n"/>
      <c r="W27" s="1363" t="n"/>
      <c r="X27" s="1456" t="n"/>
      <c r="Y27" s="1513" t="inlineStr">
        <is>
          <t xml:space="preserve">(CA HT) </t>
        </is>
      </c>
      <c r="Z27" s="1363" t="n"/>
      <c r="AA27" s="1363" t="n"/>
      <c r="AB27" s="1363" t="n"/>
      <c r="AC27" s="1363" t="n"/>
      <c r="AD27" s="1363" t="n"/>
      <c r="AE27" s="1363" t="n"/>
      <c r="AF27" s="1363" t="n"/>
      <c r="AG27" s="1456" t="n"/>
      <c r="AH27" s="1513" t="inlineStr">
        <is>
          <t xml:space="preserve">dans le CA </t>
        </is>
      </c>
      <c r="AI27" s="1363" t="n"/>
      <c r="AJ27" s="1363" t="n"/>
      <c r="AK27" s="1456" t="n"/>
      <c r="AM27" s="1384" t="n"/>
      <c r="AN27" s="1384" t="n"/>
      <c r="AO27" s="1384" t="n"/>
      <c r="AP27" s="1384" t="n"/>
      <c r="AQ27" s="1384" t="n"/>
      <c r="AR27" s="1384" t="n"/>
      <c r="AS27" s="1384" t="n"/>
      <c r="AT27" s="1384" t="n"/>
      <c r="AU27" s="1384" t="n"/>
      <c r="AV27" s="1384" t="n"/>
      <c r="AW27" s="1384" t="n"/>
      <c r="AX27" s="1384" t="n"/>
      <c r="AY27" s="1384" t="n"/>
      <c r="AZ27" s="1384" t="n"/>
      <c r="BA27" s="1384" t="n"/>
      <c r="BB27" s="1384" t="n"/>
      <c r="BD27" s="1384" t="n"/>
      <c r="BE27" s="1384" t="n"/>
    </row>
    <row r="28" ht="14.25" customHeight="1" s="1354">
      <c r="B28" s="1514" t="n"/>
      <c r="C28" s="1515" t="n"/>
      <c r="D28" s="1515" t="n"/>
      <c r="E28" s="1515" t="n"/>
      <c r="F28" s="1515" t="n"/>
      <c r="G28" s="1515" t="n"/>
      <c r="H28" s="1515" t="n"/>
      <c r="I28" s="1516" t="n"/>
      <c r="J28" s="1515" t="n"/>
      <c r="K28" s="1515" t="n"/>
      <c r="L28" s="1515" t="n"/>
      <c r="M28" s="1515" t="n"/>
      <c r="N28" s="1515" t="n"/>
      <c r="O28" s="1515" t="n"/>
      <c r="P28" s="1517" t="n"/>
      <c r="Q28" s="1514" t="n"/>
      <c r="R28" s="1515" t="n"/>
      <c r="S28" s="1515" t="n"/>
      <c r="T28" s="1516" t="n"/>
      <c r="U28" s="1515" t="n"/>
      <c r="V28" s="1515" t="n"/>
      <c r="W28" s="1515" t="n"/>
      <c r="X28" s="1517" t="n"/>
      <c r="Y28" s="1441" t="n"/>
      <c r="Z28" s="1442" t="n"/>
      <c r="AA28" s="1442" t="n"/>
      <c r="AB28" s="1442" t="n"/>
      <c r="AC28" s="1518" t="n"/>
      <c r="AD28" s="1442" t="n"/>
      <c r="AE28" s="1519" t="n"/>
      <c r="AF28" s="1442" t="n"/>
      <c r="AG28" s="1443" t="n"/>
      <c r="AH28" s="1520" t="inlineStr">
        <is>
          <t>HT</t>
        </is>
      </c>
      <c r="AI28" s="1403" t="n"/>
      <c r="AJ28" s="1403" t="n"/>
      <c r="AK28" s="1404" t="n"/>
      <c r="AM28" s="1384" t="n"/>
      <c r="AN28" s="1384" t="n"/>
      <c r="AO28" s="1384" t="n"/>
      <c r="AP28" s="1384" t="n"/>
      <c r="AQ28" s="1384" t="n"/>
      <c r="AR28" s="1384" t="n"/>
      <c r="AS28" s="1384" t="n"/>
      <c r="AT28" s="1384" t="n"/>
      <c r="AU28" s="1384" t="n"/>
      <c r="AV28" s="1384" t="n"/>
      <c r="AW28" s="1384" t="n"/>
      <c r="AX28" s="1384" t="n"/>
      <c r="AY28" s="1384" t="n"/>
      <c r="AZ28" s="1384" t="n"/>
      <c r="BA28" s="1384" t="n"/>
      <c r="BB28" s="1384" t="n"/>
      <c r="BD28" s="1384" t="n"/>
      <c r="BE28" s="1384" t="n"/>
    </row>
    <row r="29" ht="8.15" customHeight="1" s="1354">
      <c r="A29" s="1398" t="n"/>
      <c r="B29" s="1521" t="n"/>
      <c r="C29" s="1522" t="n"/>
      <c r="D29" s="1522" t="n"/>
      <c r="E29" s="1522" t="n"/>
      <c r="F29" s="1522" t="n"/>
      <c r="G29" s="1522" t="n"/>
      <c r="H29" s="1522" t="n"/>
      <c r="I29" s="1522" t="n"/>
      <c r="J29" s="1522" t="n"/>
      <c r="K29" s="1522" t="n"/>
      <c r="L29" s="1522" t="n"/>
      <c r="M29" s="1522" t="n"/>
      <c r="N29" s="1522" t="n"/>
      <c r="O29" s="1522" t="n"/>
      <c r="P29" s="1522" t="n"/>
      <c r="Q29" s="1521" t="n"/>
      <c r="R29" s="1522" t="n"/>
      <c r="S29" s="1522" t="n"/>
      <c r="T29" s="1522" t="n"/>
      <c r="U29" s="1522" t="n"/>
      <c r="V29" s="1522" t="n"/>
      <c r="W29" s="1522" t="n"/>
      <c r="X29" s="1523" t="n"/>
      <c r="AG29" s="1438" t="n"/>
      <c r="AH29" s="1437" t="n"/>
      <c r="AK29" s="1438" t="n"/>
      <c r="AM29" s="1384" t="n"/>
      <c r="AN29" s="1384" t="n"/>
      <c r="AO29" s="1384" t="n"/>
      <c r="AP29" s="1384" t="n"/>
      <c r="AQ29" s="1384" t="n"/>
      <c r="AR29" s="1384" t="n"/>
      <c r="AS29" s="1384" t="n"/>
      <c r="AT29" s="1384" t="n"/>
      <c r="AU29" s="1384" t="n"/>
      <c r="AV29" s="1384" t="n"/>
      <c r="AW29" s="1384" t="n"/>
      <c r="AX29" s="1384" t="n"/>
      <c r="AY29" s="1384" t="n"/>
      <c r="AZ29" s="1384" t="n"/>
      <c r="BA29" s="1384" t="n"/>
      <c r="BB29" s="1384" t="n"/>
      <c r="BD29" s="1384" t="n"/>
      <c r="BE29" s="1384" t="n"/>
    </row>
    <row r="30" ht="14.5" customHeight="1" s="1354">
      <c r="A30" s="1410" t="n"/>
      <c r="B30" s="1524" t="n"/>
      <c r="C30" s="1525" t="n"/>
      <c r="D30" s="1525" t="n"/>
      <c r="E30" s="1525" t="n"/>
      <c r="F30" s="1525" t="n"/>
      <c r="G30" s="1525" t="n"/>
      <c r="H30" s="1525" t="n"/>
      <c r="I30" s="1525" t="n"/>
      <c r="J30" s="1525" t="n"/>
      <c r="K30" s="1525" t="n"/>
      <c r="L30" s="1525" t="n"/>
      <c r="M30" s="1525" t="n"/>
      <c r="N30" s="1525" t="n"/>
      <c r="O30" s="1525" t="n"/>
      <c r="P30" s="1526" t="n"/>
      <c r="Q30" s="1437" t="n"/>
      <c r="R30" s="1490" t="n"/>
      <c r="S30" s="1490" t="n"/>
      <c r="T30" s="1490" t="n"/>
      <c r="U30" s="1490" t="n"/>
      <c r="V30" s="1490" t="n"/>
      <c r="W30" s="1490" t="n"/>
      <c r="X30" s="1527" t="n"/>
      <c r="Y30" s="1528" t="n">
        <v>0</v>
      </c>
      <c r="Z30" s="1525" t="n"/>
      <c r="AA30" s="1525" t="n"/>
      <c r="AB30" s="1525" t="n"/>
      <c r="AC30" s="1525" t="n"/>
      <c r="AD30" s="1525" t="n"/>
      <c r="AE30" s="1525" t="n"/>
      <c r="AF30" s="1525" t="n"/>
      <c r="AG30" s="1526" t="n"/>
      <c r="AH30" s="1529">
        <f>Y30/Y42</f>
        <v/>
      </c>
      <c r="AI30" s="1525" t="n"/>
      <c r="AJ30" s="1525" t="n"/>
      <c r="AK30" s="1526" t="n"/>
      <c r="AM30" s="1384" t="n"/>
      <c r="AN30" s="1384" t="n"/>
      <c r="AO30" s="1384" t="n"/>
      <c r="AP30" s="1384" t="n"/>
      <c r="AQ30" s="1384" t="n"/>
      <c r="AR30" s="1384" t="n"/>
      <c r="AS30" s="1384" t="n"/>
      <c r="AT30" s="1384" t="n"/>
      <c r="AU30" s="1384" t="n"/>
      <c r="AV30" s="1384" t="n"/>
      <c r="AW30" s="1384" t="n"/>
      <c r="AX30" s="1384" t="n"/>
      <c r="AY30" s="1384" t="n"/>
      <c r="AZ30" s="1384" t="n"/>
      <c r="BA30" s="1384" t="n"/>
      <c r="BB30" s="1384" t="n"/>
      <c r="BD30" s="1384" t="n"/>
      <c r="BE30" s="1384" t="n"/>
    </row>
    <row r="31" ht="8.15" customHeight="1" s="1354">
      <c r="A31" s="1410" t="n"/>
      <c r="B31" s="1441" t="n"/>
      <c r="C31" s="1442" t="n"/>
      <c r="D31" s="1442" t="n"/>
      <c r="E31" s="1442" t="n"/>
      <c r="F31" s="1442" t="n"/>
      <c r="G31" s="1442" t="n"/>
      <c r="H31" s="1442" t="n"/>
      <c r="I31" s="1442" t="n"/>
      <c r="J31" s="1442" t="n"/>
      <c r="K31" s="1442" t="n"/>
      <c r="L31" s="1442" t="n"/>
      <c r="M31" s="1442" t="n"/>
      <c r="N31" s="1442" t="n"/>
      <c r="O31" s="1442" t="n"/>
      <c r="P31" s="1442" t="n"/>
      <c r="Q31" s="1441" t="n"/>
      <c r="R31" s="1442" t="n"/>
      <c r="S31" s="1442" t="n"/>
      <c r="T31" s="1442" t="n"/>
      <c r="U31" s="1442" t="n"/>
      <c r="V31" s="1442" t="n"/>
      <c r="W31" s="1442" t="n"/>
      <c r="X31" s="1443" t="n"/>
      <c r="Y31" s="1442" t="n"/>
      <c r="Z31" s="1442" t="n"/>
      <c r="AA31" s="1442" t="n"/>
      <c r="AB31" s="1442" t="n"/>
      <c r="AC31" s="1442" t="n"/>
      <c r="AD31" s="1442" t="n"/>
      <c r="AE31" s="1442" t="n"/>
      <c r="AF31" s="1442" t="n"/>
      <c r="AG31" s="1443" t="n"/>
      <c r="AH31" s="1441" t="n"/>
      <c r="AI31" s="1442" t="n"/>
      <c r="AJ31" s="1442" t="n"/>
      <c r="AK31" s="1443" t="n"/>
      <c r="AM31" s="1384" t="n"/>
      <c r="AN31" s="1384" t="n"/>
      <c r="AO31" s="1384" t="n"/>
      <c r="AP31" s="1384" t="n"/>
      <c r="AQ31" s="1384" t="n"/>
      <c r="AR31" s="1384" t="n"/>
      <c r="AS31" s="1384" t="n"/>
      <c r="AT31" s="1384" t="n"/>
      <c r="AU31" s="1384" t="n"/>
      <c r="AV31" s="1384" t="n"/>
      <c r="AW31" s="1384" t="n"/>
      <c r="AX31" s="1384" t="n"/>
      <c r="AY31" s="1384" t="n"/>
      <c r="AZ31" s="1384" t="n"/>
      <c r="BA31" s="1384" t="n"/>
      <c r="BB31" s="1384" t="n"/>
      <c r="BD31" s="1384" t="n"/>
      <c r="BE31" s="1384" t="n"/>
    </row>
    <row r="32" ht="8.15" customHeight="1" s="1354">
      <c r="A32" s="1410" t="n"/>
      <c r="B32" s="1437" t="n"/>
      <c r="Q32" s="1437" t="n"/>
      <c r="X32" s="1438" t="n"/>
      <c r="AG32" s="1438" t="n"/>
      <c r="AH32" s="1437" t="n"/>
      <c r="AK32" s="1438" t="n"/>
      <c r="AM32" s="1384" t="n"/>
      <c r="AN32" s="1384" t="n"/>
      <c r="AO32" s="1384" t="n"/>
      <c r="AP32" s="1384" t="n"/>
      <c r="AQ32" s="1384" t="n"/>
      <c r="AR32" s="1384" t="n"/>
      <c r="AS32" s="1384" t="n"/>
      <c r="AT32" s="1384" t="n"/>
      <c r="AU32" s="1384" t="n"/>
      <c r="AV32" s="1384" t="n"/>
      <c r="AW32" s="1384" t="n"/>
      <c r="AX32" s="1384" t="n"/>
      <c r="AY32" s="1384" t="n"/>
      <c r="AZ32" s="1384" t="n"/>
      <c r="BA32" s="1384" t="n"/>
      <c r="BB32" s="1384" t="n"/>
      <c r="BD32" s="1384" t="n"/>
      <c r="BE32" s="1384" t="n"/>
    </row>
    <row r="33" ht="8.15" customHeight="1" s="1354">
      <c r="A33" s="1410" t="n"/>
      <c r="B33" s="1437" t="n"/>
      <c r="Q33" s="1437" t="n"/>
      <c r="X33" s="1438" t="n"/>
      <c r="AG33" s="1438" t="n"/>
      <c r="AH33" s="1437" t="n"/>
      <c r="AK33" s="1438" t="n"/>
      <c r="AM33" s="1384" t="n"/>
      <c r="AN33" s="1384" t="n"/>
      <c r="AO33" s="1384" t="n"/>
      <c r="AP33" s="1384" t="n"/>
      <c r="AQ33" s="1384" t="n"/>
      <c r="AR33" s="1384" t="n"/>
      <c r="AS33" s="1384" t="n"/>
      <c r="AT33" s="1384" t="n"/>
      <c r="AU33" s="1384" t="n"/>
      <c r="AV33" s="1384" t="n"/>
      <c r="AW33" s="1384" t="n"/>
      <c r="AX33" s="1384" t="n"/>
      <c r="AY33" s="1384" t="n"/>
      <c r="AZ33" s="1384" t="n"/>
      <c r="BA33" s="1384" t="n"/>
      <c r="BB33" s="1384" t="n"/>
      <c r="BD33" s="1384" t="n"/>
      <c r="BE33" s="1384" t="n"/>
    </row>
    <row r="34" ht="15" customHeight="1" s="1354">
      <c r="A34" s="1410" t="n"/>
      <c r="B34" s="1530" t="n"/>
      <c r="C34" s="1525" t="n"/>
      <c r="D34" s="1525" t="n"/>
      <c r="E34" s="1525" t="n"/>
      <c r="F34" s="1525" t="n"/>
      <c r="G34" s="1525" t="n"/>
      <c r="H34" s="1525" t="n"/>
      <c r="I34" s="1525" t="n"/>
      <c r="J34" s="1525" t="n"/>
      <c r="K34" s="1525" t="n"/>
      <c r="L34" s="1525" t="n"/>
      <c r="M34" s="1525" t="n"/>
      <c r="N34" s="1525" t="n"/>
      <c r="O34" s="1525" t="n"/>
      <c r="P34" s="1526" t="n"/>
      <c r="Q34" s="1437" t="n"/>
      <c r="R34" s="1406" t="n"/>
      <c r="S34" s="1406" t="n"/>
      <c r="T34" s="1406" t="n"/>
      <c r="U34" s="1406" t="n"/>
      <c r="V34" s="1406" t="n"/>
      <c r="W34" s="1406" t="n"/>
      <c r="X34" s="1438" t="n"/>
      <c r="Y34" s="1531" t="n"/>
      <c r="Z34" s="1525" t="n"/>
      <c r="AA34" s="1525" t="n"/>
      <c r="AB34" s="1525" t="n"/>
      <c r="AC34" s="1525" t="n"/>
      <c r="AD34" s="1525" t="n"/>
      <c r="AE34" s="1525" t="n"/>
      <c r="AF34" s="1525" t="n"/>
      <c r="AG34" s="1526" t="n"/>
      <c r="AH34" s="1529">
        <f>Y34/Y42</f>
        <v/>
      </c>
      <c r="AI34" s="1525" t="n"/>
      <c r="AJ34" s="1525" t="n"/>
      <c r="AK34" s="1526" t="n"/>
      <c r="AM34" s="1384" t="n"/>
      <c r="AN34" s="1384" t="n"/>
      <c r="AO34" s="1384" t="n"/>
      <c r="AP34" s="1384" t="n"/>
      <c r="AQ34" s="1384" t="n"/>
      <c r="AR34" s="1384" t="n"/>
      <c r="AS34" s="1384" t="n"/>
      <c r="AT34" s="1384" t="n"/>
      <c r="AU34" s="1384" t="n"/>
      <c r="AV34" s="1384" t="n"/>
      <c r="AW34" s="1384" t="n"/>
      <c r="AX34" s="1384" t="n"/>
      <c r="AY34" s="1384" t="n"/>
      <c r="AZ34" s="1384" t="n"/>
      <c r="BA34" s="1384" t="n"/>
      <c r="BB34" s="1384" t="n"/>
      <c r="BD34" s="1384" t="n"/>
      <c r="BE34" s="1384" t="n"/>
    </row>
    <row r="35" ht="8.15" customHeight="1" s="1354">
      <c r="A35" s="1410" t="n"/>
      <c r="B35" s="1441" t="n"/>
      <c r="C35" s="1442" t="n"/>
      <c r="D35" s="1442" t="n"/>
      <c r="E35" s="1442" t="n"/>
      <c r="F35" s="1442" t="n"/>
      <c r="G35" s="1442" t="n"/>
      <c r="H35" s="1442" t="n"/>
      <c r="I35" s="1442" t="n"/>
      <c r="J35" s="1442" t="n"/>
      <c r="K35" s="1442" t="n"/>
      <c r="L35" s="1442" t="n"/>
      <c r="M35" s="1442" t="n"/>
      <c r="N35" s="1442" t="n"/>
      <c r="O35" s="1442" t="n"/>
      <c r="P35" s="1442" t="n"/>
      <c r="Q35" s="1441" t="n"/>
      <c r="R35" s="1442" t="n"/>
      <c r="S35" s="1442" t="n"/>
      <c r="T35" s="1442" t="n"/>
      <c r="U35" s="1442" t="n"/>
      <c r="V35" s="1442" t="n"/>
      <c r="W35" s="1442" t="n"/>
      <c r="X35" s="1443" t="n"/>
      <c r="Y35" s="1442" t="n"/>
      <c r="Z35" s="1442" t="n"/>
      <c r="AA35" s="1442" t="n"/>
      <c r="AB35" s="1442" t="n"/>
      <c r="AC35" s="1442" t="n"/>
      <c r="AD35" s="1442" t="n"/>
      <c r="AE35" s="1442" t="n"/>
      <c r="AF35" s="1442" t="n"/>
      <c r="AG35" s="1443" t="n"/>
      <c r="AH35" s="1441" t="n"/>
      <c r="AI35" s="1442" t="n"/>
      <c r="AJ35" s="1442" t="n"/>
      <c r="AK35" s="1443" t="n"/>
      <c r="AM35" s="1384" t="n"/>
      <c r="AN35" s="1384" t="n"/>
      <c r="AO35" s="1384" t="n"/>
      <c r="AP35" s="1384" t="n"/>
      <c r="AQ35" s="1384" t="n"/>
      <c r="AR35" s="1384" t="n"/>
      <c r="AS35" s="1384" t="n"/>
      <c r="AT35" s="1384" t="n"/>
      <c r="AU35" s="1384" t="n"/>
      <c r="AV35" s="1384" t="n"/>
      <c r="AW35" s="1384" t="n"/>
      <c r="AX35" s="1384" t="n"/>
      <c r="AY35" s="1384" t="n"/>
      <c r="AZ35" s="1384" t="n"/>
      <c r="BA35" s="1384" t="n"/>
      <c r="BB35" s="1384" t="n"/>
      <c r="BD35" s="1384" t="n"/>
      <c r="BE35" s="1384" t="n"/>
    </row>
    <row r="36" ht="8.15" customHeight="1" s="1354">
      <c r="A36" s="1410" t="n"/>
      <c r="B36" s="1437" t="n"/>
      <c r="Q36" s="1437" t="n"/>
      <c r="X36" s="1438" t="n"/>
      <c r="AG36" s="1438" t="n"/>
      <c r="AH36" s="1437" t="n"/>
      <c r="AK36" s="1438" t="n"/>
      <c r="AM36" s="1384" t="n"/>
      <c r="AN36" s="1384" t="n"/>
      <c r="AO36" s="1384" t="n"/>
      <c r="AP36" s="1384" t="n"/>
      <c r="AQ36" s="1384" t="n"/>
      <c r="AR36" s="1384" t="n"/>
      <c r="AS36" s="1384" t="n"/>
      <c r="AT36" s="1384" t="n"/>
      <c r="AU36" s="1384" t="n"/>
      <c r="AV36" s="1384" t="n"/>
      <c r="AW36" s="1384" t="n"/>
      <c r="AX36" s="1384" t="n"/>
      <c r="AY36" s="1384" t="n"/>
      <c r="AZ36" s="1384" t="n"/>
      <c r="BA36" s="1384" t="n"/>
      <c r="BB36" s="1384" t="n"/>
      <c r="BD36" s="1384" t="n"/>
      <c r="BE36" s="1384" t="n"/>
    </row>
    <row r="37" ht="15" customHeight="1" s="1354">
      <c r="A37" s="1410" t="n"/>
      <c r="B37" s="1530" t="n"/>
      <c r="C37" s="1525" t="n"/>
      <c r="D37" s="1525" t="n"/>
      <c r="E37" s="1525" t="n"/>
      <c r="F37" s="1525" t="n"/>
      <c r="G37" s="1525" t="n"/>
      <c r="H37" s="1525" t="n"/>
      <c r="I37" s="1525" t="n"/>
      <c r="J37" s="1525" t="n"/>
      <c r="K37" s="1525" t="n"/>
      <c r="L37" s="1525" t="n"/>
      <c r="M37" s="1525" t="n"/>
      <c r="N37" s="1525" t="n"/>
      <c r="O37" s="1525" t="n"/>
      <c r="P37" s="1526" t="n"/>
      <c r="Q37" s="1437" t="n"/>
      <c r="R37" s="1406" t="n"/>
      <c r="S37" s="1406" t="n"/>
      <c r="T37" s="1406" t="n"/>
      <c r="U37" s="1406" t="n"/>
      <c r="V37" s="1406" t="n"/>
      <c r="W37" s="1406" t="n"/>
      <c r="X37" s="1438" t="n"/>
      <c r="Y37" s="1531" t="n"/>
      <c r="Z37" s="1525" t="n"/>
      <c r="AA37" s="1525" t="n"/>
      <c r="AB37" s="1525" t="n"/>
      <c r="AC37" s="1525" t="n"/>
      <c r="AD37" s="1525" t="n"/>
      <c r="AE37" s="1525" t="n"/>
      <c r="AF37" s="1525" t="n"/>
      <c r="AG37" s="1526" t="n"/>
      <c r="AH37" s="1529">
        <f>Y37/Y42</f>
        <v/>
      </c>
      <c r="AI37" s="1525" t="n"/>
      <c r="AJ37" s="1525" t="n"/>
      <c r="AK37" s="1526" t="n"/>
      <c r="AM37" s="1384" t="n"/>
      <c r="AN37" s="1384" t="n"/>
      <c r="AO37" s="1384" t="n"/>
      <c r="AP37" s="1384" t="n"/>
      <c r="AQ37" s="1384" t="n"/>
      <c r="AR37" s="1384" t="n"/>
      <c r="AS37" s="1384" t="n"/>
      <c r="AT37" s="1384" t="n"/>
      <c r="AU37" s="1384" t="n"/>
      <c r="AV37" s="1384" t="n"/>
      <c r="AW37" s="1384" t="n"/>
      <c r="AX37" s="1384" t="n"/>
      <c r="AY37" s="1384" t="n"/>
      <c r="AZ37" s="1384" t="n"/>
      <c r="BA37" s="1384" t="n"/>
      <c r="BB37" s="1384" t="n"/>
      <c r="BD37" s="1384" t="n"/>
      <c r="BE37" s="1384" t="n"/>
    </row>
    <row r="38" ht="10" customHeight="1" s="1354">
      <c r="A38" s="1410" t="n"/>
      <c r="B38" s="1441" t="n"/>
      <c r="C38" s="1442" t="n"/>
      <c r="D38" s="1442" t="n"/>
      <c r="E38" s="1442" t="n"/>
      <c r="F38" s="1442" t="n"/>
      <c r="G38" s="1442" t="n"/>
      <c r="H38" s="1442" t="n"/>
      <c r="I38" s="1442" t="n"/>
      <c r="J38" s="1442" t="n"/>
      <c r="K38" s="1442" t="n"/>
      <c r="L38" s="1442" t="n"/>
      <c r="M38" s="1442" t="n"/>
      <c r="N38" s="1442" t="n"/>
      <c r="O38" s="1442" t="n"/>
      <c r="P38" s="1442" t="n"/>
      <c r="Q38" s="1441" t="n"/>
      <c r="R38" s="1442" t="n"/>
      <c r="S38" s="1442" t="n"/>
      <c r="T38" s="1442" t="n"/>
      <c r="U38" s="1442" t="n"/>
      <c r="V38" s="1442" t="n"/>
      <c r="W38" s="1442" t="n"/>
      <c r="X38" s="1443" t="n"/>
      <c r="Y38" s="1442" t="n"/>
      <c r="Z38" s="1442" t="n"/>
      <c r="AA38" s="1442" t="n"/>
      <c r="AB38" s="1442" t="n"/>
      <c r="AC38" s="1442" t="n"/>
      <c r="AD38" s="1442" t="n"/>
      <c r="AE38" s="1442" t="n"/>
      <c r="AF38" s="1442" t="n"/>
      <c r="AG38" s="1443" t="n"/>
      <c r="AH38" s="1441" t="n"/>
      <c r="AI38" s="1442" t="n"/>
      <c r="AJ38" s="1442" t="n"/>
      <c r="AK38" s="1443" t="n"/>
      <c r="AM38" s="1384" t="n"/>
      <c r="AN38" s="1384" t="n"/>
      <c r="AO38" s="1384" t="n"/>
      <c r="AP38" s="1384" t="n"/>
      <c r="AQ38" s="1384" t="n"/>
      <c r="AR38" s="1384" t="n"/>
      <c r="AS38" s="1384" t="n"/>
      <c r="AT38" s="1384" t="n"/>
      <c r="AU38" s="1384" t="n"/>
      <c r="AV38" s="1384" t="n"/>
      <c r="AW38" s="1384" t="n"/>
      <c r="AX38" s="1384" t="n"/>
      <c r="AY38" s="1384" t="n"/>
      <c r="AZ38" s="1384" t="n"/>
      <c r="BA38" s="1384" t="n"/>
      <c r="BB38" s="1384" t="n"/>
      <c r="BD38" s="1384" t="n"/>
      <c r="BE38" s="1384" t="n"/>
    </row>
    <row r="39" ht="8.15" customHeight="1" s="1354">
      <c r="A39" s="1410" t="n"/>
      <c r="B39" s="1437" t="n"/>
      <c r="Q39" s="1437" t="n"/>
      <c r="X39" s="1438" t="n"/>
      <c r="AG39" s="1438" t="n"/>
      <c r="AH39" s="1437" t="n"/>
      <c r="AK39" s="1438" t="n"/>
      <c r="AM39" s="1384" t="n"/>
      <c r="AN39" s="1384" t="n"/>
      <c r="AO39" s="1384" t="n"/>
      <c r="AP39" s="1384" t="n"/>
      <c r="AQ39" s="1384" t="n"/>
      <c r="AR39" s="1384" t="n"/>
      <c r="AS39" s="1384" t="n"/>
      <c r="AT39" s="1384" t="n"/>
      <c r="AU39" s="1384" t="n"/>
      <c r="AV39" s="1384" t="n"/>
      <c r="AW39" s="1384" t="n"/>
      <c r="AX39" s="1384" t="n"/>
      <c r="AY39" s="1384" t="n"/>
      <c r="AZ39" s="1384" t="n"/>
      <c r="BA39" s="1384" t="n"/>
      <c r="BB39" s="1384" t="n"/>
      <c r="BD39" s="1384" t="n"/>
      <c r="BE39" s="1384" t="n"/>
    </row>
    <row r="40" ht="15" customHeight="1" s="1354">
      <c r="A40" s="1410" t="n"/>
      <c r="B40" s="1479" t="inlineStr">
        <is>
          <t>Divers</t>
        </is>
      </c>
      <c r="Q40" s="1532" t="n"/>
      <c r="R40" s="1419" t="n"/>
      <c r="S40" s="1419" t="n"/>
      <c r="T40" s="1419" t="n"/>
      <c r="U40" s="1419" t="n"/>
      <c r="V40" s="1419" t="n"/>
      <c r="W40" s="1419" t="n"/>
      <c r="X40" s="1453" t="n"/>
      <c r="Y40" s="1533" t="n"/>
      <c r="Z40" s="1534" t="n"/>
      <c r="AA40" s="1534" t="n"/>
      <c r="AB40" s="1534" t="n"/>
      <c r="AC40" s="1534" t="n"/>
      <c r="AD40" s="1534" t="n"/>
      <c r="AE40" s="1534" t="n"/>
      <c r="AF40" s="1534" t="n"/>
      <c r="AG40" s="1535" t="n"/>
      <c r="AH40" s="1529">
        <f>Y40/Y42</f>
        <v/>
      </c>
      <c r="AI40" s="1525" t="n"/>
      <c r="AJ40" s="1525" t="n"/>
      <c r="AK40" s="1526" t="n"/>
      <c r="AL40" s="1384" t="n"/>
      <c r="AM40" s="1384" t="n"/>
      <c r="AN40" s="1384" t="n"/>
      <c r="AO40" s="1384" t="n"/>
      <c r="AP40" s="1384" t="n"/>
      <c r="AQ40" s="1384" t="n"/>
      <c r="AR40" s="1384" t="n"/>
      <c r="AS40" s="1384" t="n"/>
      <c r="AT40" s="1384" t="n"/>
      <c r="AU40" s="1384" t="n"/>
      <c r="AV40" s="1384" t="n"/>
      <c r="AW40" s="1384" t="n"/>
      <c r="BB40" s="1384" t="n"/>
    </row>
    <row r="41" ht="6" customHeight="1" s="1354">
      <c r="A41" s="1410" t="n"/>
      <c r="B41" s="1441" t="n"/>
      <c r="C41" s="1442" t="n"/>
      <c r="D41" s="1442" t="n"/>
      <c r="E41" s="1442" t="n"/>
      <c r="F41" s="1442" t="n"/>
      <c r="G41" s="1442" t="n"/>
      <c r="H41" s="1442" t="n"/>
      <c r="I41" s="1442" t="n"/>
      <c r="J41" s="1442" t="n"/>
      <c r="K41" s="1442" t="n"/>
      <c r="L41" s="1442" t="n"/>
      <c r="M41" s="1442" t="n"/>
      <c r="N41" s="1442" t="n"/>
      <c r="O41" s="1442" t="n"/>
      <c r="P41" s="1442" t="n"/>
      <c r="Q41" s="1463" t="n"/>
      <c r="R41" s="1363" t="n"/>
      <c r="S41" s="1363" t="n"/>
      <c r="T41" s="1363" t="n"/>
      <c r="U41" s="1363" t="n"/>
      <c r="V41" s="1363" t="n"/>
      <c r="W41" s="1363" t="n"/>
      <c r="X41" s="1456" t="n"/>
      <c r="Y41" s="1442" t="n"/>
      <c r="Z41" s="1442" t="n"/>
      <c r="AA41" s="1442" t="n"/>
      <c r="AB41" s="1442" t="n"/>
      <c r="AC41" s="1442" t="n"/>
      <c r="AD41" s="1442" t="n"/>
      <c r="AE41" s="1442" t="n"/>
      <c r="AF41" s="1442" t="n"/>
      <c r="AG41" s="1443" t="n"/>
      <c r="AH41" s="1536" t="n"/>
      <c r="AI41" s="1442" t="n"/>
      <c r="AJ41" s="1442" t="n"/>
      <c r="AK41" s="1443" t="n"/>
      <c r="AL41" s="1384" t="n"/>
      <c r="AM41" s="1384" t="n"/>
      <c r="AN41" s="1384" t="n"/>
      <c r="AO41" s="1384" t="n"/>
      <c r="AP41" s="1384" t="n"/>
      <c r="AQ41" s="1384" t="n"/>
      <c r="AR41" s="1384" t="n"/>
      <c r="AS41" s="1384" t="n"/>
      <c r="AT41" s="1384" t="n"/>
      <c r="AU41" s="1384" t="n"/>
      <c r="AV41" s="1384" t="n"/>
      <c r="AW41" s="1384" t="n"/>
      <c r="BB41" s="1384" t="n"/>
    </row>
    <row r="42" ht="15" customHeight="1" s="1354">
      <c r="A42" s="1410" t="n"/>
      <c r="B42" s="1437" t="n"/>
      <c r="Q42" s="1537" t="inlineStr">
        <is>
          <t xml:space="preserve"> TOTAL</t>
        </is>
      </c>
      <c r="R42" s="1419" t="n"/>
      <c r="S42" s="1419" t="n"/>
      <c r="T42" s="1419" t="n"/>
      <c r="U42" s="1419" t="n"/>
      <c r="V42" s="1419" t="n"/>
      <c r="W42" s="1419" t="n"/>
      <c r="X42" s="1453" t="n"/>
      <c r="Y42" s="1538">
        <f>Y30+Y34+Y37+Y40</f>
        <v/>
      </c>
      <c r="Z42" s="1419" t="n"/>
      <c r="AA42" s="1419" t="n"/>
      <c r="AB42" s="1419" t="n"/>
      <c r="AC42" s="1419" t="n"/>
      <c r="AD42" s="1419" t="n"/>
      <c r="AE42" s="1419" t="n"/>
      <c r="AF42" s="1419" t="n"/>
      <c r="AG42" s="1453" t="n"/>
      <c r="AH42" s="1529">
        <f>AH30+AH34+AH37+AH40</f>
        <v/>
      </c>
      <c r="AI42" s="1525" t="n"/>
      <c r="AJ42" s="1525" t="n"/>
      <c r="AK42" s="1526" t="n"/>
      <c r="AL42" s="1384" t="n"/>
      <c r="AM42" s="1384" t="n"/>
      <c r="AN42" s="1384" t="n"/>
      <c r="AO42" s="1384" t="n"/>
      <c r="AP42" s="1384" t="n"/>
      <c r="AQ42" s="1384" t="n"/>
      <c r="AR42" s="1384" t="n"/>
      <c r="AS42" s="1384" t="n"/>
      <c r="AT42" s="1384" t="n"/>
      <c r="AU42" s="1384" t="n"/>
      <c r="AV42" s="1384" t="n"/>
      <c r="AW42" s="1384" t="n"/>
      <c r="BB42" s="1384" t="n"/>
    </row>
    <row r="43" ht="6" customHeight="1" s="1354">
      <c r="A43" s="1472" t="n"/>
      <c r="B43" s="1441" t="n"/>
      <c r="C43" s="1442" t="n"/>
      <c r="D43" s="1442" t="n"/>
      <c r="E43" s="1442" t="n"/>
      <c r="F43" s="1442" t="n"/>
      <c r="G43" s="1442" t="n"/>
      <c r="H43" s="1442" t="n"/>
      <c r="I43" s="1442" t="n"/>
      <c r="J43" s="1442" t="n"/>
      <c r="K43" s="1442" t="n"/>
      <c r="L43" s="1442" t="n"/>
      <c r="M43" s="1442" t="n"/>
      <c r="N43" s="1442" t="n"/>
      <c r="O43" s="1442" t="n"/>
      <c r="P43" s="1442" t="n"/>
      <c r="Q43" s="1403" t="n"/>
      <c r="R43" s="1403" t="n"/>
      <c r="S43" s="1403" t="n"/>
      <c r="T43" s="1403" t="n"/>
      <c r="U43" s="1403" t="n"/>
      <c r="V43" s="1403" t="n"/>
      <c r="W43" s="1403" t="n"/>
      <c r="X43" s="1404" t="n"/>
      <c r="Y43" s="1464" t="n"/>
      <c r="Z43" s="1403" t="n"/>
      <c r="AA43" s="1403" t="n"/>
      <c r="AB43" s="1403" t="n"/>
      <c r="AC43" s="1403" t="n"/>
      <c r="AD43" s="1403" t="n"/>
      <c r="AE43" s="1403" t="n"/>
      <c r="AF43" s="1403" t="n"/>
      <c r="AG43" s="1404" t="n"/>
      <c r="AH43" s="1529" t="n"/>
      <c r="AI43" s="1525" t="n"/>
      <c r="AJ43" s="1525" t="n"/>
      <c r="AK43" s="1526" t="n"/>
      <c r="AL43" s="1384" t="n"/>
      <c r="AM43" s="1384" t="n"/>
      <c r="AN43" s="1384" t="n"/>
      <c r="AO43" s="1384" t="n"/>
      <c r="AP43" s="1384" t="n"/>
      <c r="AQ43" s="1384" t="n"/>
      <c r="AR43" s="1384" t="n"/>
      <c r="AS43" s="1384" t="n"/>
      <c r="AT43" s="1384" t="n"/>
      <c r="AU43" s="1384" t="n"/>
      <c r="AV43" s="1384" t="n"/>
      <c r="AW43" s="1384" t="n"/>
      <c r="BB43" s="1384" t="n"/>
    </row>
    <row r="44" ht="10" customHeight="1" s="1354">
      <c r="B44" s="1441" t="n"/>
      <c r="C44" s="1442" t="n"/>
      <c r="D44" s="1442" t="n"/>
      <c r="E44" s="1442" t="n"/>
      <c r="F44" s="1442" t="n"/>
      <c r="G44" s="1442" t="n"/>
      <c r="H44" s="1442" t="n"/>
      <c r="AG44" s="1539" t="n"/>
      <c r="AH44" s="1539" t="n"/>
      <c r="AI44" s="1539" t="n"/>
      <c r="AJ44" s="1539" t="n"/>
      <c r="AK44" s="1540" t="n"/>
      <c r="AL44" s="1539" t="n"/>
      <c r="AM44" s="1539" t="n"/>
      <c r="AN44" s="1539" t="n"/>
      <c r="AO44" s="1539" t="n"/>
      <c r="AP44" s="1539" t="n"/>
      <c r="AQ44" s="1539" t="n"/>
      <c r="AR44" s="1539" t="n"/>
      <c r="AS44" s="1539" t="n"/>
      <c r="AT44" s="1539" t="n"/>
      <c r="AU44" s="1539" t="n"/>
      <c r="AV44" s="1539" t="n"/>
      <c r="AW44" s="1539" t="n"/>
      <c r="AX44" s="1539" t="n"/>
      <c r="AY44" s="1539" t="n"/>
      <c r="AZ44" s="1539" t="n"/>
      <c r="BA44" s="1539" t="n"/>
      <c r="BB44" s="1539" t="n"/>
    </row>
    <row r="45" ht="14" customHeight="1" s="1354">
      <c r="B45" s="1491" t="inlineStr">
        <is>
          <t>(1) NOTE 36</t>
        </is>
      </c>
      <c r="T45" s="1398" t="n"/>
      <c r="U45" s="1541" t="n"/>
      <c r="V45" s="1541" t="n"/>
      <c r="W45" s="1541" t="n"/>
      <c r="X45" s="1541" t="n"/>
      <c r="Y45" s="1541" t="n"/>
      <c r="Z45" s="1541" t="n"/>
      <c r="AA45" s="1541" t="n"/>
      <c r="AB45" s="1541" t="n"/>
      <c r="AC45" s="1541" t="n"/>
      <c r="AD45" s="1541" t="n"/>
      <c r="AE45" s="1541" t="n"/>
      <c r="AF45" s="1541" t="n"/>
      <c r="AG45" s="1542" t="n"/>
      <c r="AH45" s="1542" t="n"/>
      <c r="AI45" s="1542" t="n"/>
      <c r="AJ45" s="1542" t="n"/>
      <c r="AK45" s="1543" t="n"/>
      <c r="AL45" s="1539" t="n"/>
      <c r="AM45" s="1539" t="n"/>
      <c r="AN45" s="1539" t="n"/>
      <c r="AO45" s="1539" t="n"/>
      <c r="AP45" s="1539" t="n"/>
      <c r="AQ45" s="1539" t="n"/>
      <c r="AR45" s="1539" t="n"/>
      <c r="AS45" s="1539" t="n"/>
      <c r="AT45" s="1539" t="n"/>
      <c r="AU45" s="1539" t="n"/>
      <c r="AV45" s="1539" t="n"/>
      <c r="AW45" s="1539" t="n"/>
      <c r="AX45" s="1539" t="n"/>
      <c r="AY45" s="1539" t="n"/>
      <c r="AZ45" s="1539" t="n"/>
      <c r="BA45" s="1539" t="n"/>
      <c r="BB45" s="1539" t="n"/>
    </row>
    <row r="46" ht="14" customHeight="1" s="1354">
      <c r="B46" s="1544" t="inlineStr">
        <is>
          <t>(2) Lister de manière précise les activités dans l'ordre décroissant du C. A. HT, ou de la valeur ajoutée (V. A.).</t>
        </is>
      </c>
      <c r="C46" s="1442" t="n"/>
      <c r="D46" s="1442" t="n"/>
      <c r="E46" s="1442" t="n"/>
      <c r="F46" s="1442" t="n"/>
      <c r="G46" s="1442" t="n"/>
      <c r="H46" s="1442" t="n"/>
      <c r="I46" s="1442" t="n"/>
      <c r="J46" s="1442" t="n"/>
      <c r="K46" s="1442" t="n"/>
      <c r="L46" s="1442" t="n"/>
      <c r="M46" s="1442" t="n"/>
      <c r="N46" s="1442" t="n"/>
      <c r="O46" s="1442" t="n"/>
      <c r="P46" s="1442" t="n"/>
      <c r="Q46" s="1442" t="n"/>
      <c r="R46" s="1442" t="n"/>
      <c r="S46" s="1545" t="n"/>
      <c r="T46" s="1442" t="n"/>
      <c r="U46" s="1442" t="n"/>
      <c r="V46" s="1442" t="n"/>
      <c r="W46" s="1442" t="n"/>
      <c r="X46" s="1442" t="n"/>
      <c r="Y46" s="1442" t="n"/>
      <c r="Z46" s="1442" t="n"/>
      <c r="AA46" s="1442" t="n"/>
      <c r="AB46" s="1442" t="n"/>
      <c r="AC46" s="1442" t="n"/>
      <c r="AD46" s="1442" t="n"/>
      <c r="AE46" s="1442" t="n"/>
      <c r="AF46" s="1442" t="n"/>
      <c r="AG46" s="1546" t="n"/>
      <c r="AH46" s="1546" t="n"/>
      <c r="AI46" s="1546" t="n"/>
      <c r="AJ46" s="1546" t="n"/>
      <c r="AK46" s="1547" t="n"/>
      <c r="AL46" s="1539" t="n"/>
      <c r="AM46" s="1539" t="n"/>
      <c r="AN46" s="1539" t="n"/>
      <c r="AO46" s="1539" t="n"/>
      <c r="AP46" s="1539" t="n"/>
      <c r="AQ46" s="1539" t="n"/>
      <c r="AR46" s="1539" t="n"/>
      <c r="AS46" s="1539" t="n"/>
      <c r="AT46" s="1539" t="n"/>
      <c r="AU46" s="1539" t="n"/>
      <c r="AV46" s="1539" t="n"/>
      <c r="AW46" s="1539" t="n"/>
      <c r="AX46" s="1539" t="n"/>
      <c r="AY46" s="1539" t="n"/>
      <c r="AZ46" s="1539" t="n"/>
      <c r="BA46" s="1539" t="n"/>
      <c r="BB46" s="1539" t="n"/>
    </row>
    <row r="47" ht="14" customHeight="1" s="1354">
      <c r="B47" s="1548" t="n"/>
      <c r="C47" s="1548" t="n"/>
      <c r="D47" s="1548" t="n"/>
      <c r="E47" s="1548" t="n"/>
      <c r="F47" s="1548" t="n"/>
      <c r="G47" s="1548" t="n"/>
      <c r="H47" s="1548" t="n"/>
      <c r="I47" s="1548" t="n"/>
      <c r="J47" s="1548" t="n"/>
      <c r="K47" s="1548" t="n"/>
      <c r="L47" s="1548" t="n"/>
      <c r="M47" s="1548" t="n"/>
      <c r="N47" s="1548" t="n"/>
      <c r="O47" s="1548" t="n"/>
      <c r="P47" s="1548" t="n"/>
      <c r="Q47" s="1548" t="n"/>
      <c r="R47" s="1548" t="n"/>
      <c r="S47" s="1548" t="n"/>
      <c r="T47" s="1548" t="n"/>
      <c r="U47" s="1548" t="n"/>
      <c r="V47" s="1548" t="n"/>
      <c r="W47" s="1548" t="n"/>
      <c r="X47" s="1548" t="n"/>
      <c r="Y47" s="1548" t="n"/>
      <c r="Z47" s="1548" t="n"/>
      <c r="AA47" s="1548" t="n"/>
      <c r="AB47" s="1548" t="n"/>
      <c r="AC47" s="1548" t="n"/>
      <c r="AD47" s="1548" t="n"/>
      <c r="AE47" s="1548" t="n"/>
      <c r="AF47" s="1548" t="n"/>
      <c r="AG47" s="1548" t="n"/>
      <c r="AH47" s="1548" t="n"/>
      <c r="AI47" s="1548" t="n"/>
      <c r="AJ47" s="1548" t="n"/>
      <c r="AK47" s="1548" t="n"/>
    </row>
  </sheetData>
  <mergeCells count="33">
    <mergeCell ref="AH27:AK27"/>
    <mergeCell ref="AH30:AK30"/>
    <mergeCell ref="AH26:AK26"/>
    <mergeCell ref="J5:Z5"/>
    <mergeCell ref="Y26:AG26"/>
    <mergeCell ref="Q40:X41"/>
    <mergeCell ref="AE6:AK6"/>
    <mergeCell ref="Y34:AG34"/>
    <mergeCell ref="Y40:AG40"/>
    <mergeCell ref="AH28:AK28"/>
    <mergeCell ref="Y42:AG43"/>
    <mergeCell ref="AH37:AK37"/>
    <mergeCell ref="B34:P34"/>
    <mergeCell ref="B37:P37"/>
    <mergeCell ref="Y37:AG37"/>
    <mergeCell ref="Y27:AG27"/>
    <mergeCell ref="AE7:AK7"/>
    <mergeCell ref="W9:AK9"/>
    <mergeCell ref="B30:P30"/>
    <mergeCell ref="Q26:X26"/>
    <mergeCell ref="AH5:AK5"/>
    <mergeCell ref="AH42:AK42"/>
    <mergeCell ref="K6:S6"/>
    <mergeCell ref="B24:AK24"/>
    <mergeCell ref="AH43:AK43"/>
    <mergeCell ref="B26:P26"/>
    <mergeCell ref="Q27:X27"/>
    <mergeCell ref="B4:AK4"/>
    <mergeCell ref="AB5:AG5"/>
    <mergeCell ref="AH34:AK34"/>
    <mergeCell ref="AH40:AK40"/>
    <mergeCell ref="Q42:X43"/>
    <mergeCell ref="Y30:AG3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27" activeCellId="27" sqref="B25 C25 D25 E25:F25 E26:F26 D26 C26 B26 B27 B28 B29 B30 B31 C31 C30 C29 C28 C27 D27 D28 D29 D30 D31 E31:F31 E30:F30 E29:F29 E28:F28 E27:F27"/>
    </sheetView>
  </sheetViews>
  <sheetFormatPr baseColWidth="8" defaultColWidth="10.8125" defaultRowHeight="14" zeroHeight="0" outlineLevelRow="0"/>
  <cols>
    <col width="5.44" customWidth="1" style="1549" min="1" max="1"/>
    <col width="20.26" customWidth="1" style="1549" min="2" max="2"/>
    <col width="17.72" customWidth="1" style="1549" min="3" max="3"/>
    <col width="14.72" customWidth="1" style="1549" min="4" max="4"/>
    <col width="19.99" customWidth="1" style="1549" min="5" max="5"/>
    <col width="25.44" customWidth="1" style="1549" min="6" max="6"/>
    <col width="10.81" customWidth="1" style="1549" min="7" max="257"/>
  </cols>
  <sheetData>
    <row r="1"/>
    <row r="2"/>
    <row r="3"/>
    <row r="4"/>
    <row r="5"/>
    <row r="6" ht="14" customFormat="1" customHeight="1" s="1355">
      <c r="A6" s="1549" t="n"/>
      <c r="B6" s="1384" t="inlineStr">
        <is>
          <t>Désignation entité : ENTREPRISE TEST SARL</t>
        </is>
      </c>
      <c r="C6" s="1550" t="n"/>
      <c r="D6" s="1472" t="n"/>
      <c r="E6" s="1472" t="n"/>
      <c r="F6" s="1384">
        <f>+'FICHE R2 '!AB5</f>
        <v/>
      </c>
    </row>
    <row r="7" ht="14.25" customFormat="1" customHeight="1" s="1355">
      <c r="A7" s="1549" t="n"/>
      <c r="B7" s="1384" t="inlineStr">
        <is>
          <t>Numéro d'identification : CD/KNG/RCCM/23-B-01234</t>
        </is>
      </c>
      <c r="C7" s="1551" t="n"/>
      <c r="D7" s="1552" t="n"/>
      <c r="E7" s="1472" t="n"/>
      <c r="F7" s="1553" t="inlineStr">
        <is>
          <t>Durée (en mois) : 12</t>
        </is>
      </c>
      <c r="G7" s="1477" t="n"/>
    </row>
    <row r="8"/>
    <row r="9" ht="16" customHeight="1" s="1354">
      <c r="B9" s="1554" t="inlineStr">
        <is>
          <t>DIRIGEANTS (1)</t>
        </is>
      </c>
      <c r="C9" s="1363" t="n"/>
      <c r="D9" s="1363" t="n"/>
      <c r="E9" s="1363" t="n"/>
      <c r="F9" s="1363" t="n"/>
    </row>
    <row r="10" ht="14" customHeight="1" s="1354">
      <c r="B10" s="1555" t="n"/>
      <c r="C10" s="1555" t="n"/>
      <c r="D10" s="1555" t="n"/>
      <c r="E10" s="1555" t="n"/>
      <c r="F10" s="1555" t="n"/>
    </row>
    <row r="11" ht="30" customHeight="1" s="1354">
      <c r="B11" s="1556" t="inlineStr">
        <is>
          <t>Nom</t>
        </is>
      </c>
      <c r="C11" s="1556" t="inlineStr">
        <is>
          <t>Prénoms</t>
        </is>
      </c>
      <c r="D11" s="1556" t="inlineStr">
        <is>
          <t>Qualité</t>
        </is>
      </c>
      <c r="E11" s="1557" t="inlineStr">
        <is>
          <t>N° identification fiscale</t>
        </is>
      </c>
      <c r="F11" s="1557" t="inlineStr">
        <is>
          <t>Adresse (BP, ville, pays)</t>
        </is>
      </c>
    </row>
    <row r="12" ht="20.15" customHeight="1" s="1354">
      <c r="B12" s="1558" t="n"/>
      <c r="C12" s="1558" t="n"/>
      <c r="D12" s="1559" t="n"/>
      <c r="E12" s="1560" t="n"/>
      <c r="F12" s="1558" t="n"/>
    </row>
    <row r="13" ht="20.15" customHeight="1" s="1354">
      <c r="B13" s="1561" t="n"/>
      <c r="C13" s="1561" t="n"/>
      <c r="D13" s="1562" t="n"/>
      <c r="E13" s="1561" t="n"/>
      <c r="F13" s="1561" t="n"/>
    </row>
    <row r="14" ht="20.15" customHeight="1" s="1354">
      <c r="B14" s="1561" t="n"/>
      <c r="C14" s="1561" t="n"/>
      <c r="D14" s="1562" t="n"/>
      <c r="E14" s="1561" t="n"/>
      <c r="F14" s="1561" t="n"/>
    </row>
    <row r="15" ht="20.15" customHeight="1" s="1354">
      <c r="B15" s="1561" t="n"/>
      <c r="C15" s="1561" t="n"/>
      <c r="D15" s="1562" t="n"/>
      <c r="E15" s="1561" t="n"/>
      <c r="F15" s="1561" t="n"/>
    </row>
    <row r="16" ht="20.15" customHeight="1" s="1354">
      <c r="B16" s="1561" t="n"/>
      <c r="C16" s="1561" t="n"/>
      <c r="D16" s="1562" t="n"/>
      <c r="E16" s="1561" t="n"/>
      <c r="F16" s="1561" t="n"/>
    </row>
    <row r="17" ht="19.5" customHeight="1" s="1354">
      <c r="B17" s="1563" t="n"/>
      <c r="C17" s="1563" t="n"/>
      <c r="D17" s="1564" t="n"/>
      <c r="E17" s="1565" t="n"/>
      <c r="F17" s="1565" t="n"/>
    </row>
    <row r="18" ht="14" customHeight="1" s="1354">
      <c r="B18" s="1566" t="n"/>
      <c r="E18" s="1549" t="inlineStr">
        <is>
          <t> </t>
        </is>
      </c>
    </row>
    <row r="19" ht="14.5" customHeight="1" s="1354">
      <c r="B19" s="1567" t="inlineStr">
        <is>
          <t>(1) Dirigeants = Président Directeur Général, Directeur Général, Administrateur Général, Gérant, Autres.</t>
        </is>
      </c>
      <c r="C19" s="1568" t="n"/>
      <c r="D19" s="1568" t="n"/>
      <c r="E19" s="1568" t="n"/>
      <c r="F19" s="1568" t="n"/>
    </row>
    <row r="20"/>
    <row r="21" ht="14.5" customHeight="1" s="1354">
      <c r="B21" s="1568" t="n"/>
      <c r="C21" s="1568" t="n"/>
      <c r="D21" s="1568" t="n"/>
      <c r="E21" s="1568" t="n"/>
      <c r="F21" s="1568" t="n"/>
    </row>
    <row r="22" ht="14" customHeight="1" s="1354">
      <c r="B22" s="1554" t="inlineStr">
        <is>
          <t>MEMBRES DU CONSEIL D'ADMINISTRATION</t>
        </is>
      </c>
      <c r="C22" s="1363" t="n"/>
      <c r="D22" s="1363" t="n"/>
      <c r="E22" s="1363" t="n"/>
      <c r="F22" s="1363" t="n"/>
    </row>
    <row r="23" ht="14.5" customHeight="1" s="1354">
      <c r="B23" s="1568" t="n"/>
      <c r="C23" s="1568" t="n"/>
      <c r="D23" s="1568" t="n"/>
      <c r="E23" s="1568" t="n"/>
      <c r="F23" s="1568" t="n"/>
    </row>
    <row r="24" ht="30" customHeight="1" s="1354">
      <c r="B24" s="1556" t="inlineStr">
        <is>
          <t>Nom</t>
        </is>
      </c>
      <c r="C24" s="1556" t="inlineStr">
        <is>
          <t>Prénoms</t>
        </is>
      </c>
      <c r="D24" s="1556" t="inlineStr">
        <is>
          <t>Qualité</t>
        </is>
      </c>
      <c r="E24" s="1569" t="inlineStr">
        <is>
          <t>Adresse (BP, ville, pays)</t>
        </is>
      </c>
      <c r="F24" s="1570" t="n"/>
    </row>
    <row r="25" ht="20.15" customHeight="1" s="1354">
      <c r="B25" s="1571" t="n"/>
      <c r="C25" s="1571" t="n"/>
      <c r="D25" s="1571" t="n"/>
      <c r="E25" s="1571" t="n"/>
      <c r="F25" s="1570" t="n"/>
    </row>
    <row r="26" ht="20.15" customHeight="1" s="1354">
      <c r="B26" s="1561" t="n"/>
      <c r="C26" s="1561" t="n"/>
      <c r="D26" s="1561" t="n"/>
      <c r="E26" s="1561" t="n"/>
      <c r="F26" s="1570" t="n"/>
    </row>
    <row r="27" ht="20.15" customHeight="1" s="1354">
      <c r="B27" s="1561" t="n"/>
      <c r="C27" s="1561" t="n"/>
      <c r="D27" s="1561" t="n"/>
      <c r="E27" s="1561" t="n"/>
      <c r="F27" s="1570" t="n"/>
    </row>
    <row r="28" ht="20.15" customHeight="1" s="1354">
      <c r="B28" s="1561" t="n"/>
      <c r="C28" s="1561" t="n"/>
      <c r="D28" s="1561" t="n"/>
      <c r="E28" s="1561" t="n"/>
      <c r="F28" s="1570" t="n"/>
    </row>
    <row r="29" ht="20.15" customHeight="1" s="1354">
      <c r="B29" s="1561" t="n"/>
      <c r="C29" s="1561" t="n"/>
      <c r="D29" s="1561" t="n"/>
      <c r="E29" s="1561" t="n"/>
      <c r="F29" s="1570" t="n"/>
    </row>
    <row r="30" ht="20.15" customHeight="1" s="1354">
      <c r="B30" s="1561" t="n"/>
      <c r="C30" s="1563" t="n"/>
      <c r="D30" s="1561" t="n"/>
      <c r="E30" s="1561" t="n"/>
      <c r="F30" s="1570" t="n"/>
    </row>
    <row r="31" ht="17.25" customHeight="1" s="1354">
      <c r="B31" s="1563" t="n"/>
      <c r="C31" s="1565" t="n"/>
      <c r="D31" s="1561" t="n"/>
      <c r="E31" s="1563" t="n"/>
      <c r="F31" s="1570" t="n"/>
    </row>
  </sheetData>
  <mergeCells count="10">
    <mergeCell ref="B9:F9"/>
    <mergeCell ref="E30:F30"/>
    <mergeCell ref="E29:F29"/>
    <mergeCell ref="E24:F24"/>
    <mergeCell ref="E25:F25"/>
    <mergeCell ref="E27:F27"/>
    <mergeCell ref="E28:F28"/>
    <mergeCell ref="B22:F22"/>
    <mergeCell ref="E26:F26"/>
    <mergeCell ref="E31:F31"/>
  </mergeCells>
  <printOptions horizontalCentered="0" verticalCentered="0" headings="0" gridLines="0" gridLinesSet="1"/>
  <pageMargins left="0" right="0"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54"/>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C7" activeCellId="0" sqref="C7:D52"/>
    </sheetView>
  </sheetViews>
  <sheetFormatPr baseColWidth="8" defaultColWidth="10.90234375" defaultRowHeight="14.5" zeroHeight="0" outlineLevelRow="0"/>
  <cols>
    <col width="12.26" customWidth="1" style="1572" min="1" max="1"/>
    <col width="75.44" customWidth="1" style="1572" min="2" max="2"/>
    <col width="14.44" customWidth="1" style="1572" min="3" max="3"/>
    <col width="13.44" customWidth="1" style="1572" min="4" max="4"/>
  </cols>
  <sheetData>
    <row r="1" ht="18" customHeight="1" s="1354">
      <c r="A1" s="1573" t="n"/>
      <c r="B1" s="1549" t="n"/>
      <c r="C1" s="1574" t="n"/>
      <c r="D1" s="1549" t="n"/>
    </row>
    <row r="2" ht="18" customHeight="1" s="1354">
      <c r="A2" s="1573" t="n"/>
      <c r="B2" s="1549" t="n"/>
      <c r="C2" s="1574" t="n"/>
      <c r="D2" s="1549" t="n"/>
    </row>
    <row r="3" ht="14.5" customHeight="1" s="1354">
      <c r="A3" s="1575" t="inlineStr">
        <is>
          <t>Désignation entité : ENTREPRISE TEST SARL</t>
        </is>
      </c>
      <c r="B3" s="1576" t="n"/>
      <c r="C3" s="1577" t="inlineStr">
        <is>
          <t>Exercice clos le : 31/12/2025</t>
        </is>
      </c>
      <c r="D3" s="1578" t="n"/>
    </row>
    <row r="4" ht="14.5" customHeight="1" s="1354">
      <c r="A4" s="1579" t="inlineStr">
        <is>
          <t>Numéro d’identification : CD/KNG/RCCM/23-B-01234</t>
        </is>
      </c>
      <c r="B4" s="1580" t="n"/>
      <c r="C4" s="1581" t="inlineStr">
        <is>
          <t>Durée (en mois) : 12</t>
        </is>
      </c>
      <c r="D4" s="1582" t="n"/>
    </row>
    <row r="5" ht="6.75" customHeight="1" s="1354"/>
    <row r="6" ht="16.5" customFormat="1" customHeight="1" s="1583">
      <c r="A6" s="1584" t="inlineStr">
        <is>
          <t>NOTES</t>
        </is>
      </c>
      <c r="B6" s="1584" t="inlineStr">
        <is>
          <t>INTITULES</t>
        </is>
      </c>
      <c r="C6" s="1584" t="inlineStr">
        <is>
          <t>A</t>
        </is>
      </c>
      <c r="D6" s="1584" t="inlineStr">
        <is>
          <t>N/A</t>
        </is>
      </c>
    </row>
    <row r="7" ht="15" customFormat="1" customHeight="1" s="1585">
      <c r="A7" s="1586" t="inlineStr">
        <is>
          <t>NOTE 1</t>
        </is>
      </c>
      <c r="B7" s="1587" t="inlineStr">
        <is>
          <t>DETTES GARANTIES PAR DES SURETTES REELLES</t>
        </is>
      </c>
      <c r="C7" s="1588" t="n"/>
      <c r="D7" s="1588" t="n"/>
    </row>
    <row r="8" ht="15" customFormat="1" customHeight="1" s="1585">
      <c r="A8" s="1586" t="inlineStr">
        <is>
          <t>NOTE 2</t>
        </is>
      </c>
      <c r="B8" s="1587" t="inlineStr">
        <is>
          <t>INFORMATIONS OBLIGTOIRES</t>
        </is>
      </c>
      <c r="C8" s="1588" t="n"/>
      <c r="D8" s="1588" t="n"/>
    </row>
    <row r="9" ht="15" customFormat="1" customHeight="1" s="1585">
      <c r="A9" s="1586" t="inlineStr">
        <is>
          <t>NOTE 3A</t>
        </is>
      </c>
      <c r="B9" s="1587" t="inlineStr">
        <is>
          <t>IMMOBILISATION BRUTE</t>
        </is>
      </c>
      <c r="C9" s="1588" t="n"/>
      <c r="D9" s="1588" t="n"/>
    </row>
    <row r="10" ht="15" customFormat="1" customHeight="1" s="1585">
      <c r="A10" s="1586" t="inlineStr">
        <is>
          <t>NOTE 3B</t>
        </is>
      </c>
      <c r="B10" s="1587" t="inlineStr">
        <is>
          <t xml:space="preserve">BIENS PRIS EN LOCATION ACQUISITION </t>
        </is>
      </c>
      <c r="C10" s="1588" t="n"/>
      <c r="D10" s="1588" t="n"/>
    </row>
    <row r="11" ht="15" customFormat="1" customHeight="1" s="1585">
      <c r="A11" s="1586" t="inlineStr">
        <is>
          <t>NOTE 3C</t>
        </is>
      </c>
      <c r="B11" s="1587" t="inlineStr">
        <is>
          <t>IMMOBILISATIONS : AMORTISSEMENTS</t>
        </is>
      </c>
      <c r="C11" s="1588" t="n"/>
      <c r="D11" s="1588" t="n"/>
    </row>
    <row r="12" ht="15" customFormat="1" customHeight="1" s="1585">
      <c r="A12" s="1586" t="inlineStr">
        <is>
          <t>NOTE 3D</t>
        </is>
      </c>
      <c r="B12" s="1587" t="inlineStr">
        <is>
          <t>IMMOBLISATIONS : PLUS-VALUES ET MOINS VALUE DE CESSION</t>
        </is>
      </c>
      <c r="C12" s="1588" t="n"/>
      <c r="D12" s="1588" t="n"/>
    </row>
    <row r="13" ht="15" customFormat="1" customHeight="1" s="1585">
      <c r="A13" s="1586" t="inlineStr">
        <is>
          <t>NOTE 3E</t>
        </is>
      </c>
      <c r="B13" s="1587" t="inlineStr">
        <is>
          <t>INFORMATIONS SUR LES REEVALUATIONS EFFECTUEES PAR L’ENTITE</t>
        </is>
      </c>
      <c r="C13" s="1588" t="n"/>
      <c r="D13" s="1588" t="n"/>
    </row>
    <row r="14" ht="15" customFormat="1" customHeight="1" s="1585">
      <c r="A14" s="1586" t="inlineStr">
        <is>
          <t>NOTE 3F</t>
        </is>
      </c>
      <c r="B14" s="1587" t="inlineStr">
        <is>
          <t>TABLEAU D’ETALEMENT DES CHARGES IMMOBILISEES</t>
        </is>
      </c>
      <c r="C14" s="1588" t="n"/>
      <c r="D14" s="1588" t="n"/>
    </row>
    <row r="15" ht="15" customFormat="1" customHeight="1" s="1585">
      <c r="A15" s="1586" t="inlineStr">
        <is>
          <t>NOTE 4</t>
        </is>
      </c>
      <c r="B15" s="1587" t="inlineStr">
        <is>
          <t>IMMOBILISATIONS FINANCIERES</t>
        </is>
      </c>
      <c r="C15" s="1588" t="n"/>
      <c r="D15" s="1588" t="n"/>
    </row>
    <row r="16" ht="15" customFormat="1" customHeight="1" s="1585">
      <c r="A16" s="1586" t="inlineStr">
        <is>
          <t>NOTE 5</t>
        </is>
      </c>
      <c r="B16" s="1587" t="inlineStr">
        <is>
          <t>ACTIF CIRCULANT HAO</t>
        </is>
      </c>
      <c r="C16" s="1588" t="n"/>
      <c r="D16" s="1588" t="n"/>
    </row>
    <row r="17" ht="15" customFormat="1" customHeight="1" s="1585">
      <c r="A17" s="1586" t="inlineStr">
        <is>
          <t>NOTE 6</t>
        </is>
      </c>
      <c r="B17" s="1587" t="inlineStr">
        <is>
          <t>STOCKS ET ENCOURS</t>
        </is>
      </c>
      <c r="C17" s="1588" t="n"/>
      <c r="D17" s="1588" t="n"/>
    </row>
    <row r="18" ht="15" customFormat="1" customHeight="1" s="1585">
      <c r="A18" s="1586" t="inlineStr">
        <is>
          <t>NOTE 7</t>
        </is>
      </c>
      <c r="B18" s="1587" t="inlineStr">
        <is>
          <t>CLIENTS</t>
        </is>
      </c>
      <c r="C18" s="1588" t="n"/>
      <c r="D18" s="1588" t="n"/>
    </row>
    <row r="19" ht="15" customFormat="1" customHeight="1" s="1585">
      <c r="A19" s="1586" t="inlineStr">
        <is>
          <t>NOTE 8</t>
        </is>
      </c>
      <c r="B19" s="1587" t="inlineStr">
        <is>
          <t>AUTRES CREANCES</t>
        </is>
      </c>
      <c r="C19" s="1588" t="n"/>
      <c r="D19" s="1588" t="n"/>
    </row>
    <row r="20" ht="15" customFormat="1" customHeight="1" s="1585">
      <c r="A20" s="1586" t="inlineStr">
        <is>
          <t>NOTE 9</t>
        </is>
      </c>
      <c r="B20" s="1587" t="inlineStr">
        <is>
          <t>TITRES DE PLACEMENT</t>
        </is>
      </c>
      <c r="C20" s="1588" t="n"/>
      <c r="D20" s="1588" t="n"/>
    </row>
    <row r="21" ht="15" customFormat="1" customHeight="1" s="1585">
      <c r="A21" s="1586" t="inlineStr">
        <is>
          <t>NOTE 10</t>
        </is>
      </c>
      <c r="B21" s="1587" t="inlineStr">
        <is>
          <t>VALEUR A ENCAISSER</t>
        </is>
      </c>
      <c r="C21" s="1588" t="n"/>
      <c r="D21" s="1588" t="n"/>
    </row>
    <row r="22" ht="15" customFormat="1" customHeight="1" s="1585">
      <c r="A22" s="1586" t="inlineStr">
        <is>
          <t>NOTE 11</t>
        </is>
      </c>
      <c r="B22" s="1587" t="inlineStr">
        <is>
          <t>DISPONIBILITES</t>
        </is>
      </c>
      <c r="C22" s="1588" t="n"/>
      <c r="D22" s="1588" t="n"/>
    </row>
    <row r="23" ht="15" customFormat="1" customHeight="1" s="1585">
      <c r="A23" s="1586" t="inlineStr">
        <is>
          <t>NOTE 12</t>
        </is>
      </c>
      <c r="B23" s="1587" t="inlineStr">
        <is>
          <t>ECARTS DE CONVERSION</t>
        </is>
      </c>
      <c r="C23" s="1588" t="n"/>
      <c r="D23" s="1588" t="n"/>
    </row>
    <row r="24" ht="15" customFormat="1" customHeight="1" s="1585">
      <c r="A24" s="1586" t="inlineStr">
        <is>
          <t>NOTE 13</t>
        </is>
      </c>
      <c r="B24" s="1587" t="inlineStr">
        <is>
          <t xml:space="preserve">CAPITAL : VALEUR NOMINALE DES ACTIONS OU PARTS  </t>
        </is>
      </c>
      <c r="C24" s="1588" t="n"/>
      <c r="D24" s="1588" t="n"/>
    </row>
    <row r="25" ht="15" customFormat="1" customHeight="1" s="1585">
      <c r="A25" s="1586" t="inlineStr">
        <is>
          <t>NOTE 14</t>
        </is>
      </c>
      <c r="B25" s="1587" t="inlineStr">
        <is>
          <t>PRIMES ET RESERVES</t>
        </is>
      </c>
      <c r="C25" s="1588" t="n"/>
      <c r="D25" s="1588" t="n"/>
    </row>
    <row r="26" ht="15" customFormat="1" customHeight="1" s="1585">
      <c r="A26" s="1586" t="inlineStr">
        <is>
          <t>NOTE 15A</t>
        </is>
      </c>
      <c r="B26" s="1587" t="inlineStr">
        <is>
          <t>SUBVENTIONS ET PROVISIONS REGLEMENTEES</t>
        </is>
      </c>
      <c r="C26" s="1588" t="n"/>
      <c r="D26" s="1588" t="n"/>
    </row>
    <row r="27" ht="15" customFormat="1" customHeight="1" s="1585">
      <c r="A27" s="1586" t="inlineStr">
        <is>
          <t>NOTE 15B</t>
        </is>
      </c>
      <c r="B27" s="1587" t="inlineStr">
        <is>
          <t>AUTRES FONDS PROPRES</t>
        </is>
      </c>
      <c r="C27" s="1588" t="n"/>
      <c r="D27" s="1588" t="n"/>
    </row>
    <row r="28" ht="15" customFormat="1" customHeight="1" s="1585">
      <c r="A28" s="1586" t="inlineStr">
        <is>
          <t>NOTE 16A</t>
        </is>
      </c>
      <c r="B28" s="1587" t="inlineStr">
        <is>
          <t>DETTES FINANCIERES ET RESSOURCES ASSIMILEES</t>
        </is>
      </c>
      <c r="C28" s="1588" t="n"/>
      <c r="D28" s="1588" t="n"/>
    </row>
    <row r="29" ht="15" customFormat="1" customHeight="1" s="1585">
      <c r="A29" s="1586" t="inlineStr">
        <is>
          <t>NOTE 16B</t>
        </is>
      </c>
      <c r="B29" s="1587" t="inlineStr">
        <is>
          <t>ENGAGEMENTS DE RETRAITE ET AVANTAGES ASSIMILEES (METHODE ACTUARIELLE)</t>
        </is>
      </c>
      <c r="C29" s="1588" t="n"/>
      <c r="D29" s="1588" t="n"/>
    </row>
    <row r="30" ht="15" customFormat="1" customHeight="1" s="1585">
      <c r="A30" s="1586" t="inlineStr">
        <is>
          <t>NOTE 16B bis</t>
        </is>
      </c>
      <c r="B30" s="1587" t="inlineStr">
        <is>
          <t>ENGAGEMENTS DE RETRAITE ET AVANTAGES ASSIMILEES (METHODE ACTUARIELLE)</t>
        </is>
      </c>
      <c r="C30" s="1588" t="n"/>
      <c r="D30" s="1588" t="n"/>
    </row>
    <row r="31" ht="15" customFormat="1" customHeight="1" s="1585">
      <c r="A31" s="1586" t="inlineStr">
        <is>
          <t>NOTE 16C</t>
        </is>
      </c>
      <c r="B31" s="1587" t="inlineStr">
        <is>
          <t>ACTIFS ET PASSIFS EVENTUELS</t>
        </is>
      </c>
      <c r="C31" s="1588" t="n"/>
      <c r="D31" s="1588" t="n"/>
    </row>
    <row r="32" ht="15" customFormat="1" customHeight="1" s="1585">
      <c r="A32" s="1586" t="inlineStr">
        <is>
          <t>NOTE 17</t>
        </is>
      </c>
      <c r="B32" s="1587" t="inlineStr">
        <is>
          <t>FOURNISSEURS D’EXPLOITATION</t>
        </is>
      </c>
      <c r="C32" s="1588" t="n"/>
      <c r="D32" s="1588" t="n"/>
    </row>
    <row r="33" ht="15" customFormat="1" customHeight="1" s="1585">
      <c r="A33" s="1586" t="inlineStr">
        <is>
          <t>NOTE 18</t>
        </is>
      </c>
      <c r="B33" s="1587" t="inlineStr">
        <is>
          <t>DETTES FISCALES ET SOCIALES</t>
        </is>
      </c>
      <c r="C33" s="1588" t="n"/>
      <c r="D33" s="1588" t="n"/>
    </row>
    <row r="34" ht="15" customFormat="1" customHeight="1" s="1585">
      <c r="A34" s="1586" t="inlineStr">
        <is>
          <t>NOTE 19</t>
        </is>
      </c>
      <c r="B34" s="1587" t="inlineStr">
        <is>
          <t>AUTRES DETTES ET PROVISIONS POUR RISQUES A COURT TERME</t>
        </is>
      </c>
      <c r="C34" s="1588" t="n"/>
      <c r="D34" s="1588" t="n"/>
    </row>
    <row r="35" ht="15" customFormat="1" customHeight="1" s="1585">
      <c r="A35" s="1586" t="inlineStr">
        <is>
          <t>NOTE 20</t>
        </is>
      </c>
      <c r="B35" s="1587" t="inlineStr">
        <is>
          <t>BANQUES, CREDITS D’ESCOMPTE ET DE TRESORERIE</t>
        </is>
      </c>
      <c r="C35" s="1588" t="n"/>
      <c r="D35" s="1588" t="n"/>
    </row>
    <row r="36" ht="15" customFormat="1" customHeight="1" s="1585">
      <c r="A36" s="1586" t="inlineStr">
        <is>
          <t>NOTE 21</t>
        </is>
      </c>
      <c r="B36" s="1587" t="inlineStr">
        <is>
          <t>CHIFFRE D’AFFAIRES ET AUTRES PRODUITS</t>
        </is>
      </c>
      <c r="C36" s="1588" t="n"/>
      <c r="D36" s="1588" t="n"/>
    </row>
    <row r="37" ht="15" customFormat="1" customHeight="1" s="1585">
      <c r="A37" s="1586" t="inlineStr">
        <is>
          <t>NOTE 22</t>
        </is>
      </c>
      <c r="B37" s="1587" t="inlineStr">
        <is>
          <t>ACHATS</t>
        </is>
      </c>
      <c r="C37" s="1588" t="n"/>
      <c r="D37" s="1588" t="n"/>
    </row>
    <row r="38" ht="15" customFormat="1" customHeight="1" s="1585">
      <c r="A38" s="1586" t="inlineStr">
        <is>
          <t>NOTE 23</t>
        </is>
      </c>
      <c r="B38" s="1587" t="inlineStr">
        <is>
          <t>TRANSPORTS</t>
        </is>
      </c>
      <c r="C38" s="1588" t="n"/>
      <c r="D38" s="1588" t="n"/>
    </row>
    <row r="39" ht="15" customFormat="1" customHeight="1" s="1585">
      <c r="A39" s="1586" t="inlineStr">
        <is>
          <t>NOTE 24</t>
        </is>
      </c>
      <c r="B39" s="1587" t="inlineStr">
        <is>
          <t>SERVICES EXTERIEURS</t>
        </is>
      </c>
      <c r="C39" s="1588" t="n"/>
      <c r="D39" s="1588" t="n"/>
    </row>
    <row r="40" ht="15" customFormat="1" customHeight="1" s="1585">
      <c r="A40" s="1586" t="inlineStr">
        <is>
          <t>NOTE 25</t>
        </is>
      </c>
      <c r="B40" s="1587" t="inlineStr">
        <is>
          <t>IMPOTS ET TAXES</t>
        </is>
      </c>
      <c r="C40" s="1588" t="n"/>
      <c r="D40" s="1588" t="n"/>
    </row>
    <row r="41" ht="15" customFormat="1" customHeight="1" s="1585">
      <c r="A41" s="1586" t="inlineStr">
        <is>
          <t>NOTE 26</t>
        </is>
      </c>
      <c r="B41" s="1587" t="inlineStr">
        <is>
          <t>AUTRES CHARGES</t>
        </is>
      </c>
      <c r="C41" s="1588" t="n"/>
      <c r="D41" s="1588" t="n"/>
    </row>
    <row r="42" ht="15" customFormat="1" customHeight="1" s="1585">
      <c r="A42" s="1586" t="inlineStr">
        <is>
          <t>NOTE 27A</t>
        </is>
      </c>
      <c r="B42" s="1587" t="inlineStr">
        <is>
          <t>CHARGES DE PERSONNEL</t>
        </is>
      </c>
      <c r="C42" s="1588" t="n"/>
      <c r="D42" s="1588" t="n"/>
    </row>
    <row r="43" ht="15" customFormat="1" customHeight="1" s="1585">
      <c r="A43" s="1586" t="inlineStr">
        <is>
          <t>NOTE 27B</t>
        </is>
      </c>
      <c r="B43" s="1587" t="inlineStr">
        <is>
          <t>EFFECTIFS, MASSE SALARIALE ET PERSONNEL EXTERIEUR</t>
        </is>
      </c>
      <c r="C43" s="1588" t="n"/>
      <c r="D43" s="1588" t="n"/>
    </row>
    <row r="44" ht="15" customFormat="1" customHeight="1" s="1585">
      <c r="A44" s="1586" t="inlineStr">
        <is>
          <t>NOTE 28</t>
        </is>
      </c>
      <c r="B44" s="1587" t="inlineStr">
        <is>
          <t>PROVISIONS  ET DEPRECIATIONS INSCRITES AU BILAN</t>
        </is>
      </c>
      <c r="C44" s="1588" t="n"/>
      <c r="D44" s="1588" t="n"/>
    </row>
    <row r="45" ht="15" customFormat="1" customHeight="1" s="1585">
      <c r="A45" s="1586" t="inlineStr">
        <is>
          <t>NOTE 29</t>
        </is>
      </c>
      <c r="B45" s="1587" t="inlineStr">
        <is>
          <t>CHARGES ET REVENUS FINANCIERES</t>
        </is>
      </c>
      <c r="C45" s="1588" t="n"/>
      <c r="D45" s="1588" t="n"/>
    </row>
    <row r="46" ht="15" customFormat="1" customHeight="1" s="1585">
      <c r="A46" s="1586" t="inlineStr">
        <is>
          <t>NOTE 30</t>
        </is>
      </c>
      <c r="B46" s="1587" t="inlineStr">
        <is>
          <t>AUTRES CHARGES ET PRODUITS HAO</t>
        </is>
      </c>
      <c r="C46" s="1588" t="n"/>
      <c r="D46" s="1588" t="n"/>
    </row>
    <row r="47" ht="16.5" customFormat="1" customHeight="1" s="1585">
      <c r="A47" s="1586" t="inlineStr">
        <is>
          <t>NOTE 31</t>
        </is>
      </c>
      <c r="B47" s="1587" t="inlineStr">
        <is>
          <t>REPARTITION DU RESULTAT ET AUTRES ELEMENTS CARACTERISTIQUES DES CINQ DERNIERES EXERCICES</t>
        </is>
      </c>
      <c r="C47" s="1588" t="n"/>
      <c r="D47" s="1588" t="n"/>
    </row>
    <row r="48" ht="15" customFormat="1" customHeight="1" s="1585">
      <c r="A48" s="1586" t="inlineStr">
        <is>
          <t>NOTE 32</t>
        </is>
      </c>
      <c r="B48" s="1587" t="inlineStr">
        <is>
          <t>PRODUCTION DE L’EXERCICE</t>
        </is>
      </c>
      <c r="C48" s="1588" t="n"/>
      <c r="D48" s="1588" t="n"/>
    </row>
    <row r="49" ht="15" customFormat="1" customHeight="1" s="1585">
      <c r="A49" s="1586" t="inlineStr">
        <is>
          <t>NOTE 33</t>
        </is>
      </c>
      <c r="B49" s="1587" t="inlineStr">
        <is>
          <t>ACHATS DESTINES A LA PRODUCTION</t>
        </is>
      </c>
      <c r="C49" s="1588" t="n"/>
      <c r="D49" s="1588" t="n"/>
    </row>
    <row r="50" ht="15" customFormat="1" customHeight="1" s="1585">
      <c r="A50" s="1586" t="inlineStr">
        <is>
          <t>NOTE 34</t>
        </is>
      </c>
      <c r="B50" s="1587" t="inlineStr">
        <is>
          <t>FICHE DE SYNTHESE DES PRINCIPAUX INDICATEURS FINANCIERS</t>
        </is>
      </c>
      <c r="C50" s="1588" t="n"/>
      <c r="D50" s="1588" t="n"/>
    </row>
    <row r="51" ht="17.25" customFormat="1" customHeight="1" s="1585">
      <c r="A51" s="1586" t="inlineStr">
        <is>
          <t>NOTE 35</t>
        </is>
      </c>
      <c r="B51" s="1587" t="inlineStr">
        <is>
          <t>LISTE DES INFORMATIONS SOCIALES, ENVIRONNEMENTALES ET SOCIETALES A FOURNIR</t>
        </is>
      </c>
      <c r="C51" s="1588" t="n"/>
      <c r="D51" s="1588" t="n"/>
    </row>
    <row r="52" ht="15" customFormat="1" customHeight="1" s="1585">
      <c r="A52" s="1586" t="inlineStr">
        <is>
          <t>NOTE 36</t>
        </is>
      </c>
      <c r="B52" s="1587" t="inlineStr">
        <is>
          <t>TABLES DES CODES</t>
        </is>
      </c>
      <c r="C52" s="1588" t="n"/>
      <c r="D52" s="1588" t="n"/>
    </row>
    <row r="53" ht="20.15" customFormat="1" customHeight="1" s="1589">
      <c r="A53" s="1589" t="inlineStr">
        <is>
          <t>A : Applicable                        N/A : Non Applicable.</t>
        </is>
      </c>
    </row>
    <row r="54" ht="20.15" customHeight="1" s="1354">
      <c r="A54" s="1572" t="n"/>
      <c r="B54" s="1572" t="n"/>
      <c r="C54" s="1572" t="n"/>
      <c r="D54" s="1572" t="n"/>
    </row>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row r="64" ht="20.15" customHeight="1" s="1354"/>
    <row r="65" ht="20.15" customHeight="1" s="1354"/>
    <row r="66" ht="20.15" customHeight="1" s="1354"/>
    <row r="67" ht="20.15" customHeight="1" s="1354"/>
    <row r="68" ht="20.15" customHeight="1" s="1354"/>
    <row r="69" ht="20.15" customHeight="1" s="1354"/>
    <row r="70" ht="20.15" customHeight="1" s="1354"/>
    <row r="71" ht="20.15" customHeight="1" s="1354"/>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I46"/>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D11" activeCellId="0" sqref="D11"/>
    </sheetView>
  </sheetViews>
  <sheetFormatPr baseColWidth="8" defaultColWidth="10.8125" defaultRowHeight="14" zeroHeight="0" outlineLevelRow="0"/>
  <cols>
    <col width="5.81" customWidth="1" style="1549" min="1" max="1"/>
    <col width="41.17" customWidth="1" style="1549" min="2" max="2"/>
    <col width="5.26" customWidth="1" style="1549" min="3" max="3"/>
    <col width="14.81" customWidth="1" style="1549" min="4" max="4"/>
    <col width="15.44" customWidth="1" style="1549" min="5" max="6"/>
    <col width="15.99" customWidth="1" style="1549" min="7" max="7"/>
    <col width="10.81" customWidth="1" style="1549" min="8" max="8"/>
    <col width="21.44" customWidth="1" style="1549" min="9" max="9"/>
    <col width="10.81" customWidth="1" style="1549" min="10" max="257"/>
  </cols>
  <sheetData>
    <row r="1"/>
    <row r="2"/>
    <row r="3" ht="14" customHeight="1" s="1354">
      <c r="A3" s="1590" t="inlineStr">
        <is>
          <t> </t>
        </is>
      </c>
    </row>
    <row r="4" ht="20.25" customHeight="1" s="1354">
      <c r="A4" s="1575" t="inlineStr">
        <is>
          <t>Désignation entité : ENTREPRISE TEST SARL</t>
        </is>
      </c>
      <c r="B4" s="1580" t="n"/>
      <c r="E4" s="1591" t="inlineStr">
        <is>
          <t>Exercice clos le : 31/12/2025</t>
        </is>
      </c>
      <c r="F4" s="1592" t="n"/>
      <c r="G4" s="1578" t="n"/>
    </row>
    <row r="5" ht="15" customHeight="1" s="1354">
      <c r="A5" s="1575" t="inlineStr">
        <is>
          <t>Numéro d’identification : CD/KNG/RCCM/23-B-01234</t>
        </is>
      </c>
      <c r="B5" s="1580" t="n"/>
      <c r="D5" s="1591" t="n"/>
      <c r="E5" s="1591" t="inlineStr">
        <is>
          <t>Durée (en mois) : 12</t>
        </is>
      </c>
      <c r="F5" s="1591" t="n"/>
      <c r="G5" s="1582" t="n"/>
    </row>
    <row r="6" ht="14.5" customHeight="1" s="1354">
      <c r="A6" s="1593" t="inlineStr">
        <is>
          <t>BILAN AU 31 DECEMBRE N</t>
        </is>
      </c>
      <c r="B6" s="1594" t="n"/>
      <c r="C6" s="1594" t="n"/>
      <c r="D6" s="1594" t="n"/>
      <c r="E6" s="1594" t="n"/>
      <c r="F6" s="1594" t="n"/>
      <c r="G6" s="1594" t="n"/>
    </row>
    <row r="7" ht="18" customHeight="1" s="1354">
      <c r="A7" s="1595" t="inlineStr">
        <is>
          <t xml:space="preserve"> REF </t>
        </is>
      </c>
      <c r="B7" s="1596" t="inlineStr">
        <is>
          <t xml:space="preserve">ACTIF </t>
        </is>
      </c>
      <c r="C7" s="1596" t="inlineStr">
        <is>
          <t xml:space="preserve">Note  </t>
        </is>
      </c>
      <c r="D7" s="1596" t="inlineStr">
        <is>
          <t xml:space="preserve">EXERCICE AU 31/12/ N </t>
        </is>
      </c>
      <c r="E7" s="1597" t="n"/>
      <c r="F7" s="1598" t="n"/>
      <c r="G7" s="1599" t="inlineStr">
        <is>
          <t>EXERCICE AU</t>
        </is>
      </c>
    </row>
    <row r="8" ht="15" customHeight="1" s="1354">
      <c r="A8" s="1600" t="n"/>
      <c r="B8" s="1600" t="n"/>
      <c r="C8" s="1600" t="n"/>
      <c r="D8" s="1601" t="n"/>
      <c r="E8" s="1602" t="n"/>
      <c r="F8" s="1603" t="n"/>
      <c r="G8" s="1604" t="inlineStr">
        <is>
          <t xml:space="preserve">31/12/N-1 </t>
        </is>
      </c>
    </row>
    <row r="9" ht="29.25" customHeight="1" s="1354">
      <c r="A9" s="1605" t="n"/>
      <c r="B9" s="1605" t="n"/>
      <c r="C9" s="1605" t="n"/>
      <c r="D9" s="1606" t="inlineStr">
        <is>
          <t xml:space="preserve">BRUT </t>
        </is>
      </c>
      <c r="E9" s="1607" t="inlineStr">
        <is>
          <t xml:space="preserve">AMORT ET DEPREC </t>
        </is>
      </c>
      <c r="F9" s="1606" t="inlineStr">
        <is>
          <t xml:space="preserve">NET </t>
        </is>
      </c>
      <c r="G9" s="1606" t="inlineStr">
        <is>
          <t xml:space="preserve">NET </t>
        </is>
      </c>
    </row>
    <row r="10" ht="25" customHeight="1" s="1354">
      <c r="A10" s="1608" t="inlineStr">
        <is>
          <t>AD</t>
        </is>
      </c>
      <c r="B10" s="1609" t="inlineStr">
        <is>
          <t xml:space="preserve">IMMOBILISATIONS INCORPORELLES </t>
        </is>
      </c>
      <c r="C10" s="1610" t="n">
        <v>3</v>
      </c>
      <c r="D10" s="1611">
        <f>SUM(D11:D14)</f>
        <v/>
      </c>
      <c r="E10" s="1611">
        <f>SUM(E11:E14)</f>
        <v/>
      </c>
      <c r="F10" s="1611">
        <f>SUM(F11:F14)</f>
        <v/>
      </c>
      <c r="G10" s="1611">
        <f>SUM(G11:G14)</f>
        <v/>
      </c>
    </row>
    <row r="11" ht="25" customHeight="1" s="1354">
      <c r="A11" s="1612" t="inlineStr">
        <is>
          <t>AE</t>
        </is>
      </c>
      <c r="B11" s="1613" t="inlineStr">
        <is>
          <t xml:space="preserve">Frais de développement et de prospection </t>
        </is>
      </c>
      <c r="C11" s="1614" t="inlineStr">
        <is>
          <t>  </t>
        </is>
      </c>
      <c r="D11" s="2762">
        <f>SUMIF(BALANCE!$A$2:$A$70,"211*",BALANCE!$F$2:$F$70)-SUMIF(BALANCE!$A$2:$A$70,"211*",BALANCE!$G$2:$G$70)+SUMIF(BALANCE!$A$2:$A$70,"2191*",BALANCE!$F$2:$F$70)-SUMIF(BALANCE!$A$2:$A$70,"2191*",BALANCE!$G$2:$G$70)+SUMIF(BALANCE!$A$2:$A$70,"2181*",BALANCE!$F$2:$F$70)-SUMIF(BALANCE!$A$2:$A$70,"2181*",BALANCE!$G$2:$G$70)</f>
        <v/>
      </c>
      <c r="E11" s="2762">
        <f>SUMIF(BALANCE!$A$2:$A$70,"2818*",BALANCE!$G$2:$G$70)-SUMIF(BALANCE!$A$2:$A$70,"2818*",BALANCE!$F$2:$F$70)+SUMIF(BALANCE!$A$2:$A$70,"2918*",BALANCE!$G$2:$G$70)-SUMIF(BALANCE!$A$2:$A$70,"2918*",BALANCE!$F$2:$F$70)+SUMIF(BALANCE!$A$2:$A$70,"2911*",BALANCE!$G$2:$G$70)-SUMIF(BALANCE!$A$2:$A$70,"2911*",BALANCE!$F$2:$F$70)+SUMIF(BALANCE!$A$2:$A$70,"2811*",BALANCE!$G$2:$G$70)-SUMIF(BALANCE!$A$2:$A$70,"2811*",BALANCE!$F$2:$F$70)+SUMIF(BALANCE!$A$2:$A$70,"2919*",BALANCE!$G$2:$G$70)-SUMIF(BALANCE!$A$2:$A$70,"2919*",BALANCE!$F$2:$F$70)</f>
        <v/>
      </c>
      <c r="F11" s="2763">
        <f>D11-E11</f>
        <v/>
      </c>
      <c r="G11" s="2762">
        <f>(SUMIF(BALANCE_N1!$A$2:$A$70,"211*",BALANCE_N1!$F$2:$F$70)-SUMIF(BALANCE_N1!$A$2:$A$70,"211*",BALANCE_N1!$G$2:$G$70)+SUMIF(BALANCE_N1!$A$2:$A$70,"2191*",BALANCE_N1!$F$2:$F$70)-SUMIF(BALANCE_N1!$A$2:$A$70,"2191*",BALANCE_N1!$G$2:$G$70)+SUMIF(BALANCE_N1!$A$2:$A$70,"2181*",BALANCE_N1!$F$2:$F$70)-SUMIF(BALANCE_N1!$A$2:$A$70,"2181*",BALANCE_N1!$G$2:$G$70))-(SUMIF(BALANCE_N1!$A$2:$A$70,"2818*",BALANCE_N1!$G$2:$G$70)-SUMIF(BALANCE_N1!$A$2:$A$70,"2818*",BALANCE_N1!$F$2:$F$70)+SUMIF(BALANCE_N1!$A$2:$A$70,"2918*",BALANCE_N1!$G$2:$G$70)-SUMIF(BALANCE_N1!$A$2:$A$70,"2918*",BALANCE_N1!$F$2:$F$70)+SUMIF(BALANCE_N1!$A$2:$A$70,"2911*",BALANCE_N1!$G$2:$G$70)-SUMIF(BALANCE_N1!$A$2:$A$70,"2911*",BALANCE_N1!$F$2:$F$70)+SUMIF(BALANCE_N1!$A$2:$A$70,"2811*",BALANCE_N1!$G$2:$G$70)-SUMIF(BALANCE_N1!$A$2:$A$70,"2811*",BALANCE_N1!$F$2:$F$70)+SUMIF(BALANCE_N1!$A$2:$A$70,"2919*",BALANCE_N1!$G$2:$G$70)-SUMIF(BALANCE_N1!$A$2:$A$70,"2919*",BALANCE_N1!$F$2:$F$70))</f>
        <v/>
      </c>
    </row>
    <row r="12" ht="25" customHeight="1" s="1354">
      <c r="A12" s="1612" t="inlineStr">
        <is>
          <t>AF</t>
        </is>
      </c>
      <c r="B12" s="1613" t="inlineStr">
        <is>
          <t xml:space="preserve">Brevets, licences, logiciels, et  droits similaires </t>
        </is>
      </c>
      <c r="C12" s="1614" t="inlineStr">
        <is>
          <t>  </t>
        </is>
      </c>
      <c r="D12" s="2762">
        <f>SUMIF(BALANCE!$A$2:$A$70,"212*",BALANCE!$F$2:$F$70)-SUMIF(BALANCE!$A$2:$A$70,"212*",BALANCE!$G$2:$G$70)+SUMIF(BALANCE!$A$2:$A$70,"213*",BALANCE!$F$2:$F$70)-SUMIF(BALANCE!$A$2:$A$70,"213*",BALANCE!$G$2:$G$70)+SUMIF(BALANCE!$A$2:$A$70,"214*",BALANCE!$F$2:$F$70)-SUMIF(BALANCE!$A$2:$A$70,"214*",BALANCE!$G$2:$G$70)+SUMIF(BALANCE!$A$2:$A$70,"2193*",BALANCE!$F$2:$F$70)-SUMIF(BALANCE!$A$2:$A$70,"2193*",BALANCE!$G$2:$G$70)</f>
        <v/>
      </c>
      <c r="E12" s="2762">
        <f>SUMIF(BALANCE!$A$2:$A$70,"2812*",BALANCE!$G$2:$G$70)-SUMIF(BALANCE!$A$2:$A$70,"2812*",BALANCE!$F$2:$F$70)+SUMIF(BALANCE!$A$2:$A$70,"2814*",BALANCE!$G$2:$G$70)-SUMIF(BALANCE!$A$2:$A$70,"2814*",BALANCE!$F$2:$F$70)+SUMIF(BALANCE!$A$2:$A$70,"2912*",BALANCE!$G$2:$G$70)-SUMIF(BALANCE!$A$2:$A$70,"2912*",BALANCE!$F$2:$F$70)+SUMIF(BALANCE!$A$2:$A$70,"2914*",BALANCE!$G$2:$G$70)-SUMIF(BALANCE!$A$2:$A$70,"2914*",BALANCE!$F$2:$F$70)+SUMIF(BALANCE!$A$2:$A$70,"2919*",BALANCE!$G$2:$G$70)-SUMIF(BALANCE!$A$2:$A$70,"2919*",BALANCE!$F$2:$F$70)+SUMIF(BALANCE!$A$2:$A$70,"2913*",BALANCE!$G$2:$G$70)-SUMIF(BALANCE!$A$2:$A$70,"2913*",BALANCE!$F$2:$F$70)+SUMIF(BALANCE!$A$2:$A$70,"2813*",BALANCE!$G$2:$G$70)-SUMIF(BALANCE!$A$2:$A$70,"2813*",BALANCE!$F$2:$F$70)</f>
        <v/>
      </c>
      <c r="F12" s="2763">
        <f>D12-E12</f>
        <v/>
      </c>
      <c r="G12" s="2762">
        <f>(SUMIF(BALANCE_N1!$A$2:$A$70,"212*",BALANCE_N1!$F$2:$F$70)-SUMIF(BALANCE_N1!$A$2:$A$70,"212*",BALANCE_N1!$G$2:$G$70)+SUMIF(BALANCE_N1!$A$2:$A$70,"213*",BALANCE_N1!$F$2:$F$70)-SUMIF(BALANCE_N1!$A$2:$A$70,"213*",BALANCE_N1!$G$2:$G$70)+SUMIF(BALANCE_N1!$A$2:$A$70,"214*",BALANCE_N1!$F$2:$F$70)-SUMIF(BALANCE_N1!$A$2:$A$70,"214*",BALANCE_N1!$G$2:$G$70)+SUMIF(BALANCE_N1!$A$2:$A$70,"2193*",BALANCE_N1!$F$2:$F$70)-SUMIF(BALANCE_N1!$A$2:$A$70,"2193*",BALANCE_N1!$G$2:$G$70))-(SUMIF(BALANCE_N1!$A$2:$A$70,"2812*",BALANCE_N1!$G$2:$G$70)-SUMIF(BALANCE_N1!$A$2:$A$70,"2812*",BALANCE_N1!$F$2:$F$70)+SUMIF(BALANCE_N1!$A$2:$A$70,"2814*",BALANCE_N1!$G$2:$G$70)-SUMIF(BALANCE_N1!$A$2:$A$70,"2814*",BALANCE_N1!$F$2:$F$70)+SUMIF(BALANCE_N1!$A$2:$A$70,"2912*",BALANCE_N1!$G$2:$G$70)-SUMIF(BALANCE_N1!$A$2:$A$70,"2912*",BALANCE_N1!$F$2:$F$70)+SUMIF(BALANCE_N1!$A$2:$A$70,"2914*",BALANCE_N1!$G$2:$G$70)-SUMIF(BALANCE_N1!$A$2:$A$70,"2914*",BALANCE_N1!$F$2:$F$70)+SUMIF(BALANCE_N1!$A$2:$A$70,"2919*",BALANCE_N1!$G$2:$G$70)-SUMIF(BALANCE_N1!$A$2:$A$70,"2919*",BALANCE_N1!$F$2:$F$70)+SUMIF(BALANCE_N1!$A$2:$A$70,"2913*",BALANCE_N1!$G$2:$G$70)-SUMIF(BALANCE_N1!$A$2:$A$70,"2913*",BALANCE_N1!$F$2:$F$70)+SUMIF(BALANCE_N1!$A$2:$A$70,"2813*",BALANCE_N1!$G$2:$G$70)-SUMIF(BALANCE_N1!$A$2:$A$70,"2813*",BALANCE_N1!$F$2:$F$70))</f>
        <v/>
      </c>
    </row>
    <row r="13" ht="25" customHeight="1" s="1354">
      <c r="A13" s="1612" t="inlineStr">
        <is>
          <t>AG</t>
        </is>
      </c>
      <c r="B13" s="1613" t="inlineStr">
        <is>
          <t xml:space="preserve">Fonds commercial et droit au bail </t>
        </is>
      </c>
      <c r="C13" s="1614" t="inlineStr">
        <is>
          <t>  </t>
        </is>
      </c>
      <c r="D13" s="2762">
        <f>SUMIF(BALANCE!$A$2:$A$70,"215*",BALANCE!$F$2:$F$70)-SUMIF(BALANCE!$A$2:$A$70,"215*",BALANCE!$G$2:$G$70)+SUMIF(BALANCE!$A$2:$A$70,"216*",BALANCE!$F$2:$F$70)-SUMIF(BALANCE!$A$2:$A$70,"216*",BALANCE!$G$2:$G$70)</f>
        <v/>
      </c>
      <c r="E13" s="2762">
        <f>SUMIF(BALANCE!$A$2:$A$70,"2915*",BALANCE!$G$2:$G$70)-SUMIF(BALANCE!$A$2:$A$70,"2915*",BALANCE!$F$2:$F$70)+SUMIF(BALANCE!$A$2:$A$70,"2816*",BALANCE!$G$2:$G$70)-SUMIF(BALANCE!$A$2:$A$70,"2816*",BALANCE!$F$2:$F$70)+SUMIF(BALANCE!$A$2:$A$70,"2815*",BALANCE!$G$2:$G$70)-SUMIF(BALANCE!$A$2:$A$70,"2815*",BALANCE!$F$2:$F$70)+SUMIF(BALANCE!$A$2:$A$70,"2916*",BALANCE!$G$2:$G$70)-SUMIF(BALANCE!$A$2:$A$70,"2916*",BALANCE!$F$2:$F$70)</f>
        <v/>
      </c>
      <c r="F13" s="2763">
        <f>D13-E13</f>
        <v/>
      </c>
      <c r="G13" s="2762">
        <f>(SUMIF(BALANCE_N1!$A$2:$A$70,"215*",BALANCE_N1!$F$2:$F$70)-SUMIF(BALANCE_N1!$A$2:$A$70,"215*",BALANCE_N1!$G$2:$G$70)+SUMIF(BALANCE_N1!$A$2:$A$70,"216*",BALANCE_N1!$F$2:$F$70)-SUMIF(BALANCE_N1!$A$2:$A$70,"216*",BALANCE_N1!$G$2:$G$70))-(SUMIF(BALANCE_N1!$A$2:$A$70,"2915*",BALANCE_N1!$G$2:$G$70)-SUMIF(BALANCE_N1!$A$2:$A$70,"2915*",BALANCE_N1!$F$2:$F$70)+SUMIF(BALANCE_N1!$A$2:$A$70,"2816*",BALANCE_N1!$G$2:$G$70)-SUMIF(BALANCE_N1!$A$2:$A$70,"2816*",BALANCE_N1!$F$2:$F$70)+SUMIF(BALANCE_N1!$A$2:$A$70,"2815*",BALANCE_N1!$G$2:$G$70)-SUMIF(BALANCE_N1!$A$2:$A$70,"2815*",BALANCE_N1!$F$2:$F$70)+SUMIF(BALANCE_N1!$A$2:$A$70,"2916*",BALANCE_N1!$G$2:$G$70)-SUMIF(BALANCE_N1!$A$2:$A$70,"2916*",BALANCE_N1!$F$2:$F$70))</f>
        <v/>
      </c>
    </row>
    <row r="14" ht="25" customHeight="1" s="1354">
      <c r="A14" s="1612" t="inlineStr">
        <is>
          <t>AH</t>
        </is>
      </c>
      <c r="B14" s="1613" t="inlineStr">
        <is>
          <t xml:space="preserve">Autres immobilisations incorporelles </t>
        </is>
      </c>
      <c r="C14" s="1614" t="inlineStr">
        <is>
          <t>  </t>
        </is>
      </c>
      <c r="D14" s="2762">
        <f>SUMIF(BALANCE!$A$2:$A$70,"217*",BALANCE!$F$2:$F$70)-SUMIF(BALANCE!$A$2:$A$70,"217*",BALANCE!$G$2:$G$70)+SUMIF(BALANCE!$A$2:$A$70,"218*",BALANCE!$F$2:$F$70)-SUMIF(BALANCE!$A$2:$A$70,"218*",BALANCE!$G$2:$G$70)+SUMIF(BALANCE!$A$2:$A$70,"2198*",BALANCE!$F$2:$F$70)-SUMIF(BALANCE!$A$2:$A$70,"2198*",BALANCE!$G$2:$G$70)-SUMIF(BALANCE!$A$2:$A$70,"2181*",BALANCE!$F$2:$F$70)+SUMIF(BALANCE!$A$2:$A$70,"2181*",BALANCE!$G$2:$G$70)</f>
        <v/>
      </c>
      <c r="E14" s="2762">
        <f>SUMIF(BALANCE!$A$2:$A$70,"2818*",BALANCE!$G$2:$G$70)-SUMIF(BALANCE!$A$2:$A$70,"2818*",BALANCE!$F$2:$F$70)+SUMIF(BALANCE!$A$2:$A$70,"2918*",BALANCE!$G$2:$G$70)-SUMIF(BALANCE!$A$2:$A$70,"2918*",BALANCE!$F$2:$F$70)+SUMIF(BALANCE!$A$2:$A$70,"2817*",BALANCE!$G$2:$G$70)-SUMIF(BALANCE!$A$2:$A$70,"2817*",BALANCE!$F$2:$F$70)+SUMIF(BALANCE!$A$2:$A$70,"2917*",BALANCE!$G$2:$G$70)-SUMIF(BALANCE!$A$2:$A$70,"2917*",BALANCE!$F$2:$F$70)+SUMIF(BALANCE!$A$2:$A$70,"2919*",BALANCE!$G$2:$G$70)-SUMIF(BALANCE!$A$2:$A$70,"2919*",BALANCE!$F$2:$F$70)</f>
        <v/>
      </c>
      <c r="F14" s="2763">
        <f>D14-E14</f>
        <v/>
      </c>
      <c r="G14" s="2762">
        <f>(SUMIF(BALANCE_N1!$A$2:$A$70,"217*",BALANCE_N1!$F$2:$F$70)-SUMIF(BALANCE_N1!$A$2:$A$70,"217*",BALANCE_N1!$G$2:$G$70)+SUMIF(BALANCE_N1!$A$2:$A$70,"218*",BALANCE_N1!$F$2:$F$70)-SUMIF(BALANCE_N1!$A$2:$A$70,"218*",BALANCE_N1!$G$2:$G$70)+SUMIF(BALANCE_N1!$A$2:$A$70,"2198*",BALANCE_N1!$F$2:$F$70)-SUMIF(BALANCE_N1!$A$2:$A$70,"2198*",BALANCE_N1!$G$2:$G$70)-SUMIF(BALANCE_N1!$A$2:$A$70,"2181*",BALANCE_N1!$F$2:$F$70)+SUMIF(BALANCE_N1!$A$2:$A$70,"2181*",BALANCE_N1!$G$2:$G$70))-(SUMIF(BALANCE_N1!$A$2:$A$70,"2818*",BALANCE_N1!$G$2:$G$70)-SUMIF(BALANCE_N1!$A$2:$A$70,"2818*",BALANCE_N1!$F$2:$F$70)+SUMIF(BALANCE_N1!$A$2:$A$70,"2918*",BALANCE_N1!$G$2:$G$70)-SUMIF(BALANCE_N1!$A$2:$A$70,"2918*",BALANCE_N1!$F$2:$F$70)+SUMIF(BALANCE_N1!$A$2:$A$70,"2817*",BALANCE_N1!$G$2:$G$70)-SUMIF(BALANCE_N1!$A$2:$A$70,"2817*",BALANCE_N1!$F$2:$F$70)+SUMIF(BALANCE_N1!$A$2:$A$70,"2917*",BALANCE_N1!$G$2:$G$70)-SUMIF(BALANCE_N1!$A$2:$A$70,"2917*",BALANCE_N1!$F$2:$F$70)+SUMIF(BALANCE_N1!$A$2:$A$70,"2919*",BALANCE_N1!$G$2:$G$70)-SUMIF(BALANCE_N1!$A$2:$A$70,"2919*",BALANCE_N1!$F$2:$F$70))</f>
        <v/>
      </c>
      <c r="I14" s="1619" t="n"/>
    </row>
    <row r="15" ht="25" customHeight="1" s="1354">
      <c r="A15" s="1620" t="inlineStr">
        <is>
          <t>AI</t>
        </is>
      </c>
      <c r="B15" s="1621" t="inlineStr">
        <is>
          <t xml:space="preserve">IMMOBILISATIONS CORPORELLES </t>
        </is>
      </c>
      <c r="C15" s="1622" t="n">
        <v>3</v>
      </c>
      <c r="D15" s="1611">
        <f>SUM(D16:D23)</f>
        <v/>
      </c>
      <c r="E15" s="1611">
        <f>SUM(E16:E23)</f>
        <v/>
      </c>
      <c r="F15" s="1611">
        <f>SUM(F16:F23)</f>
        <v/>
      </c>
      <c r="G15" s="1611">
        <f>SUM(G16:G23)</f>
        <v/>
      </c>
      <c r="I15" s="1619" t="n"/>
    </row>
    <row r="16" ht="25" customHeight="1" s="1354">
      <c r="A16" s="1612" t="inlineStr">
        <is>
          <t>AJ</t>
        </is>
      </c>
      <c r="B16" s="1623" t="inlineStr">
        <is>
          <t xml:space="preserve">Terrains (1)                                                               </t>
        </is>
      </c>
      <c r="C16" s="1613" t="inlineStr">
        <is>
          <t> </t>
        </is>
      </c>
      <c r="D16" s="2764">
        <f>SUMIF(BALANCE!$A$2:$A$70,"22*",BALANCE!$F$2:$F$70)-SUMIF(BALANCE!$A$2:$A$70,"22*",BALANCE!$G$2:$G$70)</f>
        <v/>
      </c>
      <c r="E16" s="2764">
        <f>SUMIF(BALANCE!$A$2:$A$70,"292*",BALANCE!$G$2:$G$70)-SUMIF(BALANCE!$A$2:$A$70,"292*",BALANCE!$F$2:$F$70)+SUMIF(BALANCE!$A$2:$A$70,"282*",BALANCE!$G$2:$G$70)-SUMIF(BALANCE!$A$2:$A$70,"282*",BALANCE!$F$2:$F$70)</f>
        <v/>
      </c>
      <c r="F16" s="2765">
        <f>D16-E16</f>
        <v/>
      </c>
      <c r="G16" s="2764">
        <f>(SUMIF(BALANCE_N1!$A$2:$A$70,"22*",BALANCE_N1!$F$2:$F$70)-SUMIF(BALANCE_N1!$A$2:$A$70,"22*",BALANCE_N1!$G$2:$G$70))-(SUMIF(BALANCE_N1!$A$2:$A$70,"292*",BALANCE_N1!$G$2:$G$70)-SUMIF(BALANCE_N1!$A$2:$A$70,"292*",BALANCE_N1!$F$2:$F$70)+SUMIF(BALANCE_N1!$A$2:$A$70,"282*",BALANCE_N1!$G$2:$G$70)-SUMIF(BALANCE_N1!$A$2:$A$70,"282*",BALANCE_N1!$F$2:$F$70))</f>
        <v/>
      </c>
      <c r="I16" s="1619" t="n"/>
    </row>
    <row r="17" ht="25" customHeight="1" s="1354">
      <c r="A17" s="1605" t="n"/>
      <c r="B17" s="1626" t="inlineStr">
        <is>
          <t xml:space="preserve">(1) dont Placement en  Net………../………… </t>
        </is>
      </c>
      <c r="C17" s="1614" t="inlineStr">
        <is>
          <t>  </t>
        </is>
      </c>
      <c r="D17" s="1605" t="n"/>
      <c r="E17" s="1605" t="n"/>
      <c r="F17" s="1605" t="n"/>
      <c r="G17" s="1605" t="n"/>
      <c r="I17" s="1619" t="n"/>
    </row>
    <row r="18" ht="21.75" customHeight="1" s="1354">
      <c r="A18" s="1627" t="inlineStr">
        <is>
          <t xml:space="preserve">AK </t>
        </is>
      </c>
      <c r="B18" s="1623" t="inlineStr">
        <is>
          <t xml:space="preserve">Bâtiments                                                                  </t>
        </is>
      </c>
      <c r="C18" s="1612" t="inlineStr">
        <is>
          <t>  </t>
        </is>
      </c>
      <c r="D18" s="2764">
        <f>SUMIF(BALANCE!$A$2:$A$70,"237*",BALANCE!$F$2:$F$70)-SUMIF(BALANCE!$A$2:$A$70,"237*",BALANCE!$G$2:$G$70)+SUMIF(BALANCE!$A$2:$A$70,"232*",BALANCE!$F$2:$F$70)-SUMIF(BALANCE!$A$2:$A$70,"232*",BALANCE!$G$2:$G$70)+SUMIF(BALANCE!$A$2:$A$70,"231*",BALANCE!$F$2:$F$70)-SUMIF(BALANCE!$A$2:$A$70,"231*",BALANCE!$G$2:$G$70)+SUMIF(BALANCE!$A$2:$A$70,"233*",BALANCE!$F$2:$F$70)-SUMIF(BALANCE!$A$2:$A$70,"233*",BALANCE!$G$2:$G$70)+SUMIF(BALANCE!$A$2:$A$70,"2391*",BALANCE!$F$2:$F$70)-SUMIF(BALANCE!$A$2:$A$70,"2391*",BALANCE!$G$2:$G$70)</f>
        <v/>
      </c>
      <c r="E18" s="2764">
        <f>SUMIF(BALANCE!$A$2:$A$70,"2832*",BALANCE!$G$2:$G$70)-SUMIF(BALANCE!$A$2:$A$70,"2832*",BALANCE!$F$2:$F$70)+SUMIF(BALANCE!$A$2:$A$70,"2937*",BALANCE!$G$2:$G$70)-SUMIF(BALANCE!$A$2:$A$70,"2937*",BALANCE!$F$2:$F$70)+SUMIF(BALANCE!$A$2:$A$70,"2831*",BALANCE!$G$2:$G$70)-SUMIF(BALANCE!$A$2:$A$70,"2831*",BALANCE!$F$2:$F$70)+SUMIF(BALANCE!$A$2:$A$70,"2931*",BALANCE!$G$2:$G$70)-SUMIF(BALANCE!$A$2:$A$70,"2931*",BALANCE!$F$2:$F$70)+SUMIF(BALANCE!$A$2:$A$70,"2833*",BALANCE!$G$2:$G$70)-SUMIF(BALANCE!$A$2:$A$70,"2833*",BALANCE!$F$2:$F$70)+SUMIF(BALANCE!$A$2:$A$70,"2939*",BALANCE!$G$2:$G$70)-SUMIF(BALANCE!$A$2:$A$70,"2939*",BALANCE!$F$2:$F$70)+SUMIF(BALANCE!$A$2:$A$70,"2932*",BALANCE!$G$2:$G$70)-SUMIF(BALANCE!$A$2:$A$70,"2932*",BALANCE!$F$2:$F$70)+SUMIF(BALANCE!$A$2:$A$70,"2933*",BALANCE!$G$2:$G$70)-SUMIF(BALANCE!$A$2:$A$70,"2933*",BALANCE!$F$2:$F$70)+SUMIF(BALANCE!$A$2:$A$70,"2837*",BALANCE!$G$2:$G$70)-SUMIF(BALANCE!$A$2:$A$70,"2837*",BALANCE!$F$2:$F$70)</f>
        <v/>
      </c>
      <c r="F18" s="2765">
        <f>D18-E18</f>
        <v/>
      </c>
      <c r="G18" s="2764">
        <f>(SUMIF(BALANCE_N1!$A$2:$A$70,"237*",BALANCE_N1!$F$2:$F$70)-SUMIF(BALANCE_N1!$A$2:$A$70,"237*",BALANCE_N1!$G$2:$G$70)+SUMIF(BALANCE_N1!$A$2:$A$70,"232*",BALANCE_N1!$F$2:$F$70)-SUMIF(BALANCE_N1!$A$2:$A$70,"232*",BALANCE_N1!$G$2:$G$70)+SUMIF(BALANCE_N1!$A$2:$A$70,"231*",BALANCE_N1!$F$2:$F$70)-SUMIF(BALANCE_N1!$A$2:$A$70,"231*",BALANCE_N1!$G$2:$G$70)+SUMIF(BALANCE_N1!$A$2:$A$70,"233*",BALANCE_N1!$F$2:$F$70)-SUMIF(BALANCE_N1!$A$2:$A$70,"233*",BALANCE_N1!$G$2:$G$70)+SUMIF(BALANCE_N1!$A$2:$A$70,"2391*",BALANCE_N1!$F$2:$F$70)-SUMIF(BALANCE_N1!$A$2:$A$70,"2391*",BALANCE_N1!$G$2:$G$70))-(SUMIF(BALANCE_N1!$A$2:$A$70,"2832*",BALANCE_N1!$G$2:$G$70)-SUMIF(BALANCE_N1!$A$2:$A$70,"2832*",BALANCE_N1!$F$2:$F$70)+SUMIF(BALANCE_N1!$A$2:$A$70,"2937*",BALANCE_N1!$G$2:$G$70)-SUMIF(BALANCE_N1!$A$2:$A$70,"2937*",BALANCE_N1!$F$2:$F$70)+SUMIF(BALANCE_N1!$A$2:$A$70,"2831*",BALANCE_N1!$G$2:$G$70)-SUMIF(BALANCE_N1!$A$2:$A$70,"2831*",BALANCE_N1!$F$2:$F$70)+SUMIF(BALANCE_N1!$A$2:$A$70,"2931*",BALANCE_N1!$G$2:$G$70)-SUMIF(BALANCE_N1!$A$2:$A$70,"2931*",BALANCE_N1!$F$2:$F$70)+SUMIF(BALANCE_N1!$A$2:$A$70,"2833*",BALANCE_N1!$G$2:$G$70)-SUMIF(BALANCE_N1!$A$2:$A$70,"2833*",BALANCE_N1!$F$2:$F$70)+SUMIF(BALANCE_N1!$A$2:$A$70,"2939*",BALANCE_N1!$G$2:$G$70)-SUMIF(BALANCE_N1!$A$2:$A$70,"2939*",BALANCE_N1!$F$2:$F$70)+SUMIF(BALANCE_N1!$A$2:$A$70,"2932*",BALANCE_N1!$G$2:$G$70)-SUMIF(BALANCE_N1!$A$2:$A$70,"2932*",BALANCE_N1!$F$2:$F$70)+SUMIF(BALANCE_N1!$A$2:$A$70,"2933*",BALANCE_N1!$G$2:$G$70)-SUMIF(BALANCE_N1!$A$2:$A$70,"2933*",BALANCE_N1!$F$2:$F$70)+SUMIF(BALANCE_N1!$A$2:$A$70,"2837*",BALANCE_N1!$G$2:$G$70)-SUMIF(BALANCE_N1!$A$2:$A$70,"2837*",BALANCE_N1!$F$2:$F$70))</f>
        <v/>
      </c>
      <c r="I18" s="1619" t="n"/>
    </row>
    <row r="19" ht="25" customHeight="1" s="1354">
      <c r="A19" s="1605" t="n"/>
      <c r="B19" s="1626" t="inlineStr">
        <is>
          <t xml:space="preserve">(1) dont Placement en  Net…........./…...…........ </t>
        </is>
      </c>
      <c r="C19" s="1605" t="n"/>
      <c r="D19" s="1605" t="n"/>
      <c r="E19" s="1605" t="n"/>
      <c r="F19" s="1605" t="n"/>
      <c r="G19" s="1605" t="n"/>
      <c r="I19" s="1619" t="n"/>
    </row>
    <row r="20" ht="25" customHeight="1" s="1354">
      <c r="A20" s="1612" t="inlineStr">
        <is>
          <t xml:space="preserve">AL </t>
        </is>
      </c>
      <c r="B20" s="1613" t="inlineStr">
        <is>
          <t xml:space="preserve">Aménagements, agencements et installations </t>
        </is>
      </c>
      <c r="C20" s="1614" t="inlineStr">
        <is>
          <t>  </t>
        </is>
      </c>
      <c r="D20" s="2762">
        <f>SUMIF(BALANCE!$A$2:$A$70,"234*",BALANCE!$F$2:$F$70)-SUMIF(BALANCE!$A$2:$A$70,"234*",BALANCE!$G$2:$G$70)+SUMIF(BALANCE!$A$2:$A$70,"238*",BALANCE!$F$2:$F$70)-SUMIF(BALANCE!$A$2:$A$70,"238*",BALANCE!$G$2:$G$70)+SUMIF(BALANCE!$A$2:$A$70,"235*",BALANCE!$F$2:$F$70)-SUMIF(BALANCE!$A$2:$A$70,"235*",BALANCE!$G$2:$G$70)+SUMIF(BALANCE!$A$2:$A$70,"2392*",BALANCE!$F$2:$F$70)-SUMIF(BALANCE!$A$2:$A$70,"2392*",BALANCE!$G$2:$G$70)+SUMIF(BALANCE!$A$2:$A$70,"2393*",BALANCE!$F$2:$F$70)-SUMIF(BALANCE!$A$2:$A$70,"2393*",BALANCE!$G$2:$G$70)</f>
        <v/>
      </c>
      <c r="E20" s="2762">
        <f>SUMIF(BALANCE!$A$2:$A$70,"2938*",BALANCE!$G$2:$G$70)-SUMIF(BALANCE!$A$2:$A$70,"2938*",BALANCE!$F$2:$F$70)+SUMIF(BALANCE!$A$2:$A$70,"2934*",BALANCE!$G$2:$G$70)-SUMIF(BALANCE!$A$2:$A$70,"2934*",BALANCE!$F$2:$F$70)+SUMIF(BALANCE!$A$2:$A$70,"2834*",BALANCE!$G$2:$G$70)-SUMIF(BALANCE!$A$2:$A$70,"2834*",BALANCE!$F$2:$F$70)+SUMIF(BALANCE!$A$2:$A$70,"2838*",BALANCE!$G$2:$G$70)-SUMIF(BALANCE!$A$2:$A$70,"2838*",BALANCE!$F$2:$F$70)+SUMIF(BALANCE!$A$2:$A$70,"2939*",BALANCE!$G$2:$G$70)-SUMIF(BALANCE!$A$2:$A$70,"2939*",BALANCE!$F$2:$F$70)+SUMIF(BALANCE!$A$2:$A$70,"2835*",BALANCE!$G$2:$G$70)-SUMIF(BALANCE!$A$2:$A$70,"2835*",BALANCE!$F$2:$F$70)+SUMIF(BALANCE!$A$2:$A$70,"2935*",BALANCE!$G$2:$G$70)-SUMIF(BALANCE!$A$2:$A$70,"2935*",BALANCE!$F$2:$F$70)</f>
        <v/>
      </c>
      <c r="F20" s="2763">
        <f>D20-E20</f>
        <v/>
      </c>
      <c r="G20" s="2762">
        <f>(SUMIF(BALANCE_N1!$A$2:$A$70,"234*",BALANCE_N1!$F$2:$F$70)-SUMIF(BALANCE_N1!$A$2:$A$70,"234*",BALANCE_N1!$G$2:$G$70)+SUMIF(BALANCE_N1!$A$2:$A$70,"238*",BALANCE_N1!$F$2:$F$70)-SUMIF(BALANCE_N1!$A$2:$A$70,"238*",BALANCE_N1!$G$2:$G$70)+SUMIF(BALANCE_N1!$A$2:$A$70,"235*",BALANCE_N1!$F$2:$F$70)-SUMIF(BALANCE_N1!$A$2:$A$70,"235*",BALANCE_N1!$G$2:$G$70)+SUMIF(BALANCE_N1!$A$2:$A$70,"2392*",BALANCE_N1!$F$2:$F$70)-SUMIF(BALANCE_N1!$A$2:$A$70,"2392*",BALANCE_N1!$G$2:$G$70)+SUMIF(BALANCE_N1!$A$2:$A$70,"2393*",BALANCE_N1!$F$2:$F$70)-SUMIF(BALANCE_N1!$A$2:$A$70,"2393*",BALANCE_N1!$G$2:$G$70))-(SUMIF(BALANCE_N1!$A$2:$A$70,"2938*",BALANCE_N1!$G$2:$G$70)-SUMIF(BALANCE_N1!$A$2:$A$70,"2938*",BALANCE_N1!$F$2:$F$70)+SUMIF(BALANCE_N1!$A$2:$A$70,"2934*",BALANCE_N1!$G$2:$G$70)-SUMIF(BALANCE_N1!$A$2:$A$70,"2934*",BALANCE_N1!$F$2:$F$70)+SUMIF(BALANCE_N1!$A$2:$A$70,"2834*",BALANCE_N1!$G$2:$G$70)-SUMIF(BALANCE_N1!$A$2:$A$70,"2834*",BALANCE_N1!$F$2:$F$70)+SUMIF(BALANCE_N1!$A$2:$A$70,"2838*",BALANCE_N1!$G$2:$G$70)-SUMIF(BALANCE_N1!$A$2:$A$70,"2838*",BALANCE_N1!$F$2:$F$70)+SUMIF(BALANCE_N1!$A$2:$A$70,"2939*",BALANCE_N1!$G$2:$G$70)-SUMIF(BALANCE_N1!$A$2:$A$70,"2939*",BALANCE_N1!$F$2:$F$70)+SUMIF(BALANCE_N1!$A$2:$A$70,"2835*",BALANCE_N1!$G$2:$G$70)-SUMIF(BALANCE_N1!$A$2:$A$70,"2835*",BALANCE_N1!$F$2:$F$70)+SUMIF(BALANCE_N1!$A$2:$A$70,"2935*",BALANCE_N1!$G$2:$G$70)-SUMIF(BALANCE_N1!$A$2:$A$70,"2935*",BALANCE_N1!$F$2:$F$70))</f>
        <v/>
      </c>
      <c r="I20" s="1628" t="n"/>
    </row>
    <row r="21" ht="25" customHeight="1" s="1354">
      <c r="A21" s="1627" t="inlineStr">
        <is>
          <t xml:space="preserve">AM </t>
        </is>
      </c>
      <c r="B21" s="1613" t="inlineStr">
        <is>
          <t xml:space="preserve">Matériel, mobilier et actifs biologiques </t>
        </is>
      </c>
      <c r="C21" s="1614" t="inlineStr">
        <is>
          <t>  </t>
        </is>
      </c>
      <c r="D21" s="2762">
        <f>SUMIF(BALANCE!$A$2:$A$70,"24*",BALANCE!$F$2:$F$70)-SUMIF(BALANCE!$A$2:$A$70,"24*",BALANCE!$G$2:$G$70)-SUMIF(BALANCE!$A$2:$A$70,"245*",BALANCE!$F$2:$F$70)+SUMIF(BALANCE!$A$2:$A$70,"245*",BALANCE!$G$2:$G$70)-SUMIF(BALANCE!$A$2:$A$70,"2495*",BALANCE!$F$2:$F$70)+SUMIF(BALANCE!$A$2:$A$70,"2495*",BALANCE!$G$2:$G$70)</f>
        <v/>
      </c>
      <c r="E21" s="2762">
        <f>SUMIF(BALANCE!$A$2:$A$70,"284*",BALANCE!$G$2:$G$70)-SUMIF(BALANCE!$A$2:$A$70,"284*",BALANCE!$F$2:$F$70)+SUMIF(BALANCE!$A$2:$A$70,"294*",BALANCE!$G$2:$G$70)-SUMIF(BALANCE!$A$2:$A$70,"294*",BALANCE!$F$2:$F$70)-SUMIF(BALANCE!$A$2:$A$70,"2945*",BALANCE!$G$2:$G$70)+SUMIF(BALANCE!$A$2:$A$70,"2945*",BALANCE!$F$2:$F$70)-SUMIF(BALANCE!$A$2:$A$70,"2845*",BALANCE!$G$2:$G$70)+SUMIF(BALANCE!$A$2:$A$70,"2845*",BALANCE!$F$2:$F$70)-SUMIF(BALANCE!$A$2:$A$70,"2949*",BALANCE!$G$2:$G$70)+SUMIF(BALANCE!$A$2:$A$70,"2949*",BALANCE!$F$2:$F$70)</f>
        <v/>
      </c>
      <c r="F21" s="2763">
        <f>D21-E21</f>
        <v/>
      </c>
      <c r="G21" s="2762">
        <f>(SUMIF(BALANCE_N1!$A$2:$A$70,"24*",BALANCE_N1!$F$2:$F$70)-SUMIF(BALANCE_N1!$A$2:$A$70,"24*",BALANCE_N1!$G$2:$G$70)-SUMIF(BALANCE_N1!$A$2:$A$70,"245*",BALANCE_N1!$F$2:$F$70)+SUMIF(BALANCE_N1!$A$2:$A$70,"245*",BALANCE_N1!$G$2:$G$70)-SUMIF(BALANCE_N1!$A$2:$A$70,"2495*",BALANCE_N1!$F$2:$F$70)+SUMIF(BALANCE_N1!$A$2:$A$70,"2495*",BALANCE_N1!$G$2:$G$70))-(SUMIF(BALANCE_N1!$A$2:$A$70,"284*",BALANCE_N1!$G$2:$G$70)-SUMIF(BALANCE_N1!$A$2:$A$70,"284*",BALANCE_N1!$F$2:$F$70)+SUMIF(BALANCE_N1!$A$2:$A$70,"294*",BALANCE_N1!$G$2:$G$70)-SUMIF(BALANCE_N1!$A$2:$A$70,"294*",BALANCE_N1!$F$2:$F$70)-SUMIF(BALANCE_N1!$A$2:$A$70,"2945*",BALANCE_N1!$G$2:$G$70)+SUMIF(BALANCE_N1!$A$2:$A$70,"2945*",BALANCE_N1!$F$2:$F$70)-SUMIF(BALANCE_N1!$A$2:$A$70,"2845*",BALANCE_N1!$G$2:$G$70)+SUMIF(BALANCE_N1!$A$2:$A$70,"2845*",BALANCE_N1!$F$2:$F$70)-SUMIF(BALANCE_N1!$A$2:$A$70,"2949*",BALANCE_N1!$G$2:$G$70)+SUMIF(BALANCE_N1!$A$2:$A$70,"2949*",BALANCE_N1!$F$2:$F$70))</f>
        <v/>
      </c>
    </row>
    <row r="22" ht="25" customHeight="1" s="1354">
      <c r="A22" s="1627" t="inlineStr">
        <is>
          <t xml:space="preserve">AN </t>
        </is>
      </c>
      <c r="B22" s="1613" t="inlineStr">
        <is>
          <t xml:space="preserve">Matériel de transport </t>
        </is>
      </c>
      <c r="C22" s="1614" t="inlineStr">
        <is>
          <t>  </t>
        </is>
      </c>
      <c r="D22" s="2762">
        <f>SUMIF(BALANCE!$A$2:$A$70,"245*",BALANCE!$F$2:$F$70)-SUMIF(BALANCE!$A$2:$A$70,"245*",BALANCE!$G$2:$G$70)+SUMIF(BALANCE!$A$2:$A$70,"2495*",BALANCE!$F$2:$F$70)-SUMIF(BALANCE!$A$2:$A$70,"2495*",BALANCE!$G$2:$G$70)</f>
        <v/>
      </c>
      <c r="E22" s="2762">
        <f>SUMIF(BALANCE!$A$2:$A$70,"2945*",BALANCE!$G$2:$G$70)-SUMIF(BALANCE!$A$2:$A$70,"2945*",BALANCE!$F$2:$F$70)+SUMIF(BALANCE!$A$2:$A$70,"2845*",BALANCE!$G$2:$G$70)-SUMIF(BALANCE!$A$2:$A$70,"2845*",BALANCE!$F$2:$F$70)+SUMIF(BALANCE!$A$2:$A$70,"2949*",BALANCE!$G$2:$G$70)-SUMIF(BALANCE!$A$2:$A$70,"2949*",BALANCE!$F$2:$F$70)</f>
        <v/>
      </c>
      <c r="F22" s="2763">
        <f>D22-E22</f>
        <v/>
      </c>
      <c r="G22" s="2762">
        <f>(SUMIF(BALANCE_N1!$A$2:$A$70,"245*",BALANCE_N1!$F$2:$F$70)-SUMIF(BALANCE_N1!$A$2:$A$70,"245*",BALANCE_N1!$G$2:$G$70)+SUMIF(BALANCE_N1!$A$2:$A$70,"2495*",BALANCE_N1!$F$2:$F$70)-SUMIF(BALANCE_N1!$A$2:$A$70,"2495*",BALANCE_N1!$G$2:$G$70))-(SUMIF(BALANCE_N1!$A$2:$A$70,"2945*",BALANCE_N1!$G$2:$G$70)-SUMIF(BALANCE_N1!$A$2:$A$70,"2945*",BALANCE_N1!$F$2:$F$70)+SUMIF(BALANCE_N1!$A$2:$A$70,"2845*",BALANCE_N1!$G$2:$G$70)-SUMIF(BALANCE_N1!$A$2:$A$70,"2845*",BALANCE_N1!$F$2:$F$70)+SUMIF(BALANCE_N1!$A$2:$A$70,"2949*",BALANCE_N1!$G$2:$G$70)-SUMIF(BALANCE_N1!$A$2:$A$70,"2949*",BALANCE_N1!$F$2:$F$70))</f>
        <v/>
      </c>
    </row>
    <row r="23" ht="25" customHeight="1" s="1354">
      <c r="A23" s="1612" t="inlineStr">
        <is>
          <t xml:space="preserve">AP </t>
        </is>
      </c>
      <c r="B23" s="1613" t="inlineStr">
        <is>
          <t xml:space="preserve">Avances et acomptes versés sur immobilisations </t>
        </is>
      </c>
      <c r="C23" s="1614" t="n">
        <v>3</v>
      </c>
      <c r="D23" s="2762">
        <f>SUMIF(BALANCE!$A$2:$A$70,"252*",BALANCE!$F$2:$F$70)-SUMIF(BALANCE!$A$2:$A$70,"252*",BALANCE!$G$2:$G$70)+SUMIF(BALANCE!$A$2:$A$70,"251*",BALANCE!$F$2:$F$70)-SUMIF(BALANCE!$A$2:$A$70,"251*",BALANCE!$G$2:$G$70)</f>
        <v/>
      </c>
      <c r="E23" s="2762">
        <f>SUMIF(BALANCE!$A$2:$A$70,"2951*",BALANCE!$G$2:$G$70)-SUMIF(BALANCE!$A$2:$A$70,"2951*",BALANCE!$F$2:$F$70)+SUMIF(BALANCE!$A$2:$A$70,"2952*",BALANCE!$G$2:$G$70)-SUMIF(BALANCE!$A$2:$A$70,"2952*",BALANCE!$F$2:$F$70)</f>
        <v/>
      </c>
      <c r="F23" s="2763">
        <f>D23-E23</f>
        <v/>
      </c>
      <c r="G23" s="2762">
        <f>(SUMIF(BALANCE_N1!$A$2:$A$70,"252*",BALANCE_N1!$F$2:$F$70)-SUMIF(BALANCE_N1!$A$2:$A$70,"252*",BALANCE_N1!$G$2:$G$70)+SUMIF(BALANCE_N1!$A$2:$A$70,"251*",BALANCE_N1!$F$2:$F$70)-SUMIF(BALANCE_N1!$A$2:$A$70,"251*",BALANCE_N1!$G$2:$G$70))-(SUMIF(BALANCE_N1!$A$2:$A$70,"2951*",BALANCE_N1!$G$2:$G$70)-SUMIF(BALANCE_N1!$A$2:$A$70,"2951*",BALANCE_N1!$F$2:$F$70)+SUMIF(BALANCE_N1!$A$2:$A$70,"2952*",BALANCE_N1!$G$2:$G$70)-SUMIF(BALANCE_N1!$A$2:$A$70,"2952*",BALANCE_N1!$F$2:$F$70))</f>
        <v/>
      </c>
    </row>
    <row r="24" ht="25" customHeight="1" s="1354">
      <c r="A24" s="1629" t="inlineStr">
        <is>
          <t xml:space="preserve">AQ </t>
        </is>
      </c>
      <c r="B24" s="1609" t="inlineStr">
        <is>
          <t xml:space="preserve">IMMOBILISATIONS FINANCIERES </t>
        </is>
      </c>
      <c r="C24" s="1610" t="n">
        <v>4</v>
      </c>
      <c r="D24" s="1611">
        <f>SUM(D25:D26)</f>
        <v/>
      </c>
      <c r="E24" s="1611">
        <f>SUM(E25:E26)</f>
        <v/>
      </c>
      <c r="F24" s="1611">
        <f>SUM(F25:F26)</f>
        <v/>
      </c>
      <c r="G24" s="1611">
        <f>SUM(G25:G26)</f>
        <v/>
      </c>
      <c r="I24" s="1628" t="n"/>
    </row>
    <row r="25" ht="25" customHeight="1" s="1354">
      <c r="A25" s="1612" t="inlineStr">
        <is>
          <t xml:space="preserve">AR </t>
        </is>
      </c>
      <c r="B25" s="1613" t="inlineStr">
        <is>
          <t xml:space="preserve">Titres de participation </t>
        </is>
      </c>
      <c r="C25" s="1614" t="inlineStr">
        <is>
          <t>  </t>
        </is>
      </c>
      <c r="D25" s="2762">
        <f>SUMIF(BALANCE!$A$2:$A$70,"26*",BALANCE!$F$2:$F$70)-SUMIF(BALANCE!$A$2:$A$70,"26*",BALANCE!$G$2:$G$70)</f>
        <v/>
      </c>
      <c r="E25" s="2762">
        <f>SUMIF(BALANCE!$A$2:$A$70,"296*",BALANCE!$G$2:$G$70)-SUMIF(BALANCE!$A$2:$A$70,"296*",BALANCE!$F$2:$F$70)</f>
        <v/>
      </c>
      <c r="F25" s="2763">
        <f>D25-E25</f>
        <v/>
      </c>
      <c r="G25" s="2762">
        <f>(SUMIF(BALANCE_N1!$A$2:$A$70,"26*",BALANCE_N1!$F$2:$F$70)-SUMIF(BALANCE_N1!$A$2:$A$70,"26*",BALANCE_N1!$G$2:$G$70))-(SUMIF(BALANCE_N1!$A$2:$A$70,"296*",BALANCE_N1!$G$2:$G$70)-SUMIF(BALANCE_N1!$A$2:$A$70,"296*",BALANCE_N1!$F$2:$F$70))</f>
        <v/>
      </c>
    </row>
    <row r="26" ht="25" customHeight="1" s="1354">
      <c r="A26" s="1612" t="inlineStr">
        <is>
          <t xml:space="preserve">AS </t>
        </is>
      </c>
      <c r="B26" s="1613" t="inlineStr">
        <is>
          <t xml:space="preserve">Autres immobilisations financières </t>
        </is>
      </c>
      <c r="C26" s="1614" t="inlineStr">
        <is>
          <t>  </t>
        </is>
      </c>
      <c r="D26" s="2766">
        <f>SUMIF(BALANCE!$A$2:$A$70,"27*",BALANCE!$F$2:$F$70)-SUMIF(BALANCE!$A$2:$A$70,"27*",BALANCE!$G$2:$G$70)</f>
        <v/>
      </c>
      <c r="E26" s="2762">
        <f>SUMIF(BALANCE!$A$2:$A$70,"297*",BALANCE!$G$2:$G$70)-SUMIF(BALANCE!$A$2:$A$70,"297*",BALANCE!$F$2:$F$70)</f>
        <v/>
      </c>
      <c r="F26" s="2763">
        <f>D26-E26</f>
        <v/>
      </c>
      <c r="G26" s="2762">
        <f>(SUMIF(BALANCE_N1!$A$2:$A$70,"27*",BALANCE_N1!$F$2:$F$70)-SUMIF(BALANCE_N1!$A$2:$A$70,"27*",BALANCE_N1!$G$2:$G$70))-(SUMIF(BALANCE_N1!$A$2:$A$70,"297*",BALANCE_N1!$G$2:$G$70)-SUMIF(BALANCE_N1!$A$2:$A$70,"297*",BALANCE_N1!$F$2:$F$70))</f>
        <v/>
      </c>
    </row>
    <row r="27" ht="25" customHeight="1" s="1354">
      <c r="A27" s="1608" t="inlineStr">
        <is>
          <t xml:space="preserve">AZ </t>
        </is>
      </c>
      <c r="B27" s="1631" t="inlineStr">
        <is>
          <t xml:space="preserve">TOTAL ACTIF IMMOBILISE </t>
        </is>
      </c>
      <c r="C27" s="1632" t="inlineStr">
        <is>
          <t>  </t>
        </is>
      </c>
      <c r="D27" s="1633">
        <f>SUM(D10+D15+D24)</f>
        <v/>
      </c>
      <c r="E27" s="1633">
        <f>SUM(E10+E15+E24)</f>
        <v/>
      </c>
      <c r="F27" s="1633">
        <f>SUM(F10+F15+F24)</f>
        <v/>
      </c>
      <c r="G27" s="1633">
        <f>SUM(G10+G15+G24)</f>
        <v/>
      </c>
    </row>
    <row r="28" ht="25" customHeight="1" s="1354">
      <c r="A28" s="1612" t="inlineStr">
        <is>
          <t xml:space="preserve">BA </t>
        </is>
      </c>
      <c r="B28" s="1634" t="inlineStr">
        <is>
          <t xml:space="preserve">ACTIF CIRCULANT HAO </t>
        </is>
      </c>
      <c r="C28" s="1635" t="n">
        <v>5</v>
      </c>
      <c r="D28" s="2767">
        <f>SUMIF(BALANCE!$A$2:$A$70,"485*",BALANCE!$F$2:$F$70)-SUMIF(BALANCE!$A$2:$A$70,"485*",BALANCE!$G$2:$G$70)+SUMIF(BALANCE!$A$2:$A$70,"488*",BALANCE!$F$2:$F$70)-SUMIF(BALANCE!$A$2:$A$70,"488*",BALANCE!$G$2:$G$70)</f>
        <v/>
      </c>
      <c r="E28" s="2767">
        <f>SUMIF(BALANCE!$A$2:$A$70,"498*",BALANCE!$G$2:$G$70)-SUMIF(BALANCE!$A$2:$A$70,"498*",BALANCE!$F$2:$F$70)</f>
        <v/>
      </c>
      <c r="F28" s="2768">
        <f>D28-E28</f>
        <v/>
      </c>
      <c r="G28" s="2767">
        <f>(SUMIF(BALANCE_N1!$A$2:$A$70,"485*",BALANCE_N1!$F$2:$F$70)-SUMIF(BALANCE_N1!$A$2:$A$70,"485*",BALANCE_N1!$G$2:$G$70)+SUMIF(BALANCE_N1!$A$2:$A$70,"488*",BALANCE_N1!$F$2:$F$70)-SUMIF(BALANCE_N1!$A$2:$A$70,"488*",BALANCE_N1!$G$2:$G$70))-(SUMIF(BALANCE_N1!$A$2:$A$70,"498*",BALANCE_N1!$G$2:$G$70)-SUMIF(BALANCE_N1!$A$2:$A$70,"498*",BALANCE_N1!$F$2:$F$70))</f>
        <v/>
      </c>
    </row>
    <row r="29" ht="25" customHeight="1" s="1354">
      <c r="A29" s="1612" t="inlineStr">
        <is>
          <t xml:space="preserve">BB </t>
        </is>
      </c>
      <c r="B29" s="1634" t="inlineStr">
        <is>
          <t xml:space="preserve">STOCKS ET ENCOURS </t>
        </is>
      </c>
      <c r="C29" s="1635" t="n">
        <v>6</v>
      </c>
      <c r="D29" s="2767">
        <f>SUMIF(BALANCE!$A$2:$A$70,"37*",BALANCE!$F$2:$F$70)-SUMIF(BALANCE!$A$2:$A$70,"37*",BALANCE!$G$2:$G$70)+SUMIF(BALANCE!$A$2:$A$70,"35*",BALANCE!$F$2:$F$70)-SUMIF(BALANCE!$A$2:$A$70,"35*",BALANCE!$G$2:$G$70)+SUMIF(BALANCE!$A$2:$A$70,"38*",BALANCE!$F$2:$F$70)-SUMIF(BALANCE!$A$2:$A$70,"38*",BALANCE!$G$2:$G$70)+SUMIF(BALANCE!$A$2:$A$70,"31*",BALANCE!$F$2:$F$70)-SUMIF(BALANCE!$A$2:$A$70,"31*",BALANCE!$G$2:$G$70)+SUMIF(BALANCE!$A$2:$A$70,"36*",BALANCE!$F$2:$F$70)-SUMIF(BALANCE!$A$2:$A$70,"36*",BALANCE!$G$2:$G$70)+SUMIF(BALANCE!$A$2:$A$70,"34*",BALANCE!$F$2:$F$70)-SUMIF(BALANCE!$A$2:$A$70,"34*",BALANCE!$G$2:$G$70)+SUMIF(BALANCE!$A$2:$A$70,"33*",BALANCE!$F$2:$F$70)-SUMIF(BALANCE!$A$2:$A$70,"33*",BALANCE!$G$2:$G$70)+SUMIF(BALANCE!$A$2:$A$70,"32*",BALANCE!$F$2:$F$70)-SUMIF(BALANCE!$A$2:$A$70,"32*",BALANCE!$G$2:$G$70)</f>
        <v/>
      </c>
      <c r="E29" s="2767">
        <f>SUMIF(BALANCE!$A$2:$A$70,"39*",BALANCE!$G$2:$G$70)-SUMIF(BALANCE!$A$2:$A$70,"39*",BALANCE!$F$2:$F$70)</f>
        <v/>
      </c>
      <c r="F29" s="2768">
        <f>D29-E29</f>
        <v/>
      </c>
      <c r="G29" s="2767">
        <f>(SUMIF(BALANCE_N1!$A$2:$A$70,"37*",BALANCE_N1!$F$2:$F$70)-SUMIF(BALANCE_N1!$A$2:$A$70,"37*",BALANCE_N1!$G$2:$G$70)+SUMIF(BALANCE_N1!$A$2:$A$70,"35*",BALANCE_N1!$F$2:$F$70)-SUMIF(BALANCE_N1!$A$2:$A$70,"35*",BALANCE_N1!$G$2:$G$70)+SUMIF(BALANCE_N1!$A$2:$A$70,"38*",BALANCE_N1!$F$2:$F$70)-SUMIF(BALANCE_N1!$A$2:$A$70,"38*",BALANCE_N1!$G$2:$G$70)+SUMIF(BALANCE_N1!$A$2:$A$70,"31*",BALANCE_N1!$F$2:$F$70)-SUMIF(BALANCE_N1!$A$2:$A$70,"31*",BALANCE_N1!$G$2:$G$70)+SUMIF(BALANCE_N1!$A$2:$A$70,"36*",BALANCE_N1!$F$2:$F$70)-SUMIF(BALANCE_N1!$A$2:$A$70,"36*",BALANCE_N1!$G$2:$G$70)+SUMIF(BALANCE_N1!$A$2:$A$70,"34*",BALANCE_N1!$F$2:$F$70)-SUMIF(BALANCE_N1!$A$2:$A$70,"34*",BALANCE_N1!$G$2:$G$70)+SUMIF(BALANCE_N1!$A$2:$A$70,"33*",BALANCE_N1!$F$2:$F$70)-SUMIF(BALANCE_N1!$A$2:$A$70,"33*",BALANCE_N1!$G$2:$G$70)+SUMIF(BALANCE_N1!$A$2:$A$70,"32*",BALANCE_N1!$F$2:$F$70)-SUMIF(BALANCE_N1!$A$2:$A$70,"32*",BALANCE_N1!$G$2:$G$70))-(SUMIF(BALANCE_N1!$A$2:$A$70,"39*",BALANCE_N1!$G$2:$G$70)-SUMIF(BALANCE_N1!$A$2:$A$70,"39*",BALANCE_N1!$F$2:$F$70))</f>
        <v/>
      </c>
    </row>
    <row r="30" ht="25" customHeight="1" s="1354">
      <c r="A30" s="1612" t="inlineStr">
        <is>
          <t xml:space="preserve">BG </t>
        </is>
      </c>
      <c r="B30" s="1634" t="inlineStr">
        <is>
          <t xml:space="preserve">CREANCES ET EMPLOIS ASSIMILES </t>
        </is>
      </c>
      <c r="C30" s="1635" t="inlineStr">
        <is>
          <t>  </t>
        </is>
      </c>
      <c r="D30" s="1637">
        <f>SUM(D31:D33)</f>
        <v/>
      </c>
      <c r="E30" s="1637">
        <f>SUM(E31:E33)</f>
        <v/>
      </c>
      <c r="F30" s="1637">
        <f>SUM(F31:F33)</f>
        <v/>
      </c>
      <c r="G30" s="1637">
        <f>SUM(G31:G33)</f>
        <v/>
      </c>
    </row>
    <row r="31" ht="25" customHeight="1" s="1354">
      <c r="A31" s="1612" t="inlineStr">
        <is>
          <t xml:space="preserve">BH </t>
        </is>
      </c>
      <c r="B31" s="1613" t="inlineStr">
        <is>
          <t xml:space="preserve">Fournisseurs avances versées </t>
        </is>
      </c>
      <c r="C31" s="1614" t="n">
        <v>17</v>
      </c>
      <c r="D31" s="2762">
        <f>SUMIF(BALANCE!$A$2:$A$70,"409*",BALANCE!$F$2:$F$70)-SUMIF(BALANCE!$A$2:$A$70,"409*",BALANCE!$G$2:$G$70)</f>
        <v/>
      </c>
      <c r="E31" s="2762">
        <f>SUMIF(BALANCE!$A$2:$A$70,"490*",BALANCE!$G$2:$G$70)-SUMIF(BALANCE!$A$2:$A$70,"490*",BALANCE!$F$2:$F$70)</f>
        <v/>
      </c>
      <c r="F31" s="2763">
        <f>D31-E31</f>
        <v/>
      </c>
      <c r="G31" s="2762">
        <f>(SUMIF(BALANCE_N1!$A$2:$A$70,"409*",BALANCE_N1!$F$2:$F$70)-SUMIF(BALANCE_N1!$A$2:$A$70,"409*",BALANCE_N1!$G$2:$G$70))-(SUMIF(BALANCE_N1!$A$2:$A$70,"490*",BALANCE_N1!$G$2:$G$70)-SUMIF(BALANCE_N1!$A$2:$A$70,"490*",BALANCE_N1!$F$2:$F$70))</f>
        <v/>
      </c>
    </row>
    <row r="32" ht="25" customHeight="1" s="1354">
      <c r="A32" s="1612" t="inlineStr">
        <is>
          <t xml:space="preserve">BI </t>
        </is>
      </c>
      <c r="B32" s="1613" t="inlineStr">
        <is>
          <t xml:space="preserve">Clients </t>
        </is>
      </c>
      <c r="C32" s="1614" t="n">
        <v>7</v>
      </c>
      <c r="D32" s="2762">
        <f>SUMIF(BALANCE!$A$2:$A$70,"41*",BALANCE!$F$2:$F$70)-SUMIF(BALANCE!$A$2:$A$70,"41*",BALANCE!$G$2:$G$70)-SUMIF(BALANCE!$A$2:$A$70,"419*",BALANCE!$F$2:$F$70)+SUMIF(BALANCE!$A$2:$A$70,"419*",BALANCE!$G$2:$G$70)</f>
        <v/>
      </c>
      <c r="E32" s="2762">
        <f>SUMIF(BALANCE!$A$2:$A$70,"491*",BALANCE!$G$2:$G$70)-SUMIF(BALANCE!$A$2:$A$70,"491*",BALANCE!$F$2:$F$70)</f>
        <v/>
      </c>
      <c r="F32" s="2763">
        <f>D32-E32</f>
        <v/>
      </c>
      <c r="G32" s="2762">
        <f>(SUMIF(BALANCE_N1!$A$2:$A$70,"41*",BALANCE_N1!$F$2:$F$70)-SUMIF(BALANCE_N1!$A$2:$A$70,"41*",BALANCE_N1!$G$2:$G$70)-SUMIF(BALANCE_N1!$A$2:$A$70,"419*",BALANCE_N1!$F$2:$F$70)+SUMIF(BALANCE_N1!$A$2:$A$70,"419*",BALANCE_N1!$G$2:$G$70))-(SUMIF(BALANCE_N1!$A$2:$A$70,"491*",BALANCE_N1!$G$2:$G$70)-SUMIF(BALANCE_N1!$A$2:$A$70,"491*",BALANCE_N1!$F$2:$F$70))</f>
        <v/>
      </c>
      <c r="I32" s="1628" t="n"/>
    </row>
    <row r="33" ht="25" customHeight="1" s="1354">
      <c r="A33" s="1612" t="inlineStr">
        <is>
          <t xml:space="preserve">BJ </t>
        </is>
      </c>
      <c r="B33" s="1613" t="inlineStr">
        <is>
          <t xml:space="preserve">Autres créances </t>
        </is>
      </c>
      <c r="C33" s="1614" t="n">
        <v>8</v>
      </c>
      <c r="D33" s="2762">
        <f>SUMIF(BALANCE!$A$2:$A$70,"42*",BALANCE!$F$2:$F$70)+SUMIF(BALANCE!$A$2:$A$70,"47*",BALANCE!$F$2:$F$70)+SUMIF(BALANCE!$A$2:$A$70,"43*",BALANCE!$F$2:$F$70)+SUMIF(BALANCE!$A$2:$A$70,"44*",BALANCE!$F$2:$F$70)+SUMIF(BALANCE!$A$2:$A$70,"46*",BALANCE!$F$2:$F$70)+SUMIF(BALANCE!$A$2:$A$70,"45*",BALANCE!$F$2:$F$70)+SUMIF(BALANCE!$A$2:$A$70,"185*",BALANCE!$F$2:$F$70)-SUMIF(BALANCE!$A$2:$A$70,"478*",BALANCE!$F$2:$F$70)</f>
        <v/>
      </c>
      <c r="E33" s="2762">
        <f>SUMIF(BALANCE!$A$2:$A$70,"497*",BALANCE!$G$2:$G$70)-SUMIF(BALANCE!$A$2:$A$70,"497*",BALANCE!$F$2:$F$70)+SUMIF(BALANCE!$A$2:$A$70,"495*",BALANCE!$G$2:$G$70)-SUMIF(BALANCE!$A$2:$A$70,"495*",BALANCE!$F$2:$F$70)+SUMIF(BALANCE!$A$2:$A$70,"493*",BALANCE!$G$2:$G$70)-SUMIF(BALANCE!$A$2:$A$70,"493*",BALANCE!$F$2:$F$70)+SUMIF(BALANCE!$A$2:$A$70,"492*",BALANCE!$G$2:$G$70)-SUMIF(BALANCE!$A$2:$A$70,"492*",BALANCE!$F$2:$F$70)+SUMIF(BALANCE!$A$2:$A$70,"496*",BALANCE!$G$2:$G$70)-SUMIF(BALANCE!$A$2:$A$70,"496*",BALANCE!$F$2:$F$70)+SUMIF(BALANCE!$A$2:$A$70,"494*",BALANCE!$G$2:$G$70)-SUMIF(BALANCE!$A$2:$A$70,"494*",BALANCE!$F$2:$F$70)</f>
        <v/>
      </c>
      <c r="F33" s="2763">
        <f>D33-E33</f>
        <v/>
      </c>
      <c r="G33" s="2762">
        <f>(SUMIF(BALANCE_N1!$A$2:$A$70,"42*",BALANCE_N1!$F$2:$F$70)+SUMIF(BALANCE_N1!$A$2:$A$70,"47*",BALANCE_N1!$F$2:$F$70)+SUMIF(BALANCE_N1!$A$2:$A$70,"43*",BALANCE_N1!$F$2:$F$70)+SUMIF(BALANCE_N1!$A$2:$A$70,"44*",BALANCE_N1!$F$2:$F$70)+SUMIF(BALANCE_N1!$A$2:$A$70,"46*",BALANCE_N1!$F$2:$F$70)+SUMIF(BALANCE_N1!$A$2:$A$70,"45*",BALANCE_N1!$F$2:$F$70)+SUMIF(BALANCE_N1!$A$2:$A$70,"185*",BALANCE_N1!$F$2:$F$70)-SUMIF(BALANCE_N1!$A$2:$A$70,"478*",BALANCE_N1!$F$2:$F$70))-(SUMIF(BALANCE_N1!$A$2:$A$70,"497*",BALANCE_N1!$G$2:$G$70)-SUMIF(BALANCE_N1!$A$2:$A$70,"497*",BALANCE_N1!$F$2:$F$70)+SUMIF(BALANCE_N1!$A$2:$A$70,"495*",BALANCE_N1!$G$2:$G$70)-SUMIF(BALANCE_N1!$A$2:$A$70,"495*",BALANCE_N1!$F$2:$F$70)+SUMIF(BALANCE_N1!$A$2:$A$70,"493*",BALANCE_N1!$G$2:$G$70)-SUMIF(BALANCE_N1!$A$2:$A$70,"493*",BALANCE_N1!$F$2:$F$70)+SUMIF(BALANCE_N1!$A$2:$A$70,"492*",BALANCE_N1!$G$2:$G$70)-SUMIF(BALANCE_N1!$A$2:$A$70,"492*",BALANCE_N1!$F$2:$F$70)+SUMIF(BALANCE_N1!$A$2:$A$70,"496*",BALANCE_N1!$G$2:$G$70)-SUMIF(BALANCE_N1!$A$2:$A$70,"496*",BALANCE_N1!$F$2:$F$70)+SUMIF(BALANCE_N1!$A$2:$A$70,"494*",BALANCE_N1!$G$2:$G$70)-SUMIF(BALANCE_N1!$A$2:$A$70,"494*",BALANCE_N1!$F$2:$F$70))</f>
        <v/>
      </c>
    </row>
    <row r="34" ht="25" customHeight="1" s="1354">
      <c r="A34" s="1629" t="inlineStr">
        <is>
          <t xml:space="preserve">BK </t>
        </is>
      </c>
      <c r="B34" s="1631" t="inlineStr">
        <is>
          <t xml:space="preserve">TOTAL ACTIF CIRCULANT </t>
        </is>
      </c>
      <c r="C34" s="1632" t="inlineStr">
        <is>
          <t>  </t>
        </is>
      </c>
      <c r="D34" s="1633">
        <f>D28+D29+D30</f>
        <v/>
      </c>
      <c r="E34" s="1633">
        <f>E28+E29+E30</f>
        <v/>
      </c>
      <c r="F34" s="1633">
        <f>F28+F29+F30</f>
        <v/>
      </c>
      <c r="G34" s="1633">
        <f>G28+G29+G30</f>
        <v/>
      </c>
    </row>
    <row r="35" ht="25" customHeight="1" s="1354">
      <c r="A35" s="1612" t="inlineStr">
        <is>
          <t xml:space="preserve">BQ </t>
        </is>
      </c>
      <c r="B35" s="1613" t="inlineStr">
        <is>
          <t xml:space="preserve">Titres de placement </t>
        </is>
      </c>
      <c r="C35" s="1614" t="n">
        <v>9</v>
      </c>
      <c r="D35" s="2762">
        <f>SUMIF(BALANCE!$A$2:$A$70,"50*",BALANCE!$F$2:$F$70)-SUMIF(BALANCE!$A$2:$A$70,"50*",BALANCE!$G$2:$G$70)</f>
        <v/>
      </c>
      <c r="E35" s="2762">
        <f>SUMIF(BALANCE!$A$2:$A$70,"590*",BALANCE!$G$2:$G$70)-SUMIF(BALANCE!$A$2:$A$70,"590*",BALANCE!$F$2:$F$70)</f>
        <v/>
      </c>
      <c r="F35" s="2763">
        <f>D35-E35</f>
        <v/>
      </c>
      <c r="G35" s="2762">
        <f>(SUMIF(BALANCE_N1!$A$2:$A$70,"50*",BALANCE_N1!$F$2:$F$70)-SUMIF(BALANCE_N1!$A$2:$A$70,"50*",BALANCE_N1!$G$2:$G$70))-(SUMIF(BALANCE_N1!$A$2:$A$70,"590*",BALANCE_N1!$G$2:$G$70)-SUMIF(BALANCE_N1!$A$2:$A$70,"590*",BALANCE_N1!$F$2:$F$70))</f>
        <v/>
      </c>
    </row>
    <row r="36" ht="25" customHeight="1" s="1354">
      <c r="A36" s="1612" t="inlineStr">
        <is>
          <t xml:space="preserve">BR </t>
        </is>
      </c>
      <c r="B36" s="1613" t="inlineStr">
        <is>
          <t xml:space="preserve">Valeurs à encaisser  </t>
        </is>
      </c>
      <c r="C36" s="1614" t="n">
        <v>10</v>
      </c>
      <c r="D36" s="2762">
        <f>SUMIF(BALANCE!$A$2:$A$70,"51*",BALANCE!$F$2:$F$70)-SUMIF(BALANCE!$A$2:$A$70,"51*",BALANCE!$G$2:$G$70)</f>
        <v/>
      </c>
      <c r="E36" s="2762">
        <f>SUMIF(BALANCE!$A$2:$A$70,"591*",BALANCE!$G$2:$G$70)-SUMIF(BALANCE!$A$2:$A$70,"591*",BALANCE!$F$2:$F$70)</f>
        <v/>
      </c>
      <c r="F36" s="2763">
        <f>D36-E36</f>
        <v/>
      </c>
      <c r="G36" s="2762">
        <f>(SUMIF(BALANCE_N1!$A$2:$A$70,"51*",BALANCE_N1!$F$2:$F$70)-SUMIF(BALANCE_N1!$A$2:$A$70,"51*",BALANCE_N1!$G$2:$G$70))-(SUMIF(BALANCE_N1!$A$2:$A$70,"591*",BALANCE_N1!$G$2:$G$70)-SUMIF(BALANCE_N1!$A$2:$A$70,"591*",BALANCE_N1!$F$2:$F$70))</f>
        <v/>
      </c>
    </row>
    <row r="37" ht="25" customHeight="1" s="1354">
      <c r="A37" s="1612" t="inlineStr">
        <is>
          <t xml:space="preserve">BS </t>
        </is>
      </c>
      <c r="B37" s="1613" t="inlineStr">
        <is>
          <t xml:space="preserve">Banques, chèques postaux, caisse et assimilés </t>
        </is>
      </c>
      <c r="C37" s="1614" t="n">
        <v>11</v>
      </c>
      <c r="D37" s="2762">
        <f>SUMIF(BALANCE!$A$2:$A$70,"55*",BALANCE!$F$2:$F$70)+SUMIF(BALANCE!$A$2:$A$70,"53*",BALANCE!$F$2:$F$70)+SUMIF(BALANCE!$A$2:$A$70,"54*",BALANCE!$F$2:$F$70)+SUMIF(BALANCE!$A$2:$A$70,"52*",BALANCE!$F$2:$F$70)+SUMIF(BALANCE!$A$2:$A$70,"57*",BALANCE!$F$2:$F$70)+SUMIF(BALANCE!$A$2:$A$70,"581*",BALANCE!$F$2:$F$70)+SUMIF(BALANCE!$A$2:$A$70,"582*",BALANCE!$F$2:$F$70)</f>
        <v/>
      </c>
      <c r="E37" s="2762">
        <f>SUMIF(BALANCE!$A$2:$A$70,"592*",BALANCE!$G$2:$G$70)-SUMIF(BALANCE!$A$2:$A$70,"592*",BALANCE!$F$2:$F$70)+SUMIF(BALANCE!$A$2:$A$70,"594*",BALANCE!$G$2:$G$70)-SUMIF(BALANCE!$A$2:$A$70,"594*",BALANCE!$F$2:$F$70)+SUMIF(BALANCE!$A$2:$A$70,"593*",BALANCE!$G$2:$G$70)-SUMIF(BALANCE!$A$2:$A$70,"593*",BALANCE!$F$2:$F$70)</f>
        <v/>
      </c>
      <c r="F37" s="2763">
        <f>D37-E37</f>
        <v/>
      </c>
      <c r="G37" s="2762">
        <f>(SUMIF(BALANCE_N1!$A$2:$A$70,"55*",BALANCE_N1!$F$2:$F$70)+SUMIF(BALANCE_N1!$A$2:$A$70,"53*",BALANCE_N1!$F$2:$F$70)+SUMIF(BALANCE_N1!$A$2:$A$70,"54*",BALANCE_N1!$F$2:$F$70)+SUMIF(BALANCE_N1!$A$2:$A$70,"52*",BALANCE_N1!$F$2:$F$70)+SUMIF(BALANCE_N1!$A$2:$A$70,"57*",BALANCE_N1!$F$2:$F$70)+SUMIF(BALANCE_N1!$A$2:$A$70,"581*",BALANCE_N1!$F$2:$F$70)+SUMIF(BALANCE_N1!$A$2:$A$70,"582*",BALANCE_N1!$F$2:$F$70))-(SUMIF(BALANCE_N1!$A$2:$A$70,"592*",BALANCE_N1!$G$2:$G$70)-SUMIF(BALANCE_N1!$A$2:$A$70,"592*",BALANCE_N1!$F$2:$F$70)+SUMIF(BALANCE_N1!$A$2:$A$70,"594*",BALANCE_N1!$G$2:$G$70)-SUMIF(BALANCE_N1!$A$2:$A$70,"594*",BALANCE_N1!$F$2:$F$70)+SUMIF(BALANCE_N1!$A$2:$A$70,"593*",BALANCE_N1!$G$2:$G$70)-SUMIF(BALANCE_N1!$A$2:$A$70,"593*",BALANCE_N1!$F$2:$F$70))</f>
        <v/>
      </c>
    </row>
    <row r="38" ht="25" customHeight="1" s="1354">
      <c r="A38" s="1608" t="inlineStr">
        <is>
          <t xml:space="preserve">BT </t>
        </is>
      </c>
      <c r="B38" s="1631" t="inlineStr">
        <is>
          <t xml:space="preserve">TOTAL TRESORERIE-ACTIF </t>
        </is>
      </c>
      <c r="C38" s="1632" t="inlineStr">
        <is>
          <t>  </t>
        </is>
      </c>
      <c r="D38" s="1633">
        <f>SUM(D35:D37)</f>
        <v/>
      </c>
      <c r="E38" s="1633">
        <f>SUM(E35:E37)</f>
        <v/>
      </c>
      <c r="F38" s="1633">
        <f>SUM(F35:F37)</f>
        <v/>
      </c>
      <c r="G38" s="1633">
        <f>SUM(G35:G37)</f>
        <v/>
      </c>
    </row>
    <row r="39" ht="25" customHeight="1" s="1354">
      <c r="A39" s="1612" t="inlineStr">
        <is>
          <t xml:space="preserve">BU </t>
        </is>
      </c>
      <c r="B39" s="1613" t="inlineStr">
        <is>
          <t xml:space="preserve">Ecart de conversion-Actif </t>
        </is>
      </c>
      <c r="C39" s="1614" t="n">
        <v>12</v>
      </c>
      <c r="D39" s="2762">
        <f>SUMIF(BALANCE!$A$2:$A$70,"478*",BALANCE!$F$2:$F$70)-SUMIF(BALANCE!$A$2:$A$70,"478*",BALANCE!$G$2:$G$70)</f>
        <v/>
      </c>
      <c r="E39" s="2762" t="n">
        <v>0</v>
      </c>
      <c r="F39" s="2763">
        <f>D39-E39</f>
        <v/>
      </c>
      <c r="G39" s="2762">
        <f>SUMIF(BALANCE_N1!$A$2:$A$70,"478*",BALANCE_N1!$F$2:$F$70)-SUMIF(BALANCE_N1!$A$2:$A$70,"478*",BALANCE_N1!$G$2:$G$70)</f>
        <v/>
      </c>
    </row>
    <row r="40" ht="25" customHeight="1" s="1354">
      <c r="A40" s="1638" t="inlineStr">
        <is>
          <t xml:space="preserve">BZ </t>
        </is>
      </c>
      <c r="B40" s="1639" t="inlineStr">
        <is>
          <t xml:space="preserve">TOTAL GENERAL </t>
        </is>
      </c>
      <c r="C40" s="1640" t="inlineStr">
        <is>
          <t>  </t>
        </is>
      </c>
      <c r="D40" s="1641">
        <f>SUM(D27+D34+D38+D39)</f>
        <v/>
      </c>
      <c r="E40" s="1641">
        <f>SUM(E27+E34+E38+E39)</f>
        <v/>
      </c>
      <c r="F40" s="1641">
        <f>SUM(F27+F34+F38+F39)</f>
        <v/>
      </c>
      <c r="G40" s="1641">
        <f>SUM(G27+G34+G38+G39)</f>
        <v/>
      </c>
    </row>
    <row r="41" ht="25" customHeight="1" s="1354">
      <c r="A41" s="1642" t="n"/>
      <c r="F41" s="1643" t="n"/>
      <c r="G41" s="1644" t="n"/>
    </row>
    <row r="42" ht="14" customHeight="1" s="1354">
      <c r="E42" s="1645" t="n"/>
      <c r="F42" s="1628" t="n"/>
      <c r="G42" s="1628" t="n"/>
    </row>
    <row r="43" ht="14" customHeight="1" s="1354">
      <c r="F43" s="1628" t="n"/>
    </row>
    <row r="44" ht="14" customHeight="1" s="1354">
      <c r="F44" s="1628" t="n"/>
    </row>
    <row r="45" ht="14" customHeight="1" s="1354">
      <c r="F45" s="1628" t="n"/>
    </row>
    <row r="46" ht="14" customHeight="1" s="1354">
      <c r="F46" s="1628" t="n"/>
    </row>
  </sheetData>
  <mergeCells count="16">
    <mergeCell ref="C7:C9"/>
    <mergeCell ref="A7:A9"/>
    <mergeCell ref="D18:D19"/>
    <mergeCell ref="D7:F8"/>
    <mergeCell ref="A6:G6"/>
    <mergeCell ref="E18:E19"/>
    <mergeCell ref="B7:B9"/>
    <mergeCell ref="A16:A17"/>
    <mergeCell ref="D16:D17"/>
    <mergeCell ref="E16:E17"/>
    <mergeCell ref="F16:F17"/>
    <mergeCell ref="C18:C19"/>
    <mergeCell ref="A18:A19"/>
    <mergeCell ref="G18:G19"/>
    <mergeCell ref="G16:G17"/>
    <mergeCell ref="F18:F19"/>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G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E5" activeCellId="0" sqref="E5"/>
    </sheetView>
  </sheetViews>
  <sheetFormatPr baseColWidth="8" defaultColWidth="10.90234375" defaultRowHeight="14.5" zeroHeight="0" outlineLevelRow="0"/>
  <cols>
    <col width="4.81" customWidth="1" style="1572" min="1" max="1"/>
    <col width="63.44" customWidth="1" style="1572" min="2" max="2"/>
    <col width="5.81" customWidth="1" style="1572" min="3" max="3"/>
    <col width="15.99" customWidth="1" style="1572" min="4" max="4"/>
    <col width="16.17" customWidth="1" style="1572" min="5" max="5"/>
    <col width="12.72" customWidth="1" style="1572" min="7" max="7"/>
  </cols>
  <sheetData>
    <row r="1" ht="18" customHeight="1" s="1354">
      <c r="A1" s="1573" t="n"/>
      <c r="B1" s="1549" t="n"/>
      <c r="C1" s="1549" t="n"/>
      <c r="D1" s="1549" t="n"/>
      <c r="E1" s="1549" t="n"/>
    </row>
    <row r="2" ht="18" customHeight="1" s="1354">
      <c r="A2" s="1573" t="n"/>
      <c r="B2" s="1549" t="n"/>
      <c r="C2" s="1549" t="n"/>
      <c r="D2" s="1549" t="n"/>
      <c r="E2" s="1549" t="n"/>
    </row>
    <row r="3" ht="6" customHeight="1" s="1354">
      <c r="A3" s="1590" t="n"/>
      <c r="B3" s="1549" t="n"/>
      <c r="C3" s="1549" t="n"/>
      <c r="D3" s="1549" t="n"/>
      <c r="E3" s="1549" t="n"/>
    </row>
    <row r="4" ht="14.5" customHeight="1" s="1354">
      <c r="A4" s="1575" t="inlineStr">
        <is>
          <t>Désignation entité : ENTREPRISE TEST SARL</t>
        </is>
      </c>
      <c r="B4" s="1646" t="n"/>
      <c r="C4" s="1549" t="n"/>
      <c r="D4" s="1591" t="inlineStr">
        <is>
          <t>Exercice clos le  : 31/12/2025</t>
        </is>
      </c>
      <c r="E4" s="1647" t="n"/>
      <c r="F4" s="1648" t="n"/>
    </row>
    <row r="5" ht="14.5" customHeight="1" s="1354">
      <c r="A5" s="1579" t="inlineStr">
        <is>
          <t>Numéro d’identification : CD/KNG/RCCM/23-B-01234</t>
        </is>
      </c>
      <c r="B5" s="1580" t="n"/>
      <c r="C5" s="1549" t="n"/>
      <c r="D5" s="1591" t="inlineStr">
        <is>
          <t>Durée (en mois) : 12</t>
        </is>
      </c>
      <c r="E5" s="1649" t="n"/>
    </row>
    <row r="6" ht="25" customHeight="1" s="1354">
      <c r="A6" s="1593" t="inlineStr">
        <is>
          <t>BILAN AU 31 DECEMBRE N</t>
        </is>
      </c>
      <c r="B6" s="1594" t="n"/>
      <c r="C6" s="1594" t="n"/>
      <c r="D6" s="1594" t="n"/>
      <c r="E6" s="1594" t="n"/>
    </row>
    <row r="7" ht="18.75" customHeight="1" s="1354">
      <c r="A7" s="1596" t="inlineStr">
        <is>
          <t xml:space="preserve">REF </t>
        </is>
      </c>
      <c r="B7" s="1596" t="inlineStr">
        <is>
          <t xml:space="preserve">PASSIF </t>
        </is>
      </c>
      <c r="C7" s="1596" t="inlineStr">
        <is>
          <t xml:space="preserve">Note  </t>
        </is>
      </c>
      <c r="D7" s="1599" t="inlineStr">
        <is>
          <t xml:space="preserve">EXERCICE AU  </t>
        </is>
      </c>
      <c r="E7" s="1599" t="inlineStr">
        <is>
          <t xml:space="preserve">EXERCICE AU   </t>
        </is>
      </c>
    </row>
    <row r="8" ht="18" customHeight="1" s="1354">
      <c r="A8" s="1600" t="n"/>
      <c r="B8" s="1600" t="n"/>
      <c r="C8" s="1600" t="n"/>
      <c r="D8" s="1604" t="inlineStr">
        <is>
          <t xml:space="preserve">31/12/N </t>
        </is>
      </c>
      <c r="E8" s="1604" t="inlineStr">
        <is>
          <t xml:space="preserve">31/12/N-1 </t>
        </is>
      </c>
    </row>
    <row r="9" ht="19.5" customHeight="1" s="1354">
      <c r="A9" s="1605" t="n"/>
      <c r="B9" s="1605" t="n"/>
      <c r="C9" s="1605" t="n"/>
      <c r="D9" s="1606" t="inlineStr">
        <is>
          <t xml:space="preserve">NET </t>
        </is>
      </c>
      <c r="E9" s="1606" t="inlineStr">
        <is>
          <t xml:space="preserve">NET </t>
        </is>
      </c>
    </row>
    <row r="10" ht="25" customHeight="1" s="1354">
      <c r="A10" s="1650" t="inlineStr">
        <is>
          <t xml:space="preserve">CA </t>
        </is>
      </c>
      <c r="B10" s="1651" t="inlineStr">
        <is>
          <t xml:space="preserve">Capital  </t>
        </is>
      </c>
      <c r="C10" s="1650" t="n">
        <v>13</v>
      </c>
      <c r="D10" s="2769">
        <f>SUMIF(BALANCE!$A$2:$A$70,"104*",BALANCE!$G$2:$G$70)-SUMIF(BALANCE!$A$2:$A$70,"104*",BALANCE!$F$2:$F$70)+SUMIF(BALANCE!$A$2:$A$70,"101*",BALANCE!$G$2:$G$70)-SUMIF(BALANCE!$A$2:$A$70,"101*",BALANCE!$F$2:$F$70)</f>
        <v/>
      </c>
      <c r="E10" s="2769">
        <f>SUMIF(BALANCE_N1!$A$2:$A$70,"104*",BALANCE_N1!$G$2:$G$70)-SUMIF(BALANCE_N1!$A$2:$A$70,"104*",BALANCE_N1!$F$2:$F$70)+SUMIF(BALANCE_N1!$A$2:$A$70,"101*",BALANCE_N1!$G$2:$G$70)-SUMIF(BALANCE_N1!$A$2:$A$70,"101*",BALANCE_N1!$F$2:$F$70)</f>
        <v/>
      </c>
    </row>
    <row r="11" ht="25" customHeight="1" s="1354">
      <c r="A11" s="1650" t="inlineStr">
        <is>
          <t xml:space="preserve">CB </t>
        </is>
      </c>
      <c r="B11" s="1651" t="inlineStr">
        <is>
          <t xml:space="preserve">Apporteurs capital non appelé                                                        (-) </t>
        </is>
      </c>
      <c r="C11" s="1650" t="n">
        <v>13</v>
      </c>
      <c r="D11" s="2769">
        <f>SUMIF(BALANCE!$A$2:$A$70,"109*",BALANCE!$G$2:$G$70)-SUMIF(BALANCE!$A$2:$A$70,"109*",BALANCE!$F$2:$F$70)</f>
        <v/>
      </c>
      <c r="E11" s="2769">
        <f>SUMIF(BALANCE_N1!$A$2:$A$70,"109*",BALANCE_N1!$G$2:$G$70)-SUMIF(BALANCE_N1!$A$2:$A$70,"109*",BALANCE_N1!$F$2:$F$70)</f>
        <v/>
      </c>
    </row>
    <row r="12" ht="25" customHeight="1" s="1354">
      <c r="A12" s="1653" t="inlineStr">
        <is>
          <t xml:space="preserve">CD </t>
        </is>
      </c>
      <c r="B12" s="1651" t="inlineStr">
        <is>
          <t xml:space="preserve">Primes liées au capital social </t>
        </is>
      </c>
      <c r="C12" s="1650" t="n">
        <v>14</v>
      </c>
      <c r="D12" s="2769">
        <f>SUMIF(BALANCE!$A$2:$A$70,"105*",BALANCE!$G$2:$G$70)-SUMIF(BALANCE!$A$2:$A$70,"105*",BALANCE!$F$2:$F$70)</f>
        <v/>
      </c>
      <c r="E12" s="2769">
        <f>SUMIF(BALANCE_N1!$A$2:$A$70,"105*",BALANCE_N1!$G$2:$G$70)-SUMIF(BALANCE_N1!$A$2:$A$70,"105*",BALANCE_N1!$F$2:$F$70)</f>
        <v/>
      </c>
    </row>
    <row r="13" ht="25" customHeight="1" s="1354">
      <c r="A13" s="1650" t="inlineStr">
        <is>
          <t xml:space="preserve">CE </t>
        </is>
      </c>
      <c r="B13" s="1651" t="inlineStr">
        <is>
          <t xml:space="preserve">Ecarts de réévaluation </t>
        </is>
      </c>
      <c r="C13" s="1650" t="inlineStr">
        <is>
          <t xml:space="preserve">3e </t>
        </is>
      </c>
      <c r="D13" s="2769">
        <f>SUMIF(BALANCE!$A$2:$A$70,"106*",BALANCE!$G$2:$G$70)-SUMIF(BALANCE!$A$2:$A$70,"106*",BALANCE!$F$2:$F$70)</f>
        <v/>
      </c>
      <c r="E13" s="2769">
        <f>SUMIF(BALANCE_N1!$A$2:$A$70,"106*",BALANCE_N1!$G$2:$G$70)-SUMIF(BALANCE_N1!$A$2:$A$70,"106*",BALANCE_N1!$F$2:$F$70)</f>
        <v/>
      </c>
    </row>
    <row r="14" ht="25" customHeight="1" s="1354">
      <c r="A14" s="1650" t="inlineStr">
        <is>
          <t xml:space="preserve">CF </t>
        </is>
      </c>
      <c r="B14" s="1651" t="inlineStr">
        <is>
          <t xml:space="preserve">Réserves indisponibles </t>
        </is>
      </c>
      <c r="C14" s="1650" t="n">
        <v>14</v>
      </c>
      <c r="D14" s="2769">
        <f>SUMIF(BALANCE!$A$2:$A$70,"112*",BALANCE!$G$2:$G$70)-SUMIF(BALANCE!$A$2:$A$70,"112*",BALANCE!$F$2:$F$70)+SUMIF(BALANCE!$A$2:$A$70,"113*",BALANCE!$G$2:$G$70)-SUMIF(BALANCE!$A$2:$A$70,"113*",BALANCE!$F$2:$F$70)+SUMIF(BALANCE!$A$2:$A$70,"111*",BALANCE!$G$2:$G$70)-SUMIF(BALANCE!$A$2:$A$70,"111*",BALANCE!$F$2:$F$70)</f>
        <v/>
      </c>
      <c r="E14" s="2769">
        <f>SUMIF(BALANCE_N1!$A$2:$A$70,"112*",BALANCE_N1!$G$2:$G$70)-SUMIF(BALANCE_N1!$A$2:$A$70,"112*",BALANCE_N1!$F$2:$F$70)+SUMIF(BALANCE_N1!$A$2:$A$70,"113*",BALANCE_N1!$G$2:$G$70)-SUMIF(BALANCE_N1!$A$2:$A$70,"113*",BALANCE_N1!$F$2:$F$70)+SUMIF(BALANCE_N1!$A$2:$A$70,"111*",BALANCE_N1!$G$2:$G$70)-SUMIF(BALANCE_N1!$A$2:$A$70,"111*",BALANCE_N1!$F$2:$F$70)</f>
        <v/>
      </c>
    </row>
    <row r="15" ht="25" customHeight="1" s="1354">
      <c r="A15" s="1653" t="inlineStr">
        <is>
          <t xml:space="preserve">CG </t>
        </is>
      </c>
      <c r="B15" s="1651" t="inlineStr">
        <is>
          <t xml:space="preserve">Réserves libres </t>
        </is>
      </c>
      <c r="C15" s="1650" t="n">
        <v>14</v>
      </c>
      <c r="D15" s="2769">
        <f>SUMIF(BALANCE!$A$2:$A$70,"118*",BALANCE!$G$2:$G$70)-SUMIF(BALANCE!$A$2:$A$70,"118*",BALANCE!$F$2:$F$70)</f>
        <v/>
      </c>
      <c r="E15" s="2769">
        <f>SUMIF(BALANCE_N1!$A$2:$A$70,"118*",BALANCE_N1!$G$2:$G$70)-SUMIF(BALANCE_N1!$A$2:$A$70,"118*",BALANCE_N1!$F$2:$F$70)</f>
        <v/>
      </c>
    </row>
    <row r="16" ht="25" customHeight="1" s="1354">
      <c r="A16" s="1653" t="inlineStr">
        <is>
          <t xml:space="preserve">CH </t>
        </is>
      </c>
      <c r="B16" s="1651" t="inlineStr">
        <is>
          <t xml:space="preserve">Report à nouveau                         (+ ou -)  </t>
        </is>
      </c>
      <c r="C16" s="1650" t="n">
        <v>14</v>
      </c>
      <c r="D16" s="2769">
        <f>SUMIF(BALANCE!$A$2:$A$70,"12*",BALANCE!$G$2:$G$70)-SUMIF(BALANCE!$A$2:$A$70,"12*",BALANCE!$F$2:$F$70)</f>
        <v/>
      </c>
      <c r="E16" s="2769">
        <f>SUMIF(BALANCE_N1!$A$2:$A$70,"12*",BALANCE_N1!$G$2:$G$70)-SUMIF(BALANCE_N1!$A$2:$A$70,"12*",BALANCE_N1!$F$2:$F$70)</f>
        <v/>
      </c>
    </row>
    <row r="17" ht="25" customHeight="1" s="1354">
      <c r="A17" s="1650" t="inlineStr">
        <is>
          <t xml:space="preserve">CJ </t>
        </is>
      </c>
      <c r="B17" s="1651" t="inlineStr">
        <is>
          <t xml:space="preserve">Résultat net de l'exercice (bénéfice + ou perte -) </t>
        </is>
      </c>
      <c r="C17" s="1650" t="inlineStr">
        <is>
          <t> </t>
        </is>
      </c>
      <c r="D17" s="2769">
        <f>'Compte de Résultat'!E50+(SUMIF(BALANCE!$A$2:$A$70,"13*",BALANCE!$G$2:$G$70)-SUMIF(BALANCE!$A$2:$A$70,"13*",BALANCE!$F$2:$F$70))</f>
        <v/>
      </c>
      <c r="E17" s="2769">
        <f>'Compte de Résultat'!F50+(SUMIF(BALANCE_N1!$A$2:$A$70,"13*",BALANCE_N1!$G$2:$G$70)-SUMIF(BALANCE_N1!$A$2:$A$70,"13*",BALANCE_N1!$F$2:$F$70))</f>
        <v/>
      </c>
    </row>
    <row r="18" ht="25" customHeight="1" s="1354">
      <c r="A18" s="1650" t="inlineStr">
        <is>
          <t xml:space="preserve">CL </t>
        </is>
      </c>
      <c r="B18" s="1651" t="inlineStr">
        <is>
          <t xml:space="preserve">Subventions d'investissement </t>
        </is>
      </c>
      <c r="C18" s="1650" t="n">
        <v>15</v>
      </c>
      <c r="D18" s="2769">
        <f>SUMIF(BALANCE!$A$2:$A$70,"14*",BALANCE!$G$2:$G$70)-SUMIF(BALANCE!$A$2:$A$70,"14*",BALANCE!$F$2:$F$70)</f>
        <v/>
      </c>
      <c r="E18" s="2769">
        <f>SUMIF(BALANCE_N1!$A$2:$A$70,"14*",BALANCE_N1!$G$2:$G$70)-SUMIF(BALANCE_N1!$A$2:$A$70,"14*",BALANCE_N1!$F$2:$F$70)</f>
        <v/>
      </c>
    </row>
    <row r="19" ht="25" customHeight="1" s="1354">
      <c r="A19" s="1653" t="inlineStr">
        <is>
          <t xml:space="preserve">CM </t>
        </is>
      </c>
      <c r="B19" s="1651" t="inlineStr">
        <is>
          <t xml:space="preserve">Provisions réglementées </t>
        </is>
      </c>
      <c r="C19" s="1650" t="n">
        <v>15</v>
      </c>
      <c r="D19" s="2769">
        <f>SUMIF(BALANCE!$A$2:$A$70,"15*",BALANCE!$G$2:$G$70)-SUMIF(BALANCE!$A$2:$A$70,"15*",BALANCE!$F$2:$F$70)</f>
        <v/>
      </c>
      <c r="E19" s="2769">
        <f>SUMIF(BALANCE_N1!$A$2:$A$70,"15*",BALANCE_N1!$G$2:$G$70)-SUMIF(BALANCE_N1!$A$2:$A$70,"15*",BALANCE_N1!$F$2:$F$70)</f>
        <v/>
      </c>
    </row>
    <row r="20" ht="25" customHeight="1" s="1354">
      <c r="A20" s="1620" t="inlineStr">
        <is>
          <t xml:space="preserve">CP </t>
        </is>
      </c>
      <c r="B20" s="1654" t="inlineStr">
        <is>
          <t xml:space="preserve">TOTAL CAPITAUX PROPRES ET RESSOURCES ASSIMILEES </t>
        </is>
      </c>
      <c r="C20" s="1655" t="inlineStr">
        <is>
          <t>  </t>
        </is>
      </c>
      <c r="D20" s="1656">
        <f>SUM(D10:D19)</f>
        <v/>
      </c>
      <c r="E20" s="1656">
        <f>SUM(E10:E19)</f>
        <v/>
      </c>
    </row>
    <row r="21" ht="25" customHeight="1" s="1354">
      <c r="A21" s="1653" t="inlineStr">
        <is>
          <t xml:space="preserve">DA </t>
        </is>
      </c>
      <c r="B21" s="1651" t="inlineStr">
        <is>
          <t xml:space="preserve">Emprunts et dettes financières diverses </t>
        </is>
      </c>
      <c r="C21" s="1650" t="n">
        <v>16</v>
      </c>
      <c r="D21" s="2769">
        <f>SUMIF(BALANCE!$A$2:$A$70,"16*",BALANCE!$G$2:$G$70)-SUMIF(BALANCE!$A$2:$A$70,"16*",BALANCE!$F$2:$F$70)+SUMIF(BALANCE!$A$2:$A$70,"183*",BALANCE!$G$2:$G$70)-SUMIF(BALANCE!$A$2:$A$70,"183*",BALANCE!$F$2:$F$70)+SUMIF(BALANCE!$A$2:$A$70,"181*",BALANCE!$G$2:$G$70)-SUMIF(BALANCE!$A$2:$A$70,"181*",BALANCE!$F$2:$F$70)+SUMIF(BALANCE!$A$2:$A$70,"184*",BALANCE!$G$2:$G$70)-SUMIF(BALANCE!$A$2:$A$70,"184*",BALANCE!$F$2:$F$70)+SUMIF(BALANCE!$A$2:$A$70,"182*",BALANCE!$G$2:$G$70)-SUMIF(BALANCE!$A$2:$A$70,"182*",BALANCE!$F$2:$F$70)</f>
        <v/>
      </c>
      <c r="E21" s="2769">
        <f>SUMIF(BALANCE_N1!$A$2:$A$70,"16*",BALANCE_N1!$G$2:$G$70)-SUMIF(BALANCE_N1!$A$2:$A$70,"16*",BALANCE_N1!$F$2:$F$70)+SUMIF(BALANCE_N1!$A$2:$A$70,"183*",BALANCE_N1!$G$2:$G$70)-SUMIF(BALANCE_N1!$A$2:$A$70,"183*",BALANCE_N1!$F$2:$F$70)+SUMIF(BALANCE_N1!$A$2:$A$70,"181*",BALANCE_N1!$G$2:$G$70)-SUMIF(BALANCE_N1!$A$2:$A$70,"181*",BALANCE_N1!$F$2:$F$70)+SUMIF(BALANCE_N1!$A$2:$A$70,"184*",BALANCE_N1!$G$2:$G$70)-SUMIF(BALANCE_N1!$A$2:$A$70,"184*",BALANCE_N1!$F$2:$F$70)+SUMIF(BALANCE_N1!$A$2:$A$70,"182*",BALANCE_N1!$G$2:$G$70)-SUMIF(BALANCE_N1!$A$2:$A$70,"182*",BALANCE_N1!$F$2:$F$70)</f>
        <v/>
      </c>
    </row>
    <row r="22" ht="25" customHeight="1" s="1354">
      <c r="A22" s="1653" t="inlineStr">
        <is>
          <t xml:space="preserve">DB </t>
        </is>
      </c>
      <c r="B22" s="1651" t="inlineStr">
        <is>
          <t xml:space="preserve">Dettes de location acquisition </t>
        </is>
      </c>
      <c r="C22" s="1650" t="n">
        <v>16</v>
      </c>
      <c r="D22" s="2769">
        <f>SUMIF(BALANCE!$A$2:$A$70,"17*",BALANCE!$G$2:$G$70)-SUMIF(BALANCE!$A$2:$A$70,"17*",BALANCE!$F$2:$F$70)</f>
        <v/>
      </c>
      <c r="E22" s="2769">
        <f>SUMIF(BALANCE_N1!$A$2:$A$70,"17*",BALANCE_N1!$G$2:$G$70)-SUMIF(BALANCE_N1!$A$2:$A$70,"17*",BALANCE_N1!$F$2:$F$70)</f>
        <v/>
      </c>
    </row>
    <row r="23" ht="25" customHeight="1" s="1354">
      <c r="A23" s="1653" t="inlineStr">
        <is>
          <t xml:space="preserve">DC </t>
        </is>
      </c>
      <c r="B23" s="1651" t="inlineStr">
        <is>
          <t xml:space="preserve">Provisions pour risques et charges </t>
        </is>
      </c>
      <c r="C23" s="1650" t="n">
        <v>16</v>
      </c>
      <c r="D23" s="2769">
        <f>SUMIF(BALANCE!$A$2:$A$70,"19*",BALANCE!$G$2:$G$70)-SUMIF(BALANCE!$A$2:$A$70,"19*",BALANCE!$F$2:$F$70)</f>
        <v/>
      </c>
      <c r="E23" s="2769">
        <f>SUMIF(BALANCE_N1!$A$2:$A$70,"19*",BALANCE_N1!$G$2:$G$70)-SUMIF(BALANCE_N1!$A$2:$A$70,"19*",BALANCE_N1!$F$2:$F$70)</f>
        <v/>
      </c>
    </row>
    <row r="24" ht="25" customHeight="1" s="1354">
      <c r="A24" s="1657" t="inlineStr">
        <is>
          <t xml:space="preserve">DD </t>
        </is>
      </c>
      <c r="B24" s="1654" t="inlineStr">
        <is>
          <t xml:space="preserve">TOTAL DETTES FINANCIERES ET RESSOURCES ASSIMILEES </t>
        </is>
      </c>
      <c r="C24" s="1655" t="inlineStr">
        <is>
          <t>  </t>
        </is>
      </c>
      <c r="D24" s="1658">
        <f>SUM(D21:D23)</f>
        <v/>
      </c>
      <c r="E24" s="1656">
        <f>SUM(E21:E23)</f>
        <v/>
      </c>
    </row>
    <row r="25" ht="25" customHeight="1" s="1354">
      <c r="A25" s="1620" t="inlineStr">
        <is>
          <t xml:space="preserve">DF </t>
        </is>
      </c>
      <c r="B25" s="1659" t="inlineStr">
        <is>
          <t xml:space="preserve">TOTAL RESSOURCES STABLES </t>
        </is>
      </c>
      <c r="C25" s="1660" t="inlineStr">
        <is>
          <t>  </t>
        </is>
      </c>
      <c r="D25" s="1661">
        <f>D20+D24</f>
        <v/>
      </c>
      <c r="E25" s="1661">
        <f>E20+E24</f>
        <v/>
      </c>
    </row>
    <row r="26" ht="25" customHeight="1" s="1354">
      <c r="A26" s="1653" t="inlineStr">
        <is>
          <t xml:space="preserve">DH </t>
        </is>
      </c>
      <c r="B26" s="1651" t="inlineStr">
        <is>
          <t xml:space="preserve">Dettes circulantes HAO </t>
        </is>
      </c>
      <c r="C26" s="1650" t="n">
        <v>5</v>
      </c>
      <c r="D26" s="2769">
        <f>SUMIF(BALANCE!$A$2:$A$70,"482*",BALANCE!$G$2:$G$70)-SUMIF(BALANCE!$A$2:$A$70,"482*",BALANCE!$F$2:$F$70)+SUMIF(BALANCE!$A$2:$A$70,"484*",BALANCE!$G$2:$G$70)-SUMIF(BALANCE!$A$2:$A$70,"484*",BALANCE!$F$2:$F$70)+SUMIF(BALANCE!$A$2:$A$70,"481*",BALANCE!$G$2:$G$70)-SUMIF(BALANCE!$A$2:$A$70,"481*",BALANCE!$F$2:$F$70)+SUMIF(BALANCE!$A$2:$A$70,"4998*",BALANCE!$G$2:$G$70)-SUMIF(BALANCE!$A$2:$A$70,"4998*",BALANCE!$F$2:$F$70)</f>
        <v/>
      </c>
      <c r="E26" s="2769">
        <f>SUMIF(BALANCE_N1!$A$2:$A$70,"482*",BALANCE_N1!$G$2:$G$70)-SUMIF(BALANCE_N1!$A$2:$A$70,"482*",BALANCE_N1!$F$2:$F$70)+SUMIF(BALANCE_N1!$A$2:$A$70,"484*",BALANCE_N1!$G$2:$G$70)-SUMIF(BALANCE_N1!$A$2:$A$70,"484*",BALANCE_N1!$F$2:$F$70)+SUMIF(BALANCE_N1!$A$2:$A$70,"481*",BALANCE_N1!$G$2:$G$70)-SUMIF(BALANCE_N1!$A$2:$A$70,"481*",BALANCE_N1!$F$2:$F$70)+SUMIF(BALANCE_N1!$A$2:$A$70,"4998*",BALANCE_N1!$G$2:$G$70)-SUMIF(BALANCE_N1!$A$2:$A$70,"4998*",BALANCE_N1!$F$2:$F$70)</f>
        <v/>
      </c>
    </row>
    <row r="27" ht="25" customHeight="1" s="1354">
      <c r="A27" s="1650" t="inlineStr">
        <is>
          <t xml:space="preserve">DI </t>
        </is>
      </c>
      <c r="B27" s="1651" t="inlineStr">
        <is>
          <t xml:space="preserve">Clients, avances reçues </t>
        </is>
      </c>
      <c r="C27" s="1650" t="n">
        <v>7</v>
      </c>
      <c r="D27" s="2769">
        <f>SUMIF(BALANCE!$A$2:$A$70,"419*",BALANCE!$G$2:$G$70)-SUMIF(BALANCE!$A$2:$A$70,"419*",BALANCE!$F$2:$F$70)</f>
        <v/>
      </c>
      <c r="E27" s="2769">
        <f>SUMIF(BALANCE_N1!$A$2:$A$70,"419*",BALANCE_N1!$G$2:$G$70)-SUMIF(BALANCE_N1!$A$2:$A$70,"419*",BALANCE_N1!$F$2:$F$70)</f>
        <v/>
      </c>
    </row>
    <row r="28" ht="25" customHeight="1" s="1354">
      <c r="A28" s="1650" t="inlineStr">
        <is>
          <t xml:space="preserve">DJ </t>
        </is>
      </c>
      <c r="B28" s="1651" t="inlineStr">
        <is>
          <t xml:space="preserve">Fournisseurs d'exploitation </t>
        </is>
      </c>
      <c r="C28" s="1650" t="n">
        <v>17</v>
      </c>
      <c r="D28" s="2769">
        <f>SUMIF(BALANCE!$A$2:$A$70,"40*",BALANCE!$G$2:$G$70)-SUMIF(BALANCE!$A$2:$A$70,"40*",BALANCE!$F$2:$F$70)-SUMIF(BALANCE!$A$2:$A$70,"409*",BALANCE!$G$2:$G$70)+SUMIF(BALANCE!$A$2:$A$70,"409*",BALANCE!$F$2:$F$70)</f>
        <v/>
      </c>
      <c r="E28" s="2769">
        <f>SUMIF(BALANCE_N1!$A$2:$A$70,"40*",BALANCE_N1!$G$2:$G$70)-SUMIF(BALANCE_N1!$A$2:$A$70,"40*",BALANCE_N1!$F$2:$F$70)-SUMIF(BALANCE_N1!$A$2:$A$70,"409*",BALANCE_N1!$G$2:$G$70)+SUMIF(BALANCE_N1!$A$2:$A$70,"409*",BALANCE_N1!$F$2:$F$70)</f>
        <v/>
      </c>
    </row>
    <row r="29" ht="25" customHeight="1" s="1354">
      <c r="A29" s="1653" t="inlineStr">
        <is>
          <t xml:space="preserve">DK </t>
        </is>
      </c>
      <c r="B29" s="1651" t="inlineStr">
        <is>
          <t xml:space="preserve">Dettes fiscales et sociales </t>
        </is>
      </c>
      <c r="C29" s="1650" t="n">
        <v>18</v>
      </c>
      <c r="D29" s="2769">
        <f>SUMIF(BALANCE!$A$2:$A$70,"43*",BALANCE!$G$2:$G$70)+SUMIF(BALANCE!$A$2:$A$70,"42*",BALANCE!$G$2:$G$70)+SUMIF(BALANCE!$A$2:$A$70,"44*",BALANCE!$G$2:$G$70)</f>
        <v/>
      </c>
      <c r="E29" s="2769">
        <f>SUMIF(BALANCE_N1!$A$2:$A$70,"43*",BALANCE_N1!$G$2:$G$70)+SUMIF(BALANCE_N1!$A$2:$A$70,"42*",BALANCE_N1!$G$2:$G$70)+SUMIF(BALANCE_N1!$A$2:$A$70,"44*",BALANCE_N1!$G$2:$G$70)</f>
        <v/>
      </c>
    </row>
    <row r="30" ht="25" customHeight="1" s="1354">
      <c r="A30" s="1651" t="inlineStr">
        <is>
          <t xml:space="preserve">DM </t>
        </is>
      </c>
      <c r="B30" s="1651" t="inlineStr">
        <is>
          <t xml:space="preserve">Autres dettes </t>
        </is>
      </c>
      <c r="C30" s="1650" t="n">
        <v>19</v>
      </c>
      <c r="D30" s="2769">
        <f>SUMIF(BALANCE!$A$2:$A$70,"46*",BALANCE!$G$2:$G$70)+SUMIF(BALANCE!$A$2:$A$70,"47*",BALANCE!$G$2:$G$70)+SUMIF(BALANCE!$A$2:$A$70,"45*",BALANCE!$G$2:$G$70)+SUMIF(BALANCE!$A$2:$A$70,"185*",BALANCE!$G$2:$G$70)-SUMIF(BALANCE!$A$2:$A$70,"479*",BALANCE!$G$2:$G$70)</f>
        <v/>
      </c>
      <c r="E30" s="2769">
        <f>SUMIF(BALANCE_N1!$A$2:$A$70,"46*",BALANCE_N1!$G$2:$G$70)+SUMIF(BALANCE_N1!$A$2:$A$70,"47*",BALANCE_N1!$G$2:$G$70)+SUMIF(BALANCE_N1!$A$2:$A$70,"45*",BALANCE_N1!$G$2:$G$70)+SUMIF(BALANCE_N1!$A$2:$A$70,"185*",BALANCE_N1!$G$2:$G$70)-SUMIF(BALANCE_N1!$A$2:$A$70,"479*",BALANCE_N1!$G$2:$G$70)</f>
        <v/>
      </c>
    </row>
    <row r="31" ht="25" customHeight="1" s="1354">
      <c r="A31" s="1653" t="inlineStr">
        <is>
          <t xml:space="preserve">DN </t>
        </is>
      </c>
      <c r="B31" s="1651" t="inlineStr">
        <is>
          <t xml:space="preserve">Provisions pour risques à court terme </t>
        </is>
      </c>
      <c r="C31" s="1650" t="n">
        <v>19</v>
      </c>
      <c r="D31" s="2769">
        <f>SUMIF(BALANCE!$A$2:$A$70,"499*",BALANCE!$G$2:$G$70)-SUMIF(BALANCE!$A$2:$A$70,"499*",BALANCE!$F$2:$F$70)+SUMIF(BALANCE!$A$2:$A$70,"599*",BALANCE!$G$2:$G$70)-SUMIF(BALANCE!$A$2:$A$70,"599*",BALANCE!$F$2:$F$70)-SUMIF(BALANCE!$A$2:$A$70,"4998*",BALANCE!$G$2:$G$70)+SUMIF(BALANCE!$A$2:$A$70,"4998*",BALANCE!$F$2:$F$70)</f>
        <v/>
      </c>
      <c r="E31" s="2769">
        <f>SUMIF(BALANCE_N1!$A$2:$A$70,"499*",BALANCE_N1!$G$2:$G$70)-SUMIF(BALANCE_N1!$A$2:$A$70,"499*",BALANCE_N1!$F$2:$F$70)+SUMIF(BALANCE_N1!$A$2:$A$70,"599*",BALANCE_N1!$G$2:$G$70)-SUMIF(BALANCE_N1!$A$2:$A$70,"599*",BALANCE_N1!$F$2:$F$70)-SUMIF(BALANCE_N1!$A$2:$A$70,"4998*",BALANCE_N1!$G$2:$G$70)+SUMIF(BALANCE_N1!$A$2:$A$70,"4998*",BALANCE_N1!$F$2:$F$70)</f>
        <v/>
      </c>
    </row>
    <row r="32" ht="25" customHeight="1" s="1354">
      <c r="A32" s="1620" t="inlineStr">
        <is>
          <t xml:space="preserve">DP </t>
        </is>
      </c>
      <c r="B32" s="1659" t="inlineStr">
        <is>
          <t xml:space="preserve">TOTAL PASSIF CIRCULANT </t>
        </is>
      </c>
      <c r="C32" s="1662" t="inlineStr">
        <is>
          <t>  </t>
        </is>
      </c>
      <c r="D32" s="1661">
        <f>SUM(D26:D31)</f>
        <v/>
      </c>
      <c r="E32" s="1661">
        <f>SUM(E26:E31)</f>
        <v/>
      </c>
    </row>
    <row r="33" ht="25" customHeight="1" s="1354">
      <c r="A33" s="1653" t="inlineStr">
        <is>
          <t xml:space="preserve">DQ </t>
        </is>
      </c>
      <c r="B33" s="1651" t="inlineStr">
        <is>
          <t xml:space="preserve">Banques, crédits d'escompte  </t>
        </is>
      </c>
      <c r="C33" s="1650" t="n">
        <v>20</v>
      </c>
      <c r="D33" s="2769">
        <f>SUMIF(BALANCE!$A$2:$A$70,"564*",BALANCE!$G$2:$G$70)-SUMIF(BALANCE!$A$2:$A$70,"564*",BALANCE!$F$2:$F$70)+SUMIF(BALANCE!$A$2:$A$70,"565*",BALANCE!$G$2:$G$70)-SUMIF(BALANCE!$A$2:$A$70,"565*",BALANCE!$F$2:$F$70)</f>
        <v/>
      </c>
      <c r="E33" s="2769">
        <f>SUMIF(BALANCE_N1!$A$2:$A$70,"564*",BALANCE_N1!$G$2:$G$70)-SUMIF(BALANCE_N1!$A$2:$A$70,"564*",BALANCE_N1!$F$2:$F$70)+SUMIF(BALANCE_N1!$A$2:$A$70,"565*",BALANCE_N1!$G$2:$G$70)-SUMIF(BALANCE_N1!$A$2:$A$70,"565*",BALANCE_N1!$F$2:$F$70)</f>
        <v/>
      </c>
    </row>
    <row r="34" ht="25" customHeight="1" s="1354">
      <c r="A34" s="1653" t="inlineStr">
        <is>
          <t xml:space="preserve">DR </t>
        </is>
      </c>
      <c r="B34" s="1651" t="inlineStr">
        <is>
          <t xml:space="preserve">Banques, établissements financiers et crédits de trésorerie </t>
        </is>
      </c>
      <c r="C34" s="1650" t="n">
        <v>20</v>
      </c>
      <c r="D34" s="2769">
        <f>SUMIF(BALANCE!$A$2:$A$70,"53*",BALANCE!$G$2:$G$70)+SUMIF(BALANCE!$A$2:$A$70,"52*",BALANCE!$G$2:$G$70)+SUMIF(BALANCE!$A$2:$A$70,"566*",BALANCE!$G$2:$G$70)+SUMIF(BALANCE!$A$2:$A$70,"561*",BALANCE!$G$2:$G$70)</f>
        <v/>
      </c>
      <c r="E34" s="2769">
        <f>SUMIF(BALANCE_N1!$A$2:$A$70,"53*",BALANCE_N1!$G$2:$G$70)+SUMIF(BALANCE_N1!$A$2:$A$70,"52*",BALANCE_N1!$G$2:$G$70)+SUMIF(BALANCE_N1!$A$2:$A$70,"566*",BALANCE_N1!$G$2:$G$70)+SUMIF(BALANCE_N1!$A$2:$A$70,"561*",BALANCE_N1!$G$2:$G$70)</f>
        <v/>
      </c>
    </row>
    <row r="35" ht="25" customHeight="1" s="1354">
      <c r="A35" s="1657" t="inlineStr">
        <is>
          <t xml:space="preserve">DT </t>
        </is>
      </c>
      <c r="B35" s="1659" t="inlineStr">
        <is>
          <t xml:space="preserve">TOTAL TRESORERIE-PASSIF  </t>
        </is>
      </c>
      <c r="C35" s="1660" t="inlineStr">
        <is>
          <t>  </t>
        </is>
      </c>
      <c r="D35" s="1663">
        <f>D33+D34</f>
        <v/>
      </c>
      <c r="E35" s="1663">
        <f>E33+E34</f>
        <v/>
      </c>
      <c r="G35" s="1664" t="n"/>
    </row>
    <row r="36" ht="25" customHeight="1" s="1354">
      <c r="A36" s="1653" t="inlineStr">
        <is>
          <t xml:space="preserve">DV </t>
        </is>
      </c>
      <c r="B36" s="1651" t="inlineStr">
        <is>
          <t xml:space="preserve">Ecart de conversion-Passif </t>
        </is>
      </c>
      <c r="C36" s="1650" t="n">
        <v>12</v>
      </c>
      <c r="D36" s="2769">
        <f>SUMIF(BALANCE!$A$2:$A$70,"479*",BALANCE!$G$2:$G$70)-SUMIF(BALANCE!$A$2:$A$70,"479*",BALANCE!$F$2:$F$70)</f>
        <v/>
      </c>
      <c r="E36" s="2769">
        <f>SUMIF(BALANCE_N1!$A$2:$A$70,"479*",BALANCE_N1!$G$2:$G$70)-SUMIF(BALANCE_N1!$A$2:$A$70,"479*",BALANCE_N1!$F$2:$F$70)</f>
        <v/>
      </c>
    </row>
    <row r="37" ht="25" customHeight="1" s="1354">
      <c r="A37" s="1665" t="inlineStr">
        <is>
          <t xml:space="preserve">DZ </t>
        </is>
      </c>
      <c r="B37" s="1666" t="inlineStr">
        <is>
          <t xml:space="preserve">TOTAL GENERAL </t>
        </is>
      </c>
      <c r="C37" s="1667" t="inlineStr">
        <is>
          <t>  </t>
        </is>
      </c>
      <c r="D37" s="1668">
        <f>SUM(D25+D32+D35+D36)</f>
        <v/>
      </c>
      <c r="E37" s="1668">
        <f>SUM(E25+E32+E35+E36)</f>
        <v/>
      </c>
    </row>
    <row r="38" ht="25" customHeight="1" s="1354">
      <c r="D38" s="1664" t="n"/>
      <c r="E38" s="1664" t="n"/>
    </row>
    <row r="39" ht="14.5" customHeight="1" s="1354">
      <c r="D39" s="1664" t="n"/>
      <c r="E39" s="1664" t="n"/>
    </row>
  </sheetData>
  <mergeCells count="4">
    <mergeCell ref="A6:E6"/>
    <mergeCell ref="B7:B9"/>
    <mergeCell ref="A7:A9"/>
    <mergeCell ref="C7:C9"/>
  </mergeCells>
  <printOptions horizontalCentered="0" verticalCentered="0" headings="0" gridLines="0" gridLinesSet="1"/>
  <pageMargins left="0.7" right="0.7" top="0.75" bottom="0.75" header="0.511811023622047" footer="0.511811023622047"/>
  <pageSetup orientation="portrait" paperSize="9" scale="8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5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E10" activeCellId="0" sqref="E10"/>
    </sheetView>
  </sheetViews>
  <sheetFormatPr baseColWidth="8" defaultColWidth="10.90234375" defaultRowHeight="14.5" zeroHeight="0" outlineLevelRow="0"/>
  <cols>
    <col width="4.44" customWidth="1" style="1572" min="1" max="1"/>
    <col width="55.44" customWidth="1" style="1572" min="2" max="2"/>
    <col width="4.26" customWidth="1" style="1669" min="3" max="3"/>
    <col width="7.81" customWidth="1" style="1669" min="4" max="4"/>
    <col width="15.81" customWidth="1" style="1572" min="5" max="5"/>
    <col width="17.81" customWidth="1" style="1572" min="6" max="6"/>
  </cols>
  <sheetData>
    <row r="1" ht="18" customHeight="1" s="1354">
      <c r="A1" s="1573" t="n"/>
      <c r="B1" s="1549" t="n"/>
      <c r="C1" s="1574" t="n"/>
      <c r="D1" s="1574" t="n"/>
      <c r="E1" s="1549" t="n"/>
    </row>
    <row r="2" ht="18" customHeight="1" s="1354">
      <c r="A2" s="1573" t="n"/>
      <c r="B2" s="1549" t="n"/>
      <c r="C2" s="1574" t="n"/>
      <c r="D2" s="1574" t="n"/>
      <c r="E2" s="1549" t="n"/>
    </row>
    <row r="3" ht="14.5" customHeight="1" s="1354">
      <c r="A3" s="1575" t="inlineStr">
        <is>
          <t>Désignation entité : ENTREPRISE TEST SARL</t>
        </is>
      </c>
      <c r="B3" s="1580" t="n"/>
      <c r="C3" s="1549" t="n"/>
      <c r="D3" s="1591" t="inlineStr">
        <is>
          <t>Exercice clos le : 31/12/2025</t>
        </is>
      </c>
      <c r="E3" s="1591" t="n"/>
      <c r="F3" s="1578" t="n"/>
      <c r="G3" s="1549" t="n"/>
    </row>
    <row r="4" ht="14.5" customHeight="1" s="1354">
      <c r="A4" s="1579" t="inlineStr">
        <is>
          <t>Numéro d’identification : CD/KNG/RCCM/23-B-01234</t>
        </is>
      </c>
      <c r="B4" s="1580" t="n"/>
      <c r="C4" s="1549" t="n"/>
      <c r="D4" s="1670" t="inlineStr">
        <is>
          <t>Durée (en mois) : 12</t>
        </is>
      </c>
      <c r="F4" s="1582" t="n"/>
      <c r="G4" s="1549" t="n"/>
    </row>
    <row r="5" ht="15" customHeight="1" s="1354">
      <c r="A5" s="1671" t="inlineStr">
        <is>
          <t>COMPTE DE RESULTAT AU 31 DECEMBRE N</t>
        </is>
      </c>
      <c r="B5" s="1594" t="n"/>
      <c r="C5" s="1594" t="n"/>
      <c r="D5" s="1594" t="n"/>
      <c r="E5" s="1594" t="n"/>
      <c r="F5" s="1594" t="n"/>
    </row>
    <row r="6" ht="10.5" customFormat="1" customHeight="1" s="1549">
      <c r="A6" s="1672" t="inlineStr">
        <is>
          <t xml:space="preserve">REF </t>
        </is>
      </c>
      <c r="B6" s="1672" t="inlineStr">
        <is>
          <t xml:space="preserve">LIBELLES    </t>
        </is>
      </c>
      <c r="C6" s="1673" t="inlineStr">
        <is>
          <t>  </t>
        </is>
      </c>
      <c r="D6" s="1672" t="inlineStr">
        <is>
          <t>NOTE</t>
        </is>
      </c>
      <c r="E6" s="1672" t="inlineStr">
        <is>
          <t>EXERCICE AU 31/12/N</t>
        </is>
      </c>
      <c r="F6" s="1672" t="inlineStr">
        <is>
          <t>EXERCICE AU 31/12/N-1</t>
        </is>
      </c>
    </row>
    <row r="7" ht="16.5" customFormat="1" customHeight="1" s="1549">
      <c r="A7" s="1600" t="n"/>
      <c r="B7" s="1600" t="n"/>
      <c r="C7" s="1600" t="n"/>
      <c r="D7" s="1600" t="n"/>
      <c r="E7" s="1605" t="n"/>
      <c r="F7" s="1605" t="n"/>
    </row>
    <row r="8" ht="15.75" customFormat="1" customHeight="1" s="1549">
      <c r="A8" s="1605" t="n"/>
      <c r="B8" s="1605" t="n"/>
      <c r="C8" s="1605" t="n"/>
      <c r="D8" s="1605" t="n"/>
      <c r="E8" s="1674" t="inlineStr">
        <is>
          <t xml:space="preserve">NET </t>
        </is>
      </c>
      <c r="F8" s="1674" t="inlineStr">
        <is>
          <t xml:space="preserve">NET </t>
        </is>
      </c>
    </row>
    <row r="9" ht="19" customFormat="1" customHeight="1" s="1549">
      <c r="A9" s="1612" t="inlineStr">
        <is>
          <t>TA</t>
        </is>
      </c>
      <c r="B9" s="1675" t="inlineStr">
        <is>
          <t xml:space="preserve">Ventes de marchandises                                                                         A </t>
        </is>
      </c>
      <c r="C9" s="1676" t="inlineStr">
        <is>
          <t xml:space="preserve">+ </t>
        </is>
      </c>
      <c r="D9" s="1677" t="n">
        <v>21</v>
      </c>
      <c r="E9" s="2770">
        <f>SUMIF(BALANCE!$A$2:$A$70,"701*",BALANCE!$G$2:$G$70)-SUMIF(BALANCE!$A$2:$A$70,"701*",BALANCE!$F$2:$F$70)</f>
        <v/>
      </c>
      <c r="F9" s="2769">
        <f>SUMIF(BALANCE_N1!$A$2:$A$70,"701*",BALANCE_N1!$G$2:$G$70)-SUMIF(BALANCE_N1!$A$2:$A$70,"701*",BALANCE_N1!$F$2:$F$70)</f>
        <v/>
      </c>
    </row>
    <row r="10" ht="19" customFormat="1" customHeight="1" s="1549">
      <c r="A10" s="1612" t="inlineStr">
        <is>
          <t>RA</t>
        </is>
      </c>
      <c r="B10" s="1675" t="inlineStr">
        <is>
          <t xml:space="preserve">Achats de marchandises    </t>
        </is>
      </c>
      <c r="C10" s="1676" t="inlineStr">
        <is>
          <t>-</t>
        </is>
      </c>
      <c r="D10" s="1677" t="n">
        <v>22</v>
      </c>
      <c r="E10" s="2770">
        <f>SUMIF(BALANCE!$A$2:$A$70,"601*",BALANCE!$F$2:$F$70)-SUMIF(BALANCE!$A$2:$A$70,"601*",BALANCE!$G$2:$G$70)</f>
        <v/>
      </c>
      <c r="F10" s="2769">
        <f>SUMIF(BALANCE_N1!$A$2:$A$70,"601*",BALANCE_N1!$F$2:$F$70)-SUMIF(BALANCE_N1!$A$2:$A$70,"601*",BALANCE_N1!$G$2:$G$70)</f>
        <v/>
      </c>
    </row>
    <row r="11" ht="19" customFormat="1" customHeight="1" s="1549">
      <c r="A11" s="1612" t="inlineStr">
        <is>
          <t>RB</t>
        </is>
      </c>
      <c r="B11" s="1675" t="inlineStr">
        <is>
          <t xml:space="preserve">Variation de stocks de marchandises                                                    </t>
        </is>
      </c>
      <c r="C11" s="1676" t="inlineStr">
        <is>
          <t xml:space="preserve">-/+  </t>
        </is>
      </c>
      <c r="D11" s="1677" t="n">
        <v>6</v>
      </c>
      <c r="E11" s="2770">
        <f>SUMIF(BALANCE!$A$2:$A$70,"6031*",BALANCE!$F$2:$F$70)-SUMIF(BALANCE!$A$2:$A$70,"6031*",BALANCE!$G$2:$G$70)</f>
        <v/>
      </c>
      <c r="F11" s="2769">
        <f>SUMIF(BALANCE_N1!$A$2:$A$70,"6031*",BALANCE_N1!$F$2:$F$70)-SUMIF(BALANCE_N1!$A$2:$A$70,"6031*",BALANCE_N1!$G$2:$G$70)</f>
        <v/>
      </c>
    </row>
    <row r="12" ht="19.5" customFormat="1" customHeight="1" s="1549">
      <c r="A12" s="1608" t="inlineStr">
        <is>
          <t>XA</t>
        </is>
      </c>
      <c r="B12" s="1679" t="inlineStr">
        <is>
          <t xml:space="preserve">MARGE  COMMERCIALE  (Somme TA à RB) </t>
        </is>
      </c>
      <c r="C12" s="1680" t="inlineStr">
        <is>
          <t>  </t>
        </is>
      </c>
      <c r="D12" s="1681" t="n"/>
      <c r="E12" s="1682">
        <f>E9-E10-E11</f>
        <v/>
      </c>
      <c r="F12" s="1682">
        <f>F9-F10-F11</f>
        <v/>
      </c>
    </row>
    <row r="13" ht="19" customFormat="1" customHeight="1" s="1549">
      <c r="A13" s="1612" t="inlineStr">
        <is>
          <t>TB</t>
        </is>
      </c>
      <c r="B13" s="1675" t="inlineStr">
        <is>
          <t xml:space="preserve">Ventes de produits fabriqués                                                                 B </t>
        </is>
      </c>
      <c r="C13" s="1676" t="inlineStr">
        <is>
          <t xml:space="preserve">+ </t>
        </is>
      </c>
      <c r="D13" s="1677" t="n">
        <v>21</v>
      </c>
      <c r="E13" s="2770">
        <f>SUMIF(BALANCE!$A$2:$A$70,"703*",BALANCE!$G$2:$G$70)-SUMIF(BALANCE!$A$2:$A$70,"703*",BALANCE!$F$2:$F$70)+SUMIF(BALANCE!$A$2:$A$70,"702*",BALANCE!$G$2:$G$70)-SUMIF(BALANCE!$A$2:$A$70,"702*",BALANCE!$F$2:$F$70)+SUMIF(BALANCE!$A$2:$A$70,"704*",BALANCE!$G$2:$G$70)-SUMIF(BALANCE!$A$2:$A$70,"704*",BALANCE!$F$2:$F$70)</f>
        <v/>
      </c>
      <c r="F13" s="2769">
        <f>SUMIF(BALANCE_N1!$A$2:$A$70,"703*",BALANCE_N1!$G$2:$G$70)-SUMIF(BALANCE_N1!$A$2:$A$70,"703*",BALANCE_N1!$F$2:$F$70)+SUMIF(BALANCE_N1!$A$2:$A$70,"702*",BALANCE_N1!$G$2:$G$70)-SUMIF(BALANCE_N1!$A$2:$A$70,"702*",BALANCE_N1!$F$2:$F$70)+SUMIF(BALANCE_N1!$A$2:$A$70,"704*",BALANCE_N1!$G$2:$G$70)-SUMIF(BALANCE_N1!$A$2:$A$70,"704*",BALANCE_N1!$F$2:$F$70)</f>
        <v/>
      </c>
    </row>
    <row r="14" ht="19" customFormat="1" customHeight="1" s="1549">
      <c r="A14" s="1612" t="inlineStr">
        <is>
          <t>TC</t>
        </is>
      </c>
      <c r="B14" s="1675" t="inlineStr">
        <is>
          <t xml:space="preserve">Travaux, services vendus                                                                        C </t>
        </is>
      </c>
      <c r="C14" s="1676" t="inlineStr">
        <is>
          <t xml:space="preserve">+ </t>
        </is>
      </c>
      <c r="D14" s="1677" t="n">
        <v>21</v>
      </c>
      <c r="E14" s="2770">
        <f>SUMIF(BALANCE!$A$2:$A$70,"705*",BALANCE!$G$2:$G$70)-SUMIF(BALANCE!$A$2:$A$70,"705*",BALANCE!$F$2:$F$70)+SUMIF(BALANCE!$A$2:$A$70,"706*",BALANCE!$G$2:$G$70)-SUMIF(BALANCE!$A$2:$A$70,"706*",BALANCE!$F$2:$F$70)</f>
        <v/>
      </c>
      <c r="F14" s="2769">
        <f>SUMIF(BALANCE_N1!$A$2:$A$70,"705*",BALANCE_N1!$G$2:$G$70)-SUMIF(BALANCE_N1!$A$2:$A$70,"705*",BALANCE_N1!$F$2:$F$70)+SUMIF(BALANCE_N1!$A$2:$A$70,"706*",BALANCE_N1!$G$2:$G$70)-SUMIF(BALANCE_N1!$A$2:$A$70,"706*",BALANCE_N1!$F$2:$F$70)</f>
        <v/>
      </c>
    </row>
    <row r="15" ht="19" customFormat="1" customHeight="1" s="1549">
      <c r="A15" s="1612" t="inlineStr">
        <is>
          <t>TD</t>
        </is>
      </c>
      <c r="B15" s="1675" t="inlineStr">
        <is>
          <t xml:space="preserve">Produits accessoires                                                                               D </t>
        </is>
      </c>
      <c r="C15" s="1676" t="inlineStr">
        <is>
          <t xml:space="preserve">+ </t>
        </is>
      </c>
      <c r="D15" s="1677" t="n">
        <v>21</v>
      </c>
      <c r="E15" s="2770">
        <f>SUMIF(BALANCE!$A$2:$A$70,"707*",BALANCE!$G$2:$G$70)-SUMIF(BALANCE!$A$2:$A$70,"707*",BALANCE!$F$2:$F$70)</f>
        <v/>
      </c>
      <c r="F15" s="2769">
        <f>SUMIF(BALANCE_N1!$A$2:$A$70,"707*",BALANCE_N1!$G$2:$G$70)-SUMIF(BALANCE_N1!$A$2:$A$70,"707*",BALANCE_N1!$F$2:$F$70)</f>
        <v/>
      </c>
    </row>
    <row r="16" ht="19.5" customFormat="1" customHeight="1" s="1549">
      <c r="A16" s="1608" t="inlineStr">
        <is>
          <t>XB</t>
        </is>
      </c>
      <c r="B16" s="1683" t="inlineStr">
        <is>
          <t xml:space="preserve">        CHIFFRE D'AFFAIRES (A + B + C + D)   </t>
        </is>
      </c>
      <c r="C16" s="1680" t="inlineStr">
        <is>
          <t>  </t>
        </is>
      </c>
      <c r="D16" s="1681" t="n"/>
      <c r="E16" s="1682">
        <f>E9+E13+E14+E15</f>
        <v/>
      </c>
      <c r="F16" s="1682">
        <f>F9+F13+F14+F15</f>
        <v/>
      </c>
    </row>
    <row r="17" ht="19" customFormat="1" customHeight="1" s="1549">
      <c r="A17" s="1612" t="inlineStr">
        <is>
          <t>TE</t>
        </is>
      </c>
      <c r="B17" s="1675" t="inlineStr">
        <is>
          <t xml:space="preserve">Production stockée (ou déstockage)    </t>
        </is>
      </c>
      <c r="C17" s="1676" t="inlineStr">
        <is>
          <t xml:space="preserve">-/+  </t>
        </is>
      </c>
      <c r="D17" s="1677" t="n">
        <v>6</v>
      </c>
      <c r="E17" s="2770">
        <f>SUMIF(BALANCE!$A$2:$A$70,"73*",BALANCE!$G$2:$G$70)-SUMIF(BALANCE!$A$2:$A$70,"73*",BALANCE!$F$2:$F$70)</f>
        <v/>
      </c>
      <c r="F17" s="2769">
        <f>SUMIF(BALANCE_N1!$A$2:$A$70,"73*",BALANCE_N1!$G$2:$G$70)-SUMIF(BALANCE_N1!$A$2:$A$70,"73*",BALANCE_N1!$F$2:$F$70)</f>
        <v/>
      </c>
    </row>
    <row r="18" ht="19" customFormat="1" customHeight="1" s="1549">
      <c r="A18" s="1612" t="inlineStr">
        <is>
          <t>TF</t>
        </is>
      </c>
      <c r="B18" s="1675" t="inlineStr">
        <is>
          <t xml:space="preserve">Production immobilisée   </t>
        </is>
      </c>
      <c r="C18" s="1676" t="inlineStr">
        <is>
          <t> </t>
        </is>
      </c>
      <c r="D18" s="1677" t="n">
        <v>21</v>
      </c>
      <c r="E18" s="2770">
        <f>SUMIF(BALANCE!$A$2:$A$70,"72*",BALANCE!$G$2:$G$70)-SUMIF(BALANCE!$A$2:$A$70,"72*",BALANCE!$F$2:$F$70)</f>
        <v/>
      </c>
      <c r="F18" s="2771">
        <f>SUMIF(BALANCE_N1!$A$2:$A$70,"72*",BALANCE_N1!$G$2:$G$70)-SUMIF(BALANCE_N1!$A$2:$A$70,"72*",BALANCE_N1!$F$2:$F$70)</f>
        <v/>
      </c>
    </row>
    <row r="19" ht="19" customFormat="1" customHeight="1" s="1549">
      <c r="A19" s="1612" t="inlineStr">
        <is>
          <t>TG</t>
        </is>
      </c>
      <c r="B19" s="1675" t="inlineStr">
        <is>
          <t xml:space="preserve">Subventions d’exploitation   </t>
        </is>
      </c>
      <c r="C19" s="1676" t="inlineStr">
        <is>
          <t> </t>
        </is>
      </c>
      <c r="D19" s="1677" t="n">
        <v>21</v>
      </c>
      <c r="E19" s="2770">
        <f>SUMIF(BALANCE!$A$2:$A$70,"71*",BALANCE!$G$2:$G$70)-SUMIF(BALANCE!$A$2:$A$70,"71*",BALANCE!$F$2:$F$70)</f>
        <v/>
      </c>
      <c r="F19" s="2771">
        <f>SUMIF(BALANCE_N1!$A$2:$A$70,"71*",BALANCE_N1!$G$2:$G$70)-SUMIF(BALANCE_N1!$A$2:$A$70,"71*",BALANCE_N1!$F$2:$F$70)</f>
        <v/>
      </c>
    </row>
    <row r="20" ht="19" customFormat="1" customHeight="1" s="1549">
      <c r="A20" s="1612" t="inlineStr">
        <is>
          <t>TH</t>
        </is>
      </c>
      <c r="B20" s="1675" t="inlineStr">
        <is>
          <t xml:space="preserve">Autres produits    </t>
        </is>
      </c>
      <c r="C20" s="1676" t="inlineStr">
        <is>
          <t xml:space="preserve">+ </t>
        </is>
      </c>
      <c r="D20" s="1677" t="n">
        <v>21</v>
      </c>
      <c r="E20" s="2770">
        <f>SUMIF(BALANCE!$A$2:$A$70,"75*",BALANCE!$G$2:$G$70)-SUMIF(BALANCE!$A$2:$A$70,"75*",BALANCE!$F$2:$F$70)</f>
        <v/>
      </c>
      <c r="F20" s="2769">
        <f>SUMIF(BALANCE_N1!$A$2:$A$70,"75*",BALANCE_N1!$G$2:$G$70)-SUMIF(BALANCE_N1!$A$2:$A$70,"75*",BALANCE_N1!$F$2:$F$70)</f>
        <v/>
      </c>
    </row>
    <row r="21" ht="19" customFormat="1" customHeight="1" s="1549">
      <c r="A21" s="1612" t="inlineStr">
        <is>
          <t>TI</t>
        </is>
      </c>
      <c r="B21" s="1675" t="inlineStr">
        <is>
          <t xml:space="preserve">Transferts de charges d'exploitation     </t>
        </is>
      </c>
      <c r="C21" s="1676" t="inlineStr">
        <is>
          <t xml:space="preserve">+ </t>
        </is>
      </c>
      <c r="D21" s="1677" t="n">
        <v>12</v>
      </c>
      <c r="E21" s="2770">
        <f>SUMIF(BALANCE!$A$2:$A$70,"781*",BALANCE!$G$2:$G$70)-SUMIF(BALANCE!$A$2:$A$70,"781*",BALANCE!$F$2:$F$70)</f>
        <v/>
      </c>
      <c r="F21" s="2769">
        <f>SUMIF(BALANCE_N1!$A$2:$A$70,"781*",BALANCE_N1!$G$2:$G$70)-SUMIF(BALANCE_N1!$A$2:$A$70,"781*",BALANCE_N1!$F$2:$F$70)</f>
        <v/>
      </c>
    </row>
    <row r="22" ht="19" customFormat="1" customHeight="1" s="1549">
      <c r="A22" s="1612" t="inlineStr">
        <is>
          <t>RC</t>
        </is>
      </c>
      <c r="B22" s="1675" t="inlineStr">
        <is>
          <t xml:space="preserve"> Achats de matières premières et fournitures liées    </t>
        </is>
      </c>
      <c r="C22" s="1676" t="inlineStr">
        <is>
          <t xml:space="preserve"> - </t>
        </is>
      </c>
      <c r="D22" s="1677" t="n">
        <v>22</v>
      </c>
      <c r="E22" s="2770">
        <f>SUMIF(BALANCE!$A$2:$A$70,"602*",BALANCE!$F$2:$F$70)-SUMIF(BALANCE!$A$2:$A$70,"602*",BALANCE!$G$2:$G$70)</f>
        <v/>
      </c>
      <c r="F22" s="2769">
        <f>SUMIF(BALANCE_N1!$A$2:$A$70,"602*",BALANCE_N1!$F$2:$F$70)-SUMIF(BALANCE_N1!$A$2:$A$70,"602*",BALANCE_N1!$G$2:$G$70)</f>
        <v/>
      </c>
    </row>
    <row r="23" ht="19" customFormat="1" customHeight="1" s="1549">
      <c r="A23" s="1612" t="inlineStr">
        <is>
          <t>RD</t>
        </is>
      </c>
      <c r="B23" s="1675" t="inlineStr">
        <is>
          <t xml:space="preserve">Variation de stocks de matières premières et fournitures liées    </t>
        </is>
      </c>
      <c r="C23" s="1676" t="inlineStr">
        <is>
          <t xml:space="preserve">-/+  </t>
        </is>
      </c>
      <c r="D23" s="1677" t="n">
        <v>6</v>
      </c>
      <c r="E23" s="2770">
        <f>SUMIF(BALANCE!$A$2:$A$70,"6032*",BALANCE!$F$2:$F$70)-SUMIF(BALANCE!$A$2:$A$70,"6032*",BALANCE!$G$2:$G$70)</f>
        <v/>
      </c>
      <c r="F23" s="2769">
        <f>SUMIF(BALANCE_N1!$A$2:$A$70,"6032*",BALANCE_N1!$F$2:$F$70)-SUMIF(BALANCE_N1!$A$2:$A$70,"6032*",BALANCE_N1!$G$2:$G$70)</f>
        <v/>
      </c>
    </row>
    <row r="24" ht="19" customFormat="1" customHeight="1" s="1549">
      <c r="A24" s="1612" t="inlineStr">
        <is>
          <t>RE</t>
        </is>
      </c>
      <c r="B24" s="1675" t="inlineStr">
        <is>
          <t xml:space="preserve">Autres achats    </t>
        </is>
      </c>
      <c r="C24" s="1676" t="inlineStr">
        <is>
          <t xml:space="preserve"> - </t>
        </is>
      </c>
      <c r="D24" s="1677" t="n">
        <v>22</v>
      </c>
      <c r="E24" s="2770">
        <f>SUMIF(BALANCE!$A$2:$A$70,"608*",BALANCE!$F$2:$F$70)-SUMIF(BALANCE!$A$2:$A$70,"608*",BALANCE!$G$2:$G$70)+SUMIF(BALANCE!$A$2:$A$70,"605*",BALANCE!$F$2:$F$70)-SUMIF(BALANCE!$A$2:$A$70,"605*",BALANCE!$G$2:$G$70)+SUMIF(BALANCE!$A$2:$A$70,"604*",BALANCE!$F$2:$F$70)-SUMIF(BALANCE!$A$2:$A$70,"604*",BALANCE!$G$2:$G$70)</f>
        <v/>
      </c>
      <c r="F24" s="2769">
        <f>SUMIF(BALANCE_N1!$A$2:$A$70,"608*",BALANCE_N1!$F$2:$F$70)-SUMIF(BALANCE_N1!$A$2:$A$70,"608*",BALANCE_N1!$G$2:$G$70)+SUMIF(BALANCE_N1!$A$2:$A$70,"605*",BALANCE_N1!$F$2:$F$70)-SUMIF(BALANCE_N1!$A$2:$A$70,"605*",BALANCE_N1!$G$2:$G$70)+SUMIF(BALANCE_N1!$A$2:$A$70,"604*",BALANCE_N1!$F$2:$F$70)-SUMIF(BALANCE_N1!$A$2:$A$70,"604*",BALANCE_N1!$G$2:$G$70)</f>
        <v/>
      </c>
    </row>
    <row r="25" ht="19" customFormat="1" customHeight="1" s="1549">
      <c r="A25" s="1612" t="inlineStr">
        <is>
          <t>RF</t>
        </is>
      </c>
      <c r="B25" s="1675" t="inlineStr">
        <is>
          <t xml:space="preserve">Variation de stocks d’autres approvisionnements                        </t>
        </is>
      </c>
      <c r="C25" s="1676" t="inlineStr">
        <is>
          <t xml:space="preserve"> -/+  </t>
        </is>
      </c>
      <c r="D25" s="1677" t="n">
        <v>6</v>
      </c>
      <c r="E25" s="2770">
        <f>SUMIF(BALANCE!$A$2:$A$70,"6033*",BALANCE!$F$2:$F$70)-SUMIF(BALANCE!$A$2:$A$70,"6033*",BALANCE!$G$2:$G$70)</f>
        <v/>
      </c>
      <c r="F25" s="2769">
        <f>SUMIF(BALANCE_N1!$A$2:$A$70,"6033*",BALANCE_N1!$F$2:$F$70)-SUMIF(BALANCE_N1!$A$2:$A$70,"6033*",BALANCE_N1!$G$2:$G$70)</f>
        <v/>
      </c>
    </row>
    <row r="26" ht="19" customFormat="1" customHeight="1" s="1549">
      <c r="A26" s="1612" t="inlineStr">
        <is>
          <t>RG</t>
        </is>
      </c>
      <c r="B26" s="1675" t="inlineStr">
        <is>
          <t xml:space="preserve">Transports    </t>
        </is>
      </c>
      <c r="C26" s="1676" t="inlineStr">
        <is>
          <t xml:space="preserve"> - </t>
        </is>
      </c>
      <c r="D26" s="1677" t="n">
        <v>23</v>
      </c>
      <c r="E26" s="2770">
        <f>SUMIF(BALANCE!$A$2:$A$70,"61*",BALANCE!$F$2:$F$70)-SUMIF(BALANCE!$A$2:$A$70,"61*",BALANCE!$G$2:$G$70)</f>
        <v/>
      </c>
      <c r="F26" s="2769">
        <f>SUMIF(BALANCE_N1!$A$2:$A$70,"61*",BALANCE_N1!$F$2:$F$70)-SUMIF(BALANCE_N1!$A$2:$A$70,"61*",BALANCE_N1!$G$2:$G$70)</f>
        <v/>
      </c>
    </row>
    <row r="27" ht="19" customFormat="1" customHeight="1" s="1549">
      <c r="A27" s="1612" t="inlineStr">
        <is>
          <t>RH</t>
        </is>
      </c>
      <c r="B27" s="1675" t="inlineStr">
        <is>
          <t xml:space="preserve">Services extérieurs    </t>
        </is>
      </c>
      <c r="C27" s="1676" t="inlineStr">
        <is>
          <t xml:space="preserve"> - </t>
        </is>
      </c>
      <c r="D27" s="1677" t="n">
        <v>24</v>
      </c>
      <c r="E27" s="2770">
        <f>SUMIF(BALANCE!$A$2:$A$70,"63*",BALANCE!$F$2:$F$70)-SUMIF(BALANCE!$A$2:$A$70,"63*",BALANCE!$G$2:$G$70)+SUMIF(BALANCE!$A$2:$A$70,"62*",BALANCE!$F$2:$F$70)-SUMIF(BALANCE!$A$2:$A$70,"62*",BALANCE!$G$2:$G$70)</f>
        <v/>
      </c>
      <c r="F27" s="2769">
        <f>SUMIF(BALANCE_N1!$A$2:$A$70,"63*",BALANCE_N1!$F$2:$F$70)-SUMIF(BALANCE_N1!$A$2:$A$70,"63*",BALANCE_N1!$G$2:$G$70)+SUMIF(BALANCE_N1!$A$2:$A$70,"62*",BALANCE_N1!$F$2:$F$70)-SUMIF(BALANCE_N1!$A$2:$A$70,"62*",BALANCE_N1!$G$2:$G$70)</f>
        <v/>
      </c>
    </row>
    <row r="28" ht="19" customFormat="1" customHeight="1" s="1549">
      <c r="A28" s="1612" t="inlineStr">
        <is>
          <t>RI</t>
        </is>
      </c>
      <c r="B28" s="1675" t="inlineStr">
        <is>
          <t xml:space="preserve"> Impôts et taxes    </t>
        </is>
      </c>
      <c r="C28" s="1676" t="inlineStr">
        <is>
          <t xml:space="preserve"> - </t>
        </is>
      </c>
      <c r="D28" s="1677" t="n">
        <v>25</v>
      </c>
      <c r="E28" s="2770">
        <f>SUMIF(BALANCE!$A$2:$A$70,"64*",BALANCE!$F$2:$F$70)-SUMIF(BALANCE!$A$2:$A$70,"64*",BALANCE!$G$2:$G$70)</f>
        <v/>
      </c>
      <c r="F28" s="2769">
        <f>SUMIF(BALANCE_N1!$A$2:$A$70,"64*",BALANCE_N1!$F$2:$F$70)-SUMIF(BALANCE_N1!$A$2:$A$70,"64*",BALANCE_N1!$G$2:$G$70)</f>
        <v/>
      </c>
    </row>
    <row r="29" ht="19" customFormat="1" customHeight="1" s="1549">
      <c r="A29" s="1612" t="inlineStr">
        <is>
          <t>RJ</t>
        </is>
      </c>
      <c r="B29" s="1675" t="inlineStr">
        <is>
          <t xml:space="preserve">Autres charges    </t>
        </is>
      </c>
      <c r="C29" s="1676" t="inlineStr">
        <is>
          <t xml:space="preserve"> - </t>
        </is>
      </c>
      <c r="D29" s="1677" t="n">
        <v>26</v>
      </c>
      <c r="E29" s="2770">
        <f>SUMIF(BALANCE!$A$2:$A$70,"65*",BALANCE!$F$2:$F$70)-SUMIF(BALANCE!$A$2:$A$70,"65*",BALANCE!$G$2:$G$70)</f>
        <v/>
      </c>
      <c r="F29" s="2769">
        <f>SUMIF(BALANCE_N1!$A$2:$A$70,"65*",BALANCE_N1!$F$2:$F$70)-SUMIF(BALANCE_N1!$A$2:$A$70,"65*",BALANCE_N1!$G$2:$G$70)</f>
        <v/>
      </c>
    </row>
    <row r="30" ht="19.5" customFormat="1" customHeight="1" s="1549">
      <c r="A30" s="1608" t="inlineStr">
        <is>
          <t>XC</t>
        </is>
      </c>
      <c r="B30" s="1685" t="inlineStr">
        <is>
          <t xml:space="preserve">             VALEUR AJOUTEE    (XB +RA+RB) + (somme TE à RJ)  </t>
        </is>
      </c>
      <c r="C30" s="1680" t="inlineStr">
        <is>
          <t>  </t>
        </is>
      </c>
      <c r="D30" s="1681" t="n"/>
      <c r="E30" s="1682">
        <f>E16-E10-E11+E17+E18+E19+E20+E21-E22-E23-E24-E25-E26-E27-E28-E29</f>
        <v/>
      </c>
      <c r="F30" s="1682">
        <f>F16-F10-F11+F17+F18+F19+F20+F21-F22-F23-F24-F25-F26-F27-F28-F29</f>
        <v/>
      </c>
    </row>
    <row r="31" ht="19" customFormat="1" customHeight="1" s="1549">
      <c r="A31" s="1612" t="inlineStr">
        <is>
          <t>RK</t>
        </is>
      </c>
      <c r="B31" s="1675" t="inlineStr">
        <is>
          <t xml:space="preserve">Charges de personnel    </t>
        </is>
      </c>
      <c r="C31" s="1676" t="inlineStr">
        <is>
          <t xml:space="preserve"> - </t>
        </is>
      </c>
      <c r="D31" s="1677" t="n">
        <v>27</v>
      </c>
      <c r="E31" s="2770">
        <f>SUMIF(BALANCE!$A$2:$A$70,"66*",BALANCE!$F$2:$F$70)-SUMIF(BALANCE!$A$2:$A$70,"66*",BALANCE!$G$2:$G$70)</f>
        <v/>
      </c>
      <c r="F31" s="2769">
        <f>SUMIF(BALANCE_N1!$A$2:$A$70,"66*",BALANCE_N1!$F$2:$F$70)-SUMIF(BALANCE_N1!$A$2:$A$70,"66*",BALANCE_N1!$G$2:$G$70)</f>
        <v/>
      </c>
    </row>
    <row r="32" ht="19.5" customFormat="1" customHeight="1" s="1549">
      <c r="A32" s="1608" t="inlineStr">
        <is>
          <t>XD</t>
        </is>
      </c>
      <c r="B32" s="1679" t="inlineStr">
        <is>
          <t xml:space="preserve"> EXCEDENT BRUT D'EXPLOITATION (XC+RK)    </t>
        </is>
      </c>
      <c r="C32" s="1680" t="inlineStr">
        <is>
          <t>  </t>
        </is>
      </c>
      <c r="D32" s="1680" t="n">
        <v>28</v>
      </c>
      <c r="E32" s="1682">
        <f>E30-E31</f>
        <v/>
      </c>
      <c r="F32" s="1682">
        <f>F30-F31</f>
        <v/>
      </c>
    </row>
    <row r="33" ht="19" customFormat="1" customHeight="1" s="1549">
      <c r="A33" s="1612" t="inlineStr">
        <is>
          <t>TJ</t>
        </is>
      </c>
      <c r="B33" s="1675" t="inlineStr">
        <is>
          <t xml:space="preserve">Reprises d’amortissements, provisions et dépréciations  </t>
        </is>
      </c>
      <c r="C33" s="1676" t="inlineStr">
        <is>
          <t xml:space="preserve">+ </t>
        </is>
      </c>
      <c r="D33" s="1677" t="n">
        <v>28</v>
      </c>
      <c r="E33" s="2770">
        <f>SUMIF(BALANCE!$A$2:$A$70,"799*",BALANCE!$G$2:$G$70)-SUMIF(BALANCE!$A$2:$A$70,"799*",BALANCE!$F$2:$F$70)+SUMIF(BALANCE!$A$2:$A$70,"798*",BALANCE!$G$2:$G$70)-SUMIF(BALANCE!$A$2:$A$70,"798*",BALANCE!$F$2:$F$70)+SUMIF(BALANCE!$A$2:$A$70,"791*",BALANCE!$G$2:$G$70)-SUMIF(BALANCE!$A$2:$A$70,"791*",BALANCE!$F$2:$F$70)</f>
        <v/>
      </c>
      <c r="F33" s="2769">
        <f>SUMIF(BALANCE_N1!$A$2:$A$70,"799*",BALANCE_N1!$G$2:$G$70)-SUMIF(BALANCE_N1!$A$2:$A$70,"799*",BALANCE_N1!$F$2:$F$70)+SUMIF(BALANCE_N1!$A$2:$A$70,"798*",BALANCE_N1!$G$2:$G$70)-SUMIF(BALANCE_N1!$A$2:$A$70,"798*",BALANCE_N1!$F$2:$F$70)+SUMIF(BALANCE_N1!$A$2:$A$70,"791*",BALANCE_N1!$G$2:$G$70)-SUMIF(BALANCE_N1!$A$2:$A$70,"791*",BALANCE_N1!$F$2:$F$70)</f>
        <v/>
      </c>
    </row>
    <row r="34" ht="19" customFormat="1" customHeight="1" s="1549">
      <c r="A34" s="1612" t="inlineStr">
        <is>
          <t>RL</t>
        </is>
      </c>
      <c r="B34" s="1675" t="inlineStr">
        <is>
          <t xml:space="preserve">Dotations aux amortissements, aux provisions et dépréciations </t>
        </is>
      </c>
      <c r="C34" s="1676" t="inlineStr">
        <is>
          <t xml:space="preserve"> - </t>
        </is>
      </c>
      <c r="D34" s="1677" t="inlineStr">
        <is>
          <t>3C&amp;28</t>
        </is>
      </c>
      <c r="E34" s="2770">
        <f>SUMIF(BALANCE!$A$2:$A$70,"691*",BALANCE!$F$2:$F$70)-SUMIF(BALANCE!$A$2:$A$70,"691*",BALANCE!$G$2:$G$70)+SUMIF(BALANCE!$A$2:$A$70,"681*",BALANCE!$F$2:$F$70)-SUMIF(BALANCE!$A$2:$A$70,"681*",BALANCE!$G$2:$G$70)</f>
        <v/>
      </c>
      <c r="F34" s="2769">
        <f>SUMIF(BALANCE_N1!$A$2:$A$70,"691*",BALANCE_N1!$F$2:$F$70)-SUMIF(BALANCE_N1!$A$2:$A$70,"691*",BALANCE_N1!$G$2:$G$70)+SUMIF(BALANCE_N1!$A$2:$A$70,"681*",BALANCE_N1!$F$2:$F$70)-SUMIF(BALANCE_N1!$A$2:$A$70,"681*",BALANCE_N1!$G$2:$G$70)</f>
        <v/>
      </c>
    </row>
    <row r="35" ht="19.5" customFormat="1" customHeight="1" s="1549">
      <c r="A35" s="1608" t="inlineStr">
        <is>
          <t>XE</t>
        </is>
      </c>
      <c r="B35" s="1679" t="inlineStr">
        <is>
          <t xml:space="preserve">   RESULTAT D'EXPLOITATION (XD+TJ+ RL)    </t>
        </is>
      </c>
      <c r="C35" s="1680" t="inlineStr">
        <is>
          <t>  </t>
        </is>
      </c>
      <c r="D35" s="1681" t="n"/>
      <c r="E35" s="1682">
        <f>E32+E33-E34</f>
        <v/>
      </c>
      <c r="F35" s="1682">
        <f>F32+F33-F34</f>
        <v/>
      </c>
    </row>
    <row r="36" ht="19" customFormat="1" customHeight="1" s="1549">
      <c r="A36" s="1612" t="inlineStr">
        <is>
          <t>TK</t>
        </is>
      </c>
      <c r="B36" s="1675" t="inlineStr">
        <is>
          <t xml:space="preserve">Revenus financiers et assimilés    </t>
        </is>
      </c>
      <c r="C36" s="1676" t="inlineStr">
        <is>
          <t xml:space="preserve">+ </t>
        </is>
      </c>
      <c r="D36" s="1677" t="n">
        <v>29</v>
      </c>
      <c r="E36" s="2770">
        <f>SUMIF(BALANCE!$A$2:$A$70,"77*",BALANCE!$G$2:$G$70)-SUMIF(BALANCE!$A$2:$A$70,"77*",BALANCE!$F$2:$F$70)</f>
        <v/>
      </c>
      <c r="F36" s="2769">
        <f>SUMIF(BALANCE_N1!$A$2:$A$70,"77*",BALANCE_N1!$G$2:$G$70)-SUMIF(BALANCE_N1!$A$2:$A$70,"77*",BALANCE_N1!$F$2:$F$70)</f>
        <v/>
      </c>
    </row>
    <row r="37" ht="19" customFormat="1" customHeight="1" s="1549">
      <c r="A37" s="1612" t="inlineStr">
        <is>
          <t>TL</t>
        </is>
      </c>
      <c r="B37" s="1675" t="inlineStr">
        <is>
          <t xml:space="preserve">Reprises de provisions  et dépréciations financières </t>
        </is>
      </c>
      <c r="C37" s="1676" t="inlineStr">
        <is>
          <t xml:space="preserve"> + </t>
        </is>
      </c>
      <c r="D37" s="1677" t="n">
        <v>28</v>
      </c>
      <c r="E37" s="2770">
        <f>SUMIF(BALANCE!$A$2:$A$70,"797*",BALANCE!$G$2:$G$70)-SUMIF(BALANCE!$A$2:$A$70,"797*",BALANCE!$F$2:$F$70)</f>
        <v/>
      </c>
      <c r="F37" s="2769">
        <f>SUMIF(BALANCE_N1!$A$2:$A$70,"797*",BALANCE_N1!$G$2:$G$70)-SUMIF(BALANCE_N1!$A$2:$A$70,"797*",BALANCE_N1!$F$2:$F$70)</f>
        <v/>
      </c>
    </row>
    <row r="38" ht="19" customFormat="1" customHeight="1" s="1549">
      <c r="A38" s="1612" t="inlineStr">
        <is>
          <t>TM</t>
        </is>
      </c>
      <c r="B38" s="1675" t="inlineStr">
        <is>
          <t xml:space="preserve">Transferts de charges financières    </t>
        </is>
      </c>
      <c r="C38" s="1676" t="inlineStr">
        <is>
          <t xml:space="preserve"> + </t>
        </is>
      </c>
      <c r="D38" s="1677" t="n">
        <v>12</v>
      </c>
      <c r="E38" s="2770">
        <f>SUMIF(BALANCE!$A$2:$A$70,"787*",BALANCE!$G$2:$G$70)-SUMIF(BALANCE!$A$2:$A$70,"787*",BALANCE!$F$2:$F$70)</f>
        <v/>
      </c>
      <c r="F38" s="2769">
        <f>SUMIF(BALANCE_N1!$A$2:$A$70,"787*",BALANCE_N1!$G$2:$G$70)-SUMIF(BALANCE_N1!$A$2:$A$70,"787*",BALANCE_N1!$F$2:$F$70)</f>
        <v/>
      </c>
    </row>
    <row r="39" ht="19" customFormat="1" customHeight="1" s="1549">
      <c r="A39" s="1612" t="inlineStr">
        <is>
          <t>RM</t>
        </is>
      </c>
      <c r="B39" s="1675" t="inlineStr">
        <is>
          <t xml:space="preserve">Frais financiers et charges assimilées    </t>
        </is>
      </c>
      <c r="C39" s="1676" t="inlineStr">
        <is>
          <t xml:space="preserve"> - </t>
        </is>
      </c>
      <c r="D39" s="1677" t="n">
        <v>29</v>
      </c>
      <c r="E39" s="2770">
        <f>SUMIF(BALANCE!$A$2:$A$70,"67*",BALANCE!$F$2:$F$70)-SUMIF(BALANCE!$A$2:$A$70,"67*",BALANCE!$G$2:$G$70)</f>
        <v/>
      </c>
      <c r="F39" s="2769">
        <f>SUMIF(BALANCE_N1!$A$2:$A$70,"67*",BALANCE_N1!$F$2:$F$70)-SUMIF(BALANCE_N1!$A$2:$A$70,"67*",BALANCE_N1!$G$2:$G$70)</f>
        <v/>
      </c>
    </row>
    <row r="40" ht="19" customFormat="1" customHeight="1" s="1549">
      <c r="A40" s="1608" t="inlineStr">
        <is>
          <t>RN</t>
        </is>
      </c>
      <c r="B40" s="1675" t="inlineStr">
        <is>
          <t xml:space="preserve">Dotations aux provisions et aux dépréciations financières </t>
        </is>
      </c>
      <c r="C40" s="1676" t="inlineStr">
        <is>
          <t xml:space="preserve"> - </t>
        </is>
      </c>
      <c r="D40" s="1676" t="inlineStr">
        <is>
          <t xml:space="preserve">3C&amp;28 </t>
        </is>
      </c>
      <c r="E40" s="2772">
        <f>SUMIF(BALANCE!$A$2:$A$70,"697*",BALANCE!$F$2:$F$70)-SUMIF(BALANCE!$A$2:$A$70,"697*",BALANCE!$G$2:$G$70)</f>
        <v/>
      </c>
      <c r="F40" s="2771">
        <f>SUMIF(BALANCE_N1!$A$2:$A$70,"697*",BALANCE_N1!$F$2:$F$70)-SUMIF(BALANCE_N1!$A$2:$A$70,"697*",BALANCE_N1!$G$2:$G$70)</f>
        <v/>
      </c>
    </row>
    <row r="41" ht="19.5" customFormat="1" customHeight="1" s="1549">
      <c r="A41" s="1608" t="inlineStr">
        <is>
          <t>XF</t>
        </is>
      </c>
      <c r="B41" s="1679" t="inlineStr">
        <is>
          <t xml:space="preserve">RESULTAT  FINANCIER  (somme TK à RN)    </t>
        </is>
      </c>
      <c r="C41" s="1680" t="inlineStr">
        <is>
          <t>  </t>
        </is>
      </c>
      <c r="D41" s="1680" t="inlineStr">
        <is>
          <t>  </t>
        </is>
      </c>
      <c r="E41" s="1682">
        <f>E36+E37+E38-E39-E40</f>
        <v/>
      </c>
      <c r="F41" s="1682">
        <f>F36+F37+F38-F39-F40</f>
        <v/>
      </c>
    </row>
    <row r="42" ht="19.5" customFormat="1" customHeight="1" s="1549">
      <c r="A42" s="1608" t="inlineStr">
        <is>
          <t>XG</t>
        </is>
      </c>
      <c r="B42" s="1687" t="inlineStr">
        <is>
          <t xml:space="preserve">RESULTAT  DES ACTIVITES ORDINAIRES (XE+XF)   </t>
        </is>
      </c>
      <c r="C42" s="1688" t="inlineStr">
        <is>
          <t>  </t>
        </is>
      </c>
      <c r="D42" s="1688" t="inlineStr">
        <is>
          <t>  </t>
        </is>
      </c>
      <c r="E42" s="1689">
        <f>E35+E41</f>
        <v/>
      </c>
      <c r="F42" s="1689">
        <f>F35+F41</f>
        <v/>
      </c>
    </row>
    <row r="43" ht="19" customFormat="1" customHeight="1" s="1549">
      <c r="A43" s="1612" t="inlineStr">
        <is>
          <t>TN</t>
        </is>
      </c>
      <c r="B43" s="1675" t="inlineStr">
        <is>
          <t xml:space="preserve">Produits des cessions d'immobilisations    </t>
        </is>
      </c>
      <c r="C43" s="1676" t="inlineStr">
        <is>
          <t xml:space="preserve"> + </t>
        </is>
      </c>
      <c r="D43" s="1677" t="inlineStr">
        <is>
          <t xml:space="preserve">3D </t>
        </is>
      </c>
      <c r="E43" s="2770">
        <f>SUMIF(BALANCE!$A$2:$A$70,"82*",BALANCE!$G$2:$G$70)-SUMIF(BALANCE!$A$2:$A$70,"82*",BALANCE!$F$2:$F$70)</f>
        <v/>
      </c>
      <c r="F43" s="2769">
        <f>SUMIF(BALANCE_N1!$A$2:$A$70,"82*",BALANCE_N1!$G$2:$G$70)-SUMIF(BALANCE_N1!$A$2:$A$70,"82*",BALANCE_N1!$F$2:$F$70)</f>
        <v/>
      </c>
    </row>
    <row r="44" ht="19" customFormat="1" customHeight="1" s="1549">
      <c r="A44" s="1612" t="inlineStr">
        <is>
          <t>TO</t>
        </is>
      </c>
      <c r="B44" s="1675" t="inlineStr">
        <is>
          <t xml:space="preserve">Autres Produits HAO   </t>
        </is>
      </c>
      <c r="C44" s="1676" t="inlineStr">
        <is>
          <t xml:space="preserve"> + </t>
        </is>
      </c>
      <c r="D44" s="1677" t="n">
        <v>30</v>
      </c>
      <c r="E44" s="2770">
        <f>SUMIF(BALANCE!$A$2:$A$70,"88*",BALANCE!$G$2:$G$70)-SUMIF(BALANCE!$A$2:$A$70,"88*",BALANCE!$F$2:$F$70)+SUMIF(BALANCE!$A$2:$A$70,"84*",BALANCE!$G$2:$G$70)-SUMIF(BALANCE!$A$2:$A$70,"84*",BALANCE!$F$2:$F$70)+SUMIF(BALANCE!$A$2:$A$70,"86*",BALANCE!$G$2:$G$70)-SUMIF(BALANCE!$A$2:$A$70,"86*",BALANCE!$F$2:$F$70)</f>
        <v/>
      </c>
      <c r="F44" s="2769">
        <f>SUMIF(BALANCE_N1!$A$2:$A$70,"88*",BALANCE_N1!$G$2:$G$70)-SUMIF(BALANCE_N1!$A$2:$A$70,"88*",BALANCE_N1!$F$2:$F$70)+SUMIF(BALANCE_N1!$A$2:$A$70,"84*",BALANCE_N1!$G$2:$G$70)-SUMIF(BALANCE_N1!$A$2:$A$70,"84*",BALANCE_N1!$F$2:$F$70)+SUMIF(BALANCE_N1!$A$2:$A$70,"86*",BALANCE_N1!$G$2:$G$70)-SUMIF(BALANCE_N1!$A$2:$A$70,"86*",BALANCE_N1!$F$2:$F$70)</f>
        <v/>
      </c>
    </row>
    <row r="45" ht="19" customFormat="1" customHeight="1" s="1549">
      <c r="A45" s="1612" t="inlineStr">
        <is>
          <t>RO</t>
        </is>
      </c>
      <c r="B45" s="1675" t="inlineStr">
        <is>
          <t xml:space="preserve">Valeurs comptables des cessions d'immobilisations    </t>
        </is>
      </c>
      <c r="C45" s="1676" t="inlineStr">
        <is>
          <t xml:space="preserve"> - </t>
        </is>
      </c>
      <c r="D45" s="1677" t="inlineStr">
        <is>
          <t xml:space="preserve">3D </t>
        </is>
      </c>
      <c r="E45" s="2770">
        <f>SUMIF(BALANCE!$A$2:$A$70,"81*",BALANCE!$F$2:$F$70)-SUMIF(BALANCE!$A$2:$A$70,"81*",BALANCE!$G$2:$G$70)</f>
        <v/>
      </c>
      <c r="F45" s="2769">
        <f>SUMIF(BALANCE_N1!$A$2:$A$70,"81*",BALANCE_N1!$F$2:$F$70)-SUMIF(BALANCE_N1!$A$2:$A$70,"81*",BALANCE_N1!$G$2:$G$70)</f>
        <v/>
      </c>
    </row>
    <row r="46" ht="19" customFormat="1" customHeight="1" s="1549">
      <c r="A46" s="1612" t="inlineStr">
        <is>
          <t>RP</t>
        </is>
      </c>
      <c r="B46" s="1675" t="inlineStr">
        <is>
          <t xml:space="preserve">Autres Charges HAO   </t>
        </is>
      </c>
      <c r="C46" s="1676" t="inlineStr">
        <is>
          <t xml:space="preserve"> - </t>
        </is>
      </c>
      <c r="D46" s="1677" t="n">
        <v>30</v>
      </c>
      <c r="E46" s="2770">
        <f>SUMIF(BALANCE!$A$2:$A$70,"85*",BALANCE!$F$2:$F$70)-SUMIF(BALANCE!$A$2:$A$70,"85*",BALANCE!$G$2:$G$70)+SUMIF(BALANCE!$A$2:$A$70,"83*",BALANCE!$F$2:$F$70)-SUMIF(BALANCE!$A$2:$A$70,"83*",BALANCE!$G$2:$G$70)</f>
        <v/>
      </c>
      <c r="F46" s="2769">
        <f>SUMIF(BALANCE_N1!$A$2:$A$70,"85*",BALANCE_N1!$F$2:$F$70)-SUMIF(BALANCE_N1!$A$2:$A$70,"85*",BALANCE_N1!$G$2:$G$70)+SUMIF(BALANCE_N1!$A$2:$A$70,"83*",BALANCE_N1!$F$2:$F$70)-SUMIF(BALANCE_N1!$A$2:$A$70,"83*",BALANCE_N1!$G$2:$G$70)</f>
        <v/>
      </c>
    </row>
    <row r="47" ht="19.5" customFormat="1" customHeight="1" s="1549">
      <c r="A47" s="1608" t="inlineStr">
        <is>
          <t>XH</t>
        </is>
      </c>
      <c r="B47" s="1690" t="inlineStr">
        <is>
          <t>RESULTAT HORS ACTIVITES ORDINAIRES (somme TN à RP)</t>
        </is>
      </c>
      <c r="C47" s="1688" t="inlineStr">
        <is>
          <t>  </t>
        </is>
      </c>
      <c r="D47" s="1688" t="inlineStr">
        <is>
          <t>  </t>
        </is>
      </c>
      <c r="E47" s="1689">
        <f>E43+E44-E45-E46</f>
        <v/>
      </c>
      <c r="F47" s="1689">
        <f>F43+F44-F45-F46</f>
        <v/>
      </c>
    </row>
    <row r="48" ht="19" customFormat="1" customHeight="1" s="1549">
      <c r="A48" s="1612" t="inlineStr">
        <is>
          <t>RQ</t>
        </is>
      </c>
      <c r="B48" s="1675" t="inlineStr">
        <is>
          <t xml:space="preserve">Participation des travailleurs    </t>
        </is>
      </c>
      <c r="C48" s="1676" t="inlineStr">
        <is>
          <t xml:space="preserve"> - </t>
        </is>
      </c>
      <c r="D48" s="1677" t="n">
        <v>30</v>
      </c>
      <c r="E48" s="2770">
        <f>SUMIF(BALANCE!$A$2:$A$70,"87*",BALANCE!$F$2:$F$70)-SUMIF(BALANCE!$A$2:$A$70,"87*",BALANCE!$G$2:$G$70)</f>
        <v/>
      </c>
      <c r="F48" s="2769">
        <f>SUMIF(BALANCE_N1!$A$2:$A$70,"87*",BALANCE_N1!$F$2:$F$70)-SUMIF(BALANCE_N1!$A$2:$A$70,"87*",BALANCE_N1!$G$2:$G$70)</f>
        <v/>
      </c>
    </row>
    <row r="49" ht="19" customFormat="1" customHeight="1" s="1549">
      <c r="A49" s="1612" t="inlineStr">
        <is>
          <t>RS</t>
        </is>
      </c>
      <c r="B49" s="1675" t="inlineStr">
        <is>
          <t xml:space="preserve"> Impôts sur le résultat    </t>
        </is>
      </c>
      <c r="C49" s="1676" t="inlineStr">
        <is>
          <t xml:space="preserve"> - </t>
        </is>
      </c>
      <c r="D49" s="1677" t="inlineStr">
        <is>
          <t>  </t>
        </is>
      </c>
      <c r="E49" s="2770">
        <f>SUMIF(BALANCE!$A$2:$A$70,"89*",BALANCE!$F$2:$F$70)-SUMIF(BALANCE!$A$2:$A$70,"89*",BALANCE!$G$2:$G$70)</f>
        <v/>
      </c>
      <c r="F49" s="2769">
        <f>SUMIF(BALANCE_N1!$A$2:$A$70,"89*",BALANCE_N1!$F$2:$F$70)-SUMIF(BALANCE_N1!$A$2:$A$70,"89*",BALANCE_N1!$G$2:$G$70)</f>
        <v/>
      </c>
    </row>
    <row r="50" ht="19.5" customFormat="1" customHeight="1" s="1549">
      <c r="A50" s="1638" t="inlineStr">
        <is>
          <t>XI</t>
        </is>
      </c>
      <c r="B50" s="1691" t="inlineStr">
        <is>
          <t xml:space="preserve">RESULTAT NET (XG+XH+RQ+RS)   </t>
        </is>
      </c>
      <c r="C50" s="1692" t="inlineStr">
        <is>
          <t>  </t>
        </is>
      </c>
      <c r="D50" s="1692" t="inlineStr">
        <is>
          <t>  </t>
        </is>
      </c>
      <c r="E50" s="1693">
        <f>E42+E47-E48-E49</f>
        <v/>
      </c>
      <c r="F50" s="1693">
        <f>F42+F47-F48-F49</f>
        <v/>
      </c>
    </row>
    <row r="51" ht="19.5" customFormat="1" customHeight="1" s="1549">
      <c r="A51" s="1694" t="inlineStr">
        <is>
          <t> </t>
        </is>
      </c>
      <c r="C51" s="1574" t="n"/>
      <c r="D51" s="1574" t="n"/>
      <c r="E51" s="1628" t="n"/>
      <c r="F51" s="1628" t="n"/>
    </row>
    <row r="52" ht="19.5" customFormat="1" customHeight="1" s="1549">
      <c r="C52" s="1574" t="n"/>
      <c r="D52" s="1574" t="n"/>
      <c r="E52" s="1628" t="n"/>
    </row>
    <row r="53" ht="25" customFormat="1" customHeight="1" s="1549">
      <c r="C53" s="1574" t="n"/>
      <c r="D53" s="1574" t="n"/>
      <c r="F53" s="1628" t="n"/>
    </row>
    <row r="54" ht="25" customFormat="1" customHeight="1" s="1549">
      <c r="C54" s="1574" t="n"/>
      <c r="D54" s="1574" t="n"/>
    </row>
  </sheetData>
  <mergeCells count="8">
    <mergeCell ref="A5:F5"/>
    <mergeCell ref="D6:D8"/>
    <mergeCell ref="D4:E4"/>
    <mergeCell ref="E6:E7"/>
    <mergeCell ref="C6:C8"/>
    <mergeCell ref="A6:A8"/>
    <mergeCell ref="F6:F7"/>
    <mergeCell ref="B6:B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L5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5" activeCellId="0" sqref="C5"/>
    </sheetView>
  </sheetViews>
  <sheetFormatPr baseColWidth="8" defaultColWidth="10.90234375" defaultRowHeight="14.5" zeroHeight="0" outlineLevelRow="0"/>
  <cols>
    <col width="3.99" customWidth="1" style="1572" min="1" max="1"/>
    <col width="3.81" customWidth="1" style="1572" min="2" max="2"/>
    <col width="53.44" customWidth="1" style="1572" min="3" max="3"/>
    <col width="12.17" customWidth="1" style="1572" min="4" max="4"/>
    <col width="11.81" customWidth="1" style="1572" min="5" max="5"/>
    <col width="5.44" customWidth="1" style="1572" min="6" max="6"/>
    <col width="5.72" customWidth="1" style="1572" min="7" max="7"/>
    <col width="14.99" customWidth="1" style="1572" min="8" max="8"/>
    <col width="14.81" customWidth="1" style="1572" min="9" max="9"/>
    <col width="12.72" customWidth="1" style="1572" min="10" max="10"/>
    <col width="16.44" customWidth="1" style="1572" min="11" max="11"/>
    <col width="13.72" customWidth="1" style="1572" min="12" max="12"/>
  </cols>
  <sheetData>
    <row r="1"/>
    <row r="2" ht="14.5" customHeight="1" s="1354">
      <c r="B2" s="1590" t="n"/>
      <c r="C2" s="1549" t="n"/>
      <c r="D2" s="1549" t="n"/>
      <c r="E2" s="1549" t="n"/>
      <c r="F2" s="1549" t="n"/>
      <c r="G2" s="1549" t="n"/>
      <c r="H2" s="1549" t="n"/>
      <c r="I2" s="1577" t="n"/>
    </row>
    <row r="3" ht="18" customHeight="1" s="1354">
      <c r="B3" s="1573" t="n"/>
      <c r="C3" s="1549" t="n"/>
      <c r="D3" s="1549" t="n"/>
      <c r="E3" s="1549" t="n"/>
      <c r="F3" s="1549" t="n"/>
      <c r="G3" s="1549" t="n"/>
      <c r="H3" s="1549" t="n"/>
      <c r="I3" s="1577" t="n"/>
    </row>
    <row r="4" ht="18" customHeight="1" s="1354">
      <c r="B4" s="1573" t="n"/>
      <c r="C4" s="1549" t="n"/>
      <c r="D4" s="1549" t="n"/>
      <c r="E4" s="1549" t="n"/>
      <c r="F4" s="1549" t="n"/>
      <c r="G4" s="1549" t="n"/>
      <c r="H4" s="1549" t="n"/>
      <c r="I4" s="1577" t="n"/>
    </row>
    <row r="5" ht="14.5" customHeight="1" s="1354">
      <c r="B5" s="1575" t="inlineStr">
        <is>
          <t>Désignation entité : ENTREPRISE TEST SARL</t>
        </is>
      </c>
      <c r="C5" s="1580" t="n"/>
      <c r="D5" s="1549" t="n"/>
      <c r="E5" s="1549" t="n"/>
      <c r="F5" s="1549" t="n"/>
      <c r="G5" s="1591" t="inlineStr">
        <is>
          <t>Exercice clos le : 31/12/2025</t>
        </is>
      </c>
      <c r="H5" s="1591" t="n"/>
      <c r="I5" s="1578" t="n"/>
      <c r="J5" s="1549" t="n"/>
    </row>
    <row r="6" ht="14.5" customHeight="1" s="1354">
      <c r="B6" s="1579" t="inlineStr">
        <is>
          <t>Numéro d’identification : CD/KNG/RCCM/23-B-01234</t>
        </is>
      </c>
      <c r="C6" s="1580" t="n"/>
      <c r="D6" s="1549" t="n"/>
      <c r="E6" s="1549" t="n"/>
      <c r="F6" s="1549" t="n"/>
      <c r="G6" s="1670" t="inlineStr">
        <is>
          <t>Durée (en mois) : 12</t>
        </is>
      </c>
      <c r="I6" s="1582" t="n"/>
      <c r="J6" s="1549" t="n"/>
    </row>
    <row r="7" ht="14.5" customHeight="1" s="1354">
      <c r="B7" s="1695" t="inlineStr">
        <is>
          <t> </t>
        </is>
      </c>
      <c r="C7" s="1577" t="n"/>
      <c r="D7" s="1577" t="n"/>
      <c r="E7" s="1577" t="n"/>
      <c r="F7" s="1577" t="n"/>
      <c r="G7" s="1577" t="n"/>
      <c r="H7" s="1577" t="n"/>
      <c r="I7" s="1577" t="n"/>
    </row>
    <row r="8" ht="15" customHeight="1" s="1354">
      <c r="B8" s="1696" t="inlineStr">
        <is>
          <t>TABLEAU DES FLUX DE TRESORERIE AU 31 DECEMBRE N</t>
        </is>
      </c>
      <c r="C8" s="1594" t="n"/>
      <c r="D8" s="1594" t="n"/>
      <c r="E8" s="1594" t="n"/>
      <c r="F8" s="1594" t="n"/>
      <c r="G8" s="1594" t="n"/>
      <c r="H8" s="1594" t="n"/>
      <c r="I8" s="1594" t="n"/>
    </row>
    <row r="9" ht="15.75" customHeight="1" s="1354">
      <c r="B9" s="1697" t="inlineStr">
        <is>
          <t xml:space="preserve"> REF </t>
        </is>
      </c>
      <c r="C9" s="1698" t="inlineStr">
        <is>
          <t xml:space="preserve">LIBELLES </t>
        </is>
      </c>
      <c r="D9" s="1597" t="n"/>
      <c r="E9" s="1597" t="n"/>
      <c r="F9" s="1598" t="n"/>
      <c r="G9" s="1698" t="inlineStr">
        <is>
          <t xml:space="preserve">Note </t>
        </is>
      </c>
      <c r="H9" s="1699" t="inlineStr">
        <is>
          <t xml:space="preserve">EXERCICE </t>
        </is>
      </c>
      <c r="I9" s="1699" t="inlineStr">
        <is>
          <t xml:space="preserve">EXERCICE </t>
        </is>
      </c>
    </row>
    <row r="10" ht="16.5" customHeight="1" s="1354">
      <c r="B10" s="1605" t="n"/>
      <c r="C10" s="1601" t="n"/>
      <c r="D10" s="1602" t="n"/>
      <c r="E10" s="1602" t="n"/>
      <c r="F10" s="1603" t="n"/>
      <c r="G10" s="1605" t="n"/>
      <c r="H10" s="1700" t="inlineStr">
        <is>
          <t xml:space="preserve">N </t>
        </is>
      </c>
      <c r="I10" s="1700" t="inlineStr">
        <is>
          <t xml:space="preserve">N-1 </t>
        </is>
      </c>
    </row>
    <row r="11" ht="17.25" customHeight="1" s="1354">
      <c r="B11" s="1608" t="inlineStr">
        <is>
          <t>ZA</t>
        </is>
      </c>
      <c r="C11" s="1701" t="inlineStr">
        <is>
          <t xml:space="preserve">Trésorerie nette au 1er janvier </t>
        </is>
      </c>
      <c r="D11" s="1702" t="n"/>
      <c r="E11" s="1703" t="n"/>
      <c r="F11" s="1704" t="inlineStr">
        <is>
          <t>A</t>
        </is>
      </c>
      <c r="G11" s="1705" t="n"/>
      <c r="H11" s="2773">
        <f>(((SUMIF(BALANCE_N1!$A$2:$A$70,"50*",BALANCE_N1!$F$2:$F$70)-SUMIF(BALANCE_N1!$A$2:$A$70,"50*",BALANCE_N1!$G$2:$G$70))-(SUMIF(BALANCE_N1!$A$2:$A$70,"590*",BALANCE_N1!$G$2:$G$70)-SUMIF(BALANCE_N1!$A$2:$A$70,"590*",BALANCE_N1!$F$2:$F$70)))+((SUMIF(BALANCE_N1!$A$2:$A$70,"51*",BALANCE_N1!$F$2:$F$70)-SUMIF(BALANCE_N1!$A$2:$A$70,"51*",BALANCE_N1!$G$2:$G$70))-(SUMIF(BALANCE_N1!$A$2:$A$70,"591*",BALANCE_N1!$G$2:$G$70)-SUMIF(BALANCE_N1!$A$2:$A$70,"591*",BALANCE_N1!$F$2:$F$70)))+((SUMIF(BALANCE_N1!$A$2:$A$70,"55*",BALANCE_N1!$F$2:$F$70)+SUMIF(BALANCE_N1!$A$2:$A$70,"53*",BALANCE_N1!$F$2:$F$70)+SUMIF(BALANCE_N1!$A$2:$A$70,"54*",BALANCE_N1!$F$2:$F$70)+SUMIF(BALANCE_N1!$A$2:$A$70,"52*",BALANCE_N1!$F$2:$F$70)+SUMIF(BALANCE_N1!$A$2:$A$70,"57*",BALANCE_N1!$F$2:$F$70)+SUMIF(BALANCE_N1!$A$2:$A$70,"581*",BALANCE_N1!$F$2:$F$70)+SUMIF(BALANCE_N1!$A$2:$A$70,"582*",BALANCE_N1!$F$2:$F$70))-(SUMIF(BALANCE_N1!$A$2:$A$70,"592*",BALANCE_N1!$G$2:$G$70)-SUMIF(BALANCE_N1!$A$2:$A$70,"592*",BALANCE_N1!$F$2:$F$70)+SUMIF(BALANCE_N1!$A$2:$A$70,"594*",BALANCE_N1!$G$2:$G$70)-SUMIF(BALANCE_N1!$A$2:$A$70,"594*",BALANCE_N1!$F$2:$F$70)+SUMIF(BALANCE_N1!$A$2:$A$70,"593*",BALANCE_N1!$G$2:$G$70)-SUMIF(BALANCE_N1!$A$2:$A$70,"593*",BALANCE_N1!$F$2:$F$70))))-SUMIF(BALANCE_N1!$A$2:$A$70,"4726*",BALANCE_N1!$G$2:$G$70)-((SUMIF(BALANCE_N1!$A$2:$A$70,"564*",BALANCE_N1!$G$2:$G$70)-SUMIF(BALANCE_N1!$A$2:$A$70,"564*",BALANCE_N1!$F$2:$F$70)+SUMIF(BALANCE_N1!$A$2:$A$70,"565*",BALANCE_N1!$G$2:$G$70)-SUMIF(BALANCE_N1!$A$2:$A$70,"565*",BALANCE_N1!$F$2:$F$70))+(SUMIF(BALANCE_N1!$A$2:$A$70,"53*",BALANCE_N1!$G$2:$G$70)+SUMIF(BALANCE_N1!$A$2:$A$70,"52*",BALANCE_N1!$G$2:$G$70)+SUMIF(BALANCE_N1!$A$2:$A$70,"566*",BALANCE_N1!$G$2:$G$70)+SUMIF(BALANCE_N1!$A$2:$A$70,"561*",BALANCE_N1!$G$2:$G$70)))</f>
        <v/>
      </c>
      <c r="I11" s="1706" t="n"/>
    </row>
    <row r="12" ht="17.25" customHeight="1" s="1354">
      <c r="B12" s="1605" t="n"/>
      <c r="C12" s="1707" t="inlineStr">
        <is>
          <t xml:space="preserve"> (Trésorerie actif N-1 - Trésorerie passif N-1) </t>
        </is>
      </c>
      <c r="D12" s="1602" t="n"/>
      <c r="E12" s="1603" t="n"/>
      <c r="F12" s="1605" t="n"/>
      <c r="G12" s="1605" t="n"/>
      <c r="H12" s="1605" t="n"/>
      <c r="I12" s="1605" t="n"/>
    </row>
    <row r="13" ht="22" customHeight="1" s="1354">
      <c r="B13" s="1612" t="n"/>
      <c r="C13" s="1708" t="inlineStr">
        <is>
          <t xml:space="preserve">Flux de trésorerie provenant des activités opérationnelles </t>
        </is>
      </c>
      <c r="D13" s="1709" t="n"/>
      <c r="E13" s="1710" t="n"/>
      <c r="F13" s="1711" t="inlineStr">
        <is>
          <t>  </t>
        </is>
      </c>
      <c r="G13" s="1712" t="inlineStr">
        <is>
          <t>  </t>
        </is>
      </c>
      <c r="H13" s="1713" t="n"/>
      <c r="I13" s="1714" t="n"/>
    </row>
    <row r="14" ht="22" customHeight="1" s="1354">
      <c r="B14" s="1612" t="inlineStr">
        <is>
          <t>FA</t>
        </is>
      </c>
      <c r="C14" s="1715" t="inlineStr">
        <is>
          <t xml:space="preserve">  Capacité d'Autofinancement Globale (CAFG) </t>
        </is>
      </c>
      <c r="D14" s="1709" t="n"/>
      <c r="E14" s="1710" t="n"/>
      <c r="F14" s="1716" t="inlineStr">
        <is>
          <t>  </t>
        </is>
      </c>
      <c r="G14" s="1716" t="inlineStr">
        <is>
          <t>  </t>
        </is>
      </c>
      <c r="H14" s="2774">
        <f>'Compte de Résultat'!E32+SUMIF(BALANCE!$A$2:$A$70,"654*",BALANCE!$F$2:$F$70)-SUMIF(BALANCE!$A$2:$A$70,"754*",BALANCE!$G$2:$G$70)+'Compte de Résultat'!E41+('Compte de Résultat'!E44-SUMIF(BALANCE!$A$2:$A$70,"86*",BALANCE!$G$2:$G$70))-('Compte de Résultat'!E46-SUMIF(BALANCE!$A$2:$A$70,"85*",BALANCE!$F$2:$F$70))-'Compte de Résultat'!E48-'Compte de Résultat'!E49</f>
        <v/>
      </c>
      <c r="I14" s="2774">
        <f>'Compte de Résultat'!F32+SUMIF(BALANCE_N1!$A$2:$A$70,"654*",BALANCE_N1!$F$2:$F$70)-SUMIF(BALANCE_N1!$A$2:$A$70,"754*",BALANCE_N1!$G$2:$G$70)+'Compte de Résultat'!F41+('Compte de Résultat'!F44-SUMIF(BALANCE_N1!$A$2:$A$70,"86*",BALANCE_N1!$G$2:$G$70))-('Compte de Résultat'!F46-SUMIF(BALANCE_N1!$A$2:$A$70,"85*",BALANCE_N1!$F$2:$F$70))-'Compte de Résultat'!F48-'Compte de Résultat'!F49</f>
        <v/>
      </c>
    </row>
    <row r="15" ht="22" customHeight="1" s="1354">
      <c r="B15" s="1612" t="inlineStr">
        <is>
          <t>FB</t>
        </is>
      </c>
      <c r="C15" s="1718" t="inlineStr">
        <is>
          <t xml:space="preserve">- Variation Actif circulant HAO (1) </t>
        </is>
      </c>
      <c r="D15" s="1709" t="n"/>
      <c r="E15" s="1710" t="n"/>
      <c r="F15" s="1675" t="inlineStr">
        <is>
          <t> </t>
        </is>
      </c>
      <c r="G15" s="1675" t="inlineStr">
        <is>
          <t> </t>
        </is>
      </c>
      <c r="H15" s="2775">
        <f>-(((SUMIF(BALANCE!$A$2:$A$70,"485*",BALANCE!$F$2:$F$70)-SUMIF(BALANCE!$A$2:$A$70,"485*",BALANCE!$G$2:$G$70)+SUMIF(BALANCE!$A$2:$A$70,"488*",BALANCE!$F$2:$F$70)-SUMIF(BALANCE!$A$2:$A$70,"488*",BALANCE!$G$2:$G$70))-(SUMIF(BALANCE!$A$2:$A$70,"498*",BALANCE!$G$2:$G$70)-SUMIF(BALANCE!$A$2:$A$70,"498*",BALANCE!$F$2:$F$70)))-((SUMIF(BALANCE_N1!$A$2:$A$70,"485*",BALANCE_N1!$F$2:$F$70)-SUMIF(BALANCE_N1!$A$2:$A$70,"485*",BALANCE_N1!$G$2:$G$70)+SUMIF(BALANCE_N1!$A$2:$A$70,"488*",BALANCE_N1!$F$2:$F$70)-SUMIF(BALANCE_N1!$A$2:$A$70,"488*",BALANCE_N1!$G$2:$G$70))-(SUMIF(BALANCE_N1!$A$2:$A$70,"498*",BALANCE_N1!$G$2:$G$70)-SUMIF(BALANCE_N1!$A$2:$A$70,"498*",BALANCE_N1!$F$2:$F$70)))-(SUMIF(BALANCE!$A$2:$A$70,"485*",BALANCE!$F$2:$F$70)-SUMIF(BALANCE_N1!$A$2:$A$70,"485*",BALANCE_N1!$F$2:$F$70))+(SUMIF(BALANCE!$A$2:$A$70,"47818*",BALANCE!$F$2:$F$70)-SUMIF(BALANCE_N1!$A$2:$A$70,"47818*",BALANCE_N1!$F$2:$F$70))-(SUMIF(BALANCE!$A$2:$A$70,"47918*",BALANCE!$G$2:$G$70)-SUMIF(BALANCE_N1!$A$2:$A$70,"47918*",BALANCE_N1!$G$2:$G$70)))</f>
        <v/>
      </c>
      <c r="I15" s="1719" t="n"/>
      <c r="K15" s="1664" t="n"/>
    </row>
    <row r="16" ht="22" customHeight="1" s="1354">
      <c r="B16" s="1612" t="inlineStr">
        <is>
          <t>FC</t>
        </is>
      </c>
      <c r="C16" s="1715" t="inlineStr">
        <is>
          <t xml:space="preserve">- Variation des stocks </t>
        </is>
      </c>
      <c r="D16" s="1709" t="n"/>
      <c r="E16" s="1710" t="n"/>
      <c r="F16" s="1675" t="inlineStr">
        <is>
          <t>  </t>
        </is>
      </c>
      <c r="G16" s="1675" t="inlineStr">
        <is>
          <t>  </t>
        </is>
      </c>
      <c r="H16" s="2775">
        <f>-(((SUMIF(BALANCE!$A$2:$A$70,"37*",BALANCE!$F$2:$F$70)-SUMIF(BALANCE!$A$2:$A$70,"37*",BALANCE!$G$2:$G$70)+SUMIF(BALANCE!$A$2:$A$70,"35*",BALANCE!$F$2:$F$70)-SUMIF(BALANCE!$A$2:$A$70,"35*",BALANCE!$G$2:$G$70)+SUMIF(BALANCE!$A$2:$A$70,"38*",BALANCE!$F$2:$F$70)-SUMIF(BALANCE!$A$2:$A$70,"38*",BALANCE!$G$2:$G$70)+SUMIF(BALANCE!$A$2:$A$70,"31*",BALANCE!$F$2:$F$70)-SUMIF(BALANCE!$A$2:$A$70,"31*",BALANCE!$G$2:$G$70)+SUMIF(BALANCE!$A$2:$A$70,"36*",BALANCE!$F$2:$F$70)-SUMIF(BALANCE!$A$2:$A$70,"36*",BALANCE!$G$2:$G$70)+SUMIF(BALANCE!$A$2:$A$70,"34*",BALANCE!$F$2:$F$70)-SUMIF(BALANCE!$A$2:$A$70,"34*",BALANCE!$G$2:$G$70)+SUMIF(BALANCE!$A$2:$A$70,"33*",BALANCE!$F$2:$F$70)-SUMIF(BALANCE!$A$2:$A$70,"33*",BALANCE!$G$2:$G$70)+SUMIF(BALANCE!$A$2:$A$70,"32*",BALANCE!$F$2:$F$70)-SUMIF(BALANCE!$A$2:$A$70,"32*",BALANCE!$G$2:$G$70))-(SUMIF(BALANCE!$A$2:$A$70,"39*",BALANCE!$G$2:$G$70)-SUMIF(BALANCE!$A$2:$A$70,"39*",BALANCE!$F$2:$F$70)))-((SUMIF(BALANCE_N1!$A$2:$A$70,"37*",BALANCE_N1!$F$2:$F$70)-SUMIF(BALANCE_N1!$A$2:$A$70,"37*",BALANCE_N1!$G$2:$G$70)+SUMIF(BALANCE_N1!$A$2:$A$70,"35*",BALANCE_N1!$F$2:$F$70)-SUMIF(BALANCE_N1!$A$2:$A$70,"35*",BALANCE_N1!$G$2:$G$70)+SUMIF(BALANCE_N1!$A$2:$A$70,"38*",BALANCE_N1!$F$2:$F$70)-SUMIF(BALANCE_N1!$A$2:$A$70,"38*",BALANCE_N1!$G$2:$G$70)+SUMIF(BALANCE_N1!$A$2:$A$70,"31*",BALANCE_N1!$F$2:$F$70)-SUMIF(BALANCE_N1!$A$2:$A$70,"31*",BALANCE_N1!$G$2:$G$70)+SUMIF(BALANCE_N1!$A$2:$A$70,"36*",BALANCE_N1!$F$2:$F$70)-SUMIF(BALANCE_N1!$A$2:$A$70,"36*",BALANCE_N1!$G$2:$G$70)+SUMIF(BALANCE_N1!$A$2:$A$70,"34*",BALANCE_N1!$F$2:$F$70)-SUMIF(BALANCE_N1!$A$2:$A$70,"34*",BALANCE_N1!$G$2:$G$70)+SUMIF(BALANCE_N1!$A$2:$A$70,"33*",BALANCE_N1!$F$2:$F$70)-SUMIF(BALANCE_N1!$A$2:$A$70,"33*",BALANCE_N1!$G$2:$G$70)+SUMIF(BALANCE_N1!$A$2:$A$70,"32*",BALANCE_N1!$F$2:$F$70)-SUMIF(BALANCE_N1!$A$2:$A$70,"32*",BALANCE_N1!$G$2:$G$70))-(SUMIF(BALANCE_N1!$A$2:$A$70,"39*",BALANCE_N1!$G$2:$G$70)-SUMIF(BALANCE_N1!$A$2:$A$70,"39*",BALANCE_N1!$F$2:$F$70))))</f>
        <v/>
      </c>
      <c r="I16" s="1719" t="n"/>
      <c r="K16" s="1664" t="n"/>
    </row>
    <row r="17" ht="22" customHeight="1" s="1354">
      <c r="B17" s="1612" t="inlineStr">
        <is>
          <t>FD</t>
        </is>
      </c>
      <c r="C17" s="1715" t="inlineStr">
        <is>
          <t xml:space="preserve">-  Variation des créances   </t>
        </is>
      </c>
      <c r="D17" s="1709" t="n"/>
      <c r="E17" s="1710" t="n"/>
      <c r="F17" s="1675" t="inlineStr">
        <is>
          <t>  </t>
        </is>
      </c>
      <c r="G17" s="1675" t="inlineStr">
        <is>
          <t>  </t>
        </is>
      </c>
      <c r="H17" s="2775">
        <f>-(((SUMIF(BALANCE!$A$2:$A$70,"409*",BALANCE!$F$2:$F$70)-SUMIF(BALANCE!$A$2:$A$70,"409*",BALANCE!$G$2:$G$70))-(SUMIF(BALANCE!$A$2:$A$70,"490*",BALANCE!$G$2:$G$70)-SUMIF(BALANCE!$A$2:$A$70,"490*",BALANCE!$F$2:$F$70)))-((SUMIF(BALANCE_N1!$A$2:$A$70,"409*",BALANCE_N1!$F$2:$F$70)-SUMIF(BALANCE_N1!$A$2:$A$70,"409*",BALANCE_N1!$G$2:$G$70))-(SUMIF(BALANCE_N1!$A$2:$A$70,"490*",BALANCE_N1!$G$2:$G$70)-SUMIF(BALANCE_N1!$A$2:$A$70,"490*",BALANCE_N1!$F$2:$F$70)))+((SUMIF(BALANCE!$A$2:$A$70,"41*",BALANCE!$F$2:$F$70)-SUMIF(BALANCE!$A$2:$A$70,"41*",BALANCE!$G$2:$G$70)-SUMIF(BALANCE!$A$2:$A$70,"419*",BALANCE!$F$2:$F$70)+SUMIF(BALANCE!$A$2:$A$70,"419*",BALANCE!$G$2:$G$70))-(SUMIF(BALANCE!$A$2:$A$70,"491*",BALANCE!$G$2:$G$70)-SUMIF(BALANCE!$A$2:$A$70,"491*",BALANCE!$F$2:$F$70)))-((SUMIF(BALANCE_N1!$A$2:$A$70,"41*",BALANCE_N1!$F$2:$F$70)-SUMIF(BALANCE_N1!$A$2:$A$70,"41*",BALANCE_N1!$G$2:$G$70)-SUMIF(BALANCE_N1!$A$2:$A$70,"419*",BALANCE_N1!$F$2:$F$70)+SUMIF(BALANCE_N1!$A$2:$A$70,"419*",BALANCE_N1!$G$2:$G$70))-(SUMIF(BALANCE_N1!$A$2:$A$70,"491*",BALANCE_N1!$G$2:$G$70)-SUMIF(BALANCE_N1!$A$2:$A$70,"491*",BALANCE_N1!$F$2:$F$70)))+((SUMIF(BALANCE!$A$2:$A$70,"42*",BALANCE!$F$2:$F$70)+SUMIF(BALANCE!$A$2:$A$70,"47*",BALANCE!$F$2:$F$70)+SUMIF(BALANCE!$A$2:$A$70,"43*",BALANCE!$F$2:$F$70)+SUMIF(BALANCE!$A$2:$A$70,"44*",BALANCE!$F$2:$F$70)+SUMIF(BALANCE!$A$2:$A$70,"46*",BALANCE!$F$2:$F$70)+SUMIF(BALANCE!$A$2:$A$70,"45*",BALANCE!$F$2:$F$70)+SUMIF(BALANCE!$A$2:$A$70,"185*",BALANCE!$F$2:$F$70)-SUMIF(BALANCE!$A$2:$A$70,"478*",BALANCE!$F$2:$F$70))-(SUMIF(BALANCE!$A$2:$A$70,"497*",BALANCE!$G$2:$G$70)-SUMIF(BALANCE!$A$2:$A$70,"497*",BALANCE!$F$2:$F$70)+SUMIF(BALANCE!$A$2:$A$70,"495*",BALANCE!$G$2:$G$70)-SUMIF(BALANCE!$A$2:$A$70,"495*",BALANCE!$F$2:$F$70)+SUMIF(BALANCE!$A$2:$A$70,"493*",BALANCE!$G$2:$G$70)-SUMIF(BALANCE!$A$2:$A$70,"493*",BALANCE!$F$2:$F$70)+SUMIF(BALANCE!$A$2:$A$70,"492*",BALANCE!$G$2:$G$70)-SUMIF(BALANCE!$A$2:$A$70,"492*",BALANCE!$F$2:$F$70)+SUMIF(BALANCE!$A$2:$A$70,"496*",BALANCE!$G$2:$G$70)-SUMIF(BALANCE!$A$2:$A$70,"496*",BALANCE!$F$2:$F$70)+SUMIF(BALANCE!$A$2:$A$70,"494*",BALANCE!$G$2:$G$70)-SUMIF(BALANCE!$A$2:$A$70,"494*",BALANCE!$F$2:$F$70)))-((SUMIF(BALANCE_N1!$A$2:$A$70,"42*",BALANCE_N1!$F$2:$F$70)+SUMIF(BALANCE_N1!$A$2:$A$70,"47*",BALANCE_N1!$F$2:$F$70)+SUMIF(BALANCE_N1!$A$2:$A$70,"43*",BALANCE_N1!$F$2:$F$70)+SUMIF(BALANCE_N1!$A$2:$A$70,"44*",BALANCE_N1!$F$2:$F$70)+SUMIF(BALANCE_N1!$A$2:$A$70,"46*",BALANCE_N1!$F$2:$F$70)+SUMIF(BALANCE_N1!$A$2:$A$70,"45*",BALANCE_N1!$F$2:$F$70)+SUMIF(BALANCE_N1!$A$2:$A$70,"185*",BALANCE_N1!$F$2:$F$70)-SUMIF(BALANCE_N1!$A$2:$A$70,"478*",BALANCE_N1!$F$2:$F$70))-(SUMIF(BALANCE_N1!$A$2:$A$70,"497*",BALANCE_N1!$G$2:$G$70)-SUMIF(BALANCE_N1!$A$2:$A$70,"497*",BALANCE_N1!$F$2:$F$70)+SUMIF(BALANCE_N1!$A$2:$A$70,"495*",BALANCE_N1!$G$2:$G$70)-SUMIF(BALANCE_N1!$A$2:$A$70,"495*",BALANCE_N1!$F$2:$F$70)+SUMIF(BALANCE_N1!$A$2:$A$70,"493*",BALANCE_N1!$G$2:$G$70)-SUMIF(BALANCE_N1!$A$2:$A$70,"493*",BALANCE_N1!$F$2:$F$70)+SUMIF(BALANCE_N1!$A$2:$A$70,"492*",BALANCE_N1!$G$2:$G$70)-SUMIF(BALANCE_N1!$A$2:$A$70,"492*",BALANCE_N1!$F$2:$F$70)+SUMIF(BALANCE_N1!$A$2:$A$70,"496*",BALANCE_N1!$G$2:$G$70)-SUMIF(BALANCE_N1!$A$2:$A$70,"496*",BALANCE_N1!$F$2:$F$70)+SUMIF(BALANCE_N1!$A$2:$A$70,"494*",BALANCE_N1!$G$2:$G$70)-SUMIF(BALANCE_N1!$A$2:$A$70,"494*",BALANCE_N1!$F$2:$F$70)))-(SUMIF(BALANCE!$A$2:$A$70,"467*",BALANCE!$F$2:$F$70)+SUMIF(BALANCE!$A$2:$A$70,"461*",BALANCE!$F$2:$F$70)+SUMIF(BALANCE!$A$2:$A$70,"458*",BALANCE!$F$2:$F$70)+SUMIF(BALANCE!$A$2:$A$70,"414*",BALANCE!$F$2:$F$70)+SUMIF(BALANCE!$A$2:$A$70,"4494*",BALANCE!$F$2:$F$70)+SUMIF(BALANCE!$A$2:$A$70,"4752*",BALANCE!$F$2:$F$70)-SUMIF(BALANCE_N1!$A$2:$A$70,"467*",BALANCE_N1!$F$2:$F$70)+SUMIF(BALANCE_N1!$A$2:$A$70,"461*",BALANCE_N1!$F$2:$F$70)+SUMIF(BALANCE_N1!$A$2:$A$70,"458*",BALANCE_N1!$F$2:$F$70)+SUMIF(BALANCE_N1!$A$2:$A$70,"414*",BALANCE_N1!$F$2:$F$70)+SUMIF(BALANCE_N1!$A$2:$A$70,"4494*",BALANCE_N1!$F$2:$F$70)+SUMIF(BALANCE_N1!$A$2:$A$70,"4752*",BALANCE_N1!$F$2:$F$70))+(SUMIF(BALANCE!$A$2:$A$70,"47811*",BALANCE!$F$2:$F$70)-SUMIF(BALANCE_N1!$A$2:$A$70,"47811*",BALANCE_N1!$F$2:$F$70))-(SUMIF(BALANCE!$A$2:$A$70,"47911*",BALANCE!$G$2:$G$70)-SUMIF(BALANCE_N1!$A$2:$A$70,"47911*",BALANCE_N1!$G$2:$G$70)))</f>
        <v/>
      </c>
      <c r="I17" s="1719" t="n"/>
      <c r="K17" s="1664" t="n"/>
    </row>
    <row r="18" ht="22" customHeight="1" s="1354">
      <c r="B18" s="1612" t="inlineStr">
        <is>
          <t>FE</t>
        </is>
      </c>
      <c r="C18" s="1715" t="inlineStr">
        <is>
          <t xml:space="preserve">+ Variation du passif circulant (1) </t>
        </is>
      </c>
      <c r="D18" s="1709" t="n"/>
      <c r="E18" s="1710" t="n"/>
      <c r="F18" s="1675" t="inlineStr">
        <is>
          <t>  </t>
        </is>
      </c>
      <c r="G18" s="1675" t="inlineStr">
        <is>
          <t>  </t>
        </is>
      </c>
      <c r="H18" s="2775">
        <f>((SUMIF(BALANCE!$A$2:$A$70,"482*",BALANCE!$G$2:$G$70)-SUMIF(BALANCE!$A$2:$A$70,"482*",BALANCE!$F$2:$F$70)+SUMIF(BALANCE!$A$2:$A$70,"484*",BALANCE!$G$2:$G$70)-SUMIF(BALANCE!$A$2:$A$70,"484*",BALANCE!$F$2:$F$70)+SUMIF(BALANCE!$A$2:$A$70,"481*",BALANCE!$G$2:$G$70)-SUMIF(BALANCE!$A$2:$A$70,"481*",BALANCE!$F$2:$F$70)+SUMIF(BALANCE!$A$2:$A$70,"4998*",BALANCE!$G$2:$G$70)-SUMIF(BALANCE!$A$2:$A$70,"4998*",BALANCE!$F$2:$F$70))+(SUMIF(BALANCE!$A$2:$A$70,"419*",BALANCE!$G$2:$G$70)-SUMIF(BALANCE!$A$2:$A$70,"419*",BALANCE!$F$2:$F$70))+(SUMIF(BALANCE!$A$2:$A$70,"40*",BALANCE!$G$2:$G$70)-SUMIF(BALANCE!$A$2:$A$70,"40*",BALANCE!$F$2:$F$70)-SUMIF(BALANCE!$A$2:$A$70,"409*",BALANCE!$G$2:$G$70)+SUMIF(BALANCE!$A$2:$A$70,"409*",BALANCE!$F$2:$F$70))+(SUMIF(BALANCE!$A$2:$A$70,"43*",BALANCE!$G$2:$G$70)+SUMIF(BALANCE!$A$2:$A$70,"42*",BALANCE!$G$2:$G$70)+SUMIF(BALANCE!$A$2:$A$70,"44*",BALANCE!$G$2:$G$70))+(SUMIF(BALANCE!$A$2:$A$70,"46*",BALANCE!$G$2:$G$70)+SUMIF(BALANCE!$A$2:$A$70,"47*",BALANCE!$G$2:$G$70)+SUMIF(BALANCE!$A$2:$A$70,"45*",BALANCE!$G$2:$G$70)+SUMIF(BALANCE!$A$2:$A$70,"185*",BALANCE!$G$2:$G$70)-SUMIF(BALANCE!$A$2:$A$70,"479*",BALANCE!$G$2:$G$70))+(SUMIF(BALANCE!$A$2:$A$70,"499*",BALANCE!$G$2:$G$70)-SUMIF(BALANCE!$A$2:$A$70,"499*",BALANCE!$F$2:$F$70)+SUMIF(BALANCE!$A$2:$A$70,"599*",BALANCE!$G$2:$G$70)-SUMIF(BALANCE!$A$2:$A$70,"599*",BALANCE!$F$2:$F$70)-SUMIF(BALANCE!$A$2:$A$70,"4998*",BALANCE!$G$2:$G$70)+SUMIF(BALANCE!$A$2:$A$70,"4998*",BALANCE!$F$2:$F$70)))-((SUMIF(BALANCE_N1!$A$2:$A$70,"482*",BALANCE_N1!$G$2:$G$70)-SUMIF(BALANCE_N1!$A$2:$A$70,"482*",BALANCE_N1!$F$2:$F$70)+SUMIF(BALANCE_N1!$A$2:$A$70,"484*",BALANCE_N1!$G$2:$G$70)-SUMIF(BALANCE_N1!$A$2:$A$70,"484*",BALANCE_N1!$F$2:$F$70)+SUMIF(BALANCE_N1!$A$2:$A$70,"481*",BALANCE_N1!$G$2:$G$70)-SUMIF(BALANCE_N1!$A$2:$A$70,"481*",BALANCE_N1!$F$2:$F$70)+SUMIF(BALANCE_N1!$A$2:$A$70,"4998*",BALANCE_N1!$G$2:$G$70)-SUMIF(BALANCE_N1!$A$2:$A$70,"4998*",BALANCE_N1!$F$2:$F$70))+(SUMIF(BALANCE_N1!$A$2:$A$70,"419*",BALANCE_N1!$G$2:$G$70)-SUMIF(BALANCE_N1!$A$2:$A$70,"419*",BALANCE_N1!$F$2:$F$70))+(SUMIF(BALANCE_N1!$A$2:$A$70,"40*",BALANCE_N1!$G$2:$G$70)-SUMIF(BALANCE_N1!$A$2:$A$70,"40*",BALANCE_N1!$F$2:$F$70)-SUMIF(BALANCE_N1!$A$2:$A$70,"409*",BALANCE_N1!$G$2:$G$70)+SUMIF(BALANCE_N1!$A$2:$A$70,"409*",BALANCE_N1!$F$2:$F$70))+(SUMIF(BALANCE_N1!$A$2:$A$70,"43*",BALANCE_N1!$G$2:$G$70)+SUMIF(BALANCE_N1!$A$2:$A$70,"42*",BALANCE_N1!$G$2:$G$70)+SUMIF(BALANCE_N1!$A$2:$A$70,"44*",BALANCE_N1!$G$2:$G$70))+(SUMIF(BALANCE_N1!$A$2:$A$70,"46*",BALANCE_N1!$G$2:$G$70)+SUMIF(BALANCE_N1!$A$2:$A$70,"47*",BALANCE_N1!$G$2:$G$70)+SUMIF(BALANCE_N1!$A$2:$A$70,"45*",BALANCE_N1!$G$2:$G$70)+SUMIF(BALANCE_N1!$A$2:$A$70,"185*",BALANCE_N1!$G$2:$G$70)-SUMIF(BALANCE_N1!$A$2:$A$70,"479*",BALANCE_N1!$G$2:$G$70))+(SUMIF(BALANCE_N1!$A$2:$A$70,"499*",BALANCE_N1!$G$2:$G$70)-SUMIF(BALANCE_N1!$A$2:$A$70,"499*",BALANCE_N1!$F$2:$F$70)+SUMIF(BALANCE_N1!$A$2:$A$70,"599*",BALANCE_N1!$G$2:$G$70)-SUMIF(BALANCE_N1!$A$2:$A$70,"599*",BALANCE_N1!$F$2:$F$70)-SUMIF(BALANCE_N1!$A$2:$A$70,"4998*",BALANCE_N1!$G$2:$G$70)+SUMIF(BALANCE_N1!$A$2:$A$70,"4998*",BALANCE_N1!$F$2:$F$70)))-(SUMIF(BALANCE!$A$2:$A$70,"404*",BALANCE!$G$2:$G$70)+SUMIF(BALANCE!$A$2:$A$70,"461*",BALANCE!$G$2:$G$70)+SUMIF(BALANCE!$A$2:$A$70,"465*",BALANCE!$G$2:$G$70)+SUMIF(BALANCE!$A$2:$A$70,"481*",BALANCE!$G$2:$G$70)+SUMIF(BALANCE!$A$2:$A$70,"482*",BALANCE!$G$2:$G$70)+SUMIF(BALANCE!$A$2:$A$70,"4726*",BALANCE!$G$2:$G$70)-SUMIF(BALANCE_N1!$A$2:$A$70,"404*",BALANCE_N1!$G$2:$G$70)+SUMIF(BALANCE_N1!$A$2:$A$70,"461*",BALANCE_N1!$G$2:$G$70)+SUMIF(BALANCE_N1!$A$2:$A$70,"465*",BALANCE_N1!$G$2:$G$70)+SUMIF(BALANCE_N1!$A$2:$A$70,"481*",BALANCE_N1!$G$2:$G$70)+SUMIF(BALANCE_N1!$A$2:$A$70,"482*",BALANCE_N1!$G$2:$G$70)+SUMIF(BALANCE_N1!$A$2:$A$70,"4726*",BALANCE_N1!$G$2:$G$70))+(SUMIF(BALANCE!$A$2:$A$70,"4793*",BALANCE!$G$2:$G$70)-SUMIF(BALANCE_N1!$A$2:$A$70,"4793*",BALANCE_N1!$G$2:$G$70))-(SUMIF(BALANCE!$A$2:$A$70,"4783*",BALANCE!$F$2:$F$70)-SUMIF(BALANCE_N1!$A$2:$A$70,"4783*",BALANCE_N1!$F$2:$F$70))</f>
        <v/>
      </c>
      <c r="I18" s="1719" t="n"/>
      <c r="K18" s="1664" t="n"/>
    </row>
    <row r="19" ht="22" customHeight="1" s="1354">
      <c r="B19" s="1612" t="n"/>
      <c r="C19" s="1720" t="inlineStr">
        <is>
          <t>Variation du BF lié aux activités opérationnelles  (FB+FC+FD+FE) :</t>
        </is>
      </c>
      <c r="D19" s="1721">
        <f>SUM(H15:H18)</f>
        <v/>
      </c>
      <c r="E19" s="1722">
        <f>SUM(I15:I18)</f>
        <v/>
      </c>
      <c r="F19" s="1612" t="n"/>
      <c r="G19" s="1675" t="inlineStr">
        <is>
          <t>  </t>
        </is>
      </c>
      <c r="H19" s="1723" t="n"/>
      <c r="I19" s="1724" t="n"/>
      <c r="K19" s="1664" t="n"/>
    </row>
    <row r="20" ht="22" customHeight="1" s="1354">
      <c r="B20" s="1608" t="inlineStr">
        <is>
          <t>ZB</t>
        </is>
      </c>
      <c r="C20" s="1725" t="inlineStr">
        <is>
          <t xml:space="preserve">Flux de trésorerie provenant des activités opérationnelles (somme FA à FE) </t>
        </is>
      </c>
      <c r="D20" s="1709" t="n"/>
      <c r="E20" s="1710" t="n"/>
      <c r="F20" s="1726" t="inlineStr">
        <is>
          <t>B</t>
        </is>
      </c>
      <c r="G20" s="1727" t="inlineStr">
        <is>
          <t>  </t>
        </is>
      </c>
      <c r="H20" s="1728">
        <f>H14+H15+H16+H17+H18</f>
        <v/>
      </c>
      <c r="I20" s="1728" t="n"/>
    </row>
    <row r="21" ht="22" customHeight="1" s="1354">
      <c r="B21" s="1612" t="n"/>
      <c r="C21" s="1708" t="inlineStr">
        <is>
          <t xml:space="preserve">Flux de trésorerie provenant des activités d’investissements </t>
        </is>
      </c>
      <c r="D21" s="1709" t="n"/>
      <c r="E21" s="1710" t="n"/>
      <c r="F21" s="1711" t="n"/>
      <c r="G21" s="1712" t="inlineStr">
        <is>
          <t>  </t>
        </is>
      </c>
      <c r="H21" s="1713" t="n"/>
      <c r="I21" s="1713" t="n"/>
      <c r="K21" s="1664" t="n"/>
    </row>
    <row r="22" ht="22" customHeight="1" s="1354">
      <c r="B22" s="1612" t="inlineStr">
        <is>
          <t>FF</t>
        </is>
      </c>
      <c r="C22" s="1715" t="inlineStr">
        <is>
          <t xml:space="preserve">- Décaissements liés aux acquisitions d'immobilisations incorporelles </t>
        </is>
      </c>
      <c r="D22" s="1709" t="n"/>
      <c r="E22" s="1710" t="n"/>
      <c r="F22" s="1612" t="n"/>
      <c r="G22" s="1675" t="inlineStr">
        <is>
          <t>  </t>
        </is>
      </c>
      <c r="H22" s="1729" t="n"/>
      <c r="I22" s="1729" t="n"/>
    </row>
    <row r="23" ht="22" customHeight="1" s="1354">
      <c r="B23" s="1612" t="inlineStr">
        <is>
          <t>FG</t>
        </is>
      </c>
      <c r="C23" s="1715" t="inlineStr">
        <is>
          <t xml:space="preserve">- Décaissements liés aux acquisitions d'immobilisations corporelles </t>
        </is>
      </c>
      <c r="D23" s="1709" t="n"/>
      <c r="E23" s="1710" t="n"/>
      <c r="F23" s="1612" t="n"/>
      <c r="G23" s="1675" t="inlineStr">
        <is>
          <t>  </t>
        </is>
      </c>
      <c r="H23" s="1729" t="n">
        <v>0</v>
      </c>
      <c r="I23" s="1729" t="n"/>
    </row>
    <row r="24" ht="22" customHeight="1" s="1354">
      <c r="B24" s="1612" t="inlineStr">
        <is>
          <t>FH</t>
        </is>
      </c>
      <c r="C24" s="1715" t="inlineStr">
        <is>
          <t xml:space="preserve">- Décaissements liés aux acquisitions d'immobilisations financières </t>
        </is>
      </c>
      <c r="D24" s="1709" t="n"/>
      <c r="E24" s="1710" t="n"/>
      <c r="F24" s="1612" t="n"/>
      <c r="G24" s="1675" t="inlineStr">
        <is>
          <t>  </t>
        </is>
      </c>
      <c r="H24" s="1729" t="n"/>
      <c r="I24" s="1729" t="n"/>
    </row>
    <row r="25" ht="22" customHeight="1" s="1354">
      <c r="B25" s="1612" t="inlineStr">
        <is>
          <t>FI</t>
        </is>
      </c>
      <c r="C25" s="1718" t="inlineStr">
        <is>
          <t xml:space="preserve">+ Encaissements liés aux cessions d’immobilisations incorporelles et corporelles  </t>
        </is>
      </c>
      <c r="D25" s="1709" t="n"/>
      <c r="E25" s="1710" t="n"/>
      <c r="F25" s="1612" t="n"/>
      <c r="G25" s="1675" t="inlineStr">
        <is>
          <t>  </t>
        </is>
      </c>
      <c r="H25" s="1729" t="n"/>
      <c r="I25" s="1729" t="n"/>
      <c r="K25" s="1664" t="n"/>
    </row>
    <row r="26" ht="22" customHeight="1" s="1354">
      <c r="B26" s="1612" t="inlineStr">
        <is>
          <t>FJ</t>
        </is>
      </c>
      <c r="C26" s="1715" t="inlineStr">
        <is>
          <t xml:space="preserve">+ Encaissements liés aux cessions d’immobilisations financières </t>
        </is>
      </c>
      <c r="D26" s="1709" t="n"/>
      <c r="E26" s="1710" t="n"/>
      <c r="F26" s="1612" t="n"/>
      <c r="G26" s="1675" t="inlineStr">
        <is>
          <t>  </t>
        </is>
      </c>
      <c r="H26" s="1729" t="n"/>
      <c r="I26" s="1729" t="n"/>
    </row>
    <row r="27" ht="22" customHeight="1" s="1354">
      <c r="B27" s="1608" t="inlineStr">
        <is>
          <t>ZC</t>
        </is>
      </c>
      <c r="C27" s="1725" t="inlineStr">
        <is>
          <t xml:space="preserve">Flux de trésorerie provenant des activités d’investissement (somme FF à FJ) </t>
        </is>
      </c>
      <c r="D27" s="1709" t="n"/>
      <c r="E27" s="1710" t="n"/>
      <c r="F27" s="1726" t="inlineStr">
        <is>
          <t>C</t>
        </is>
      </c>
      <c r="G27" s="1727" t="inlineStr">
        <is>
          <t>  </t>
        </is>
      </c>
      <c r="H27" s="1730">
        <f>-H22-H23-H24+H25+H26</f>
        <v/>
      </c>
      <c r="I27" s="1730" t="n"/>
    </row>
    <row r="28" ht="22" customHeight="1" s="1354">
      <c r="B28" s="1612" t="n"/>
      <c r="C28" s="1708" t="inlineStr">
        <is>
          <t xml:space="preserve">Flux de trésorerie provenant du financement par les capitaux propres </t>
        </is>
      </c>
      <c r="D28" s="1709" t="n"/>
      <c r="E28" s="1710" t="n"/>
      <c r="F28" s="1711" t="n"/>
      <c r="G28" s="1712" t="inlineStr">
        <is>
          <t>  </t>
        </is>
      </c>
      <c r="H28" s="1713" t="n"/>
      <c r="I28" s="1713" t="n"/>
    </row>
    <row r="29" ht="22" customHeight="1" s="1354">
      <c r="B29" s="1612" t="inlineStr">
        <is>
          <t>FK</t>
        </is>
      </c>
      <c r="C29" s="1718" t="inlineStr">
        <is>
          <t xml:space="preserve">+ Augmentations de capital par apports nouveaux </t>
        </is>
      </c>
      <c r="D29" s="1709" t="n"/>
      <c r="E29" s="1710" t="n"/>
      <c r="F29" s="1612" t="n"/>
      <c r="G29" s="1675" t="inlineStr">
        <is>
          <t>  </t>
        </is>
      </c>
      <c r="H29" s="1729" t="n"/>
      <c r="I29" s="1729" t="n"/>
    </row>
    <row r="30" ht="22" customHeight="1" s="1354">
      <c r="B30" s="1612" t="inlineStr">
        <is>
          <t>FL</t>
        </is>
      </c>
      <c r="C30" s="1715" t="inlineStr">
        <is>
          <t xml:space="preserve">+ Subventions d'investissement reçues </t>
        </is>
      </c>
      <c r="D30" s="1709" t="n"/>
      <c r="E30" s="1710" t="n"/>
      <c r="F30" s="1612" t="n"/>
      <c r="G30" s="1675" t="inlineStr">
        <is>
          <t>  </t>
        </is>
      </c>
      <c r="H30" s="1729" t="n">
        <v>0</v>
      </c>
      <c r="I30" s="1729" t="n"/>
    </row>
    <row r="31" ht="22" customHeight="1" s="1354">
      <c r="B31" s="1612" t="inlineStr">
        <is>
          <t>FM</t>
        </is>
      </c>
      <c r="C31" s="1715" t="inlineStr">
        <is>
          <t xml:space="preserve">- Prélèvements sur le capital  </t>
        </is>
      </c>
      <c r="D31" s="1709" t="n"/>
      <c r="E31" s="1710" t="n"/>
      <c r="F31" s="1612" t="n"/>
      <c r="G31" s="1675" t="inlineStr">
        <is>
          <t>  </t>
        </is>
      </c>
      <c r="H31" s="1729" t="n"/>
      <c r="I31" s="1729" t="n"/>
    </row>
    <row r="32" ht="22" customHeight="1" s="1354">
      <c r="B32" s="1612" t="inlineStr">
        <is>
          <t>FN</t>
        </is>
      </c>
      <c r="C32" s="1715" t="inlineStr">
        <is>
          <t xml:space="preserve">- Dividendes versés </t>
        </is>
      </c>
      <c r="D32" s="1709" t="n"/>
      <c r="E32" s="1710" t="n"/>
      <c r="F32" s="1612" t="n"/>
      <c r="G32" s="1675" t="inlineStr">
        <is>
          <t>  </t>
        </is>
      </c>
      <c r="H32" s="1729" t="n"/>
      <c r="I32" s="1729" t="n"/>
    </row>
    <row r="33" ht="22" customHeight="1" s="1354">
      <c r="B33" s="1608" t="inlineStr">
        <is>
          <t>ZD</t>
        </is>
      </c>
      <c r="C33" s="1731" t="inlineStr">
        <is>
          <t xml:space="preserve">Flux de trésorerie provenant des capitaux propres (somme FK à FN)                                         </t>
        </is>
      </c>
      <c r="D33" s="1709" t="n"/>
      <c r="E33" s="1710" t="n"/>
      <c r="F33" s="1732" t="inlineStr">
        <is>
          <t>D</t>
        </is>
      </c>
      <c r="G33" s="1733" t="inlineStr">
        <is>
          <t>  </t>
        </is>
      </c>
      <c r="H33" s="1734">
        <f>SUM(H29:H32)</f>
        <v/>
      </c>
      <c r="I33" s="1734" t="n"/>
    </row>
    <row r="34" ht="22" customHeight="1" s="1354">
      <c r="B34" s="1612" t="n"/>
      <c r="C34" s="1708" t="inlineStr">
        <is>
          <t xml:space="preserve">Trésorerie provenant du financement par les capitaux étrangers </t>
        </is>
      </c>
      <c r="D34" s="1709" t="n"/>
      <c r="E34" s="1710" t="n"/>
      <c r="F34" s="1711" t="n"/>
      <c r="G34" s="1712" t="inlineStr">
        <is>
          <t>  </t>
        </is>
      </c>
      <c r="H34" s="1713" t="n"/>
      <c r="I34" s="1713" t="n"/>
    </row>
    <row r="35" ht="22" customHeight="1" s="1354">
      <c r="B35" s="1612" t="inlineStr">
        <is>
          <t>FO</t>
        </is>
      </c>
      <c r="C35" s="1718" t="inlineStr">
        <is>
          <t xml:space="preserve">+ Emprunts </t>
        </is>
      </c>
      <c r="D35" s="1709" t="n"/>
      <c r="E35" s="1710" t="n"/>
      <c r="F35" s="1612" t="n"/>
      <c r="G35" s="1675" t="inlineStr">
        <is>
          <t>  </t>
        </is>
      </c>
      <c r="H35" s="1729" t="n"/>
      <c r="I35" s="1729" t="n"/>
    </row>
    <row r="36" ht="22" customHeight="1" s="1354">
      <c r="B36" s="1612" t="inlineStr">
        <is>
          <t>FP</t>
        </is>
      </c>
      <c r="C36" s="1715" t="inlineStr">
        <is>
          <t xml:space="preserve">+ Autres dettes financières </t>
        </is>
      </c>
      <c r="D36" s="1709" t="n"/>
      <c r="E36" s="1710" t="n"/>
      <c r="F36" s="1612" t="n"/>
      <c r="G36" s="1675" t="inlineStr">
        <is>
          <t>  </t>
        </is>
      </c>
      <c r="H36" s="1729" t="n"/>
      <c r="I36" s="1729" t="n"/>
    </row>
    <row r="37" ht="22" customHeight="1" s="1354">
      <c r="B37" s="1612" t="inlineStr">
        <is>
          <t>FQ</t>
        </is>
      </c>
      <c r="C37" s="1715" t="inlineStr">
        <is>
          <t xml:space="preserve">- Remboursements des emprunts et autres dettes financières </t>
        </is>
      </c>
      <c r="D37" s="1709" t="n"/>
      <c r="E37" s="1710" t="n"/>
      <c r="F37" s="1612" t="n"/>
      <c r="G37" s="1675" t="inlineStr">
        <is>
          <t>  </t>
        </is>
      </c>
      <c r="H37" s="1729" t="n">
        <v>0</v>
      </c>
      <c r="I37" s="1729" t="n"/>
    </row>
    <row r="38" ht="22" customHeight="1" s="1354">
      <c r="B38" s="1608" t="inlineStr">
        <is>
          <t>ZE</t>
        </is>
      </c>
      <c r="C38" s="1731" t="inlineStr">
        <is>
          <t xml:space="preserve">Flux de trésorerie provenant des capitaux étrangers (somme FO à FQ) </t>
        </is>
      </c>
      <c r="D38" s="1709" t="n"/>
      <c r="E38" s="1710" t="n"/>
      <c r="F38" s="1732" t="inlineStr">
        <is>
          <t>E</t>
        </is>
      </c>
      <c r="G38" s="1735" t="inlineStr">
        <is>
          <t>  </t>
        </is>
      </c>
      <c r="H38" s="1734">
        <f>H35+H36-H37</f>
        <v/>
      </c>
      <c r="I38" s="1734" t="n"/>
    </row>
    <row r="39" ht="22" customHeight="1" s="1354">
      <c r="B39" s="1608" t="inlineStr">
        <is>
          <t>ZF</t>
        </is>
      </c>
      <c r="C39" s="1725" t="inlineStr">
        <is>
          <t xml:space="preserve">Flux de trésorerie provenant des activités de financement (D+E) </t>
        </is>
      </c>
      <c r="D39" s="1709" t="n"/>
      <c r="E39" s="1710" t="n"/>
      <c r="F39" s="1726" t="inlineStr">
        <is>
          <t>F</t>
        </is>
      </c>
      <c r="G39" s="1685" t="inlineStr">
        <is>
          <t> </t>
        </is>
      </c>
      <c r="H39" s="1728">
        <f>H33+H38</f>
        <v/>
      </c>
      <c r="I39" s="1728" t="n"/>
    </row>
    <row r="40" ht="22" customHeight="1" s="1354">
      <c r="B40" s="1608" t="inlineStr">
        <is>
          <t>ZG</t>
        </is>
      </c>
      <c r="C40" s="1731" t="inlineStr">
        <is>
          <t xml:space="preserve">VARIATION DE LA TRÉSORERIE NETTE DE LA PÉRIODE (B+C+F) </t>
        </is>
      </c>
      <c r="D40" s="1709" t="n"/>
      <c r="E40" s="1710" t="n"/>
      <c r="F40" s="1732" t="inlineStr">
        <is>
          <t>G</t>
        </is>
      </c>
      <c r="G40" s="1690" t="inlineStr">
        <is>
          <t>  </t>
        </is>
      </c>
      <c r="H40" s="1734">
        <f>H20+H27+H39</f>
        <v/>
      </c>
      <c r="I40" s="1734" t="n"/>
      <c r="L40" s="1664" t="n"/>
    </row>
    <row r="41" ht="22" customHeight="1" s="1354">
      <c r="B41" s="1638" t="inlineStr">
        <is>
          <t>ZH</t>
        </is>
      </c>
      <c r="C41" s="1736" t="inlineStr">
        <is>
          <t xml:space="preserve">Trésorerie nette au 31 Décembre (G+A) </t>
        </is>
      </c>
      <c r="D41" s="1709" t="n"/>
      <c r="E41" s="1710" t="n"/>
      <c r="F41" s="1737" t="inlineStr">
        <is>
          <t>H</t>
        </is>
      </c>
      <c r="G41" s="1737" t="inlineStr">
        <is>
          <t>  </t>
        </is>
      </c>
      <c r="H41" s="1738">
        <f>H11+H40</f>
        <v/>
      </c>
      <c r="I41" s="1738" t="n"/>
      <c r="K41" s="1739" t="n"/>
      <c r="L41" s="1664" t="n"/>
    </row>
    <row r="42" ht="22" customHeight="1" s="1354">
      <c r="B42" s="1740" t="n"/>
      <c r="C42" s="1741" t="inlineStr">
        <is>
          <t xml:space="preserve">Contrôle : Trésorerie actif N - Trésorerie passif N =  </t>
        </is>
      </c>
      <c r="D42" s="1742" t="n"/>
      <c r="E42" s="1743" t="n"/>
      <c r="F42" s="1740" t="n"/>
      <c r="G42" s="1740" t="n"/>
      <c r="H42" s="1740" t="n"/>
      <c r="I42" s="1740" t="n"/>
      <c r="L42" s="1664" t="n"/>
    </row>
    <row r="43" ht="20.15" customHeight="1" s="1354">
      <c r="B43" s="1744" t="inlineStr">
        <is>
          <t xml:space="preserve">[1] à l’exclusion des variations des créances et dettes liées aux activités d’investissement (variation des créances sur cession d’immobilisation et des dettes sur acquisition ou production d’immobilisation) et de financement (par exemple variation des créances sur subventions d’investissements reçues). </t>
        </is>
      </c>
      <c r="C43" s="1597" t="n"/>
      <c r="D43" s="1597" t="n"/>
      <c r="E43" s="1597" t="n"/>
      <c r="F43" s="1597" t="n"/>
      <c r="G43" s="1597" t="n"/>
      <c r="H43" s="1597" t="n"/>
      <c r="I43" s="1597" t="n"/>
    </row>
    <row r="44" ht="20.15" customHeight="1" s="1354"/>
    <row r="45" ht="20.15" customHeight="1" s="1354">
      <c r="H45" s="1664" t="n"/>
      <c r="I45" s="1664" t="n"/>
    </row>
    <row r="46" ht="20.15" customHeight="1" s="1354">
      <c r="H46" s="1664" t="n"/>
    </row>
    <row r="47" ht="20.15" customHeight="1" s="1354">
      <c r="H47" s="1664" t="n"/>
      <c r="I47" s="1664" t="n"/>
    </row>
    <row r="48" ht="20.15" customHeight="1" s="1354">
      <c r="H48" s="1664" t="n"/>
    </row>
    <row r="49" ht="20.15" customHeight="1" s="1354">
      <c r="I49" s="1745" t="n"/>
    </row>
    <row r="50" ht="20.15" customHeight="1" s="1354">
      <c r="I50" s="1746" t="n"/>
      <c r="J50" s="1664" t="n"/>
    </row>
    <row r="51" ht="20.15" customHeight="1" s="1354"/>
    <row r="52" ht="20.15" customHeight="1" s="1354"/>
    <row r="53" ht="20.15" customHeight="1" s="1354"/>
    <row r="54" ht="20.15" customHeight="1" s="1354"/>
    <row r="55" ht="20.15" customHeight="1" s="1354"/>
    <row r="56" ht="20.15" customHeight="1" s="1354"/>
    <row r="57" ht="20.15" customHeight="1" s="1354"/>
    <row r="58" ht="20.15" customHeight="1" s="1354"/>
    <row r="59" ht="20.15" customHeight="1" s="1354"/>
    <row r="60" ht="20.15" customHeight="1" s="1354"/>
    <row r="61" ht="20.15" customHeight="1" s="1354"/>
    <row r="62" ht="20.15" customHeight="1" s="1354"/>
    <row r="63" ht="20.15" customHeight="1" s="1354"/>
  </sheetData>
  <mergeCells count="47">
    <mergeCell ref="C16:E16"/>
    <mergeCell ref="C41:E41"/>
    <mergeCell ref="C20:E20"/>
    <mergeCell ref="C31:E31"/>
    <mergeCell ref="C22:E22"/>
    <mergeCell ref="C40:E40"/>
    <mergeCell ref="B11:B12"/>
    <mergeCell ref="H41:H42"/>
    <mergeCell ref="I41:I42"/>
    <mergeCell ref="C21:E21"/>
    <mergeCell ref="H11:H12"/>
    <mergeCell ref="C12:E12"/>
    <mergeCell ref="C36:E36"/>
    <mergeCell ref="C11:E11"/>
    <mergeCell ref="C9:F10"/>
    <mergeCell ref="C27:E27"/>
    <mergeCell ref="C23:E23"/>
    <mergeCell ref="C39:E39"/>
    <mergeCell ref="C17:E17"/>
    <mergeCell ref="F41:F42"/>
    <mergeCell ref="G6:H6"/>
    <mergeCell ref="B8:I8"/>
    <mergeCell ref="G11:G12"/>
    <mergeCell ref="C32:E32"/>
    <mergeCell ref="C38:E38"/>
    <mergeCell ref="B9:B10"/>
    <mergeCell ref="C28:E28"/>
    <mergeCell ref="C13:E13"/>
    <mergeCell ref="C37:E37"/>
    <mergeCell ref="C18:E18"/>
    <mergeCell ref="C30:E30"/>
    <mergeCell ref="G41:G42"/>
    <mergeCell ref="C34:E34"/>
    <mergeCell ref="C15:E15"/>
    <mergeCell ref="F11:F12"/>
    <mergeCell ref="C24:E24"/>
    <mergeCell ref="C42:E42"/>
    <mergeCell ref="B43:I44"/>
    <mergeCell ref="G9:G10"/>
    <mergeCell ref="C14:E14"/>
    <mergeCell ref="C33:E33"/>
    <mergeCell ref="C26:E26"/>
    <mergeCell ref="B41:B42"/>
    <mergeCell ref="C29:E29"/>
    <mergeCell ref="I11:I12"/>
    <mergeCell ref="C35:E35"/>
    <mergeCell ref="C25:E25"/>
  </mergeCells>
  <printOptions horizontalCentered="0" verticalCentered="0" headings="0" gridLines="0" gridLinesSet="1"/>
  <pageMargins left="0.196527777777778" right="0.196527777777778"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G4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E14" activeCellId="0" sqref="E14"/>
    </sheetView>
  </sheetViews>
  <sheetFormatPr baseColWidth="8" defaultColWidth="10.8125" defaultRowHeight="22" zeroHeight="0" outlineLevelRow="0"/>
  <cols>
    <col width="54.44" customWidth="1" style="1583" min="1" max="1"/>
    <col width="5.26" customWidth="1" style="1583" min="2" max="2"/>
    <col width="10.81" customWidth="1" style="1583" min="3" max="4"/>
    <col width="13.81" customWidth="1" style="1583" min="5" max="5"/>
    <col width="13.72" customWidth="1" style="1583" min="6" max="6"/>
    <col width="10.81" customWidth="1" style="1583" min="7" max="257"/>
  </cols>
  <sheetData>
    <row r="1" ht="10" customHeight="1" s="1354">
      <c r="A1" s="1585" t="n"/>
    </row>
    <row r="2" ht="10" customHeight="1" s="1354">
      <c r="A2" s="1747" t="inlineStr">
        <is>
          <t>  </t>
        </is>
      </c>
    </row>
    <row r="3" ht="10" customHeight="1" s="1354">
      <c r="A3" s="1747" t="n"/>
    </row>
    <row r="4" ht="15" customHeight="1" s="1354">
      <c r="A4" s="1747" t="n"/>
    </row>
    <row r="5" ht="15" customHeight="1" s="1354">
      <c r="A5" s="1748" t="inlineStr">
        <is>
          <t>Désignation entité : ENTREPRISE TEST SARL</t>
        </is>
      </c>
      <c r="B5" s="1549" t="n"/>
      <c r="C5" s="1549" t="n"/>
      <c r="D5" s="1591" t="inlineStr">
        <is>
          <t>Exercice clos le : 31/12/2025</t>
        </is>
      </c>
      <c r="E5" s="1591" t="n"/>
      <c r="F5" s="1578" t="n"/>
      <c r="G5" s="1549" t="n"/>
    </row>
    <row r="6" ht="15" customHeight="1" s="1354">
      <c r="A6" s="1749" t="inlineStr">
        <is>
          <t>Numéro d’identification : CD/KNG/RCCM/23-B-01234</t>
        </is>
      </c>
      <c r="B6" s="1549" t="n"/>
      <c r="C6" s="1549" t="n"/>
      <c r="D6" s="1670" t="inlineStr">
        <is>
          <t>Durée (en mois) : 12</t>
        </is>
      </c>
      <c r="F6" s="1582" t="n"/>
      <c r="G6" s="1549" t="n"/>
    </row>
    <row r="7" ht="15" customHeight="1" s="1354">
      <c r="A7" s="1585" t="n"/>
    </row>
    <row r="8" ht="22" customHeight="1" s="1354">
      <c r="A8" s="1696" t="inlineStr">
        <is>
          <t xml:space="preserve">DETTES GARANTIES PAR DES SURETES REELLES  </t>
        </is>
      </c>
      <c r="B8" s="1594" t="n"/>
      <c r="C8" s="1594" t="n"/>
      <c r="D8" s="1594" t="n"/>
      <c r="E8" s="1594" t="n"/>
      <c r="F8" s="1594" t="n"/>
    </row>
    <row r="9" ht="22" customHeight="1" s="1354">
      <c r="A9" s="1750" t="inlineStr">
        <is>
          <t xml:space="preserve">LIBELLES </t>
        </is>
      </c>
      <c r="B9" s="1751" t="inlineStr">
        <is>
          <t xml:space="preserve">Note </t>
        </is>
      </c>
      <c r="C9" s="1699" t="inlineStr">
        <is>
          <t xml:space="preserve">Montant brut </t>
        </is>
      </c>
      <c r="D9" s="1752" t="inlineStr">
        <is>
          <t xml:space="preserve">SURETES REELLES </t>
        </is>
      </c>
      <c r="E9" s="1753" t="n"/>
      <c r="F9" s="1754" t="n"/>
    </row>
    <row r="10" ht="22" customHeight="1" s="1354">
      <c r="A10" s="1755" t="n"/>
      <c r="B10" s="1600" t="n"/>
      <c r="C10" s="1600" t="n"/>
      <c r="D10" s="1756" t="inlineStr">
        <is>
          <t xml:space="preserve">Hypothèques </t>
        </is>
      </c>
      <c r="E10" s="1757" t="inlineStr">
        <is>
          <t xml:space="preserve">Nantissements </t>
        </is>
      </c>
      <c r="F10" s="1752" t="inlineStr">
        <is>
          <t xml:space="preserve">Gages/ autres </t>
        </is>
      </c>
    </row>
    <row r="11" ht="22" customHeight="1" s="1354">
      <c r="A11" s="1755" t="n"/>
      <c r="B11" s="1600" t="n"/>
      <c r="C11" s="1600" t="n"/>
      <c r="D11" s="1740" t="n"/>
      <c r="E11" s="1740" t="n"/>
      <c r="F11" s="1740" t="n"/>
    </row>
    <row r="12" ht="22" customHeight="1" s="1354">
      <c r="A12" s="1758" t="inlineStr">
        <is>
          <t xml:space="preserve">Dettes financières et ressources assimilées : </t>
        </is>
      </c>
      <c r="B12" s="1759" t="inlineStr">
        <is>
          <t>  </t>
        </is>
      </c>
      <c r="C12" s="1760" t="n"/>
      <c r="D12" s="1761" t="n"/>
      <c r="E12" s="1762" t="n"/>
      <c r="F12" s="1763" t="n"/>
    </row>
    <row r="13" ht="22" customHeight="1" s="1354">
      <c r="A13" s="1764" t="inlineStr">
        <is>
          <t xml:space="preserve">Emprunts obligataires convertibles  </t>
        </is>
      </c>
      <c r="B13" s="1765" t="inlineStr">
        <is>
          <t>  </t>
        </is>
      </c>
      <c r="C13" s="1766" t="n"/>
      <c r="D13" s="1767" t="n"/>
      <c r="E13" s="1768" t="n"/>
      <c r="F13" s="1769" t="n"/>
    </row>
    <row r="14" ht="22" customHeight="1" s="1354">
      <c r="A14" s="1770" t="inlineStr">
        <is>
          <t xml:space="preserve">Autres emprunts obligataires </t>
        </is>
      </c>
      <c r="B14" s="1675" t="inlineStr">
        <is>
          <t>  </t>
        </is>
      </c>
      <c r="C14" s="1625" t="n"/>
      <c r="D14" s="1771" t="n"/>
      <c r="E14" s="1772" t="n"/>
      <c r="F14" s="1773" t="n"/>
    </row>
    <row r="15" ht="22" customHeight="1" s="1354">
      <c r="A15" s="1770" t="inlineStr">
        <is>
          <t xml:space="preserve">Emprunts et dettes des établissements de crédit  </t>
        </is>
      </c>
      <c r="B15" s="1675" t="inlineStr">
        <is>
          <t>  </t>
        </is>
      </c>
      <c r="C15" s="1625" t="n"/>
      <c r="D15" s="1771" t="n"/>
      <c r="E15" s="1772" t="n"/>
      <c r="F15" s="1773" t="n"/>
    </row>
    <row r="16" ht="22" customHeight="1" s="1354">
      <c r="A16" s="1774" t="inlineStr">
        <is>
          <t xml:space="preserve">Autres dettes financières </t>
        </is>
      </c>
      <c r="B16" s="1623" t="inlineStr">
        <is>
          <t>  </t>
        </is>
      </c>
      <c r="C16" s="1775" t="n"/>
      <c r="D16" s="1776" t="n"/>
      <c r="E16" s="1777" t="n"/>
      <c r="F16" s="1778" t="n"/>
    </row>
    <row r="17" ht="22" customHeight="1" s="1354">
      <c r="A17" s="1779" t="inlineStr">
        <is>
          <t xml:space="preserve">SOUS TOTAL (1) </t>
        </is>
      </c>
      <c r="B17" s="1780" t="inlineStr">
        <is>
          <t>  </t>
        </is>
      </c>
      <c r="C17" s="1781" t="n"/>
      <c r="D17" s="1782" t="n"/>
      <c r="E17" s="1783" t="n"/>
      <c r="F17" s="1784" t="n"/>
    </row>
    <row r="18" ht="22" customHeight="1" s="1354">
      <c r="A18" s="1785" t="inlineStr">
        <is>
          <t>  </t>
        </is>
      </c>
      <c r="B18" s="1765" t="inlineStr">
        <is>
          <t>  </t>
        </is>
      </c>
      <c r="C18" s="1766" t="n"/>
      <c r="D18" s="1767" t="n"/>
      <c r="E18" s="1768" t="n"/>
      <c r="F18" s="1769" t="n"/>
    </row>
    <row r="19" ht="22" customHeight="1" s="1354">
      <c r="A19" s="1786" t="inlineStr">
        <is>
          <t xml:space="preserve">Dettes de location-acquisition : </t>
        </is>
      </c>
      <c r="B19" s="1712" t="inlineStr">
        <is>
          <t>  </t>
        </is>
      </c>
      <c r="C19" s="1787" t="n"/>
      <c r="D19" s="1788" t="n"/>
      <c r="E19" s="1789" t="n"/>
      <c r="F19" s="1790" t="n"/>
    </row>
    <row r="20" ht="22" customHeight="1" s="1354">
      <c r="A20" s="1770" t="inlineStr">
        <is>
          <t xml:space="preserve">Dettes de crédit-bail immobilier </t>
        </is>
      </c>
      <c r="B20" s="1675" t="inlineStr">
        <is>
          <t>  </t>
        </is>
      </c>
      <c r="C20" s="1625" t="n"/>
      <c r="D20" s="1771" t="n"/>
      <c r="E20" s="1772" t="n"/>
      <c r="F20" s="1773" t="n"/>
    </row>
    <row r="21" ht="22" customHeight="1" s="1354">
      <c r="A21" s="1770" t="inlineStr">
        <is>
          <t xml:space="preserve">Dettes de crédit-bail mobilier </t>
        </is>
      </c>
      <c r="B21" s="1675" t="inlineStr">
        <is>
          <t>  </t>
        </is>
      </c>
      <c r="C21" s="1625" t="n"/>
      <c r="D21" s="1771" t="n"/>
      <c r="E21" s="1772" t="n"/>
      <c r="F21" s="1773" t="n"/>
    </row>
    <row r="22" ht="22" customHeight="1" s="1354">
      <c r="A22" s="1770" t="inlineStr">
        <is>
          <t xml:space="preserve">Dettes sur contrats de location-vente </t>
        </is>
      </c>
      <c r="B22" s="1675" t="inlineStr">
        <is>
          <t>  </t>
        </is>
      </c>
      <c r="C22" s="1625" t="n"/>
      <c r="D22" s="1771" t="n"/>
      <c r="E22" s="1772" t="n"/>
      <c r="F22" s="1773" t="n"/>
    </row>
    <row r="23" ht="22" customHeight="1" s="1354">
      <c r="A23" s="1774" t="inlineStr">
        <is>
          <t xml:space="preserve">Dettes sur contrats de location-acquisition </t>
        </is>
      </c>
      <c r="B23" s="1623" t="inlineStr">
        <is>
          <t> </t>
        </is>
      </c>
      <c r="C23" s="1775" t="n"/>
      <c r="D23" s="1776" t="n"/>
      <c r="E23" s="1777" t="n"/>
      <c r="F23" s="1778" t="n"/>
    </row>
    <row r="24" ht="22" customHeight="1" s="1354">
      <c r="A24" s="1779" t="inlineStr">
        <is>
          <t xml:space="preserve">SOUS TOTAL (2) </t>
        </is>
      </c>
      <c r="B24" s="1780" t="inlineStr">
        <is>
          <t>  </t>
        </is>
      </c>
      <c r="C24" s="1781" t="n"/>
      <c r="D24" s="1782" t="n"/>
      <c r="E24" s="1783" t="n"/>
      <c r="F24" s="1784" t="n"/>
    </row>
    <row r="25" ht="22" customHeight="1" s="1354">
      <c r="A25" s="1785" t="inlineStr">
        <is>
          <t>  </t>
        </is>
      </c>
      <c r="B25" s="1765" t="inlineStr">
        <is>
          <t>  </t>
        </is>
      </c>
      <c r="C25" s="1766" t="n"/>
      <c r="D25" s="1767" t="n"/>
      <c r="E25" s="1768" t="n"/>
      <c r="F25" s="1769" t="n"/>
    </row>
    <row r="26" ht="22" customHeight="1" s="1354">
      <c r="A26" s="1786" t="inlineStr">
        <is>
          <t xml:space="preserve">Dettes du passif circulant : </t>
        </is>
      </c>
      <c r="B26" s="1712" t="inlineStr">
        <is>
          <t>  </t>
        </is>
      </c>
      <c r="C26" s="1787" t="n"/>
      <c r="D26" s="1788" t="n"/>
      <c r="E26" s="1789" t="n"/>
      <c r="F26" s="1790" t="n"/>
    </row>
    <row r="27" ht="22" customHeight="1" s="1354">
      <c r="A27" s="1770" t="inlineStr">
        <is>
          <t xml:space="preserve">Fournisseurs et comptes rattachés </t>
        </is>
      </c>
      <c r="B27" s="1675" t="inlineStr">
        <is>
          <t>  </t>
        </is>
      </c>
      <c r="C27" s="1625" t="n"/>
      <c r="D27" s="1771" t="n"/>
      <c r="E27" s="1772" t="n"/>
      <c r="F27" s="1773" t="n"/>
    </row>
    <row r="28" ht="22" customHeight="1" s="1354">
      <c r="A28" s="1770" t="inlineStr">
        <is>
          <t xml:space="preserve">Clients </t>
        </is>
      </c>
      <c r="B28" s="1675" t="inlineStr">
        <is>
          <t>  </t>
        </is>
      </c>
      <c r="C28" s="1625" t="n"/>
      <c r="D28" s="1771" t="n"/>
      <c r="E28" s="1772" t="n"/>
      <c r="F28" s="1773" t="n"/>
    </row>
    <row r="29" ht="22" customHeight="1" s="1354">
      <c r="A29" s="1770" t="inlineStr">
        <is>
          <t xml:space="preserve">Personnel </t>
        </is>
      </c>
      <c r="B29" s="1675" t="inlineStr">
        <is>
          <t>  </t>
        </is>
      </c>
      <c r="C29" s="1625" t="n"/>
      <c r="D29" s="1771" t="n"/>
      <c r="E29" s="1772" t="n"/>
      <c r="F29" s="1773" t="n"/>
    </row>
    <row r="30" ht="22" customHeight="1" s="1354">
      <c r="A30" s="1770" t="inlineStr">
        <is>
          <t xml:space="preserve">Sécurité sociale et organismes sociaux </t>
        </is>
      </c>
      <c r="B30" s="1675" t="inlineStr">
        <is>
          <t>  </t>
        </is>
      </c>
      <c r="C30" s="1625" t="n"/>
      <c r="D30" s="1771" t="n"/>
      <c r="E30" s="1772" t="n"/>
      <c r="F30" s="1773" t="n"/>
    </row>
    <row r="31" ht="22" customHeight="1" s="1354">
      <c r="A31" s="1770" t="inlineStr">
        <is>
          <t xml:space="preserve">Etat </t>
        </is>
      </c>
      <c r="B31" s="1675" t="inlineStr">
        <is>
          <t>  </t>
        </is>
      </c>
      <c r="C31" s="1625" t="n"/>
      <c r="D31" s="1771" t="n"/>
      <c r="E31" s="1772" t="n"/>
      <c r="F31" s="1773" t="n"/>
    </row>
    <row r="32" ht="22" customHeight="1" s="1354">
      <c r="A32" s="1770" t="inlineStr">
        <is>
          <t xml:space="preserve">Organismes internationaux </t>
        </is>
      </c>
      <c r="B32" s="1675" t="inlineStr">
        <is>
          <t>  </t>
        </is>
      </c>
      <c r="C32" s="1625" t="n"/>
      <c r="D32" s="1771" t="n"/>
      <c r="E32" s="1772" t="n"/>
      <c r="F32" s="1773" t="n"/>
    </row>
    <row r="33" ht="22" customHeight="1" s="1354">
      <c r="A33" s="1770" t="inlineStr">
        <is>
          <t xml:space="preserve">Associés et groupe </t>
        </is>
      </c>
      <c r="B33" s="1675" t="inlineStr">
        <is>
          <t>  </t>
        </is>
      </c>
      <c r="C33" s="1625" t="n"/>
      <c r="D33" s="1771" t="n"/>
      <c r="E33" s="1772" t="n"/>
      <c r="F33" s="1773" t="n"/>
    </row>
    <row r="34" ht="22" customHeight="1" s="1354">
      <c r="A34" s="1774" t="inlineStr">
        <is>
          <t xml:space="preserve">Créditeurs divers </t>
        </is>
      </c>
      <c r="B34" s="1623" t="inlineStr">
        <is>
          <t>  </t>
        </is>
      </c>
      <c r="C34" s="1775" t="n"/>
      <c r="D34" s="1776" t="n"/>
      <c r="E34" s="1777" t="n"/>
      <c r="F34" s="1778" t="n"/>
    </row>
    <row r="35" ht="22" customHeight="1" s="1354">
      <c r="A35" s="1779" t="inlineStr">
        <is>
          <t xml:space="preserve">SOUS TOTAL (3) </t>
        </is>
      </c>
      <c r="B35" s="1780" t="inlineStr">
        <is>
          <t>  </t>
        </is>
      </c>
      <c r="C35" s="1781" t="n"/>
      <c r="D35" s="1782" t="n"/>
      <c r="E35" s="1783" t="n"/>
      <c r="F35" s="1784" t="n"/>
    </row>
    <row r="36" ht="22" customHeight="1" s="1354">
      <c r="A36" s="1791" t="inlineStr">
        <is>
          <t xml:space="preserve">TOTAL (1) + (2) + (3) </t>
        </is>
      </c>
      <c r="B36" s="1792" t="inlineStr">
        <is>
          <t>  </t>
        </is>
      </c>
      <c r="C36" s="1793" t="n"/>
      <c r="D36" s="1794" t="n"/>
      <c r="E36" s="1795" t="n"/>
      <c r="F36" s="1796" t="n"/>
    </row>
    <row r="37" ht="22" customHeight="1" s="1354">
      <c r="A37" s="1698" t="inlineStr">
        <is>
          <t xml:space="preserve"> ENGAGEMENTS FINANCIERS </t>
        </is>
      </c>
      <c r="B37" s="1797" t="n"/>
      <c r="C37" s="1798" t="n"/>
      <c r="D37" s="1698" t="inlineStr">
        <is>
          <t>  </t>
        </is>
      </c>
      <c r="E37" s="1799" t="inlineStr">
        <is>
          <t xml:space="preserve">Engagements donnés </t>
        </is>
      </c>
      <c r="F37" s="1800" t="inlineStr">
        <is>
          <t xml:space="preserve">Engagements reçus </t>
        </is>
      </c>
    </row>
    <row r="38" ht="22" customHeight="1" s="1354">
      <c r="A38" s="1675" t="inlineStr">
        <is>
          <t xml:space="preserve">Engagements consentis à des entités liées </t>
        </is>
      </c>
      <c r="B38" s="1709" t="n"/>
      <c r="C38" s="1710" t="n"/>
      <c r="D38" s="1723" t="n"/>
      <c r="E38" s="1801" t="n"/>
      <c r="F38" s="1625" t="n"/>
    </row>
    <row r="39" ht="22" customHeight="1" s="1354">
      <c r="A39" s="1675" t="inlineStr">
        <is>
          <t xml:space="preserve">Primes de remboursement non échues </t>
        </is>
      </c>
      <c r="B39" s="1709" t="n"/>
      <c r="C39" s="1710" t="n"/>
      <c r="D39" s="1723" t="n"/>
      <c r="E39" s="1801" t="n"/>
      <c r="F39" s="1625" t="n"/>
    </row>
    <row r="40" ht="22" customHeight="1" s="1354">
      <c r="A40" s="1675" t="inlineStr">
        <is>
          <t xml:space="preserve">Avals, cautions, garanties       </t>
        </is>
      </c>
      <c r="B40" s="1709" t="n"/>
      <c r="C40" s="1710" t="n"/>
      <c r="D40" s="1723" t="n"/>
      <c r="E40" s="1801" t="n"/>
      <c r="F40" s="1625" t="n"/>
    </row>
    <row r="41" ht="22" customHeight="1" s="1354">
      <c r="A41" s="1675" t="inlineStr">
        <is>
          <t xml:space="preserve">hypothèques, nantissements, gages, autres       </t>
        </is>
      </c>
      <c r="B41" s="1709" t="n"/>
      <c r="C41" s="1710" t="n"/>
      <c r="D41" s="1723" t="n"/>
      <c r="E41" s="1801" t="n"/>
      <c r="F41" s="1625" t="n"/>
    </row>
    <row r="42" ht="22" customHeight="1" s="1354">
      <c r="A42" s="1675" t="inlineStr">
        <is>
          <t xml:space="preserve">Effets escomptés non échus       </t>
        </is>
      </c>
      <c r="B42" s="1709" t="n"/>
      <c r="C42" s="1710" t="n"/>
      <c r="D42" s="1723" t="n"/>
      <c r="E42" s="1801" t="n"/>
      <c r="F42" s="1625" t="n"/>
    </row>
    <row r="43" ht="22" customHeight="1" s="1354">
      <c r="A43" s="1675" t="inlineStr">
        <is>
          <t xml:space="preserve">Créances commerciales et professionnelles cédées    </t>
        </is>
      </c>
      <c r="B43" s="1709" t="n"/>
      <c r="C43" s="1710" t="n"/>
      <c r="D43" s="1723" t="n"/>
      <c r="E43" s="1801" t="n"/>
      <c r="F43" s="1625" t="n"/>
    </row>
    <row r="44" ht="22" customHeight="1" s="1354">
      <c r="A44" s="1802" t="inlineStr">
        <is>
          <t xml:space="preserve">Abandons de créances conditionnels       </t>
        </is>
      </c>
      <c r="B44" s="1742" t="n"/>
      <c r="C44" s="1743" t="n"/>
      <c r="D44" s="1803" t="n"/>
      <c r="E44" s="1804" t="n"/>
      <c r="F44" s="1775" t="n"/>
    </row>
    <row r="45" ht="22" customHeight="1" s="1354">
      <c r="A45" s="1805" t="inlineStr">
        <is>
          <t xml:space="preserve">TOTAL          </t>
        </is>
      </c>
      <c r="B45" s="1753" t="n"/>
      <c r="C45" s="1754" t="n"/>
      <c r="D45" s="1806" t="n"/>
      <c r="E45" s="1807" t="n"/>
      <c r="F45" s="1808" t="n"/>
    </row>
    <row r="46" ht="22" customHeight="1" s="1354">
      <c r="A46" s="1642" t="inlineStr">
        <is>
          <t xml:space="preserve">Commentaire :   </t>
        </is>
      </c>
    </row>
    <row r="47" ht="22" customHeight="1" s="1354">
      <c r="A47" s="1809" t="inlineStr">
        <is>
          <t xml:space="preserve">•      Indiquer la raison d'être des suretés. </t>
        </is>
      </c>
    </row>
  </sheetData>
  <mergeCells count="18">
    <mergeCell ref="D6:E6"/>
    <mergeCell ref="A42:C42"/>
    <mergeCell ref="A41:C41"/>
    <mergeCell ref="E10:E11"/>
    <mergeCell ref="D10:D11"/>
    <mergeCell ref="A44:C44"/>
    <mergeCell ref="A45:C45"/>
    <mergeCell ref="A37:C37"/>
    <mergeCell ref="A8:F8"/>
    <mergeCell ref="A40:C40"/>
    <mergeCell ref="B9:B11"/>
    <mergeCell ref="D9:F9"/>
    <mergeCell ref="C9:C11"/>
    <mergeCell ref="A39:C39"/>
    <mergeCell ref="F10:F11"/>
    <mergeCell ref="A43:C43"/>
    <mergeCell ref="A38:C38"/>
    <mergeCell ref="A9:A11"/>
  </mergeCells>
  <printOptions horizontalCentered="0" verticalCentered="0" headings="0" gridLines="0" gridLinesSet="1"/>
  <pageMargins left="0.315277777777778" right="0.315277777777778" top="0" bottom="0" header="0.511811023622047" footer="0.511811023622047"/>
  <pageSetup orientation="portrait" paperSize="9" scale="85"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3" colorId="64" zoomScale="100" zoomScaleNormal="100" zoomScalePageLayoutView="100" workbookViewId="0">
      <selection pane="topLeft" activeCell="G17" activeCellId="0" sqref="G17"/>
    </sheetView>
  </sheetViews>
  <sheetFormatPr baseColWidth="8" defaultColWidth="10.90234375" defaultRowHeight="14.5" zeroHeight="0" outlineLevelRow="0"/>
  <cols>
    <col width="3.44" customWidth="1" style="1572" min="1" max="1"/>
    <col width="43.44" customWidth="1" style="1572" min="2" max="2"/>
    <col width="13.72" customWidth="1" style="1572" min="3" max="3"/>
    <col width="8.720000000000001" customWidth="1" style="1572" min="4" max="4"/>
    <col width="16.44" customWidth="1" style="1572" min="5" max="5"/>
    <col width="13.99" customWidth="1" style="1572" min="6" max="6"/>
  </cols>
  <sheetData>
    <row r="1"/>
    <row r="2" ht="14.5" customHeight="1" s="1354">
      <c r="B2" s="1589" t="n"/>
    </row>
    <row r="3" ht="17.5" customHeight="1" s="1354">
      <c r="B3" s="1810" t="n"/>
    </row>
    <row r="4" ht="17.5" customHeight="1" s="1354">
      <c r="B4" s="1810" t="n"/>
    </row>
    <row r="5" ht="14.5" customHeight="1" s="1354">
      <c r="B5" s="1748" t="inlineStr">
        <is>
          <t>Désignation entité : ENTREPRISE TEST SARL</t>
        </is>
      </c>
      <c r="E5" s="1591" t="inlineStr">
        <is>
          <t>Exercice clos le : 31/12/2025</t>
        </is>
      </c>
      <c r="F5" s="1578" t="n"/>
    </row>
    <row r="6" ht="14.5" customHeight="1" s="1354">
      <c r="B6" s="1749" t="inlineStr">
        <is>
          <t>Numéro d’identification : CD/KNG/RCCM/23-B-01234</t>
        </is>
      </c>
      <c r="E6" s="1591" t="inlineStr">
        <is>
          <t>Durée (en mois) : 12</t>
        </is>
      </c>
      <c r="F6" s="1582" t="n"/>
      <c r="H6" s="1549" t="n"/>
    </row>
    <row r="7" ht="14.5" customHeight="1" s="1354">
      <c r="H7" s="1549" t="n"/>
    </row>
    <row r="8" ht="14.5" customHeight="1" s="1354">
      <c r="B8" s="1811" t="inlineStr">
        <is>
          <t xml:space="preserve">NOTE  2 </t>
        </is>
      </c>
    </row>
    <row r="9" ht="15" customHeight="1" s="1354">
      <c r="B9" s="1812" t="inlineStr">
        <is>
          <t xml:space="preserve"> INFORMATIONS OBLIGATOIRES </t>
        </is>
      </c>
      <c r="C9" s="1594" t="n"/>
      <c r="D9" s="1594" t="n"/>
      <c r="E9" s="1594" t="n"/>
      <c r="F9" s="1594" t="n"/>
    </row>
    <row r="10" ht="18" customHeight="1" s="1354">
      <c r="B10" s="1813" t="inlineStr">
        <is>
          <t xml:space="preserve">A - DECLARATION DE CONFORMITE AU SYSCOHADA </t>
        </is>
      </c>
      <c r="C10" s="1597" t="n"/>
      <c r="D10" s="1597" t="n"/>
      <c r="E10" s="1597" t="n"/>
      <c r="F10" s="1598" t="n"/>
    </row>
    <row r="11" ht="14.5" customHeight="1" s="1354">
      <c r="B11" s="1814" t="n"/>
      <c r="C11" s="1702" t="n"/>
      <c r="D11" s="1702" t="n"/>
      <c r="E11" s="1702" t="n"/>
      <c r="F11" s="1703" t="n"/>
    </row>
    <row r="12" ht="28.5" customHeight="1" s="1354">
      <c r="B12" s="1601" t="n"/>
      <c r="C12" s="1602" t="n"/>
      <c r="D12" s="1602" t="n"/>
      <c r="E12" s="1602" t="n"/>
      <c r="F12" s="1603" t="n"/>
    </row>
    <row r="13" ht="22.5" customHeight="1" s="1354">
      <c r="B13" s="1815" t="inlineStr">
        <is>
          <t xml:space="preserve">B - REGLES ET METHODES COMPTABLES </t>
        </is>
      </c>
      <c r="F13" s="1816" t="n"/>
    </row>
    <row r="14" ht="14.5" customHeight="1" s="1354">
      <c r="B14" s="1814" t="n"/>
      <c r="C14" s="1702" t="n"/>
      <c r="D14" s="1702" t="n"/>
      <c r="E14" s="1702" t="n"/>
      <c r="F14" s="1703" t="n"/>
    </row>
    <row r="15" ht="30.75" customHeight="1" s="1354">
      <c r="B15" s="1601" t="n"/>
      <c r="C15" s="1602" t="n"/>
      <c r="D15" s="1602" t="n"/>
      <c r="E15" s="1602" t="n"/>
      <c r="F15" s="1603" t="n"/>
    </row>
    <row r="16" ht="25.5" customHeight="1" s="1354">
      <c r="B16" s="1815" t="inlineStr">
        <is>
          <t xml:space="preserve">C- DEROGATION AUX POSTULATS ET CONVENTIONS COMPTABLES </t>
        </is>
      </c>
      <c r="F16" s="1816" t="n"/>
    </row>
    <row r="17" ht="31.5" customHeight="1" s="1354">
      <c r="B17" s="1817" t="n"/>
      <c r="C17" s="1702" t="n"/>
      <c r="D17" s="1702" t="n"/>
      <c r="E17" s="1702" t="n"/>
      <c r="F17" s="1703" t="n"/>
    </row>
    <row r="18" ht="14.5" customHeight="1" s="1354">
      <c r="B18" s="1815" t="inlineStr">
        <is>
          <t xml:space="preserve">D - INFORMATIONS COMPLEMENTAIRES RELATIVES AU BILAN, AU COMPTE DE </t>
        </is>
      </c>
      <c r="F18" s="1816" t="n"/>
    </row>
    <row r="19" ht="23.25" customHeight="1" s="1354">
      <c r="B19" s="1815" t="inlineStr">
        <is>
          <t xml:space="preserve">RESULTAT ET AU TABLEAU DES FLUX DE TRESORERIE </t>
        </is>
      </c>
      <c r="F19" s="1816" t="n"/>
    </row>
    <row r="20" ht="26.25" customHeight="1" s="1354">
      <c r="B20" s="1818" t="n"/>
      <c r="C20" s="1742" t="n"/>
      <c r="D20" s="1742" t="n"/>
      <c r="E20" s="1742" t="n"/>
      <c r="F20" s="1743" t="n"/>
    </row>
    <row r="21" ht="14.5" customHeight="1" s="1354">
      <c r="B21" s="1589" t="inlineStr">
        <is>
          <t> </t>
        </is>
      </c>
    </row>
  </sheetData>
  <mergeCells count="11">
    <mergeCell ref="B9:F9"/>
    <mergeCell ref="B16:F16"/>
    <mergeCell ref="B20:F20"/>
    <mergeCell ref="B10:F10"/>
    <mergeCell ref="B11:F12"/>
    <mergeCell ref="B19:F19"/>
    <mergeCell ref="B8:F8"/>
    <mergeCell ref="B14:F15"/>
    <mergeCell ref="B17:F17"/>
    <mergeCell ref="B18:F18"/>
    <mergeCell ref="B13:F13"/>
  </mergeCells>
  <printOptions horizontalCentered="0" verticalCentered="0" headings="0" gridLines="0" gridLinesSet="1"/>
  <pageMargins left="0.315277777777778" right="0.315277777777778" top="0.354166666666667" bottom="0.354166666666667" header="0.511811023622047" footer="0.511811023622047"/>
  <pageSetup orientation="portrait" paperSize="9" scale="95"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K4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37" activeCellId="0" sqref="A37:H43"/>
    </sheetView>
  </sheetViews>
  <sheetFormatPr baseColWidth="8" defaultColWidth="10.8125" defaultRowHeight="12" zeroHeight="0" outlineLevelRow="0"/>
  <cols>
    <col width="68.44" customWidth="1" style="1583" min="1" max="1"/>
    <col width="14.99" customWidth="1" style="1583" min="2" max="2"/>
    <col width="15.72" customWidth="1" style="1583" min="3" max="3"/>
    <col width="15.44" customWidth="1" style="1583" min="4" max="4"/>
    <col width="13.99" customWidth="1" style="1583" min="5" max="5"/>
    <col width="13.72" customWidth="1" style="1583" min="6" max="6"/>
    <col width="13.44" customWidth="1" style="1583" min="7" max="7"/>
    <col width="17.26" customWidth="1" style="1583" min="8" max="8"/>
    <col width="10.81" customWidth="1" style="1583" min="9" max="257"/>
  </cols>
  <sheetData>
    <row r="1" ht="12" customHeight="1" s="1354">
      <c r="A1" s="1819" t="n"/>
    </row>
    <row r="2" ht="12" customHeight="1" s="1354">
      <c r="A2" s="1819" t="n"/>
    </row>
    <row r="3" ht="12" customHeight="1" s="1354">
      <c r="A3" s="1819" t="n"/>
    </row>
    <row r="4" ht="12" customHeight="1" s="1354">
      <c r="A4" s="1819" t="n"/>
    </row>
    <row r="5" ht="13" customHeight="1" s="1354">
      <c r="A5" s="1748" t="inlineStr">
        <is>
          <t>Désignation entité : ENTREPRISE TEST SARL</t>
        </is>
      </c>
      <c r="E5" s="1591" t="inlineStr">
        <is>
          <t>Exercice clos le : 31/12/2025</t>
        </is>
      </c>
      <c r="F5" s="1591" t="n"/>
      <c r="G5" s="1578" t="n"/>
    </row>
    <row r="6" ht="13" customHeight="1" s="1354">
      <c r="A6" s="1749" t="inlineStr">
        <is>
          <t>Numéro d’identification : CD/KNG/RCCM/23-B-01234</t>
        </is>
      </c>
      <c r="E6" s="1670" t="inlineStr">
        <is>
          <t>Durée (en mois) : 12</t>
        </is>
      </c>
      <c r="G6" s="1582" t="n"/>
    </row>
    <row r="7" ht="13" customHeight="1" s="1354">
      <c r="A7" s="1820" t="n"/>
    </row>
    <row r="8" ht="14" customHeight="1" s="1354">
      <c r="A8" s="1821" t="inlineStr">
        <is>
          <t>                      </t>
        </is>
      </c>
      <c r="B8" s="1811" t="inlineStr">
        <is>
          <t xml:space="preserve">NOTE 3A    </t>
        </is>
      </c>
      <c r="E8" s="1821" t="n"/>
      <c r="F8" s="1821" t="n"/>
      <c r="G8" s="1821" t="n"/>
      <c r="H8" s="1821" t="n"/>
    </row>
    <row r="9" ht="13" customHeight="1" s="1354">
      <c r="A9" s="1821" t="inlineStr">
        <is>
          <t xml:space="preserve">                   IMMOBILISATION BRUTE</t>
        </is>
      </c>
    </row>
    <row r="10" ht="7.5" customHeight="1" s="1354">
      <c r="A10" s="1822" t="n"/>
    </row>
    <row r="11" ht="12" customHeight="1" s="1354">
      <c r="A11" s="1823" t="inlineStr">
        <is>
          <t xml:space="preserve">                                              SITUATIONS ET MOUVEMENTS </t>
        </is>
      </c>
      <c r="B11" s="1699" t="inlineStr">
        <is>
          <t>MONTANT</t>
        </is>
      </c>
      <c r="C11" s="1824" t="inlineStr">
        <is>
          <t>Acquisitions</t>
        </is>
      </c>
      <c r="D11" s="1699" t="inlineStr">
        <is>
          <t>Virements</t>
        </is>
      </c>
      <c r="E11" s="1824" t="inlineStr">
        <is>
          <t>Suite à une</t>
        </is>
      </c>
      <c r="F11" s="1699" t="inlineStr">
        <is>
          <t>Cessions</t>
        </is>
      </c>
      <c r="G11" s="1824" t="inlineStr">
        <is>
          <t>Virements</t>
        </is>
      </c>
      <c r="H11" s="1699" t="inlineStr">
        <is>
          <t>MONTANT</t>
        </is>
      </c>
      <c r="K11" s="1825" t="n"/>
    </row>
    <row r="12" ht="12" customHeight="1" s="1354">
      <c r="A12" s="1826" t="inlineStr">
        <is>
          <t>  </t>
        </is>
      </c>
      <c r="B12" s="1826" t="inlineStr">
        <is>
          <t>BRUT  A</t>
        </is>
      </c>
      <c r="C12" s="1827" t="inlineStr">
        <is>
          <t>Apports</t>
        </is>
      </c>
      <c r="D12" s="1826" t="inlineStr">
        <is>
          <t>de</t>
        </is>
      </c>
      <c r="E12" s="1827" t="inlineStr">
        <is>
          <t>réévaluation</t>
        </is>
      </c>
      <c r="F12" s="1826" t="inlineStr">
        <is>
          <t>Scissions</t>
        </is>
      </c>
      <c r="G12" s="1827" t="inlineStr">
        <is>
          <t>de</t>
        </is>
      </c>
      <c r="H12" s="1826" t="inlineStr">
        <is>
          <t>BRUT A LA</t>
        </is>
      </c>
      <c r="K12" s="1828" t="n"/>
    </row>
    <row r="13" ht="23" customHeight="1" s="1354">
      <c r="A13" s="1829" t="inlineStr">
        <is>
          <t>RUBRIQUES</t>
        </is>
      </c>
      <c r="B13" s="1826" t="inlineStr">
        <is>
          <t xml:space="preserve">L'OUVERTURE DE </t>
        </is>
      </c>
      <c r="C13" s="1830" t="inlineStr">
        <is>
          <t>Créations</t>
        </is>
      </c>
      <c r="D13" s="1831" t="inlineStr">
        <is>
          <t>poste à poste</t>
        </is>
      </c>
      <c r="E13" s="1827" t="inlineStr">
        <is>
          <t>Pratiquée au cours</t>
        </is>
      </c>
      <c r="F13" s="1831" t="inlineStr">
        <is>
          <t>Hors service</t>
        </is>
      </c>
      <c r="G13" s="1827" t="inlineStr">
        <is>
          <t>poste à</t>
        </is>
      </c>
      <c r="H13" s="1826" t="inlineStr">
        <is>
          <t xml:space="preserve">CLOTURE DE </t>
        </is>
      </c>
    </row>
    <row r="14" ht="12.5" customHeight="1" s="1354">
      <c r="A14" s="1740" t="n"/>
      <c r="B14" s="1831" t="inlineStr">
        <is>
          <t>L’EXERCICE</t>
        </is>
      </c>
      <c r="C14" s="1594" t="n"/>
      <c r="D14" s="1740" t="n"/>
      <c r="E14" s="1830" t="inlineStr">
        <is>
          <t>de l’exercice</t>
        </is>
      </c>
      <c r="F14" s="1740" t="n"/>
      <c r="G14" s="1830" t="inlineStr">
        <is>
          <t>poste</t>
        </is>
      </c>
      <c r="H14" s="1831" t="inlineStr">
        <is>
          <t>L’EXERCICE</t>
        </is>
      </c>
    </row>
    <row r="15" ht="18" customHeight="1" s="1354">
      <c r="A15" s="1832" t="inlineStr">
        <is>
          <t xml:space="preserve">IMMOBILISATIONS INCORPORELLES </t>
        </is>
      </c>
      <c r="B15" s="1833">
        <f>SUM(B16:B19)</f>
        <v/>
      </c>
      <c r="C15" s="1833">
        <f>SUM(C16:C19)</f>
        <v/>
      </c>
      <c r="D15" s="1833">
        <f>SUM(D16:D19)</f>
        <v/>
      </c>
      <c r="E15" s="1833">
        <f>SUM(E16:E19)</f>
        <v/>
      </c>
      <c r="F15" s="1833">
        <f>SUM(F16:F19)</f>
        <v/>
      </c>
      <c r="G15" s="1833">
        <f>SUM(G16:G19)</f>
        <v/>
      </c>
      <c r="H15" s="1833">
        <f>SUM(H16:H19)</f>
        <v/>
      </c>
    </row>
    <row r="16" ht="18" customHeight="1" s="1354">
      <c r="A16" s="1675" t="inlineStr">
        <is>
          <t xml:space="preserve">Frais de développement et de prospection </t>
        </is>
      </c>
      <c r="B16" s="2764">
        <f>SUMIF(BALANCE_N1!$A$2:$A$70,"211*",BALANCE_N1!$F$2:$F$70)-SUMIF(BALANCE_N1!$A$2:$A$70,"211*",BALANCE_N1!$G$2:$G$70)+SUMIF(BALANCE_N1!$A$2:$A$70,"2191*",BALANCE_N1!$F$2:$F$70)-SUMIF(BALANCE_N1!$A$2:$A$70,"2191*",BALANCE_N1!$G$2:$G$70)+SUMIF(BALANCE_N1!$A$2:$A$70,"2181*",BALANCE_N1!$F$2:$F$70)-SUMIF(BALANCE_N1!$A$2:$A$70,"2181*",BALANCE_N1!$G$2:$G$70)</f>
        <v/>
      </c>
      <c r="C16" s="2776">
        <f>MAX(0,(SUMIF(BALANCE!$A$2:$A$70,"211*",BALANCE!$F$2:$F$70)-SUMIF(BALANCE!$A$2:$A$70,"211*",BALANCE!$G$2:$G$70)+SUMIF(BALANCE!$A$2:$A$70,"2191*",BALANCE!$F$2:$F$70)-SUMIF(BALANCE!$A$2:$A$70,"2191*",BALANCE!$G$2:$G$70)+SUMIF(BALANCE!$A$2:$A$70,"2181*",BALANCE!$F$2:$F$70)-SUMIF(BALANCE!$A$2:$A$70,"2181*",BALANCE!$G$2:$G$70))-(SUMIF(BALANCE_N1!$A$2:$A$70,"211*",BALANCE_N1!$F$2:$F$70)-SUMIF(BALANCE_N1!$A$2:$A$70,"211*",BALANCE_N1!$G$2:$G$70)+SUMIF(BALANCE_N1!$A$2:$A$70,"2191*",BALANCE_N1!$F$2:$F$70)-SUMIF(BALANCE_N1!$A$2:$A$70,"2191*",BALANCE_N1!$G$2:$G$70)+SUMIF(BALANCE_N1!$A$2:$A$70,"2181*",BALANCE_N1!$F$2:$F$70)-SUMIF(BALANCE_N1!$A$2:$A$70,"2181*",BALANCE_N1!$G$2:$G$70)))</f>
        <v/>
      </c>
      <c r="D16" s="1624" t="n"/>
      <c r="E16" s="1834" t="n"/>
      <c r="F16" s="2764">
        <f>MAX(0,(SUMIF(BALANCE_N1!$A$2:$A$70,"211*",BALANCE_N1!$F$2:$F$70)-SUMIF(BALANCE_N1!$A$2:$A$70,"211*",BALANCE_N1!$G$2:$G$70)+SUMIF(BALANCE_N1!$A$2:$A$70,"2191*",BALANCE_N1!$F$2:$F$70)-SUMIF(BALANCE_N1!$A$2:$A$70,"2191*",BALANCE_N1!$G$2:$G$70)+SUMIF(BALANCE_N1!$A$2:$A$70,"2181*",BALANCE_N1!$F$2:$F$70)-SUMIF(BALANCE_N1!$A$2:$A$70,"2181*",BALANCE_N1!$G$2:$G$70))-(SUMIF(BALANCE!$A$2:$A$70,"211*",BALANCE!$F$2:$F$70)-SUMIF(BALANCE!$A$2:$A$70,"211*",BALANCE!$G$2:$G$70)+SUMIF(BALANCE!$A$2:$A$70,"2191*",BALANCE!$F$2:$F$70)-SUMIF(BALANCE!$A$2:$A$70,"2191*",BALANCE!$G$2:$G$70)+SUMIF(BALANCE!$A$2:$A$70,"2181*",BALANCE!$F$2:$F$70)-SUMIF(BALANCE!$A$2:$A$70,"2181*",BALANCE!$G$2:$G$70)))</f>
        <v/>
      </c>
      <c r="G16" s="1834" t="n"/>
      <c r="H16" s="1624">
        <f>B16+C16+D16+E16-F16-G16</f>
        <v/>
      </c>
    </row>
    <row r="17" ht="18" customHeight="1" s="1354">
      <c r="A17" s="1675" t="inlineStr">
        <is>
          <t xml:space="preserve">Brevets, licences, logiciels, et droits similaires </t>
        </is>
      </c>
      <c r="B17" s="2764">
        <f>SUMIF(BALANCE_N1!$A$2:$A$70,"212*",BALANCE_N1!$F$2:$F$70)-SUMIF(BALANCE_N1!$A$2:$A$70,"212*",BALANCE_N1!$G$2:$G$70)+SUMIF(BALANCE_N1!$A$2:$A$70,"213*",BALANCE_N1!$F$2:$F$70)-SUMIF(BALANCE_N1!$A$2:$A$70,"213*",BALANCE_N1!$G$2:$G$70)+SUMIF(BALANCE_N1!$A$2:$A$70,"214*",BALANCE_N1!$F$2:$F$70)-SUMIF(BALANCE_N1!$A$2:$A$70,"214*",BALANCE_N1!$G$2:$G$70)+SUMIF(BALANCE_N1!$A$2:$A$70,"2193*",BALANCE_N1!$F$2:$F$70)-SUMIF(BALANCE_N1!$A$2:$A$70,"2193*",BALANCE_N1!$G$2:$G$70)</f>
        <v/>
      </c>
      <c r="C17" s="2776">
        <f>MAX(0,(SUMIF(BALANCE!$A$2:$A$70,"212*",BALANCE!$F$2:$F$70)-SUMIF(BALANCE!$A$2:$A$70,"212*",BALANCE!$G$2:$G$70)+SUMIF(BALANCE!$A$2:$A$70,"213*",BALANCE!$F$2:$F$70)-SUMIF(BALANCE!$A$2:$A$70,"213*",BALANCE!$G$2:$G$70)+SUMIF(BALANCE!$A$2:$A$70,"214*",BALANCE!$F$2:$F$70)-SUMIF(BALANCE!$A$2:$A$70,"214*",BALANCE!$G$2:$G$70)+SUMIF(BALANCE!$A$2:$A$70,"2193*",BALANCE!$F$2:$F$70)-SUMIF(BALANCE!$A$2:$A$70,"2193*",BALANCE!$G$2:$G$70))-(SUMIF(BALANCE_N1!$A$2:$A$70,"212*",BALANCE_N1!$F$2:$F$70)-SUMIF(BALANCE_N1!$A$2:$A$70,"212*",BALANCE_N1!$G$2:$G$70)+SUMIF(BALANCE_N1!$A$2:$A$70,"213*",BALANCE_N1!$F$2:$F$70)-SUMIF(BALANCE_N1!$A$2:$A$70,"213*",BALANCE_N1!$G$2:$G$70)+SUMIF(BALANCE_N1!$A$2:$A$70,"214*",BALANCE_N1!$F$2:$F$70)-SUMIF(BALANCE_N1!$A$2:$A$70,"214*",BALANCE_N1!$G$2:$G$70)+SUMIF(BALANCE_N1!$A$2:$A$70,"2193*",BALANCE_N1!$F$2:$F$70)-SUMIF(BALANCE_N1!$A$2:$A$70,"2193*",BALANCE_N1!$G$2:$G$70)))</f>
        <v/>
      </c>
      <c r="D17" s="1624" t="n"/>
      <c r="E17" s="1834" t="n"/>
      <c r="F17" s="2764">
        <f>MAX(0,(SUMIF(BALANCE_N1!$A$2:$A$70,"212*",BALANCE_N1!$F$2:$F$70)-SUMIF(BALANCE_N1!$A$2:$A$70,"212*",BALANCE_N1!$G$2:$G$70)+SUMIF(BALANCE_N1!$A$2:$A$70,"213*",BALANCE_N1!$F$2:$F$70)-SUMIF(BALANCE_N1!$A$2:$A$70,"213*",BALANCE_N1!$G$2:$G$70)+SUMIF(BALANCE_N1!$A$2:$A$70,"214*",BALANCE_N1!$F$2:$F$70)-SUMIF(BALANCE_N1!$A$2:$A$70,"214*",BALANCE_N1!$G$2:$G$70)+SUMIF(BALANCE_N1!$A$2:$A$70,"2193*",BALANCE_N1!$F$2:$F$70)-SUMIF(BALANCE_N1!$A$2:$A$70,"2193*",BALANCE_N1!$G$2:$G$70))-(SUMIF(BALANCE!$A$2:$A$70,"212*",BALANCE!$F$2:$F$70)-SUMIF(BALANCE!$A$2:$A$70,"212*",BALANCE!$G$2:$G$70)+SUMIF(BALANCE!$A$2:$A$70,"213*",BALANCE!$F$2:$F$70)-SUMIF(BALANCE!$A$2:$A$70,"213*",BALANCE!$G$2:$G$70)+SUMIF(BALANCE!$A$2:$A$70,"214*",BALANCE!$F$2:$F$70)-SUMIF(BALANCE!$A$2:$A$70,"214*",BALANCE!$G$2:$G$70)+SUMIF(BALANCE!$A$2:$A$70,"2193*",BALANCE!$F$2:$F$70)-SUMIF(BALANCE!$A$2:$A$70,"2193*",BALANCE!$G$2:$G$70)))</f>
        <v/>
      </c>
      <c r="G17" s="1834" t="n"/>
      <c r="H17" s="1624">
        <f>B17+C17+D17+E17-F17-G17</f>
        <v/>
      </c>
    </row>
    <row r="18" ht="18" customHeight="1" s="1354">
      <c r="A18" s="1675" t="inlineStr">
        <is>
          <t xml:space="preserve">Fonds commercial et droit au bail </t>
        </is>
      </c>
      <c r="B18" s="2764">
        <f>SUMIF(BALANCE_N1!$A$2:$A$70,"215*",BALANCE_N1!$F$2:$F$70)-SUMIF(BALANCE_N1!$A$2:$A$70,"215*",BALANCE_N1!$G$2:$G$70)+SUMIF(BALANCE_N1!$A$2:$A$70,"216*",BALANCE_N1!$F$2:$F$70)-SUMIF(BALANCE_N1!$A$2:$A$70,"216*",BALANCE_N1!$G$2:$G$70)</f>
        <v/>
      </c>
      <c r="C18" s="2776">
        <f>MAX(0,(SUMIF(BALANCE!$A$2:$A$70,"215*",BALANCE!$F$2:$F$70)-SUMIF(BALANCE!$A$2:$A$70,"215*",BALANCE!$G$2:$G$70)+SUMIF(BALANCE!$A$2:$A$70,"216*",BALANCE!$F$2:$F$70)-SUMIF(BALANCE!$A$2:$A$70,"216*",BALANCE!$G$2:$G$70))-(SUMIF(BALANCE_N1!$A$2:$A$70,"215*",BALANCE_N1!$F$2:$F$70)-SUMIF(BALANCE_N1!$A$2:$A$70,"215*",BALANCE_N1!$G$2:$G$70)+SUMIF(BALANCE_N1!$A$2:$A$70,"216*",BALANCE_N1!$F$2:$F$70)-SUMIF(BALANCE_N1!$A$2:$A$70,"216*",BALANCE_N1!$G$2:$G$70)))</f>
        <v/>
      </c>
      <c r="D18" s="1624" t="n"/>
      <c r="E18" s="1834" t="n"/>
      <c r="F18" s="2764">
        <f>MAX(0,(SUMIF(BALANCE_N1!$A$2:$A$70,"215*",BALANCE_N1!$F$2:$F$70)-SUMIF(BALANCE_N1!$A$2:$A$70,"215*",BALANCE_N1!$G$2:$G$70)+SUMIF(BALANCE_N1!$A$2:$A$70,"216*",BALANCE_N1!$F$2:$F$70)-SUMIF(BALANCE_N1!$A$2:$A$70,"216*",BALANCE_N1!$G$2:$G$70))-(SUMIF(BALANCE!$A$2:$A$70,"215*",BALANCE!$F$2:$F$70)-SUMIF(BALANCE!$A$2:$A$70,"215*",BALANCE!$G$2:$G$70)+SUMIF(BALANCE!$A$2:$A$70,"216*",BALANCE!$F$2:$F$70)-SUMIF(BALANCE!$A$2:$A$70,"216*",BALANCE!$G$2:$G$70)))</f>
        <v/>
      </c>
      <c r="G18" s="1834" t="n"/>
      <c r="H18" s="1624">
        <f>B18+C18+D18+E18-F18-G18</f>
        <v/>
      </c>
    </row>
    <row r="19" ht="18" customHeight="1" s="1354">
      <c r="A19" s="1675" t="inlineStr">
        <is>
          <t xml:space="preserve">Autres immobilisations incorporelles </t>
        </is>
      </c>
      <c r="B19" s="2764">
        <f>SUMIF(BALANCE_N1!$A$2:$A$70,"217*",BALANCE_N1!$F$2:$F$70)-SUMIF(BALANCE_N1!$A$2:$A$70,"217*",BALANCE_N1!$G$2:$G$70)+SUMIF(BALANCE_N1!$A$2:$A$70,"218*",BALANCE_N1!$F$2:$F$70)-SUMIF(BALANCE_N1!$A$2:$A$70,"218*",BALANCE_N1!$G$2:$G$70)-SUMIF(BALANCE_N1!$A$2:$A$70,"2198*",BALANCE_N1!$F$2:$F$70)+SUMIF(BALANCE_N1!$A$2:$A$70,"2198*",BALANCE_N1!$G$2:$G$70)-SUMIF(BALANCE_N1!$A$2:$A$70,"2181*",BALANCE_N1!$F$2:$F$70)+SUMIF(BALANCE_N1!$A$2:$A$70,"2181*",BALANCE_N1!$G$2:$G$70)</f>
        <v/>
      </c>
      <c r="C19" s="2776">
        <f>MAX(0,(SUMIF(BALANCE!$A$2:$A$70,"217*",BALANCE!$F$2:$F$70)-SUMIF(BALANCE!$A$2:$A$70,"217*",BALANCE!$G$2:$G$70)+SUMIF(BALANCE!$A$2:$A$70,"218*",BALANCE!$F$2:$F$70)-SUMIF(BALANCE!$A$2:$A$70,"218*",BALANCE!$G$2:$G$70)-SUMIF(BALANCE!$A$2:$A$70,"2198*",BALANCE!$F$2:$F$70)+SUMIF(BALANCE!$A$2:$A$70,"2198*",BALANCE!$G$2:$G$70)-SUMIF(BALANCE!$A$2:$A$70,"2181*",BALANCE!$F$2:$F$70)+SUMIF(BALANCE!$A$2:$A$70,"2181*",BALANCE!$G$2:$G$70))-(SUMIF(BALANCE_N1!$A$2:$A$70,"217*",BALANCE_N1!$F$2:$F$70)-SUMIF(BALANCE_N1!$A$2:$A$70,"217*",BALANCE_N1!$G$2:$G$70)+SUMIF(BALANCE_N1!$A$2:$A$70,"218*",BALANCE_N1!$F$2:$F$70)-SUMIF(BALANCE_N1!$A$2:$A$70,"218*",BALANCE_N1!$G$2:$G$70)-SUMIF(BALANCE_N1!$A$2:$A$70,"2198*",BALANCE_N1!$F$2:$F$70)+SUMIF(BALANCE_N1!$A$2:$A$70,"2198*",BALANCE_N1!$G$2:$G$70)-SUMIF(BALANCE_N1!$A$2:$A$70,"2181*",BALANCE_N1!$F$2:$F$70)+SUMIF(BALANCE_N1!$A$2:$A$70,"2181*",BALANCE_N1!$G$2:$G$70)))</f>
        <v/>
      </c>
      <c r="D19" s="1624" t="n"/>
      <c r="E19" s="1834" t="n"/>
      <c r="F19" s="2764">
        <f>MAX(0,(SUMIF(BALANCE_N1!$A$2:$A$70,"217*",BALANCE_N1!$F$2:$F$70)-SUMIF(BALANCE_N1!$A$2:$A$70,"217*",BALANCE_N1!$G$2:$G$70)+SUMIF(BALANCE_N1!$A$2:$A$70,"218*",BALANCE_N1!$F$2:$F$70)-SUMIF(BALANCE_N1!$A$2:$A$70,"218*",BALANCE_N1!$G$2:$G$70)-SUMIF(BALANCE_N1!$A$2:$A$70,"2198*",BALANCE_N1!$F$2:$F$70)+SUMIF(BALANCE_N1!$A$2:$A$70,"2198*",BALANCE_N1!$G$2:$G$70)-SUMIF(BALANCE_N1!$A$2:$A$70,"2181*",BALANCE_N1!$F$2:$F$70)+SUMIF(BALANCE_N1!$A$2:$A$70,"2181*",BALANCE_N1!$G$2:$G$70))-(SUMIF(BALANCE!$A$2:$A$70,"217*",BALANCE!$F$2:$F$70)-SUMIF(BALANCE!$A$2:$A$70,"217*",BALANCE!$G$2:$G$70)+SUMIF(BALANCE!$A$2:$A$70,"218*",BALANCE!$F$2:$F$70)-SUMIF(BALANCE!$A$2:$A$70,"218*",BALANCE!$G$2:$G$70)-SUMIF(BALANCE!$A$2:$A$70,"2198*",BALANCE!$F$2:$F$70)+SUMIF(BALANCE!$A$2:$A$70,"2198*",BALANCE!$G$2:$G$70)-SUMIF(BALANCE!$A$2:$A$70,"2181*",BALANCE!$F$2:$F$70)+SUMIF(BALANCE!$A$2:$A$70,"2181*",BALANCE!$G$2:$G$70)))</f>
        <v/>
      </c>
      <c r="G19" s="1834" t="n"/>
      <c r="H19" s="1624">
        <f>B19+C19+D19+E19-F19-G19</f>
        <v/>
      </c>
    </row>
    <row r="20" ht="18" customHeight="1" s="1354">
      <c r="A20" s="1835" t="inlineStr">
        <is>
          <t xml:space="preserve">IMMOBILISATIONS CORPORELLES </t>
        </is>
      </c>
      <c r="B20" s="2777">
        <f>SUM(B21:B27)</f>
        <v/>
      </c>
      <c r="C20" s="2777">
        <f>SUM(C21:C27)</f>
        <v/>
      </c>
      <c r="D20" s="2777">
        <f>SUM(D21:D27)</f>
        <v/>
      </c>
      <c r="E20" s="2777">
        <f>SUM(E21:E27)</f>
        <v/>
      </c>
      <c r="F20" s="2777">
        <f>SUM(F21:F27)</f>
        <v/>
      </c>
      <c r="G20" s="2777">
        <f>SUM(G21:G27)</f>
        <v/>
      </c>
      <c r="H20" s="2777">
        <f>SUM(H21:H27)</f>
        <v/>
      </c>
    </row>
    <row r="21" ht="18" customHeight="1" s="1354">
      <c r="A21" s="1675" t="inlineStr">
        <is>
          <t xml:space="preserve">Terrains hors immeuble de placement </t>
        </is>
      </c>
      <c r="B21" s="2764">
        <f>SUMIF(BALANCE_N1!$A$2:$A$70,"22*",BALANCE_N1!$F$2:$F$70)-SUMIF(BALANCE_N1!$A$2:$A$70,"22*",BALANCE_N1!$G$2:$G$70)-SUMIF(BALANCE_N1!$A$2:$A$70,"2281*",BALANCE_N1!$F$2:$F$70)+SUMIF(BALANCE_N1!$A$2:$A$70,"2281*",BALANCE_N1!$G$2:$G$70)</f>
        <v/>
      </c>
      <c r="C21" s="2776">
        <f>MAX(0,(SUMIF(BALANCE!$A$2:$A$70,"22*",BALANCE!$F$2:$F$70)-SUMIF(BALANCE!$A$2:$A$70,"22*",BALANCE!$G$2:$G$70)-SUMIF(BALANCE!$A$2:$A$70,"2281*",BALANCE!$F$2:$F$70)+SUMIF(BALANCE!$A$2:$A$70,"2281*",BALANCE!$G$2:$G$70))-(SUMIF(BALANCE_N1!$A$2:$A$70,"22*",BALANCE_N1!$F$2:$F$70)-SUMIF(BALANCE_N1!$A$2:$A$70,"22*",BALANCE_N1!$G$2:$G$70)-SUMIF(BALANCE_N1!$A$2:$A$70,"2281*",BALANCE_N1!$F$2:$F$70)+SUMIF(BALANCE_N1!$A$2:$A$70,"2281*",BALANCE_N1!$G$2:$G$70)))</f>
        <v/>
      </c>
      <c r="D21" s="1624" t="n"/>
      <c r="E21" s="1834" t="n"/>
      <c r="F21" s="2764">
        <f>MAX(0,(SUMIF(BALANCE_N1!$A$2:$A$70,"22*",BALANCE_N1!$F$2:$F$70)-SUMIF(BALANCE_N1!$A$2:$A$70,"22*",BALANCE_N1!$G$2:$G$70)-SUMIF(BALANCE_N1!$A$2:$A$70,"2281*",BALANCE_N1!$F$2:$F$70)+SUMIF(BALANCE_N1!$A$2:$A$70,"2281*",BALANCE_N1!$G$2:$G$70))-(SUMIF(BALANCE!$A$2:$A$70,"22*",BALANCE!$F$2:$F$70)-SUMIF(BALANCE!$A$2:$A$70,"22*",BALANCE!$G$2:$G$70)-SUMIF(BALANCE!$A$2:$A$70,"2281*",BALANCE!$F$2:$F$70)+SUMIF(BALANCE!$A$2:$A$70,"2281*",BALANCE!$G$2:$G$70)))</f>
        <v/>
      </c>
      <c r="G21" s="1834" t="n"/>
      <c r="H21" s="1624">
        <f>B21+C21+D21+E21-F21-G21</f>
        <v/>
      </c>
    </row>
    <row r="22" ht="18" customHeight="1" s="1354">
      <c r="A22" s="1675" t="inlineStr">
        <is>
          <t xml:space="preserve">Terrains - immeuble de placement </t>
        </is>
      </c>
      <c r="B22" s="2764">
        <f>SUMIF(BALANCE_N1!$A$2:$A$70,"2281*",BALANCE_N1!$F$2:$F$70)-SUMIF(BALANCE_N1!$A$2:$A$70,"2281*",BALANCE_N1!$G$2:$G$70)</f>
        <v/>
      </c>
      <c r="C22" s="2776">
        <f>MAX(0,(SUMIF(BALANCE!$A$2:$A$70,"2281*",BALANCE!$F$2:$F$70)-SUMIF(BALANCE!$A$2:$A$70,"2281*",BALANCE!$G$2:$G$70))-(SUMIF(BALANCE_N1!$A$2:$A$70,"2281*",BALANCE_N1!$F$2:$F$70)-SUMIF(BALANCE_N1!$A$2:$A$70,"2281*",BALANCE_N1!$G$2:$G$70)))</f>
        <v/>
      </c>
      <c r="D22" s="1624" t="n"/>
      <c r="E22" s="1834" t="n"/>
      <c r="F22" s="2764">
        <f>MAX(0,(SUMIF(BALANCE_N1!$A$2:$A$70,"2281*",BALANCE_N1!$F$2:$F$70)-SUMIF(BALANCE_N1!$A$2:$A$70,"2281*",BALANCE_N1!$G$2:$G$70))-(SUMIF(BALANCE!$A$2:$A$70,"2281*",BALANCE!$F$2:$F$70)-SUMIF(BALANCE!$A$2:$A$70,"2281*",BALANCE!$G$2:$G$70)))</f>
        <v/>
      </c>
      <c r="G22" s="1834" t="n"/>
      <c r="H22" s="1624">
        <f>B22+C22+D22+E22-F22-G22</f>
        <v/>
      </c>
    </row>
    <row r="23" ht="18" customHeight="1" s="1354">
      <c r="A23" s="1675" t="inlineStr">
        <is>
          <t xml:space="preserve">Bâtiments hors immeuble de placement </t>
        </is>
      </c>
      <c r="B23" s="2764">
        <f>SUMIF(BALANCE_N1!$A$2:$A$70,"237*",BALANCE_N1!$F$2:$F$70)-SUMIF(BALANCE_N1!$A$2:$A$70,"237*",BALANCE_N1!$G$2:$G$70)+SUMIF(BALANCE_N1!$A$2:$A$70,"232*",BALANCE_N1!$F$2:$F$70)-SUMIF(BALANCE_N1!$A$2:$A$70,"232*",BALANCE_N1!$G$2:$G$70)+SUMIF(BALANCE_N1!$A$2:$A$70,"231*",BALANCE_N1!$F$2:$F$70)-SUMIF(BALANCE_N1!$A$2:$A$70,"231*",BALANCE_N1!$G$2:$G$70)+SUMIF(BALANCE_N1!$A$2:$A$70,"233*",BALANCE_N1!$F$2:$F$70)-SUMIF(BALANCE_N1!$A$2:$A$70,"233*",BALANCE_N1!$G$2:$G$70)+SUMIF(BALANCE_N1!$A$2:$A$70,"2391*",BALANCE_N1!$F$2:$F$70)-SUMIF(BALANCE_N1!$A$2:$A$70,"2391*",BALANCE_N1!$G$2:$G$70)-SUMIF(BALANCE_N1!$A$2:$A$70,"2325*",BALANCE_N1!$F$2:$F$70)+SUMIF(BALANCE_N1!$A$2:$A$70,"2325*",BALANCE_N1!$G$2:$G$70)-SUMIF(BALANCE_N1!$A$2:$A$70,"2315*",BALANCE_N1!$F$2:$F$70)+SUMIF(BALANCE_N1!$A$2:$A$70,"2315*",BALANCE_N1!$G$2:$G$70)</f>
        <v/>
      </c>
      <c r="C23" s="2776">
        <f>MAX(0,(SUMIF(BALANCE!$A$2:$A$70,"237*",BALANCE!$F$2:$F$70)-SUMIF(BALANCE!$A$2:$A$70,"237*",BALANCE!$G$2:$G$70)+SUMIF(BALANCE!$A$2:$A$70,"232*",BALANCE!$F$2:$F$70)-SUMIF(BALANCE!$A$2:$A$70,"232*",BALANCE!$G$2:$G$70)+SUMIF(BALANCE!$A$2:$A$70,"231*",BALANCE!$F$2:$F$70)-SUMIF(BALANCE!$A$2:$A$70,"231*",BALANCE!$G$2:$G$70)+SUMIF(BALANCE!$A$2:$A$70,"233*",BALANCE!$F$2:$F$70)-SUMIF(BALANCE!$A$2:$A$70,"233*",BALANCE!$G$2:$G$70)+SUMIF(BALANCE!$A$2:$A$70,"2391*",BALANCE!$F$2:$F$70)-SUMIF(BALANCE!$A$2:$A$70,"2391*",BALANCE!$G$2:$G$70)-SUMIF(BALANCE!$A$2:$A$70,"2325*",BALANCE!$F$2:$F$70)+SUMIF(BALANCE!$A$2:$A$70,"2325*",BALANCE!$G$2:$G$70)-SUMIF(BALANCE!$A$2:$A$70,"2315*",BALANCE!$F$2:$F$70)+SUMIF(BALANCE!$A$2:$A$70,"2315*",BALANCE!$G$2:$G$70))-(SUMIF(BALANCE_N1!$A$2:$A$70,"237*",BALANCE_N1!$F$2:$F$70)-SUMIF(BALANCE_N1!$A$2:$A$70,"237*",BALANCE_N1!$G$2:$G$70)+SUMIF(BALANCE_N1!$A$2:$A$70,"232*",BALANCE_N1!$F$2:$F$70)-SUMIF(BALANCE_N1!$A$2:$A$70,"232*",BALANCE_N1!$G$2:$G$70)+SUMIF(BALANCE_N1!$A$2:$A$70,"231*",BALANCE_N1!$F$2:$F$70)-SUMIF(BALANCE_N1!$A$2:$A$70,"231*",BALANCE_N1!$G$2:$G$70)+SUMIF(BALANCE_N1!$A$2:$A$70,"233*",BALANCE_N1!$F$2:$F$70)-SUMIF(BALANCE_N1!$A$2:$A$70,"233*",BALANCE_N1!$G$2:$G$70)+SUMIF(BALANCE_N1!$A$2:$A$70,"2391*",BALANCE_N1!$F$2:$F$70)-SUMIF(BALANCE_N1!$A$2:$A$70,"2391*",BALANCE_N1!$G$2:$G$70)-SUMIF(BALANCE_N1!$A$2:$A$70,"2325*",BALANCE_N1!$F$2:$F$70)+SUMIF(BALANCE_N1!$A$2:$A$70,"2325*",BALANCE_N1!$G$2:$G$70)-SUMIF(BALANCE_N1!$A$2:$A$70,"2315*",BALANCE_N1!$F$2:$F$70)+SUMIF(BALANCE_N1!$A$2:$A$70,"2315*",BALANCE_N1!$G$2:$G$70)))</f>
        <v/>
      </c>
      <c r="D23" s="1624" t="n"/>
      <c r="E23" s="1834" t="n"/>
      <c r="F23" s="2764">
        <f>MAX(0,(SUMIF(BALANCE_N1!$A$2:$A$70,"237*",BALANCE_N1!$F$2:$F$70)-SUMIF(BALANCE_N1!$A$2:$A$70,"237*",BALANCE_N1!$G$2:$G$70)+SUMIF(BALANCE_N1!$A$2:$A$70,"232*",BALANCE_N1!$F$2:$F$70)-SUMIF(BALANCE_N1!$A$2:$A$70,"232*",BALANCE_N1!$G$2:$G$70)+SUMIF(BALANCE_N1!$A$2:$A$70,"231*",BALANCE_N1!$F$2:$F$70)-SUMIF(BALANCE_N1!$A$2:$A$70,"231*",BALANCE_N1!$G$2:$G$70)+SUMIF(BALANCE_N1!$A$2:$A$70,"233*",BALANCE_N1!$F$2:$F$70)-SUMIF(BALANCE_N1!$A$2:$A$70,"233*",BALANCE_N1!$G$2:$G$70)+SUMIF(BALANCE_N1!$A$2:$A$70,"2391*",BALANCE_N1!$F$2:$F$70)-SUMIF(BALANCE_N1!$A$2:$A$70,"2391*",BALANCE_N1!$G$2:$G$70)-SUMIF(BALANCE_N1!$A$2:$A$70,"2325*",BALANCE_N1!$F$2:$F$70)+SUMIF(BALANCE_N1!$A$2:$A$70,"2325*",BALANCE_N1!$G$2:$G$70)-SUMIF(BALANCE_N1!$A$2:$A$70,"2315*",BALANCE_N1!$F$2:$F$70)+SUMIF(BALANCE_N1!$A$2:$A$70,"2315*",BALANCE_N1!$G$2:$G$70))-(SUMIF(BALANCE!$A$2:$A$70,"237*",BALANCE!$F$2:$F$70)-SUMIF(BALANCE!$A$2:$A$70,"237*",BALANCE!$G$2:$G$70)+SUMIF(BALANCE!$A$2:$A$70,"232*",BALANCE!$F$2:$F$70)-SUMIF(BALANCE!$A$2:$A$70,"232*",BALANCE!$G$2:$G$70)+SUMIF(BALANCE!$A$2:$A$70,"231*",BALANCE!$F$2:$F$70)-SUMIF(BALANCE!$A$2:$A$70,"231*",BALANCE!$G$2:$G$70)+SUMIF(BALANCE!$A$2:$A$70,"233*",BALANCE!$F$2:$F$70)-SUMIF(BALANCE!$A$2:$A$70,"233*",BALANCE!$G$2:$G$70)+SUMIF(BALANCE!$A$2:$A$70,"2391*",BALANCE!$F$2:$F$70)-SUMIF(BALANCE!$A$2:$A$70,"2391*",BALANCE!$G$2:$G$70)-SUMIF(BALANCE!$A$2:$A$70,"2325*",BALANCE!$F$2:$F$70)+SUMIF(BALANCE!$A$2:$A$70,"2325*",BALANCE!$G$2:$G$70)-SUMIF(BALANCE!$A$2:$A$70,"2315*",BALANCE!$F$2:$F$70)+SUMIF(BALANCE!$A$2:$A$70,"2315*",BALANCE!$G$2:$G$70)))</f>
        <v/>
      </c>
      <c r="G23" s="1834" t="n"/>
      <c r="H23" s="1624">
        <f>B23+C23+D23+E23-F23-G23</f>
        <v/>
      </c>
    </row>
    <row r="24" ht="18" customHeight="1" s="1354">
      <c r="A24" s="1675" t="inlineStr">
        <is>
          <t xml:space="preserve">Bâtiments - immeuble de placement </t>
        </is>
      </c>
      <c r="B24" s="2764">
        <f>SUMIF(BALANCE_N1!$A$2:$A$70,"2325*",BALANCE_N1!$F$2:$F$70)-SUMIF(BALANCE_N1!$A$2:$A$70,"2325*",BALANCE_N1!$G$2:$G$70)+SUMIF(BALANCE_N1!$A$2:$A$70,"2315*",BALANCE_N1!$F$2:$F$70)-SUMIF(BALANCE_N1!$A$2:$A$70,"2315*",BALANCE_N1!$G$2:$G$70)</f>
        <v/>
      </c>
      <c r="C24" s="2776">
        <f>MAX(0,(SUMIF(BALANCE!$A$2:$A$70,"2325*",BALANCE!$F$2:$F$70)-SUMIF(BALANCE!$A$2:$A$70,"2325*",BALANCE!$G$2:$G$70)+SUMIF(BALANCE!$A$2:$A$70,"2315*",BALANCE!$F$2:$F$70)-SUMIF(BALANCE!$A$2:$A$70,"2315*",BALANCE!$G$2:$G$70))-(SUMIF(BALANCE_N1!$A$2:$A$70,"2325*",BALANCE_N1!$F$2:$F$70)-SUMIF(BALANCE_N1!$A$2:$A$70,"2325*",BALANCE_N1!$G$2:$G$70)+SUMIF(BALANCE_N1!$A$2:$A$70,"2315*",BALANCE_N1!$F$2:$F$70)-SUMIF(BALANCE_N1!$A$2:$A$70,"2315*",BALANCE_N1!$G$2:$G$70)))</f>
        <v/>
      </c>
      <c r="D24" s="1624" t="n"/>
      <c r="E24" s="1834" t="n"/>
      <c r="F24" s="2764">
        <f>MAX(0,(SUMIF(BALANCE_N1!$A$2:$A$70,"2325*",BALANCE_N1!$F$2:$F$70)-SUMIF(BALANCE_N1!$A$2:$A$70,"2325*",BALANCE_N1!$G$2:$G$70)+SUMIF(BALANCE_N1!$A$2:$A$70,"2315*",BALANCE_N1!$F$2:$F$70)-SUMIF(BALANCE_N1!$A$2:$A$70,"2315*",BALANCE_N1!$G$2:$G$70))-(SUMIF(BALANCE!$A$2:$A$70,"2325*",BALANCE!$F$2:$F$70)-SUMIF(BALANCE!$A$2:$A$70,"2325*",BALANCE!$G$2:$G$70)+SUMIF(BALANCE!$A$2:$A$70,"2315*",BALANCE!$F$2:$F$70)-SUMIF(BALANCE!$A$2:$A$70,"2315*",BALANCE!$G$2:$G$70)))</f>
        <v/>
      </c>
      <c r="G24" s="1834" t="n"/>
      <c r="H24" s="1624">
        <f>B24+C24+D24+E24-F24-G24</f>
        <v/>
      </c>
    </row>
    <row r="25" ht="18" customHeight="1" s="1354">
      <c r="A25" s="1675" t="inlineStr">
        <is>
          <t xml:space="preserve">Aménagements, agencements et installations </t>
        </is>
      </c>
      <c r="B25" s="2764">
        <f>SUMIF(BALANCE_N1!$A$2:$A$70,"234*",BALANCE_N1!$F$2:$F$70)-SUMIF(BALANCE_N1!$A$2:$A$70,"234*",BALANCE_N1!$G$2:$G$70)+SUMIF(BALANCE_N1!$A$2:$A$70,"238*",BALANCE_N1!$F$2:$F$70)-SUMIF(BALANCE_N1!$A$2:$A$70,"238*",BALANCE_N1!$G$2:$G$70)+SUMIF(BALANCE_N1!$A$2:$A$70,"235*",BALANCE_N1!$F$2:$F$70)-SUMIF(BALANCE_N1!$A$2:$A$70,"235*",BALANCE_N1!$G$2:$G$70)+SUMIF(BALANCE_N1!$A$2:$A$70,"2392*",BALANCE_N1!$F$2:$F$70)-SUMIF(BALANCE_N1!$A$2:$A$70,"2392*",BALANCE_N1!$G$2:$G$70)+SUMIF(BALANCE_N1!$A$2:$A$70,"2393*",BALANCE_N1!$F$2:$F$70)-SUMIF(BALANCE_N1!$A$2:$A$70,"2393*",BALANCE_N1!$G$2:$G$70)</f>
        <v/>
      </c>
      <c r="C25" s="2776">
        <f>MAX(0,(SUMIF(BALANCE!$A$2:$A$70,"234*",BALANCE!$F$2:$F$70)-SUMIF(BALANCE!$A$2:$A$70,"234*",BALANCE!$G$2:$G$70)+SUMIF(BALANCE!$A$2:$A$70,"238*",BALANCE!$F$2:$F$70)-SUMIF(BALANCE!$A$2:$A$70,"238*",BALANCE!$G$2:$G$70)+SUMIF(BALANCE!$A$2:$A$70,"235*",BALANCE!$F$2:$F$70)-SUMIF(BALANCE!$A$2:$A$70,"235*",BALANCE!$G$2:$G$70)+SUMIF(BALANCE!$A$2:$A$70,"2392*",BALANCE!$F$2:$F$70)-SUMIF(BALANCE!$A$2:$A$70,"2392*",BALANCE!$G$2:$G$70)+SUMIF(BALANCE!$A$2:$A$70,"2393*",BALANCE!$F$2:$F$70)-SUMIF(BALANCE!$A$2:$A$70,"2393*",BALANCE!$G$2:$G$70))-(SUMIF(BALANCE_N1!$A$2:$A$70,"234*",BALANCE_N1!$F$2:$F$70)-SUMIF(BALANCE_N1!$A$2:$A$70,"234*",BALANCE_N1!$G$2:$G$70)+SUMIF(BALANCE_N1!$A$2:$A$70,"238*",BALANCE_N1!$F$2:$F$70)-SUMIF(BALANCE_N1!$A$2:$A$70,"238*",BALANCE_N1!$G$2:$G$70)+SUMIF(BALANCE_N1!$A$2:$A$70,"235*",BALANCE_N1!$F$2:$F$70)-SUMIF(BALANCE_N1!$A$2:$A$70,"235*",BALANCE_N1!$G$2:$G$70)+SUMIF(BALANCE_N1!$A$2:$A$70,"2392*",BALANCE_N1!$F$2:$F$70)-SUMIF(BALANCE_N1!$A$2:$A$70,"2392*",BALANCE_N1!$G$2:$G$70)+SUMIF(BALANCE_N1!$A$2:$A$70,"2393*",BALANCE_N1!$F$2:$F$70)-SUMIF(BALANCE_N1!$A$2:$A$70,"2393*",BALANCE_N1!$G$2:$G$70)))</f>
        <v/>
      </c>
      <c r="D25" s="1624" t="n"/>
      <c r="E25" s="1834" t="n"/>
      <c r="F25" s="2764">
        <f>MAX(0,(SUMIF(BALANCE_N1!$A$2:$A$70,"234*",BALANCE_N1!$F$2:$F$70)-SUMIF(BALANCE_N1!$A$2:$A$70,"234*",BALANCE_N1!$G$2:$G$70)+SUMIF(BALANCE_N1!$A$2:$A$70,"238*",BALANCE_N1!$F$2:$F$70)-SUMIF(BALANCE_N1!$A$2:$A$70,"238*",BALANCE_N1!$G$2:$G$70)+SUMIF(BALANCE_N1!$A$2:$A$70,"235*",BALANCE_N1!$F$2:$F$70)-SUMIF(BALANCE_N1!$A$2:$A$70,"235*",BALANCE_N1!$G$2:$G$70)+SUMIF(BALANCE_N1!$A$2:$A$70,"2392*",BALANCE_N1!$F$2:$F$70)-SUMIF(BALANCE_N1!$A$2:$A$70,"2392*",BALANCE_N1!$G$2:$G$70)+SUMIF(BALANCE_N1!$A$2:$A$70,"2393*",BALANCE_N1!$F$2:$F$70)-SUMIF(BALANCE_N1!$A$2:$A$70,"2393*",BALANCE_N1!$G$2:$G$70))-(SUMIF(BALANCE!$A$2:$A$70,"234*",BALANCE!$F$2:$F$70)-SUMIF(BALANCE!$A$2:$A$70,"234*",BALANCE!$G$2:$G$70)+SUMIF(BALANCE!$A$2:$A$70,"238*",BALANCE!$F$2:$F$70)-SUMIF(BALANCE!$A$2:$A$70,"238*",BALANCE!$G$2:$G$70)+SUMIF(BALANCE!$A$2:$A$70,"235*",BALANCE!$F$2:$F$70)-SUMIF(BALANCE!$A$2:$A$70,"235*",BALANCE!$G$2:$G$70)+SUMIF(BALANCE!$A$2:$A$70,"2392*",BALANCE!$F$2:$F$70)-SUMIF(BALANCE!$A$2:$A$70,"2392*",BALANCE!$G$2:$G$70)+SUMIF(BALANCE!$A$2:$A$70,"2393*",BALANCE!$F$2:$F$70)-SUMIF(BALANCE!$A$2:$A$70,"2393*",BALANCE!$G$2:$G$70)))</f>
        <v/>
      </c>
      <c r="G25" s="1834" t="n"/>
      <c r="H25" s="1624">
        <f>B25+C25+D25+E25-F25-G25</f>
        <v/>
      </c>
    </row>
    <row r="26" ht="18" customHeight="1" s="1354">
      <c r="A26" s="1675" t="inlineStr">
        <is>
          <t xml:space="preserve">Matériel,  mobilier et actifs biologiques </t>
        </is>
      </c>
      <c r="B26" s="2764">
        <f>SUMIF(BALANCE_N1!$A$2:$A$70,"24*",BALANCE_N1!$F$2:$F$70)-SUMIF(BALANCE_N1!$A$2:$A$70,"24*",BALANCE_N1!$G$2:$G$70)-SUMIF(BALANCE_N1!$A$2:$A$70,"245*",BALANCE_N1!$F$2:$F$70)+SUMIF(BALANCE_N1!$A$2:$A$70,"245*",BALANCE_N1!$G$2:$G$70)-SUMIF(BALANCE_N1!$A$2:$A$70,"2495*",BALANCE_N1!$F$2:$F$70)+SUMIF(BALANCE_N1!$A$2:$A$70,"2495*",BALANCE_N1!$G$2:$G$70)</f>
        <v/>
      </c>
      <c r="C26" s="2776">
        <f>MAX(0,(SUMIF(BALANCE!$A$2:$A$70,"24*",BALANCE!$F$2:$F$70)-SUMIF(BALANCE!$A$2:$A$70,"24*",BALANCE!$G$2:$G$70)-SUMIF(BALANCE!$A$2:$A$70,"245*",BALANCE!$F$2:$F$70)+SUMIF(BALANCE!$A$2:$A$70,"245*",BALANCE!$G$2:$G$70)-SUMIF(BALANCE!$A$2:$A$70,"2495*",BALANCE!$F$2:$F$70)+SUMIF(BALANCE!$A$2:$A$70,"2495*",BALANCE!$G$2:$G$70))-(SUMIF(BALANCE_N1!$A$2:$A$70,"24*",BALANCE_N1!$F$2:$F$70)-SUMIF(BALANCE_N1!$A$2:$A$70,"24*",BALANCE_N1!$G$2:$G$70)-SUMIF(BALANCE_N1!$A$2:$A$70,"245*",BALANCE_N1!$F$2:$F$70)+SUMIF(BALANCE_N1!$A$2:$A$70,"245*",BALANCE_N1!$G$2:$G$70)-SUMIF(BALANCE_N1!$A$2:$A$70,"2495*",BALANCE_N1!$F$2:$F$70)+SUMIF(BALANCE_N1!$A$2:$A$70,"2495*",BALANCE_N1!$G$2:$G$70)))</f>
        <v/>
      </c>
      <c r="D26" s="1624" t="n"/>
      <c r="E26" s="1834" t="n"/>
      <c r="F26" s="2764">
        <f>MAX(0,(SUMIF(BALANCE_N1!$A$2:$A$70,"24*",BALANCE_N1!$F$2:$F$70)-SUMIF(BALANCE_N1!$A$2:$A$70,"24*",BALANCE_N1!$G$2:$G$70)-SUMIF(BALANCE_N1!$A$2:$A$70,"245*",BALANCE_N1!$F$2:$F$70)+SUMIF(BALANCE_N1!$A$2:$A$70,"245*",BALANCE_N1!$G$2:$G$70)-SUMIF(BALANCE_N1!$A$2:$A$70,"2495*",BALANCE_N1!$F$2:$F$70)+SUMIF(BALANCE_N1!$A$2:$A$70,"2495*",BALANCE_N1!$G$2:$G$70))-(SUMIF(BALANCE!$A$2:$A$70,"24*",BALANCE!$F$2:$F$70)-SUMIF(BALANCE!$A$2:$A$70,"24*",BALANCE!$G$2:$G$70)-SUMIF(BALANCE!$A$2:$A$70,"245*",BALANCE!$F$2:$F$70)+SUMIF(BALANCE!$A$2:$A$70,"245*",BALANCE!$G$2:$G$70)-SUMIF(BALANCE!$A$2:$A$70,"2495*",BALANCE!$F$2:$F$70)+SUMIF(BALANCE!$A$2:$A$70,"2495*",BALANCE!$G$2:$G$70)))</f>
        <v/>
      </c>
      <c r="G26" s="1834" t="n"/>
      <c r="H26" s="1624">
        <f>B26+C26+D26+E26-F26-G26</f>
        <v/>
      </c>
    </row>
    <row r="27" ht="18" customHeight="1" s="1354">
      <c r="A27" s="1675" t="inlineStr">
        <is>
          <t xml:space="preserve">Matériel de transport </t>
        </is>
      </c>
      <c r="B27" s="2764">
        <f>SUMIF(BALANCE_N1!$A$2:$A$70,"245*",BALANCE_N1!$F$2:$F$70)-SUMIF(BALANCE_N1!$A$2:$A$70,"245*",BALANCE_N1!$G$2:$G$70)+SUMIF(BALANCE_N1!$A$2:$A$70,"2495*",BALANCE_N1!$F$2:$F$70)-SUMIF(BALANCE_N1!$A$2:$A$70,"2495*",BALANCE_N1!$G$2:$G$70)</f>
        <v/>
      </c>
      <c r="C27" s="2776">
        <f>MAX(0,(SUMIF(BALANCE!$A$2:$A$70,"245*",BALANCE!$F$2:$F$70)-SUMIF(BALANCE!$A$2:$A$70,"245*",BALANCE!$G$2:$G$70)+SUMIF(BALANCE!$A$2:$A$70,"2495*",BALANCE!$F$2:$F$70)-SUMIF(BALANCE!$A$2:$A$70,"2495*",BALANCE!$G$2:$G$70))-(SUMIF(BALANCE_N1!$A$2:$A$70,"245*",BALANCE_N1!$F$2:$F$70)-SUMIF(BALANCE_N1!$A$2:$A$70,"245*",BALANCE_N1!$G$2:$G$70)+SUMIF(BALANCE_N1!$A$2:$A$70,"2495*",BALANCE_N1!$F$2:$F$70)-SUMIF(BALANCE_N1!$A$2:$A$70,"2495*",BALANCE_N1!$G$2:$G$70)))</f>
        <v/>
      </c>
      <c r="D27" s="1624" t="n"/>
      <c r="E27" s="1834" t="n"/>
      <c r="F27" s="2764">
        <f>MAX(0,(SUMIF(BALANCE_N1!$A$2:$A$70,"245*",BALANCE_N1!$F$2:$F$70)-SUMIF(BALANCE_N1!$A$2:$A$70,"245*",BALANCE_N1!$G$2:$G$70)+SUMIF(BALANCE_N1!$A$2:$A$70,"2495*",BALANCE_N1!$F$2:$F$70)-SUMIF(BALANCE_N1!$A$2:$A$70,"2495*",BALANCE_N1!$G$2:$G$70))-(SUMIF(BALANCE!$A$2:$A$70,"245*",BALANCE!$F$2:$F$70)-SUMIF(BALANCE!$A$2:$A$70,"245*",BALANCE!$G$2:$G$70)+SUMIF(BALANCE!$A$2:$A$70,"2495*",BALANCE!$F$2:$F$70)-SUMIF(BALANCE!$A$2:$A$70,"2495*",BALANCE!$G$2:$G$70)))</f>
        <v/>
      </c>
      <c r="G27" s="1834" t="n"/>
      <c r="H27" s="1624">
        <f>B27+C27+D27+E27-F27-G27</f>
        <v/>
      </c>
    </row>
    <row r="28" ht="18" customHeight="1" s="1354">
      <c r="A28" s="1716" t="inlineStr">
        <is>
          <t xml:space="preserve">AVANCES ET ACOMPTES VERSES SUR IMMOBILISATIONS </t>
        </is>
      </c>
      <c r="B28" s="2764">
        <f>SUM(B29:B30)</f>
        <v/>
      </c>
      <c r="C28" s="2764">
        <f>SUM(C29:C30)</f>
        <v/>
      </c>
      <c r="D28" s="1624">
        <f>SUM(D29:D30)</f>
        <v/>
      </c>
      <c r="E28" s="1624">
        <f>SUM(E29:E30)</f>
        <v/>
      </c>
      <c r="F28" s="1624">
        <f>SUM(F29:F30)</f>
        <v/>
      </c>
      <c r="G28" s="1624">
        <f>SUM(G29:G30)</f>
        <v/>
      </c>
      <c r="H28" s="1624">
        <f>SUM(H29:H30)</f>
        <v/>
      </c>
    </row>
    <row r="29" ht="18" customHeight="1" s="1354">
      <c r="A29" s="1675" t="inlineStr">
        <is>
          <t xml:space="preserve">Immobilisations incorporelles </t>
        </is>
      </c>
      <c r="B29" s="2764">
        <f>SUMIF(BALANCE_N1!$A$2:$A$70,"251*",BALANCE_N1!$F$2:$F$70)-SUMIF(BALANCE_N1!$A$2:$A$70,"251*",BALANCE_N1!$G$2:$G$70)</f>
        <v/>
      </c>
      <c r="C29" s="2776">
        <f>MAX(0,(SUMIF(BALANCE!$A$2:$A$70,"251*",BALANCE!$F$2:$F$70)-SUMIF(BALANCE!$A$2:$A$70,"251*",BALANCE!$G$2:$G$70))-(SUMIF(BALANCE_N1!$A$2:$A$70,"251*",BALANCE_N1!$F$2:$F$70)-SUMIF(BALANCE_N1!$A$2:$A$70,"251*",BALANCE_N1!$G$2:$G$70)))</f>
        <v/>
      </c>
      <c r="D29" s="1624" t="n"/>
      <c r="E29" s="1834" t="n"/>
      <c r="F29" s="2764">
        <f>MAX(0,(SUMIF(BALANCE_N1!$A$2:$A$70,"251*",BALANCE_N1!$F$2:$F$70)-SUMIF(BALANCE_N1!$A$2:$A$70,"251*",BALANCE_N1!$G$2:$G$70))-(SUMIF(BALANCE!$A$2:$A$70,"251*",BALANCE!$F$2:$F$70)-SUMIF(BALANCE!$A$2:$A$70,"251*",BALANCE!$G$2:$G$70)))</f>
        <v/>
      </c>
      <c r="G29" s="1834" t="n"/>
      <c r="H29" s="1624">
        <f>B29+C29+D29+E29-F29-G29</f>
        <v/>
      </c>
    </row>
    <row r="30" ht="18" customHeight="1" s="1354">
      <c r="A30" s="1675" t="inlineStr">
        <is>
          <t xml:space="preserve">Immobilisations corporelles </t>
        </is>
      </c>
      <c r="B30" s="2764">
        <f>SUMIF(BALANCE_N1!$A$2:$A$70,"252*",BALANCE_N1!$F$2:$F$70)-SUMIF(BALANCE_N1!$A$2:$A$70,"252*",BALANCE_N1!$G$2:$G$70)</f>
        <v/>
      </c>
      <c r="C30" s="2776">
        <f>MAX(0,(SUMIF(BALANCE!$A$2:$A$70,"252*",BALANCE!$F$2:$F$70)-SUMIF(BALANCE!$A$2:$A$70,"252*",BALANCE!$G$2:$G$70))-(SUMIF(BALANCE_N1!$A$2:$A$70,"252*",BALANCE_N1!$F$2:$F$70)-SUMIF(BALANCE_N1!$A$2:$A$70,"252*",BALANCE_N1!$G$2:$G$70)))</f>
        <v/>
      </c>
      <c r="D30" s="1624" t="n"/>
      <c r="E30" s="1834" t="n"/>
      <c r="F30" s="2764">
        <f>MAX(0,(SUMIF(BALANCE_N1!$A$2:$A$70,"252*",BALANCE_N1!$F$2:$F$70)-SUMIF(BALANCE_N1!$A$2:$A$70,"252*",BALANCE_N1!$G$2:$G$70))-(SUMIF(BALANCE!$A$2:$A$70,"252*",BALANCE!$F$2:$F$70)-SUMIF(BALANCE!$A$2:$A$70,"252*",BALANCE!$G$2:$G$70)))</f>
        <v/>
      </c>
      <c r="G30" s="1834" t="n"/>
      <c r="H30" s="1624">
        <f>B30+C30+D30+E30-F30-G30</f>
        <v/>
      </c>
    </row>
    <row r="31" ht="18" customHeight="1" s="1354">
      <c r="A31" s="1835" t="inlineStr">
        <is>
          <t xml:space="preserve">IMMOBILISATIONS FINANCIERES </t>
        </is>
      </c>
      <c r="B31" s="1836">
        <f>SUM(B32:B33)</f>
        <v/>
      </c>
      <c r="C31" s="1836">
        <f>SUM(C32:C33)</f>
        <v/>
      </c>
      <c r="D31" s="1836">
        <f>SUM(D32:D33)</f>
        <v/>
      </c>
      <c r="E31" s="1836">
        <f>SUM(E32:E33)</f>
        <v/>
      </c>
      <c r="F31" s="1836">
        <f>SUM(F32:F33)</f>
        <v/>
      </c>
      <c r="G31" s="1836">
        <f>SUM(G32:G33)</f>
        <v/>
      </c>
      <c r="H31" s="1836">
        <f>SUM(H32:H33)</f>
        <v/>
      </c>
    </row>
    <row r="32" ht="18" customHeight="1" s="1354">
      <c r="A32" s="1675" t="inlineStr">
        <is>
          <t xml:space="preserve">Titres de participation </t>
        </is>
      </c>
      <c r="B32" s="2764">
        <f>SUMIF(BALANCE_N1!$A$2:$A$70,"26*",BALANCE_N1!$F$2:$F$70)-SUMIF(BALANCE_N1!$A$2:$A$70,"26*",BALANCE_N1!$G$2:$G$70)</f>
        <v/>
      </c>
      <c r="C32" s="2776">
        <f>MAX(0,(SUMIF(BALANCE!$A$2:$A$70,"26*",BALANCE!$F$2:$F$70)-SUMIF(BALANCE!$A$2:$A$70,"26*",BALANCE!$G$2:$G$70))-(SUMIF(BALANCE_N1!$A$2:$A$70,"26*",BALANCE_N1!$F$2:$F$70)-SUMIF(BALANCE_N1!$A$2:$A$70,"26*",BALANCE_N1!$G$2:$G$70)))</f>
        <v/>
      </c>
      <c r="D32" s="1624" t="n"/>
      <c r="E32" s="1834" t="n"/>
      <c r="F32" s="2764">
        <f>MAX(0,(SUMIF(BALANCE_N1!$A$2:$A$70,"26*",BALANCE_N1!$F$2:$F$70)-SUMIF(BALANCE_N1!$A$2:$A$70,"26*",BALANCE_N1!$G$2:$G$70))-(SUMIF(BALANCE!$A$2:$A$70,"26*",BALANCE!$F$2:$F$70)-SUMIF(BALANCE!$A$2:$A$70,"26*",BALANCE!$G$2:$G$70)))</f>
        <v/>
      </c>
      <c r="G32" s="1834" t="n"/>
      <c r="H32" s="1624">
        <f>B32+C32+D32+E32-F32-G32</f>
        <v/>
      </c>
    </row>
    <row r="33" ht="18" customHeight="1" s="1354">
      <c r="A33" s="1675" t="inlineStr">
        <is>
          <t xml:space="preserve">Autres immobilisations financières </t>
        </is>
      </c>
      <c r="B33" s="2764">
        <f>SUMIF(BALANCE_N1!$A$2:$A$70,"27*",BALANCE_N1!$F$2:$F$70)-SUMIF(BALANCE_N1!$A$2:$A$70,"27*",BALANCE_N1!$G$2:$G$70)</f>
        <v/>
      </c>
      <c r="C33" s="2776">
        <f>MAX(0,(SUMIF(BALANCE!$A$2:$A$70,"27*",BALANCE!$F$2:$F$70)-SUMIF(BALANCE!$A$2:$A$70,"27*",BALANCE!$G$2:$G$70))-(SUMIF(BALANCE_N1!$A$2:$A$70,"27*",BALANCE_N1!$F$2:$F$70)-SUMIF(BALANCE_N1!$A$2:$A$70,"27*",BALANCE_N1!$G$2:$G$70)))</f>
        <v/>
      </c>
      <c r="D33" s="1624" t="n"/>
      <c r="E33" s="1834" t="n"/>
      <c r="F33" s="2764">
        <f>MAX(0,(SUMIF(BALANCE_N1!$A$2:$A$70,"27*",BALANCE_N1!$F$2:$F$70)-SUMIF(BALANCE_N1!$A$2:$A$70,"27*",BALANCE_N1!$G$2:$G$70))-(SUMIF(BALANCE!$A$2:$A$70,"27*",BALANCE!$F$2:$F$70)-SUMIF(BALANCE!$A$2:$A$70,"27*",BALANCE!$G$2:$G$70)))</f>
        <v/>
      </c>
      <c r="G33" s="1834" t="n"/>
      <c r="H33" s="1624">
        <f>B33+C33+D33+E33-F33-G33</f>
        <v/>
      </c>
    </row>
    <row r="34" ht="18" customHeight="1" s="1354">
      <c r="A34" s="1837" t="inlineStr">
        <is>
          <t xml:space="preserve">TOTAL GENERAL </t>
        </is>
      </c>
      <c r="B34" s="1838">
        <f>B15+B20+B28+B31</f>
        <v/>
      </c>
      <c r="C34" s="1838">
        <f>C15+C20+C28+C31</f>
        <v/>
      </c>
      <c r="D34" s="1838">
        <f>D15+D20+D28+D31</f>
        <v/>
      </c>
      <c r="E34" s="1838">
        <f>E15+E20+E28+E31</f>
        <v/>
      </c>
      <c r="F34" s="1838">
        <f>F15+F20+F28+F31</f>
        <v/>
      </c>
      <c r="G34" s="1838">
        <f>G15+G20+G28+G31</f>
        <v/>
      </c>
      <c r="H34" s="1838">
        <f>H15+H20+H28+H31</f>
        <v/>
      </c>
    </row>
    <row r="35" ht="6" customHeight="1" s="1354"/>
    <row r="36" ht="12" customHeight="1" s="1354">
      <c r="A36" s="1642" t="inlineStr">
        <is>
          <t xml:space="preserve">Commentaire :   </t>
        </is>
      </c>
    </row>
    <row r="37" ht="13.5" customHeight="1" s="1354">
      <c r="A37" s="1839" t="inlineStr">
        <is>
          <t xml:space="preserve">• Toute variation significative doit être commentée. 
• Détailler les éléments constitutifs du fonds commercial et indiquer la date d'acquisition. 
• Pour l'immobilisation incorporelle relative à la concession faire un descriptif de l'accord.
  Indiquer : 
- la nature de la créance ;
- la durée de la concession ; 
- l'échéance. 
• Indiquer les créances du groupe  avec nature et date d'échéance. 
• Pour les banques, DAT indiquer le nom de la banque le montant et la date d'échéance. 
</t>
        </is>
      </c>
    </row>
    <row r="38" ht="15.75" customHeight="1" s="1354"/>
    <row r="39" ht="12" customHeight="1" s="1354"/>
    <row r="40" ht="12" customHeight="1" s="1354"/>
    <row r="41" ht="12" customHeight="1" s="1354"/>
    <row r="42" ht="12" customHeight="1" s="1354"/>
    <row r="43" ht="19.5" customHeight="1" s="1354"/>
    <row r="44"/>
    <row r="45" ht="12" customHeight="1" s="1354">
      <c r="B45" s="1840" t="n"/>
    </row>
  </sheetData>
  <mergeCells count="9">
    <mergeCell ref="A9:H9"/>
    <mergeCell ref="F13:F14"/>
    <mergeCell ref="E6:F6"/>
    <mergeCell ref="A13:A14"/>
    <mergeCell ref="A37:H43"/>
    <mergeCell ref="B8:D8"/>
    <mergeCell ref="D13:D14"/>
    <mergeCell ref="A10:H10"/>
    <mergeCell ref="C13:C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I4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0" activeCellId="0" sqref="B20:I22"/>
    </sheetView>
  </sheetViews>
  <sheetFormatPr baseColWidth="8" defaultColWidth="10.8125" defaultRowHeight="12" zeroHeight="0" outlineLevelRow="0"/>
  <cols>
    <col width="44.81" customWidth="1" style="1583" min="1" max="1"/>
    <col width="10.81" customWidth="1" style="1583" min="2" max="3"/>
    <col width="11.44" customWidth="1" style="1583" min="4" max="4"/>
    <col width="13.81" customWidth="1" style="1583" min="5" max="5"/>
    <col width="10.81" customWidth="1" style="1583" min="6" max="7"/>
    <col width="9.720000000000001" customWidth="1" style="1583" min="8" max="8"/>
    <col width="10.81" customWidth="1" style="1583" min="9" max="257"/>
  </cols>
  <sheetData>
    <row r="1"/>
    <row r="2"/>
    <row r="3" ht="12" customHeight="1" s="1354">
      <c r="A3" s="1841" t="n"/>
    </row>
    <row r="4" ht="12" customHeight="1" s="1354">
      <c r="A4" s="1841" t="n"/>
    </row>
    <row r="5" ht="13" customHeight="1" s="1354">
      <c r="A5" s="1748" t="inlineStr">
        <is>
          <t>Désignation entité : ENTREPRISE TEST SARL</t>
        </is>
      </c>
      <c r="E5" s="1591" t="inlineStr">
        <is>
          <t>Exercice clos le : 31/12/2025</t>
        </is>
      </c>
      <c r="F5" s="1591" t="n"/>
      <c r="G5" s="1578" t="n"/>
    </row>
    <row r="6" ht="13" customHeight="1" s="1354">
      <c r="A6" s="1749" t="inlineStr">
        <is>
          <t>Numéro d’identification : CD/KNG/RCCM/23-B-01234</t>
        </is>
      </c>
      <c r="E6" s="1670" t="inlineStr">
        <is>
          <t>Durée (en mois) : 12</t>
        </is>
      </c>
      <c r="G6" s="1582" t="n"/>
    </row>
    <row r="7" ht="12" customHeight="1" s="1354">
      <c r="A7" s="1841" t="n"/>
    </row>
    <row r="8" ht="20.15" customHeight="1" s="1354">
      <c r="A8" s="1811" t="inlineStr">
        <is>
          <t xml:space="preserve">NOTE 3B </t>
        </is>
      </c>
    </row>
    <row r="9" ht="20.15" customHeight="1" s="1354">
      <c r="A9" s="1842" t="inlineStr">
        <is>
          <t xml:space="preserve">BIENS PRIS EN LOCATION ACQUISITION </t>
        </is>
      </c>
      <c r="B9" s="1594" t="n"/>
      <c r="C9" s="1594" t="n"/>
      <c r="D9" s="1594" t="n"/>
      <c r="E9" s="1594" t="n"/>
      <c r="F9" s="1594" t="n"/>
      <c r="G9" s="1594" t="n"/>
      <c r="H9" s="1594" t="n"/>
      <c r="I9" s="1594" t="n"/>
    </row>
    <row r="10" ht="10" customHeight="1" s="1354">
      <c r="A10" s="1750" t="inlineStr">
        <is>
          <t>SITUATIONS ET MOUVEMENTS</t>
        </is>
      </c>
      <c r="B10" s="1750" t="inlineStr">
        <is>
          <t>NATURE</t>
        </is>
      </c>
      <c r="C10" s="1843" t="inlineStr">
        <is>
          <t xml:space="preserve">A </t>
        </is>
      </c>
      <c r="D10" s="1844" t="inlineStr">
        <is>
          <t xml:space="preserve">AUGMENTATIONS  B </t>
        </is>
      </c>
      <c r="E10" s="1597" t="n"/>
      <c r="F10" s="1845" t="n"/>
      <c r="G10" s="1844" t="inlineStr">
        <is>
          <t xml:space="preserve">DIMINUTIONS  C </t>
        </is>
      </c>
      <c r="H10" s="1845" t="n"/>
      <c r="I10" s="1846" t="inlineStr">
        <is>
          <t xml:space="preserve">D = A + B - C </t>
        </is>
      </c>
    </row>
    <row r="11" ht="10" customHeight="1" s="1354">
      <c r="A11" s="1847" t="n"/>
      <c r="B11" s="1847" t="inlineStr">
        <is>
          <t>DU CONTRAT</t>
        </is>
      </c>
      <c r="C11" s="1848" t="n"/>
      <c r="D11" s="1849" t="n"/>
      <c r="F11" s="1850" t="n"/>
      <c r="G11" s="1849" t="n"/>
      <c r="H11" s="1850" t="n"/>
      <c r="I11" s="1851" t="n"/>
    </row>
    <row r="12" ht="10" customHeight="1" s="1354">
      <c r="A12" s="1847" t="n"/>
      <c r="B12" s="1847" t="inlineStr">
        <is>
          <t xml:space="preserve">(I ; M ; A)  </t>
        </is>
      </c>
      <c r="C12" s="1848" t="n"/>
      <c r="D12" s="1849" t="n"/>
      <c r="F12" s="1850" t="n"/>
      <c r="G12" s="1849" t="n"/>
      <c r="H12" s="1850" t="n"/>
      <c r="I12" s="1851" t="n"/>
    </row>
    <row r="13" ht="10" customHeight="1" s="1354">
      <c r="A13" s="1847" t="n"/>
      <c r="B13" s="1847" t="inlineStr">
        <is>
          <t>[1]</t>
        </is>
      </c>
      <c r="C13" s="1848" t="n"/>
      <c r="D13" s="1849" t="n"/>
      <c r="F13" s="1850" t="n"/>
      <c r="G13" s="1849" t="n"/>
      <c r="H13" s="1850" t="n"/>
      <c r="I13" s="1851" t="n"/>
    </row>
    <row r="14" ht="10" customHeight="1" s="1354">
      <c r="A14" s="1847" t="n"/>
      <c r="B14" s="1852" t="n"/>
      <c r="C14" s="1853" t="n"/>
      <c r="D14" s="1849" t="n"/>
      <c r="F14" s="1850" t="n"/>
      <c r="G14" s="1849" t="n"/>
      <c r="H14" s="1850" t="n"/>
      <c r="I14" s="1851" t="n"/>
    </row>
    <row r="15" ht="10" customHeight="1" s="1354">
      <c r="A15" s="1847" t="n"/>
      <c r="B15" s="1852" t="n"/>
      <c r="C15" s="1854" t="inlineStr">
        <is>
          <t xml:space="preserve">MONTANT </t>
        </is>
      </c>
      <c r="D15" s="1855" t="inlineStr">
        <is>
          <t>Acquisitions</t>
        </is>
      </c>
      <c r="E15" s="1856" t="inlineStr">
        <is>
          <t>Virements de</t>
        </is>
      </c>
      <c r="F15" s="1857" t="inlineStr">
        <is>
          <t xml:space="preserve">Suite à une </t>
        </is>
      </c>
      <c r="G15" s="1855" t="inlineStr">
        <is>
          <t xml:space="preserve">Cessions </t>
        </is>
      </c>
      <c r="H15" s="1858" t="inlineStr">
        <is>
          <t>Virements de</t>
        </is>
      </c>
      <c r="I15" s="1859" t="inlineStr">
        <is>
          <t xml:space="preserve">MONTANT </t>
        </is>
      </c>
    </row>
    <row r="16" ht="10" customHeight="1" s="1354">
      <c r="A16" s="1847" t="n"/>
      <c r="B16" s="1852" t="n"/>
      <c r="C16" s="1854" t="inlineStr">
        <is>
          <t>BRUT A</t>
        </is>
      </c>
      <c r="D16" s="1860" t="inlineStr">
        <is>
          <t>Apports</t>
        </is>
      </c>
      <c r="E16" s="1861" t="inlineStr">
        <is>
          <t xml:space="preserve">poste à poste </t>
        </is>
      </c>
      <c r="F16" s="1862" t="inlineStr">
        <is>
          <t>Réévaluation</t>
        </is>
      </c>
      <c r="G16" s="1860" t="inlineStr">
        <is>
          <t>Scissions</t>
        </is>
      </c>
      <c r="H16" s="1863" t="inlineStr">
        <is>
          <t xml:space="preserve">poste à </t>
        </is>
      </c>
      <c r="I16" s="1864" t="inlineStr">
        <is>
          <t>BRUT A LA</t>
        </is>
      </c>
    </row>
    <row r="17" ht="10" customHeight="1" s="1354">
      <c r="A17" s="1847" t="n"/>
      <c r="B17" s="1852" t="n"/>
      <c r="C17" s="1854" t="inlineStr">
        <is>
          <t xml:space="preserve">L'OUVERTURE  </t>
        </is>
      </c>
      <c r="D17" s="1860" t="inlineStr">
        <is>
          <t>Créations</t>
        </is>
      </c>
      <c r="E17" s="1861" t="n"/>
      <c r="F17" s="1862" t="inlineStr">
        <is>
          <t>Pratiquée</t>
        </is>
      </c>
      <c r="G17" s="1860" t="inlineStr">
        <is>
          <t>Hors service</t>
        </is>
      </c>
      <c r="H17" s="1863" t="inlineStr">
        <is>
          <t>poste</t>
        </is>
      </c>
      <c r="I17" s="1864" t="inlineStr">
        <is>
          <t>CLOTURE  DE</t>
        </is>
      </c>
    </row>
    <row r="18" ht="10" customHeight="1" s="1354">
      <c r="A18" s="1847" t="n"/>
      <c r="B18" s="1852" t="n"/>
      <c r="C18" s="1854" t="inlineStr">
        <is>
          <t>DE  L'EXERCICE</t>
        </is>
      </c>
      <c r="D18" s="1865" t="n"/>
      <c r="E18" s="1866" t="n"/>
      <c r="F18" s="1862" t="inlineStr">
        <is>
          <t>au cours</t>
        </is>
      </c>
      <c r="G18" s="1865" t="n"/>
      <c r="H18" s="1863" t="inlineStr">
        <is>
          <t> </t>
        </is>
      </c>
      <c r="I18" s="1864" t="inlineStr">
        <is>
          <t>L'EXERCICE</t>
        </is>
      </c>
    </row>
    <row r="19" ht="10" customHeight="1" s="1354">
      <c r="A19" s="1867" t="inlineStr">
        <is>
          <t>RUBRIQUES</t>
        </is>
      </c>
      <c r="B19" s="1868" t="n"/>
      <c r="C19" s="1869" t="inlineStr">
        <is>
          <t>L'EXERCICE</t>
        </is>
      </c>
      <c r="D19" s="1870" t="n"/>
      <c r="E19" s="1871" t="n"/>
      <c r="F19" s="1872" t="inlineStr">
        <is>
          <t>de l'exercice</t>
        </is>
      </c>
      <c r="G19" s="1870" t="n"/>
      <c r="H19" s="1873" t="n"/>
      <c r="I19" s="1874" t="n"/>
    </row>
    <row r="20" ht="20.15" customHeight="1" s="1354">
      <c r="A20" s="1875" t="inlineStr">
        <is>
          <t xml:space="preserve">Brevets, licences, logiciels et droits similaires </t>
        </is>
      </c>
      <c r="B20" s="1876" t="inlineStr">
        <is>
          <t> </t>
        </is>
      </c>
      <c r="C20" s="1877" t="n"/>
      <c r="D20" s="1878" t="n"/>
      <c r="E20" s="1879" t="n"/>
      <c r="F20" s="1880" t="n"/>
      <c r="G20" s="1878" t="n"/>
      <c r="H20" s="1880" t="n"/>
      <c r="I20" s="1881" t="n"/>
    </row>
    <row r="21" ht="20.15" customHeight="1" s="1354">
      <c r="A21" s="1875" t="inlineStr">
        <is>
          <t xml:space="preserve">Fonds commercial et droit au bail </t>
        </is>
      </c>
      <c r="B21" s="1882" t="inlineStr">
        <is>
          <t> </t>
        </is>
      </c>
      <c r="C21" s="1883" t="n"/>
      <c r="D21" s="1884" t="n"/>
      <c r="E21" s="1885" t="n"/>
      <c r="F21" s="1886" t="n"/>
      <c r="G21" s="1884" t="n"/>
      <c r="H21" s="1886" t="n"/>
      <c r="I21" s="1887" t="n"/>
    </row>
    <row r="22" ht="20.15" customHeight="1" s="1354">
      <c r="A22" s="1875" t="inlineStr">
        <is>
          <t xml:space="preserve">Autres immobilisations incorporelles </t>
        </is>
      </c>
      <c r="B22" s="1888" t="inlineStr">
        <is>
          <t> </t>
        </is>
      </c>
      <c r="C22" s="1889" t="n"/>
      <c r="D22" s="1890" t="n"/>
      <c r="E22" s="1891" t="n"/>
      <c r="F22" s="1892" t="n"/>
      <c r="G22" s="1890" t="n"/>
      <c r="H22" s="1892" t="n"/>
      <c r="I22" s="1893" t="n"/>
    </row>
    <row r="23" ht="20.15" customHeight="1" s="1354">
      <c r="A23" s="1758" t="inlineStr">
        <is>
          <t xml:space="preserve"> SOUS TOTAL : IMMOBILISATIONS INCORPORELLES </t>
        </is>
      </c>
      <c r="B23" s="1894" t="inlineStr">
        <is>
          <t>  </t>
        </is>
      </c>
      <c r="C23" s="1895">
        <f>SUM(C20:C22)</f>
        <v/>
      </c>
      <c r="D23" s="1896" t="n"/>
      <c r="E23" s="1897" t="n"/>
      <c r="F23" s="1898" t="n"/>
      <c r="G23" s="1896" t="n"/>
      <c r="H23" s="1898" t="n"/>
      <c r="I23" s="1899" t="n"/>
    </row>
    <row r="24" ht="20.15" customHeight="1" s="1354">
      <c r="A24" s="1875" t="inlineStr">
        <is>
          <t xml:space="preserve">Terrains </t>
        </is>
      </c>
      <c r="B24" s="1900" t="inlineStr">
        <is>
          <t>  </t>
        </is>
      </c>
      <c r="C24" s="1901" t="n"/>
      <c r="D24" s="1902" t="n"/>
      <c r="E24" s="1768" t="n"/>
      <c r="F24" s="1903" t="n"/>
      <c r="G24" s="1902" t="n"/>
      <c r="H24" s="1903" t="n"/>
      <c r="I24" s="1904">
        <f>SUM(C24:H24)</f>
        <v/>
      </c>
    </row>
    <row r="25" ht="20.15" customHeight="1" s="1354">
      <c r="A25" s="1875" t="inlineStr">
        <is>
          <t xml:space="preserve">Bâtiments </t>
        </is>
      </c>
      <c r="B25" s="1905" t="inlineStr">
        <is>
          <t>  </t>
        </is>
      </c>
      <c r="C25" s="1906" t="n"/>
      <c r="D25" s="1907" t="n"/>
      <c r="E25" s="1772" t="n"/>
      <c r="F25" s="1908" t="n"/>
      <c r="G25" s="1907" t="n"/>
      <c r="H25" s="1908" t="n"/>
      <c r="I25" s="1904">
        <f>SUM(C25:H25)</f>
        <v/>
      </c>
    </row>
    <row r="26" ht="20.15" customHeight="1" s="1354">
      <c r="A26" s="1875" t="inlineStr">
        <is>
          <t xml:space="preserve">Aménagements, agencements et installations </t>
        </is>
      </c>
      <c r="B26" s="1905" t="inlineStr">
        <is>
          <t>  </t>
        </is>
      </c>
      <c r="C26" s="1906" t="n"/>
      <c r="D26" s="1907" t="n"/>
      <c r="E26" s="1772" t="n"/>
      <c r="F26" s="1908" t="n"/>
      <c r="G26" s="1907" t="n"/>
      <c r="H26" s="1908" t="n"/>
      <c r="I26" s="1904">
        <f>SUM(C26:H26)</f>
        <v/>
      </c>
    </row>
    <row r="27" ht="20.15" customHeight="1" s="1354">
      <c r="A27" s="1875" t="inlineStr">
        <is>
          <t xml:space="preserve">Matériel, mobilier et actifs biologiques </t>
        </is>
      </c>
      <c r="B27" s="1905" t="inlineStr">
        <is>
          <t>  </t>
        </is>
      </c>
      <c r="C27" s="1906" t="n"/>
      <c r="D27" s="1907" t="n"/>
      <c r="E27" s="1772" t="n"/>
      <c r="F27" s="1908" t="n"/>
      <c r="G27" s="1907" t="n"/>
      <c r="H27" s="1908" t="n"/>
      <c r="I27" s="1904">
        <f>SUM(C27:H27)</f>
        <v/>
      </c>
    </row>
    <row r="28" ht="20.15" customHeight="1" s="1354">
      <c r="A28" s="1875" t="inlineStr">
        <is>
          <t xml:space="preserve">Matériel de transport </t>
        </is>
      </c>
      <c r="B28" s="1909" t="inlineStr">
        <is>
          <t>  </t>
        </is>
      </c>
      <c r="C28" s="1910" t="n"/>
      <c r="D28" s="1911" t="n"/>
      <c r="E28" s="1777" t="n"/>
      <c r="F28" s="1912" t="n"/>
      <c r="G28" s="1911" t="n"/>
      <c r="H28" s="1912" t="n"/>
      <c r="I28" s="1904">
        <f>SUM(C28:H28)</f>
        <v/>
      </c>
    </row>
    <row r="29" ht="20.15" customHeight="1" s="1354">
      <c r="A29" s="1758" t="inlineStr">
        <is>
          <t xml:space="preserve">SOUS TOTAL : IMMOBILISATIONS CORPORELLES </t>
        </is>
      </c>
      <c r="B29" s="1913" t="inlineStr">
        <is>
          <t>  </t>
        </is>
      </c>
      <c r="C29" s="1914">
        <f>SUM(C24:C28)</f>
        <v/>
      </c>
      <c r="D29" s="1915" t="n"/>
      <c r="E29" s="1762" t="n"/>
      <c r="F29" s="1916" t="n"/>
      <c r="G29" s="1915" t="n"/>
      <c r="H29" s="1916" t="n"/>
      <c r="I29" s="1917" t="n"/>
    </row>
    <row r="30" ht="20.15" customHeight="1" s="1354">
      <c r="A30" s="1918" t="inlineStr">
        <is>
          <t> </t>
        </is>
      </c>
      <c r="B30" s="1919" t="inlineStr">
        <is>
          <t> </t>
        </is>
      </c>
      <c r="C30" s="1920" t="n"/>
      <c r="D30" s="1921" t="n"/>
      <c r="E30" s="1922" t="n"/>
      <c r="F30" s="1923" t="n"/>
      <c r="G30" s="1921" t="n"/>
      <c r="H30" s="1923" t="n"/>
      <c r="I30" s="1924" t="n"/>
    </row>
    <row r="31" ht="20.15" customHeight="1" s="1354">
      <c r="A31" s="1925" t="inlineStr">
        <is>
          <t xml:space="preserve">TOTAL GENERAL </t>
        </is>
      </c>
      <c r="B31" s="1926" t="inlineStr">
        <is>
          <t> </t>
        </is>
      </c>
      <c r="C31" s="1927">
        <f>+C29+C23</f>
        <v/>
      </c>
      <c r="D31" s="1928" t="n"/>
      <c r="E31" s="1929" t="n"/>
      <c r="F31" s="1930" t="n"/>
      <c r="G31" s="1928" t="n"/>
      <c r="H31" s="1930" t="n"/>
      <c r="I31" s="1931" t="n"/>
    </row>
    <row r="32" ht="6" customHeight="1" s="1354"/>
    <row r="33" ht="12" customHeight="1" s="1354">
      <c r="A33" s="1932" t="inlineStr">
        <is>
          <t xml:space="preserve">[1] I : Crédit-bail immobilier ; M : Crédit-bail mobilier ; A : Autres contrats (dédoubler le poste si montants significatifs) </t>
        </is>
      </c>
    </row>
    <row r="34" ht="12" customHeight="1" s="1354">
      <c r="A34" s="1933" t="n"/>
      <c r="B34" s="1934" t="n"/>
      <c r="C34" s="1934" t="n"/>
      <c r="D34" s="1934" t="n"/>
      <c r="E34" s="1934" t="n"/>
      <c r="F34" s="1934" t="n"/>
      <c r="G34" s="1934" t="n"/>
      <c r="H34" s="1934" t="n"/>
      <c r="I34" s="1934" t="n"/>
    </row>
    <row r="35" ht="12" customHeight="1" s="1354">
      <c r="A35" s="1933" t="inlineStr">
        <is>
          <t xml:space="preserve">Commentaire : </t>
        </is>
      </c>
      <c r="B35" s="1934" t="n"/>
      <c r="C35" s="1934" t="n"/>
      <c r="D35" s="1934" t="n"/>
      <c r="E35" s="1934" t="n"/>
      <c r="F35" s="1934" t="n"/>
      <c r="G35" s="1934" t="n"/>
      <c r="H35" s="1934" t="n"/>
      <c r="I35" s="1934" t="n"/>
    </row>
    <row r="36" ht="12" customHeight="1" s="1354">
      <c r="A36" s="1935" t="inlineStr">
        <is>
          <t xml:space="preserve">Indiquer la nature du bien, le nom du bailleur et la durée du bail. </t>
        </is>
      </c>
    </row>
    <row r="37" ht="12" customHeight="1" s="1354">
      <c r="A37" s="1936" t="n"/>
      <c r="B37" s="1934" t="n"/>
      <c r="C37" s="1934" t="n"/>
      <c r="D37" s="1934" t="n"/>
      <c r="E37" s="1934" t="n"/>
      <c r="F37" s="1934" t="n"/>
      <c r="G37" s="1934" t="n"/>
      <c r="H37" s="1934" t="n"/>
      <c r="I37" s="1934" t="n"/>
    </row>
    <row r="38" ht="12" customHeight="1" s="1354">
      <c r="A38" s="1936" t="n"/>
      <c r="B38" s="1934" t="n"/>
      <c r="C38" s="1934" t="n"/>
      <c r="D38" s="1934" t="n"/>
      <c r="E38" s="1934" t="n"/>
      <c r="F38" s="1934" t="n"/>
      <c r="G38" s="1934" t="n"/>
      <c r="H38" s="1934" t="n"/>
      <c r="I38" s="1934" t="n"/>
    </row>
    <row r="39" ht="12" customHeight="1" s="1354">
      <c r="A39" s="1937" t="n"/>
    </row>
    <row r="40" ht="12" customHeight="1" s="1354">
      <c r="A40" s="1937" t="n"/>
    </row>
  </sheetData>
  <mergeCells count="9">
    <mergeCell ref="E6:F6"/>
    <mergeCell ref="I10:I14"/>
    <mergeCell ref="D10:F14"/>
    <mergeCell ref="A36:I36"/>
    <mergeCell ref="C10:C14"/>
    <mergeCell ref="A9:I9"/>
    <mergeCell ref="A33:H33"/>
    <mergeCell ref="A8:I8"/>
    <mergeCell ref="G10:H14"/>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G16" activeCellId="0" sqref="G16"/>
    </sheetView>
  </sheetViews>
  <sheetFormatPr baseColWidth="8" defaultColWidth="10.8125" defaultRowHeight="12" zeroHeight="0" outlineLevelRow="0"/>
  <cols>
    <col width="49.44" customWidth="1" style="1583" min="1" max="1"/>
    <col width="25.72" customWidth="1" style="1583" min="2" max="2"/>
    <col width="17.44" customWidth="1" style="1583" min="3" max="4"/>
    <col width="22.44" customWidth="1" style="1583" min="5" max="5"/>
    <col width="21.81" customWidth="1" style="1583" min="6" max="6"/>
    <col width="10.81" customWidth="1" style="1583" min="7" max="257"/>
  </cols>
  <sheetData>
    <row r="1"/>
    <row r="2" ht="12" customHeight="1" s="1354">
      <c r="A2" s="1938" t="n"/>
    </row>
    <row r="3" ht="12" customHeight="1" s="1354">
      <c r="A3" s="1939" t="n"/>
    </row>
    <row r="4" ht="12" customHeight="1" s="1354">
      <c r="A4" s="1939" t="n"/>
    </row>
    <row r="5" ht="14" customHeight="1" s="1354">
      <c r="A5" s="1748" t="inlineStr">
        <is>
          <t>Désignation entité : ENTREPRISE TEST SARL</t>
        </is>
      </c>
      <c r="B5" s="1549" t="n"/>
      <c r="E5" s="1591" t="inlineStr">
        <is>
          <t>Exercice clos le : 31/12/2025</t>
        </is>
      </c>
      <c r="F5" s="1578" t="n"/>
    </row>
    <row r="6" ht="13" customHeight="1" s="1354">
      <c r="A6" s="1749" t="inlineStr">
        <is>
          <t>Numéro d’identification : CD/KNG/RCCM/23-B-01234</t>
        </is>
      </c>
      <c r="B6" s="1591" t="n"/>
      <c r="E6" s="1591" t="inlineStr">
        <is>
          <t>Durée (en mois) : 12</t>
        </is>
      </c>
      <c r="F6" s="1582" t="n"/>
    </row>
    <row r="7" ht="6" customHeight="1" s="1354">
      <c r="A7" s="1940" t="n"/>
    </row>
    <row r="8" ht="14" customHeight="1" s="1354">
      <c r="A8" s="1941" t="inlineStr">
        <is>
          <t>NOTE 3C</t>
        </is>
      </c>
    </row>
    <row r="9" ht="14" customHeight="1" s="1354">
      <c r="A9" s="1942" t="inlineStr">
        <is>
          <t>IMMOBILISATION (AMORTISSEMENTS)</t>
        </is>
      </c>
    </row>
    <row r="10" ht="6.75" customHeight="1" s="1354"/>
    <row r="11" ht="12" customHeight="1" s="1354">
      <c r="A11" s="1699" t="inlineStr">
        <is>
          <t>SITUATIONS ET MOUVEMENTS</t>
        </is>
      </c>
      <c r="B11" s="1943" t="inlineStr">
        <is>
          <t>A</t>
        </is>
      </c>
      <c r="C11" s="1944" t="inlineStr">
        <is>
          <t>B</t>
        </is>
      </c>
      <c r="D11" s="1944" t="n"/>
      <c r="E11" s="1944" t="inlineStr">
        <is>
          <t>DIMINUTIONS : Amortissements relatifs aux éléments sortis de l’actif</t>
        </is>
      </c>
      <c r="F11" s="1944" t="inlineStr">
        <is>
          <t>E= A + B +C-D</t>
        </is>
      </c>
    </row>
    <row r="12" ht="12" customHeight="1" s="1354">
      <c r="A12" s="1826" t="n"/>
      <c r="B12" s="1816" t="n"/>
      <c r="C12" s="1600" t="n"/>
      <c r="D12" s="1945" t="n"/>
      <c r="E12" s="1600" t="n"/>
      <c r="F12" s="1600" t="n"/>
    </row>
    <row r="13" ht="12" customHeight="1" s="1354">
      <c r="A13" s="1826" t="n"/>
      <c r="B13" s="1816" t="n"/>
      <c r="C13" s="1600" t="n"/>
      <c r="D13" s="1945" t="inlineStr">
        <is>
          <t>C</t>
        </is>
      </c>
      <c r="E13" s="1600" t="n"/>
      <c r="F13" s="1600" t="n"/>
    </row>
    <row r="14" ht="46.5" customHeight="1" s="1354">
      <c r="A14" s="1946" t="inlineStr">
        <is>
          <t>RUBRIQUES</t>
        </is>
      </c>
      <c r="B14" s="1947" t="inlineStr">
        <is>
          <t>AMORTISSEMENTS CUMULES A L’OUVERTURE DE L’EXERCICE</t>
        </is>
      </c>
      <c r="C14" s="1947" t="inlineStr">
        <is>
          <t>AUGMENTATIONS : DOTATIONS DE l’EXERCICE</t>
        </is>
      </c>
      <c r="D14" s="1947" t="inlineStr">
        <is>
          <t>COMPLEMENT D AMORTISSEMENT</t>
        </is>
      </c>
      <c r="E14" s="1947" t="inlineStr">
        <is>
          <t>DIMINUTIONS : Amortissements relatifs aux éléments sortis de l’actif</t>
        </is>
      </c>
      <c r="F14" s="1947" t="inlineStr">
        <is>
          <t>CUMUL DES AMORTISSEMENTS A LA CLOTURE DE L’EXERCICE</t>
        </is>
      </c>
    </row>
    <row r="15" ht="22" customHeight="1" s="1354">
      <c r="A15" s="1948" t="inlineStr">
        <is>
          <t>Frais de développement et de prospection</t>
        </is>
      </c>
      <c r="B15" s="2778">
        <f>SUMIF(BALANCE_N1!$A$2:$A$70,"2811*",BALANCE_N1!$G$2:$G$70)-SUMIF(BALANCE_N1!$A$2:$A$70,"2811*",BALANCE_N1!$F$2:$F$70)</f>
        <v/>
      </c>
      <c r="C15" s="2778">
        <f>MAX(0,(SUMIF(BALANCE!$A$2:$A$70,"2811*",BALANCE!$G$2:$G$70)-SUMIF(BALANCE!$A$2:$A$70,"2811*",BALANCE!$F$2:$F$70))-(SUMIF(BALANCE_N1!$A$2:$A$70,"2811*",BALANCE_N1!$G$2:$G$70)-SUMIF(BALANCE_N1!$A$2:$A$70,"2811*",BALANCE_N1!$F$2:$F$70)))</f>
        <v/>
      </c>
      <c r="D15" s="1949" t="n"/>
      <c r="E15" s="2778">
        <f>MAX(0,(SUMIF(BALANCE_N1!$A$2:$A$70,"2811*",BALANCE_N1!$G$2:$G$70)-SUMIF(BALANCE_N1!$A$2:$A$70,"2811*",BALANCE_N1!$F$2:$F$70))-(SUMIF(BALANCE!$A$2:$A$70,"2811*",BALANCE!$G$2:$G$70)-SUMIF(BALANCE!$A$2:$A$70,"2811*",BALANCE!$F$2:$F$70)))</f>
        <v/>
      </c>
      <c r="F15" s="1949">
        <f>B15+C15-E15</f>
        <v/>
      </c>
    </row>
    <row r="16" ht="22" customHeight="1" s="1354">
      <c r="A16" s="1948" t="inlineStr">
        <is>
          <t>Brevets, licences, logiciels et droits similaires</t>
        </is>
      </c>
      <c r="B16" s="2778">
        <f>SUMIF(BALANCE_N1!$A$2:$A$70,"2814*",BALANCE_N1!$G$2:$G$70)-SUMIF(BALANCE_N1!$A$2:$A$70,"2814*",BALANCE_N1!$F$2:$F$70)+SUMIF(BALANCE_N1!$A$2:$A$70,"2812*",BALANCE_N1!$G$2:$G$70)-SUMIF(BALANCE_N1!$A$2:$A$70,"2812*",BALANCE_N1!$F$2:$F$70)+SUMIF(BALANCE_N1!$A$2:$A$70,"2813*",BALANCE_N1!$G$2:$G$70)-SUMIF(BALANCE_N1!$A$2:$A$70,"2813*",BALANCE_N1!$F$2:$F$70)</f>
        <v/>
      </c>
      <c r="C16" s="2778">
        <f>MAX(0,(SUMIF(BALANCE!$A$2:$A$70,"2814*",BALANCE!$G$2:$G$70)-SUMIF(BALANCE!$A$2:$A$70,"2814*",BALANCE!$F$2:$F$70)+SUMIF(BALANCE!$A$2:$A$70,"2812*",BALANCE!$G$2:$G$70)-SUMIF(BALANCE!$A$2:$A$70,"2812*",BALANCE!$F$2:$F$70)+SUMIF(BALANCE!$A$2:$A$70,"2813*",BALANCE!$G$2:$G$70)-SUMIF(BALANCE!$A$2:$A$70,"2813*",BALANCE!$F$2:$F$70))-(SUMIF(BALANCE_N1!$A$2:$A$70,"2814*",BALANCE_N1!$G$2:$G$70)-SUMIF(BALANCE_N1!$A$2:$A$70,"2814*",BALANCE_N1!$F$2:$F$70)+SUMIF(BALANCE_N1!$A$2:$A$70,"2812*",BALANCE_N1!$G$2:$G$70)-SUMIF(BALANCE_N1!$A$2:$A$70,"2812*",BALANCE_N1!$F$2:$F$70)+SUMIF(BALANCE_N1!$A$2:$A$70,"2813*",BALANCE_N1!$G$2:$G$70)-SUMIF(BALANCE_N1!$A$2:$A$70,"2813*",BALANCE_N1!$F$2:$F$70)))</f>
        <v/>
      </c>
      <c r="D16" s="1949" t="n"/>
      <c r="E16" s="2778">
        <f>MAX(0,(SUMIF(BALANCE_N1!$A$2:$A$70,"2814*",BALANCE_N1!$G$2:$G$70)-SUMIF(BALANCE_N1!$A$2:$A$70,"2814*",BALANCE_N1!$F$2:$F$70)+SUMIF(BALANCE_N1!$A$2:$A$70,"2812*",BALANCE_N1!$G$2:$G$70)-SUMIF(BALANCE_N1!$A$2:$A$70,"2812*",BALANCE_N1!$F$2:$F$70)+SUMIF(BALANCE_N1!$A$2:$A$70,"2813*",BALANCE_N1!$G$2:$G$70)-SUMIF(BALANCE_N1!$A$2:$A$70,"2813*",BALANCE_N1!$F$2:$F$70))-(SUMIF(BALANCE!$A$2:$A$70,"2814*",BALANCE!$G$2:$G$70)-SUMIF(BALANCE!$A$2:$A$70,"2814*",BALANCE!$F$2:$F$70)+SUMIF(BALANCE!$A$2:$A$70,"2812*",BALANCE!$G$2:$G$70)-SUMIF(BALANCE!$A$2:$A$70,"2812*",BALANCE!$F$2:$F$70)+SUMIF(BALANCE!$A$2:$A$70,"2813*",BALANCE!$G$2:$G$70)-SUMIF(BALANCE!$A$2:$A$70,"2813*",BALANCE!$F$2:$F$70)))</f>
        <v/>
      </c>
      <c r="F16" s="1949">
        <f>B16+C16-E16</f>
        <v/>
      </c>
    </row>
    <row r="17" ht="22" customHeight="1" s="1354">
      <c r="A17" s="1948" t="inlineStr">
        <is>
          <t>Fonds commercial et droit au bail</t>
        </is>
      </c>
      <c r="B17" s="2778">
        <f>SUMIF(BALANCE_N1!$A$2:$A$70,"2816*",BALANCE_N1!$G$2:$G$70)-SUMIF(BALANCE_N1!$A$2:$A$70,"2816*",BALANCE_N1!$F$2:$F$70)+SUMIF(BALANCE_N1!$A$2:$A$70,"2815*",BALANCE_N1!$G$2:$G$70)-SUMIF(BALANCE_N1!$A$2:$A$70,"2815*",BALANCE_N1!$F$2:$F$70)</f>
        <v/>
      </c>
      <c r="C17" s="2778">
        <f>MAX(0,(SUMIF(BALANCE!$A$2:$A$70,"2816*",BALANCE!$G$2:$G$70)-SUMIF(BALANCE!$A$2:$A$70,"2816*",BALANCE!$F$2:$F$70)+SUMIF(BALANCE!$A$2:$A$70,"2815*",BALANCE!$G$2:$G$70)-SUMIF(BALANCE!$A$2:$A$70,"2815*",BALANCE!$F$2:$F$70))-(SUMIF(BALANCE_N1!$A$2:$A$70,"2816*",BALANCE_N1!$G$2:$G$70)-SUMIF(BALANCE_N1!$A$2:$A$70,"2816*",BALANCE_N1!$F$2:$F$70)+SUMIF(BALANCE_N1!$A$2:$A$70,"2815*",BALANCE_N1!$G$2:$G$70)-SUMIF(BALANCE_N1!$A$2:$A$70,"2815*",BALANCE_N1!$F$2:$F$70)))</f>
        <v/>
      </c>
      <c r="D17" s="1949" t="n"/>
      <c r="E17" s="2778">
        <f>MAX(0,(SUMIF(BALANCE_N1!$A$2:$A$70,"2816*",BALANCE_N1!$G$2:$G$70)-SUMIF(BALANCE_N1!$A$2:$A$70,"2816*",BALANCE_N1!$F$2:$F$70)+SUMIF(BALANCE_N1!$A$2:$A$70,"2815*",BALANCE_N1!$G$2:$G$70)-SUMIF(BALANCE_N1!$A$2:$A$70,"2815*",BALANCE_N1!$F$2:$F$70))-(SUMIF(BALANCE!$A$2:$A$70,"2816*",BALANCE!$G$2:$G$70)-SUMIF(BALANCE!$A$2:$A$70,"2816*",BALANCE!$F$2:$F$70)+SUMIF(BALANCE!$A$2:$A$70,"2815*",BALANCE!$G$2:$G$70)-SUMIF(BALANCE!$A$2:$A$70,"2815*",BALANCE!$F$2:$F$70)))</f>
        <v/>
      </c>
      <c r="F17" s="1949">
        <f>B17+C17-E17</f>
        <v/>
      </c>
    </row>
    <row r="18" ht="22" customHeight="1" s="1354">
      <c r="A18" s="1950" t="inlineStr">
        <is>
          <t>Autres immobilisations incorporelles</t>
        </is>
      </c>
      <c r="B18" s="2778">
        <f>SUMIF(BALANCE_N1!$A$2:$A$70,"2818*",BALANCE_N1!$G$2:$G$70)-SUMIF(BALANCE_N1!$A$2:$A$70,"2818*",BALANCE_N1!$F$2:$F$70)+SUMIF(BALANCE_N1!$A$2:$A$70,"2817*",BALANCE_N1!$G$2:$G$70)-SUMIF(BALANCE_N1!$A$2:$A$70,"2817*",BALANCE_N1!$F$2:$F$70)</f>
        <v/>
      </c>
      <c r="C18" s="2778">
        <f>MAX(0,(SUMIF(BALANCE!$A$2:$A$70,"2818*",BALANCE!$G$2:$G$70)-SUMIF(BALANCE!$A$2:$A$70,"2818*",BALANCE!$F$2:$F$70)+SUMIF(BALANCE!$A$2:$A$70,"2817*",BALANCE!$G$2:$G$70)-SUMIF(BALANCE!$A$2:$A$70,"2817*",BALANCE!$F$2:$F$70))-(SUMIF(BALANCE_N1!$A$2:$A$70,"2818*",BALANCE_N1!$G$2:$G$70)-SUMIF(BALANCE_N1!$A$2:$A$70,"2818*",BALANCE_N1!$F$2:$F$70)+SUMIF(BALANCE_N1!$A$2:$A$70,"2817*",BALANCE_N1!$G$2:$G$70)-SUMIF(BALANCE_N1!$A$2:$A$70,"2817*",BALANCE_N1!$F$2:$F$70)))</f>
        <v/>
      </c>
      <c r="D18" s="1949" t="n"/>
      <c r="E18" s="2778">
        <f>MAX(0,(SUMIF(BALANCE_N1!$A$2:$A$70,"2818*",BALANCE_N1!$G$2:$G$70)-SUMIF(BALANCE_N1!$A$2:$A$70,"2818*",BALANCE_N1!$F$2:$F$70)+SUMIF(BALANCE_N1!$A$2:$A$70,"2817*",BALANCE_N1!$G$2:$G$70)-SUMIF(BALANCE_N1!$A$2:$A$70,"2817*",BALANCE_N1!$F$2:$F$70))-(SUMIF(BALANCE!$A$2:$A$70,"2818*",BALANCE!$G$2:$G$70)-SUMIF(BALANCE!$A$2:$A$70,"2818*",BALANCE!$F$2:$F$70)+SUMIF(BALANCE!$A$2:$A$70,"2817*",BALANCE!$G$2:$G$70)-SUMIF(BALANCE!$A$2:$A$70,"2817*",BALANCE!$F$2:$F$70)))</f>
        <v/>
      </c>
      <c r="F18" s="1949">
        <f>B18+C18-E18</f>
        <v/>
      </c>
    </row>
    <row r="19" ht="22" customHeight="1" s="1354">
      <c r="A19" s="1951" t="inlineStr">
        <is>
          <t>SOUS TOTAL : IMMOBILISATIONS INCORPORELLES</t>
        </is>
      </c>
      <c r="B19" s="1952">
        <f>SUM(B15:B18)</f>
        <v/>
      </c>
      <c r="C19" s="1952">
        <f>SUM(C15:C18)</f>
        <v/>
      </c>
      <c r="D19" s="1952" t="n"/>
      <c r="E19" s="1952">
        <f>SUM(E15:E18)</f>
        <v/>
      </c>
      <c r="F19" s="1952">
        <f>SUM(F15:F18)</f>
        <v/>
      </c>
    </row>
    <row r="20" ht="22" customHeight="1" s="1354">
      <c r="A20" s="1948" t="inlineStr">
        <is>
          <t>Terrains hors immeuble de placement</t>
        </is>
      </c>
      <c r="B20" s="2778">
        <f>SUMIF(BALANCE_N1!$A$2:$A$70,"282*",BALANCE_N1!$G$2:$G$70)-SUMIF(BALANCE_N1!$A$2:$A$70,"282*",BALANCE_N1!$F$2:$F$70)</f>
        <v/>
      </c>
      <c r="C20" s="2778">
        <f>MAX(0,(SUMIF(BALANCE!$A$2:$A$70,"282*",BALANCE!$G$2:$G$70)-SUMIF(BALANCE!$A$2:$A$70,"282*",BALANCE!$F$2:$F$70))-(SUMIF(BALANCE_N1!$A$2:$A$70,"282*",BALANCE_N1!$G$2:$G$70)-SUMIF(BALANCE_N1!$A$2:$A$70,"282*",BALANCE_N1!$F$2:$F$70)))</f>
        <v/>
      </c>
      <c r="D20" s="1949" t="n"/>
      <c r="E20" s="2778">
        <f>MAX(0,(SUMIF(BALANCE_N1!$A$2:$A$70,"282*",BALANCE_N1!$G$2:$G$70)-SUMIF(BALANCE_N1!$A$2:$A$70,"282*",BALANCE_N1!$F$2:$F$70))-(SUMIF(BALANCE!$A$2:$A$70,"282*",BALANCE!$G$2:$G$70)-SUMIF(BALANCE!$A$2:$A$70,"282*",BALANCE!$F$2:$F$70)))</f>
        <v/>
      </c>
      <c r="F20" s="1949">
        <f>B20+C20-E20</f>
        <v/>
      </c>
    </row>
    <row r="21" ht="22" customHeight="1" s="1354">
      <c r="A21" s="1948" t="inlineStr">
        <is>
          <t>Terrains-immeuble de placement</t>
        </is>
      </c>
      <c r="B21" s="1949" t="n"/>
      <c r="C21" s="1949" t="n"/>
      <c r="D21" s="1949" t="n"/>
      <c r="E21" s="1949" t="n"/>
      <c r="F21" s="1949">
        <f>B21+C21-E21</f>
        <v/>
      </c>
    </row>
    <row r="22" ht="22" customHeight="1" s="1354">
      <c r="A22" s="1948" t="inlineStr">
        <is>
          <t>Bâtiments hors immeuble de placement</t>
        </is>
      </c>
      <c r="B22" s="2778">
        <f>SUMIF(BALANCE_N1!$A$2:$A$70,"2832*",BALANCE_N1!$G$2:$G$70)-SUMIF(BALANCE_N1!$A$2:$A$70,"2832*",BALANCE_N1!$F$2:$F$70)+SUMIF(BALANCE_N1!$A$2:$A$70,"2837*",BALANCE_N1!$G$2:$G$70)-SUMIF(BALANCE_N1!$A$2:$A$70,"2837*",BALANCE_N1!$F$2:$F$70)+SUMIF(BALANCE_N1!$A$2:$A$70,"2831*",BALANCE_N1!$G$2:$G$70)-SUMIF(BALANCE_N1!$A$2:$A$70,"2831*",BALANCE_N1!$F$2:$F$70)+SUMIF(BALANCE_N1!$A$2:$A$70,"2833*",BALANCE_N1!$G$2:$G$70)-SUMIF(BALANCE_N1!$A$2:$A$70,"2833*",BALANCE_N1!$F$2:$F$70)</f>
        <v/>
      </c>
      <c r="C22" s="2778">
        <f>MAX(0,(SUMIF(BALANCE!$A$2:$A$70,"2832*",BALANCE!$G$2:$G$70)-SUMIF(BALANCE!$A$2:$A$70,"2832*",BALANCE!$F$2:$F$70)+SUMIF(BALANCE!$A$2:$A$70,"2837*",BALANCE!$G$2:$G$70)-SUMIF(BALANCE!$A$2:$A$70,"2837*",BALANCE!$F$2:$F$70)+SUMIF(BALANCE!$A$2:$A$70,"2831*",BALANCE!$G$2:$G$70)-SUMIF(BALANCE!$A$2:$A$70,"2831*",BALANCE!$F$2:$F$70)+SUMIF(BALANCE!$A$2:$A$70,"2833*",BALANCE!$G$2:$G$70)-SUMIF(BALANCE!$A$2:$A$70,"2833*",BALANCE!$F$2:$F$70))-(SUMIF(BALANCE_N1!$A$2:$A$70,"2832*",BALANCE_N1!$G$2:$G$70)-SUMIF(BALANCE_N1!$A$2:$A$70,"2832*",BALANCE_N1!$F$2:$F$70)+SUMIF(BALANCE_N1!$A$2:$A$70,"2837*",BALANCE_N1!$G$2:$G$70)-SUMIF(BALANCE_N1!$A$2:$A$70,"2837*",BALANCE_N1!$F$2:$F$70)+SUMIF(BALANCE_N1!$A$2:$A$70,"2831*",BALANCE_N1!$G$2:$G$70)-SUMIF(BALANCE_N1!$A$2:$A$70,"2831*",BALANCE_N1!$F$2:$F$70)+SUMIF(BALANCE_N1!$A$2:$A$70,"2833*",BALANCE_N1!$G$2:$G$70)-SUMIF(BALANCE_N1!$A$2:$A$70,"2833*",BALANCE_N1!$F$2:$F$70)))</f>
        <v/>
      </c>
      <c r="D22" s="1949" t="n"/>
      <c r="E22" s="2778">
        <f>MAX(0,(SUMIF(BALANCE_N1!$A$2:$A$70,"2832*",BALANCE_N1!$G$2:$G$70)-SUMIF(BALANCE_N1!$A$2:$A$70,"2832*",BALANCE_N1!$F$2:$F$70)+SUMIF(BALANCE_N1!$A$2:$A$70,"2837*",BALANCE_N1!$G$2:$G$70)-SUMIF(BALANCE_N1!$A$2:$A$70,"2837*",BALANCE_N1!$F$2:$F$70)+SUMIF(BALANCE_N1!$A$2:$A$70,"2831*",BALANCE_N1!$G$2:$G$70)-SUMIF(BALANCE_N1!$A$2:$A$70,"2831*",BALANCE_N1!$F$2:$F$70)+SUMIF(BALANCE_N1!$A$2:$A$70,"2833*",BALANCE_N1!$G$2:$G$70)-SUMIF(BALANCE_N1!$A$2:$A$70,"2833*",BALANCE_N1!$F$2:$F$70))-(SUMIF(BALANCE!$A$2:$A$70,"2832*",BALANCE!$G$2:$G$70)-SUMIF(BALANCE!$A$2:$A$70,"2832*",BALANCE!$F$2:$F$70)+SUMIF(BALANCE!$A$2:$A$70,"2837*",BALANCE!$G$2:$G$70)-SUMIF(BALANCE!$A$2:$A$70,"2837*",BALANCE!$F$2:$F$70)+SUMIF(BALANCE!$A$2:$A$70,"2831*",BALANCE!$G$2:$G$70)-SUMIF(BALANCE!$A$2:$A$70,"2831*",BALANCE!$F$2:$F$70)+SUMIF(BALANCE!$A$2:$A$70,"2833*",BALANCE!$G$2:$G$70)-SUMIF(BALANCE!$A$2:$A$70,"2833*",BALANCE!$F$2:$F$70)))</f>
        <v/>
      </c>
      <c r="F22" s="1949">
        <f>B22+C22-E22</f>
        <v/>
      </c>
    </row>
    <row r="23" ht="22" customHeight="1" s="1354">
      <c r="A23" s="1948" t="inlineStr">
        <is>
          <t>Bâtiments-immeuble de placement</t>
        </is>
      </c>
      <c r="B23" s="1953" t="n">
        <v>0</v>
      </c>
      <c r="C23" s="1953" t="n">
        <v>0</v>
      </c>
      <c r="D23" s="1953" t="n"/>
      <c r="E23" s="1953" t="n"/>
      <c r="F23" s="1953">
        <f>B23+C23-E23</f>
        <v/>
      </c>
      <c r="H23" s="1840" t="n"/>
    </row>
    <row r="24" ht="22" customHeight="1" s="1354">
      <c r="A24" s="1948" t="inlineStr">
        <is>
          <t>Aménagements, agencements et installations</t>
        </is>
      </c>
      <c r="B24" s="2779">
        <f>SUMIF(BALANCE_N1!$A$2:$A$70,"2838*",BALANCE_N1!$G$2:$G$70)-SUMIF(BALANCE_N1!$A$2:$A$70,"2838*",BALANCE_N1!$F$2:$F$70)+SUMIF(BALANCE_N1!$A$2:$A$70,"2835*",BALANCE_N1!$G$2:$G$70)-SUMIF(BALANCE_N1!$A$2:$A$70,"2835*",BALANCE_N1!$F$2:$F$70)+SUMIF(BALANCE_N1!$A$2:$A$70,"2834*",BALANCE_N1!$G$2:$G$70)-SUMIF(BALANCE_N1!$A$2:$A$70,"2834*",BALANCE_N1!$F$2:$F$70)</f>
        <v/>
      </c>
      <c r="C24" s="2779">
        <f>MAX(0,(SUMIF(BALANCE!$A$2:$A$70,"2838*",BALANCE!$G$2:$G$70)-SUMIF(BALANCE!$A$2:$A$70,"2838*",BALANCE!$F$2:$F$70)+SUMIF(BALANCE!$A$2:$A$70,"2835*",BALANCE!$G$2:$G$70)-SUMIF(BALANCE!$A$2:$A$70,"2835*",BALANCE!$F$2:$F$70)+SUMIF(BALANCE!$A$2:$A$70,"2834*",BALANCE!$G$2:$G$70)-SUMIF(BALANCE!$A$2:$A$70,"2834*",BALANCE!$F$2:$F$70))-(SUMIF(BALANCE_N1!$A$2:$A$70,"2838*",BALANCE_N1!$G$2:$G$70)-SUMIF(BALANCE_N1!$A$2:$A$70,"2838*",BALANCE_N1!$F$2:$F$70)+SUMIF(BALANCE_N1!$A$2:$A$70,"2835*",BALANCE_N1!$G$2:$G$70)-SUMIF(BALANCE_N1!$A$2:$A$70,"2835*",BALANCE_N1!$F$2:$F$70)+SUMIF(BALANCE_N1!$A$2:$A$70,"2834*",BALANCE_N1!$G$2:$G$70)-SUMIF(BALANCE_N1!$A$2:$A$70,"2834*",BALANCE_N1!$F$2:$F$70)))</f>
        <v/>
      </c>
      <c r="D24" s="1953" t="n"/>
      <c r="E24" s="2779">
        <f>MAX(0,(SUMIF(BALANCE_N1!$A$2:$A$70,"2838*",BALANCE_N1!$G$2:$G$70)-SUMIF(BALANCE_N1!$A$2:$A$70,"2838*",BALANCE_N1!$F$2:$F$70)+SUMIF(BALANCE_N1!$A$2:$A$70,"2835*",BALANCE_N1!$G$2:$G$70)-SUMIF(BALANCE_N1!$A$2:$A$70,"2835*",BALANCE_N1!$F$2:$F$70)+SUMIF(BALANCE_N1!$A$2:$A$70,"2834*",BALANCE_N1!$G$2:$G$70)-SUMIF(BALANCE_N1!$A$2:$A$70,"2834*",BALANCE_N1!$F$2:$F$70))-(SUMIF(BALANCE!$A$2:$A$70,"2838*",BALANCE!$G$2:$G$70)-SUMIF(BALANCE!$A$2:$A$70,"2838*",BALANCE!$F$2:$F$70)+SUMIF(BALANCE!$A$2:$A$70,"2835*",BALANCE!$G$2:$G$70)-SUMIF(BALANCE!$A$2:$A$70,"2835*",BALANCE!$F$2:$F$70)+SUMIF(BALANCE!$A$2:$A$70,"2834*",BALANCE!$G$2:$G$70)-SUMIF(BALANCE!$A$2:$A$70,"2834*",BALANCE!$F$2:$F$70)))</f>
        <v/>
      </c>
      <c r="F24" s="1953">
        <f>B24+C24-E24</f>
        <v/>
      </c>
      <c r="H24" s="1840" t="n"/>
    </row>
    <row r="25" ht="22" customHeight="1" s="1354">
      <c r="A25" s="1948" t="inlineStr">
        <is>
          <t>Matériel, mobilier et actifs biologiques</t>
        </is>
      </c>
      <c r="B25" s="2779">
        <f>SUMIF(BALANCE_N1!$A$2:$A$70,"284*",BALANCE_N1!$G$2:$G$70)-SUMIF(BALANCE_N1!$A$2:$A$70,"284*",BALANCE_N1!$F$2:$F$70)-SUMIF(BALANCE_N1!$A$2:$A$70,"2845*",BALANCE_N1!$G$2:$G$70)+SUMIF(BALANCE_N1!$A$2:$A$70,"2845*",BALANCE_N1!$F$2:$F$70)</f>
        <v/>
      </c>
      <c r="C25" s="2779">
        <f>MAX(0,(SUMIF(BALANCE!$A$2:$A$70,"284*",BALANCE!$G$2:$G$70)-SUMIF(BALANCE!$A$2:$A$70,"284*",BALANCE!$F$2:$F$70)-SUMIF(BALANCE!$A$2:$A$70,"2845*",BALANCE!$G$2:$G$70)+SUMIF(BALANCE!$A$2:$A$70,"2845*",BALANCE!$F$2:$F$70))-(SUMIF(BALANCE_N1!$A$2:$A$70,"284*",BALANCE_N1!$G$2:$G$70)-SUMIF(BALANCE_N1!$A$2:$A$70,"284*",BALANCE_N1!$F$2:$F$70)-SUMIF(BALANCE_N1!$A$2:$A$70,"2845*",BALANCE_N1!$G$2:$G$70)+SUMIF(BALANCE_N1!$A$2:$A$70,"2845*",BALANCE_N1!$F$2:$F$70)))</f>
        <v/>
      </c>
      <c r="D25" s="1953" t="n"/>
      <c r="E25" s="2779">
        <f>MAX(0,(SUMIF(BALANCE_N1!$A$2:$A$70,"284*",BALANCE_N1!$G$2:$G$70)-SUMIF(BALANCE_N1!$A$2:$A$70,"284*",BALANCE_N1!$F$2:$F$70)-SUMIF(BALANCE_N1!$A$2:$A$70,"2845*",BALANCE_N1!$G$2:$G$70)+SUMIF(BALANCE_N1!$A$2:$A$70,"2845*",BALANCE_N1!$F$2:$F$70))-(SUMIF(BALANCE!$A$2:$A$70,"284*",BALANCE!$G$2:$G$70)-SUMIF(BALANCE!$A$2:$A$70,"284*",BALANCE!$F$2:$F$70)-SUMIF(BALANCE!$A$2:$A$70,"2845*",BALANCE!$G$2:$G$70)+SUMIF(BALANCE!$A$2:$A$70,"2845*",BALANCE!$F$2:$F$70)))</f>
        <v/>
      </c>
      <c r="F25" s="1953">
        <f>B25+C25-E25</f>
        <v/>
      </c>
      <c r="H25" s="1840" t="n"/>
    </row>
    <row r="26" ht="22" customHeight="1" s="1354">
      <c r="A26" s="1950" t="inlineStr">
        <is>
          <t>Matériel de transport</t>
        </is>
      </c>
      <c r="B26" s="2779">
        <f>SUMIF(BALANCE_N1!$A$2:$A$70,"2845*",BALANCE_N1!$G$2:$G$70)-SUMIF(BALANCE_N1!$A$2:$A$70,"2845*",BALANCE_N1!$F$2:$F$70)</f>
        <v/>
      </c>
      <c r="C26" s="2779">
        <f>MAX(0,(SUMIF(BALANCE!$A$2:$A$70,"2845*",BALANCE!$G$2:$G$70)-SUMIF(BALANCE!$A$2:$A$70,"2845*",BALANCE!$F$2:$F$70))-(SUMIF(BALANCE_N1!$A$2:$A$70,"2845*",BALANCE_N1!$G$2:$G$70)-SUMIF(BALANCE_N1!$A$2:$A$70,"2845*",BALANCE_N1!$F$2:$F$70)))</f>
        <v/>
      </c>
      <c r="D26" s="1953" t="n"/>
      <c r="E26" s="2779">
        <f>MAX(0,(SUMIF(BALANCE_N1!$A$2:$A$70,"2845*",BALANCE_N1!$G$2:$G$70)-SUMIF(BALANCE_N1!$A$2:$A$70,"2845*",BALANCE_N1!$F$2:$F$70))-(SUMIF(BALANCE!$A$2:$A$70,"2845*",BALANCE!$G$2:$G$70)-SUMIF(BALANCE!$A$2:$A$70,"2845*",BALANCE!$F$2:$F$70)))</f>
        <v/>
      </c>
      <c r="F26" s="2779">
        <f>B26+C26-E26</f>
        <v/>
      </c>
      <c r="H26" s="1840" t="n"/>
    </row>
    <row r="27" ht="22" customHeight="1" s="1354">
      <c r="A27" s="1951" t="inlineStr">
        <is>
          <t>SOUS TOTAL : IMMOBILISATIONS CORPORELLES</t>
        </is>
      </c>
      <c r="B27" s="1952">
        <f>SUM(B20:B26)</f>
        <v/>
      </c>
      <c r="C27" s="1952">
        <f>SUM(C20:C26)</f>
        <v/>
      </c>
      <c r="D27" s="1952" t="n"/>
      <c r="E27" s="1952">
        <f>SUM(E20:E26)</f>
        <v/>
      </c>
      <c r="F27" s="1952">
        <f>SUM(F20:F26)</f>
        <v/>
      </c>
    </row>
    <row r="28" ht="11.25" customHeight="1" s="1354">
      <c r="A28" s="1954" t="n"/>
      <c r="B28" s="1955" t="n"/>
      <c r="C28" s="1955" t="n"/>
      <c r="D28" s="1955" t="n"/>
      <c r="E28" s="1955" t="n"/>
      <c r="F28" s="1955" t="n"/>
    </row>
    <row r="29" ht="22" customHeight="1" s="1354">
      <c r="A29" s="1956" t="inlineStr">
        <is>
          <t>TOTAL GENERAL</t>
        </is>
      </c>
      <c r="B29" s="1957">
        <f>B27+B19</f>
        <v/>
      </c>
      <c r="C29" s="1957">
        <f>C27+C19</f>
        <v/>
      </c>
      <c r="D29" s="1957" t="n"/>
      <c r="E29" s="1957">
        <f>E27+E19</f>
        <v/>
      </c>
      <c r="F29" s="1957">
        <f>F27+F19</f>
        <v/>
      </c>
    </row>
    <row r="30" ht="6.75" customHeight="1" s="1354">
      <c r="A30" s="1958" t="n"/>
    </row>
    <row r="31" ht="12" customHeight="1" s="1354">
      <c r="A31" s="1959" t="inlineStr">
        <is>
          <t>Commentaire :</t>
        </is>
      </c>
      <c r="B31" s="1960" t="n"/>
    </row>
    <row r="32" ht="8.25" customHeight="1" s="1354">
      <c r="A32" s="1961" t="inlineStr">
        <is>
          <t xml:space="preserve">• Indiquer   
- les modes d'amortissement utilisés ; 
- la durée de vie ou  les taux d'amortissements utilisés. 
</t>
        </is>
      </c>
      <c r="C32" s="1577" t="n"/>
      <c r="D32" s="1577" t="n"/>
    </row>
    <row r="33" ht="18.75" customHeight="1" s="1354">
      <c r="C33" s="1577" t="n"/>
      <c r="D33" s="1577" t="n"/>
      <c r="E33" s="1840" t="n"/>
    </row>
    <row r="34" ht="12" customHeight="1" s="1354"/>
  </sheetData>
  <mergeCells count="7">
    <mergeCell ref="A32:B34"/>
    <mergeCell ref="A9:F9"/>
    <mergeCell ref="C11:C13"/>
    <mergeCell ref="A8:F8"/>
    <mergeCell ref="E11:E13"/>
    <mergeCell ref="B11:B13"/>
    <mergeCell ref="F11:F13"/>
  </mergeCells>
  <printOptions horizontalCentered="0" verticalCentered="0" headings="0" gridLines="0" gridLinesSet="1"/>
  <pageMargins left="0.315277777777778" right="0.315277777777778" top="0.157638888888889" bottom="0.157638888888889" header="0.511811023622047" footer="0.511811023622047"/>
  <pageSetup orientation="landscape"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1" showOutlineSymbols="1" defaultGridColor="1" view="normal" topLeftCell="A7" colorId="64" zoomScale="100" zoomScaleNormal="100" zoomScalePageLayoutView="100" workbookViewId="0">
      <selection pane="topLeft" activeCell="C26" activeCellId="0" sqref="C26:G27"/>
    </sheetView>
  </sheetViews>
  <sheetFormatPr baseColWidth="8" defaultColWidth="10.8125" defaultRowHeight="12" zeroHeight="0" outlineLevelRow="0"/>
  <cols>
    <col width="2.81" customWidth="1" style="1583" min="1" max="1"/>
    <col width="42.26" customWidth="1" style="1583" min="2" max="2"/>
    <col width="10.44" customWidth="1" style="1583" min="3" max="3"/>
    <col width="16.81" customWidth="1" style="1583" min="4" max="4"/>
    <col width="10.81" customWidth="1" style="1583" min="5" max="5"/>
    <col width="9.44" customWidth="1" style="1583" min="6" max="6"/>
    <col width="10.81" customWidth="1" style="1583" min="7" max="257"/>
  </cols>
  <sheetData>
    <row r="1" ht="12" customHeight="1" s="1354">
      <c r="B1" s="1962" t="inlineStr">
        <is>
          <t xml:space="preserve">NOTE 3D : IMMOBILISATIONS (PLUS-VALUES ET MOINS VALUE DE CESSION) </t>
        </is>
      </c>
    </row>
    <row r="2" ht="12" customHeight="1" s="1354">
      <c r="B2" s="1963" t="n"/>
      <c r="D2" s="1963" t="n"/>
    </row>
    <row r="3" ht="12" customHeight="1" s="1354">
      <c r="B3" s="1963" t="n"/>
      <c r="D3" s="1963" t="n"/>
    </row>
    <row r="4" ht="12" customHeight="1" s="1354">
      <c r="B4" s="1963" t="n"/>
      <c r="D4" s="1963" t="n"/>
    </row>
    <row r="5" ht="12" customHeight="1" s="1354">
      <c r="B5" s="1963" t="n"/>
      <c r="D5" s="1963" t="n"/>
    </row>
    <row r="6" ht="14" customHeight="1" s="1354">
      <c r="B6" s="1748" t="inlineStr">
        <is>
          <t>Désignation entité : ENTREPRISE TEST SARL</t>
        </is>
      </c>
      <c r="C6" s="1549" t="n"/>
      <c r="E6" s="1591" t="inlineStr">
        <is>
          <t>Exercice clos le : 31/12/2025</t>
        </is>
      </c>
      <c r="F6" s="1820" t="n"/>
      <c r="G6" s="1578" t="n"/>
    </row>
    <row r="7" ht="13" customHeight="1" s="1354">
      <c r="B7" s="1749" t="inlineStr">
        <is>
          <t>Numéro d’identification : CD/KNG/RCCM/23-B-01234</t>
        </is>
      </c>
      <c r="C7" s="1591" t="n"/>
      <c r="E7" s="1591" t="inlineStr">
        <is>
          <t>Durée (en mois) : 12</t>
        </is>
      </c>
      <c r="F7" s="1820" t="n"/>
      <c r="G7" s="1582" t="n"/>
    </row>
    <row r="8" ht="12" customHeight="1" s="1354">
      <c r="B8" s="1964" t="n"/>
    </row>
    <row r="9" ht="15" customHeight="1" s="1354">
      <c r="B9" s="1965" t="inlineStr">
        <is>
          <t xml:space="preserve">                                                                           NOTE 3D</t>
        </is>
      </c>
      <c r="C9" s="1572" t="n"/>
    </row>
    <row r="10" ht="14.5" customHeight="1" s="1354">
      <c r="B10" s="1966" t="inlineStr">
        <is>
          <t>IMMOBILISATIONS : PLUS-VALUES ET MOINS VALUE DE CESSION</t>
        </is>
      </c>
      <c r="H10" s="1967" t="n"/>
      <c r="I10" s="1967" t="n"/>
    </row>
    <row r="11" ht="15" customHeight="1" s="1354">
      <c r="B11" s="1750" t="inlineStr">
        <is>
          <t>  </t>
        </is>
      </c>
      <c r="C11" s="1968" t="inlineStr">
        <is>
          <t xml:space="preserve">MONTANT </t>
        </is>
      </c>
      <c r="D11" s="1823" t="inlineStr">
        <is>
          <t xml:space="preserve">AMORTISSEMENTS </t>
        </is>
      </c>
      <c r="E11" s="1699" t="inlineStr">
        <is>
          <t xml:space="preserve">VALEUR </t>
        </is>
      </c>
      <c r="F11" s="1824" t="inlineStr">
        <is>
          <t xml:space="preserve">PRIX  </t>
        </is>
      </c>
      <c r="G11" s="1699" t="inlineStr">
        <is>
          <t xml:space="preserve">PLUS-VALUE </t>
        </is>
      </c>
    </row>
    <row r="12" ht="23" customHeight="1" s="1354">
      <c r="B12" s="1847" t="inlineStr">
        <is>
          <t>  </t>
        </is>
      </c>
      <c r="C12" s="1826" t="inlineStr">
        <is>
          <t xml:space="preserve">BRUT </t>
        </is>
      </c>
      <c r="D12" s="1826" t="inlineStr">
        <is>
          <t xml:space="preserve">PRATIQUES </t>
        </is>
      </c>
      <c r="E12" s="1826" t="inlineStr">
        <is>
          <t xml:space="preserve">COMPTABLE </t>
        </is>
      </c>
      <c r="F12" s="1827" t="inlineStr">
        <is>
          <t xml:space="preserve">DE </t>
        </is>
      </c>
      <c r="G12" s="1826" t="inlineStr">
        <is>
          <t xml:space="preserve">OU MOINS-VALUE </t>
        </is>
      </c>
    </row>
    <row r="13" ht="15" customHeight="1" s="1354">
      <c r="B13" s="1847" t="inlineStr">
        <is>
          <t>  </t>
        </is>
      </c>
      <c r="C13" s="1826" t="inlineStr">
        <is>
          <t>  </t>
        </is>
      </c>
      <c r="D13" s="1826" t="inlineStr">
        <is>
          <t>  </t>
        </is>
      </c>
      <c r="E13" s="1826" t="inlineStr">
        <is>
          <t xml:space="preserve">NETTE </t>
        </is>
      </c>
      <c r="F13" s="1827" t="inlineStr">
        <is>
          <t xml:space="preserve">CESSION </t>
        </is>
      </c>
      <c r="G13" s="1826" t="inlineStr">
        <is>
          <t>  </t>
        </is>
      </c>
    </row>
    <row r="14" ht="15" customHeight="1" s="1354">
      <c r="B14" s="1969" t="inlineStr">
        <is>
          <t>  </t>
        </is>
      </c>
      <c r="C14" s="1831" t="inlineStr">
        <is>
          <t xml:space="preserve">A </t>
        </is>
      </c>
      <c r="D14" s="1831" t="inlineStr">
        <is>
          <t xml:space="preserve">B </t>
        </is>
      </c>
      <c r="E14" s="1831" t="inlineStr">
        <is>
          <t xml:space="preserve">C = A - B </t>
        </is>
      </c>
      <c r="F14" s="1830" t="inlineStr">
        <is>
          <t xml:space="preserve">D </t>
        </is>
      </c>
      <c r="G14" s="1831" t="inlineStr">
        <is>
          <t xml:space="preserve">E = D - C </t>
        </is>
      </c>
    </row>
    <row r="15" ht="15" customHeight="1" s="1354">
      <c r="B15" s="1875" t="inlineStr">
        <is>
          <t xml:space="preserve">Frais de développement et de prospection </t>
        </is>
      </c>
      <c r="C15" s="1970" t="n"/>
      <c r="D15" s="1970" t="n"/>
      <c r="E15" s="1970" t="n"/>
      <c r="F15" s="1971" t="n"/>
      <c r="G15" s="1970" t="n"/>
    </row>
    <row r="16" ht="15" customHeight="1" s="1354">
      <c r="B16" s="1875" t="inlineStr">
        <is>
          <t xml:space="preserve">Brevets, licences, logiciels et droits similaires </t>
        </is>
      </c>
      <c r="C16" s="1624" t="n"/>
      <c r="D16" s="1624" t="n"/>
      <c r="E16" s="1624" t="n"/>
      <c r="F16" s="1834" t="n"/>
      <c r="G16" s="1624" t="n"/>
    </row>
    <row r="17" ht="15" customHeight="1" s="1354">
      <c r="B17" s="1875" t="inlineStr">
        <is>
          <t xml:space="preserve">Fonds commercial et droit au bail </t>
        </is>
      </c>
      <c r="C17" s="1624" t="n"/>
      <c r="D17" s="1624" t="n"/>
      <c r="E17" s="1624" t="n"/>
      <c r="F17" s="1834" t="n"/>
      <c r="G17" s="1624" t="n"/>
    </row>
    <row r="18" ht="15" customHeight="1" s="1354">
      <c r="B18" s="1875" t="inlineStr">
        <is>
          <t xml:space="preserve">Autres immobilisations incorporelles </t>
        </is>
      </c>
      <c r="C18" s="1972" t="n"/>
      <c r="D18" s="1972" t="n"/>
      <c r="E18" s="1972" t="n"/>
      <c r="F18" s="1973" t="n"/>
      <c r="G18" s="1972" t="n"/>
    </row>
    <row r="19" ht="15" customHeight="1" s="1354">
      <c r="B19" s="1758" t="inlineStr">
        <is>
          <t xml:space="preserve"> SOUS TOTAL : IMMOBILISATIONS INCORPORELLES </t>
        </is>
      </c>
      <c r="C19" s="1974" t="n"/>
      <c r="D19" s="1974" t="n"/>
      <c r="E19" s="2780">
        <f>SUMIF(BALANCE!$A$2:$A$70,"811*",BALANCE!$F$2:$F$70)-SUMIF(BALANCE!$A$2:$A$70,"811*",BALANCE!$G$2:$G$70)</f>
        <v/>
      </c>
      <c r="F19" s="2781">
        <f>SUMIF(BALANCE!$A$2:$A$70,"821*",BALANCE!$G$2:$G$70)-SUMIF(BALANCE!$A$2:$A$70,"821*",BALANCE!$F$2:$F$70)</f>
        <v/>
      </c>
      <c r="G19" s="2780">
        <f>F19-E19</f>
        <v/>
      </c>
    </row>
    <row r="20" ht="15" customHeight="1" s="1354">
      <c r="B20" s="1875" t="inlineStr">
        <is>
          <t xml:space="preserve">Terrains </t>
        </is>
      </c>
      <c r="C20" s="1976" t="n"/>
      <c r="D20" s="1976" t="n"/>
      <c r="E20" s="1977" t="n"/>
      <c r="F20" s="1978" t="n"/>
      <c r="G20" s="1970" t="n"/>
    </row>
    <row r="21" ht="15" customHeight="1" s="1354">
      <c r="B21" s="1875" t="inlineStr">
        <is>
          <t xml:space="preserve">Bâtiments </t>
        </is>
      </c>
      <c r="C21" s="1624" t="n"/>
      <c r="D21" s="1624" t="n"/>
      <c r="E21" s="1624" t="n"/>
      <c r="F21" s="1834" t="n"/>
      <c r="G21" s="1624" t="n"/>
    </row>
    <row r="22" ht="15" customHeight="1" s="1354">
      <c r="B22" s="1875" t="inlineStr">
        <is>
          <t xml:space="preserve">Aménagements, agencements  et installations </t>
        </is>
      </c>
      <c r="C22" s="1624" t="n"/>
      <c r="D22" s="1624" t="n"/>
      <c r="E22" s="1624" t="n"/>
      <c r="F22" s="1834" t="n"/>
      <c r="G22" s="1624" t="n"/>
    </row>
    <row r="23" ht="15" customHeight="1" s="1354">
      <c r="B23" s="1875" t="inlineStr">
        <is>
          <t xml:space="preserve">Matériel, mobilier et actifs biologiques </t>
        </is>
      </c>
      <c r="C23" s="1624" t="n"/>
      <c r="D23" s="1624" t="n"/>
      <c r="E23" s="1624" t="n"/>
      <c r="F23" s="1834" t="n"/>
      <c r="G23" s="1624" t="n"/>
    </row>
    <row r="24" ht="15" customHeight="1" s="1354">
      <c r="B24" s="1875" t="inlineStr">
        <is>
          <t xml:space="preserve">Matériel de transport </t>
        </is>
      </c>
      <c r="C24" s="1972" t="n"/>
      <c r="D24" s="1972" t="n"/>
      <c r="E24" s="1972" t="n"/>
      <c r="F24" s="1979" t="n"/>
      <c r="G24" s="1972" t="n"/>
    </row>
    <row r="25" ht="15" customHeight="1" s="1354">
      <c r="B25" s="1758" t="inlineStr">
        <is>
          <t xml:space="preserve"> SOUS TOTAL : IMMOBILISATIONS CORPORELLES </t>
        </is>
      </c>
      <c r="C25" s="1980" t="n"/>
      <c r="D25" s="1980" t="n"/>
      <c r="E25" s="2782">
        <f>SUMIF(BALANCE!$A$2:$A$70,"812*",BALANCE!$F$2:$F$70)-SUMIF(BALANCE!$A$2:$A$70,"812*",BALANCE!$G$2:$G$70)</f>
        <v/>
      </c>
      <c r="F25" s="2783">
        <f>SUMIF(BALANCE!$A$2:$A$70,"822*",BALANCE!$G$2:$G$70)-SUMIF(BALANCE!$A$2:$A$70,"822*",BALANCE!$F$2:$F$70)</f>
        <v/>
      </c>
      <c r="G25" s="2782">
        <f>F25-E25</f>
        <v/>
      </c>
    </row>
    <row r="26" ht="15" customHeight="1" s="1354">
      <c r="B26" s="1875" t="inlineStr">
        <is>
          <t xml:space="preserve">Titres de participations </t>
        </is>
      </c>
      <c r="C26" s="1729" t="n"/>
      <c r="D26" s="1982" t="n"/>
      <c r="E26" s="1982" t="n"/>
      <c r="F26" s="1983" t="n"/>
      <c r="G26" s="1624" t="n"/>
    </row>
    <row r="27" ht="15" customHeight="1" s="1354">
      <c r="B27" s="1875" t="inlineStr">
        <is>
          <t xml:space="preserve">Autres immobilisations financières </t>
        </is>
      </c>
      <c r="C27" s="1972" t="n"/>
      <c r="D27" s="1972" t="n"/>
      <c r="E27" s="1972" t="n"/>
      <c r="F27" s="1973" t="n"/>
      <c r="G27" s="1972" t="n"/>
    </row>
    <row r="28" ht="15" customHeight="1" s="1354">
      <c r="B28" s="1984" t="inlineStr">
        <is>
          <t xml:space="preserve">SOUS TOTAL : IMMOBILISATIONS FINANCIERES </t>
        </is>
      </c>
      <c r="C28" s="1760" t="n"/>
      <c r="D28" s="1760" t="n"/>
      <c r="E28" s="2784">
        <f>SUMIF(BALANCE!$A$2:$A$70,"816*",BALANCE!$F$2:$F$70)-SUMIF(BALANCE!$A$2:$A$70,"816*",BALANCE!$G$2:$G$70)</f>
        <v/>
      </c>
      <c r="F28" s="2785">
        <f>SUMIF(BALANCE!$A$2:$A$70,"826*",BALANCE!$G$2:$G$70)-SUMIF(BALANCE!$A$2:$A$70,"826*",BALANCE!$F$2:$F$70)</f>
        <v/>
      </c>
      <c r="G28" s="2784">
        <f>F28-E28</f>
        <v/>
      </c>
    </row>
    <row r="29" ht="15" customHeight="1" s="1354">
      <c r="B29" s="1875" t="inlineStr">
        <is>
          <t>  </t>
        </is>
      </c>
      <c r="C29" s="1986" t="n"/>
      <c r="D29" s="1986" t="n"/>
      <c r="E29" s="1986" t="n"/>
      <c r="F29" s="1987" t="n"/>
      <c r="G29" s="1986" t="n"/>
    </row>
    <row r="30" ht="15" customHeight="1" s="1354">
      <c r="B30" s="1988" t="inlineStr">
        <is>
          <t xml:space="preserve">TOTAL GENERAL </t>
        </is>
      </c>
      <c r="C30" s="1793" t="n"/>
      <c r="D30" s="1793" t="n"/>
      <c r="E30" s="2786">
        <f>SUMIF(BALANCE!$A$2:$A$70,"81*",BALANCE!$F$2:$F$70)-SUMIF(BALANCE!$A$2:$A$70,"81*",BALANCE!$G$2:$G$70)</f>
        <v/>
      </c>
      <c r="F30" s="2787">
        <f>SUMIF(BALANCE!$A$2:$A$70,"82*",BALANCE!$G$2:$G$70)-SUMIF(BALANCE!$A$2:$A$70,"82*",BALANCE!$F$2:$F$70)</f>
        <v/>
      </c>
      <c r="G30" s="2786">
        <f>F30-E30</f>
        <v/>
      </c>
    </row>
    <row r="31" ht="12" customHeight="1" s="1354">
      <c r="B31" s="1642" t="n"/>
    </row>
    <row r="32" ht="12" customHeight="1" s="1354">
      <c r="B32" s="1990" t="inlineStr">
        <is>
          <t xml:space="preserve">Commentaire :  </t>
        </is>
      </c>
      <c r="C32" s="1934" t="n"/>
      <c r="D32" s="1934" t="n"/>
      <c r="E32" s="1934" t="n"/>
      <c r="F32" s="1934" t="n"/>
      <c r="G32" s="1934" t="n"/>
    </row>
    <row r="33" ht="15" customHeight="1" s="1354">
      <c r="B33" s="1935" t="inlineStr">
        <is>
          <t>. Mentionner la justification de la cession ainsi que la date et la date de sortie.</t>
        </is>
      </c>
    </row>
  </sheetData>
  <mergeCells count="2">
    <mergeCell ref="B10:G10"/>
    <mergeCell ref="B33:G33"/>
  </mergeCells>
  <printOptions horizontalCentered="0" verticalCentered="0" headings="0" gridLines="0" gridLinesSet="1"/>
  <pageMargins left="0" right="0" top="0.354166666666667" bottom="0.354166666666667" header="0.511811023622047" footer="0.511811023622047"/>
  <pageSetup orientation="portrait" paperSize="9" scale="9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D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D7" activeCellId="0" sqref="D7"/>
    </sheetView>
  </sheetViews>
  <sheetFormatPr baseColWidth="8" defaultColWidth="10.8125" defaultRowHeight="12" zeroHeight="0" outlineLevelRow="0"/>
  <cols>
    <col width="4.81" customWidth="1" style="1583" min="1" max="1"/>
    <col width="76.72" customWidth="1" style="1583" min="2" max="2"/>
    <col width="38.99" customWidth="1" style="1583" min="3" max="3"/>
    <col width="27.81" customWidth="1" style="1583" min="4" max="4"/>
    <col width="10.81" customWidth="1" style="1583" min="5" max="257"/>
  </cols>
  <sheetData>
    <row r="1" ht="12" customHeight="1" s="1354">
      <c r="B1" s="1822" t="inlineStr">
        <is>
          <t> </t>
        </is>
      </c>
    </row>
    <row r="2" ht="12" customHeight="1" s="1354">
      <c r="B2" s="1962" t="inlineStr">
        <is>
          <t xml:space="preserve">NOTE 3D : IMMOBILISATIONS (PLUS-VALUES ET MOINS VALUE DE CESSION) </t>
        </is>
      </c>
    </row>
    <row r="3" ht="12" customHeight="1" s="1354">
      <c r="B3" s="1963" t="n"/>
      <c r="D3" s="1963" t="n"/>
    </row>
    <row r="4" ht="12" customHeight="1" s="1354">
      <c r="B4" s="1963" t="n"/>
      <c r="D4" s="1963" t="n"/>
    </row>
    <row r="5" ht="12" customHeight="1" s="1354">
      <c r="B5" s="1963" t="n"/>
      <c r="D5" s="1963" t="n"/>
    </row>
    <row r="6" ht="12" customHeight="1" s="1354">
      <c r="B6" s="1963" t="n"/>
      <c r="D6" s="1963" t="n"/>
    </row>
    <row r="7" ht="15.5" customHeight="1" s="1354">
      <c r="B7" s="1748" t="inlineStr">
        <is>
          <t>Désignation entité : ENTREPRISE TEST SARL</t>
        </is>
      </c>
      <c r="C7" s="1579" t="inlineStr">
        <is>
          <t xml:space="preserve"> Exercice clos le : 31/12/2025</t>
        </is>
      </c>
      <c r="D7" s="1578" t="n"/>
    </row>
    <row r="8" ht="13" customHeight="1" s="1354">
      <c r="B8" s="1749" t="inlineStr">
        <is>
          <t>Numéro d’identification : CD/KNG/RCCM/23-B-01234</t>
        </is>
      </c>
      <c r="C8" s="1591" t="inlineStr">
        <is>
          <t xml:space="preserve"> Durée (en mois) : 12</t>
        </is>
      </c>
      <c r="D8" s="1582" t="n"/>
    </row>
    <row r="9" ht="13.5" customHeight="1" s="1354">
      <c r="B9" s="1819" t="inlineStr">
        <is>
          <t xml:space="preserve">NOTE 3E : INFORMATIONS SUR LES REEVALUATIONS EFFECTUEES  </t>
        </is>
      </c>
    </row>
    <row r="10" ht="14" customHeight="1" s="1354">
      <c r="B10" s="1991" t="inlineStr">
        <is>
          <t xml:space="preserve">NOTE 3E </t>
        </is>
      </c>
    </row>
    <row r="11" ht="14.5" customHeight="1" s="1354">
      <c r="B11" s="1966" t="inlineStr">
        <is>
          <t xml:space="preserve">INFORMATIONS SUR LES REEVALUATIONS EFFECTUEES PAR L'ENTITE </t>
        </is>
      </c>
    </row>
    <row r="12" ht="30" customHeight="1" s="1354">
      <c r="B12" s="1992" t="inlineStr">
        <is>
          <t xml:space="preserve">Nature et date des réévaluations :           </t>
        </is>
      </c>
      <c r="C12" s="1597" t="n"/>
      <c r="D12" s="1598" t="n"/>
    </row>
    <row r="13" ht="15" customHeight="1" s="1354">
      <c r="B13" s="1993" t="inlineStr">
        <is>
          <t>     </t>
        </is>
      </c>
      <c r="D13" s="1816" t="n"/>
    </row>
    <row r="14" ht="15" customHeight="1" s="1354">
      <c r="B14" s="1994" t="inlineStr">
        <is>
          <t>     </t>
        </is>
      </c>
      <c r="D14" s="1816" t="n"/>
    </row>
    <row r="15" ht="12.5" customHeight="1" s="1354">
      <c r="B15" s="1994" t="inlineStr">
        <is>
          <t>     </t>
        </is>
      </c>
      <c r="D15" s="1816" t="n"/>
    </row>
    <row r="16" ht="12.5" customHeight="1" s="1354">
      <c r="B16" s="1995" t="inlineStr">
        <is>
          <t>Eléments réévalués par postes du bilan</t>
        </is>
      </c>
      <c r="C16" s="1995" t="inlineStr">
        <is>
          <t>Montants coûts historiques</t>
        </is>
      </c>
      <c r="D16" s="1995" t="inlineStr">
        <is>
          <t>Amortissements supplémentaires</t>
        </is>
      </c>
    </row>
    <row r="17" ht="12" customHeight="1" s="1354">
      <c r="B17" s="1996" t="inlineStr">
        <is>
          <t>             </t>
        </is>
      </c>
      <c r="C17" s="1970" t="n"/>
      <c r="D17" s="1970" t="n"/>
    </row>
    <row r="18" ht="12" customHeight="1" s="1354">
      <c r="B18" s="1675" t="inlineStr">
        <is>
          <t>             </t>
        </is>
      </c>
      <c r="C18" s="1625" t="n"/>
      <c r="D18" s="1625" t="n"/>
    </row>
    <row r="19" ht="12" customHeight="1" s="1354">
      <c r="B19" s="1675" t="inlineStr">
        <is>
          <t>             </t>
        </is>
      </c>
      <c r="C19" s="1625" t="n"/>
      <c r="D19" s="1723" t="n"/>
    </row>
    <row r="20" ht="12" customHeight="1" s="1354">
      <c r="B20" s="1675" t="inlineStr">
        <is>
          <t>             </t>
        </is>
      </c>
      <c r="C20" s="1625" t="n"/>
      <c r="D20" s="1625" t="n"/>
    </row>
    <row r="21" ht="12" customHeight="1" s="1354">
      <c r="B21" s="1675" t="inlineStr">
        <is>
          <t>             </t>
        </is>
      </c>
      <c r="C21" s="1625" t="n"/>
      <c r="D21" s="1625" t="n"/>
    </row>
    <row r="22" ht="12" customHeight="1" s="1354">
      <c r="B22" s="1675" t="inlineStr">
        <is>
          <t>             </t>
        </is>
      </c>
      <c r="C22" s="1625" t="n"/>
      <c r="D22" s="1625" t="n"/>
    </row>
    <row r="23" ht="12" customHeight="1" s="1354">
      <c r="B23" s="1675" t="inlineStr">
        <is>
          <t>             </t>
        </is>
      </c>
      <c r="C23" s="1625" t="n"/>
      <c r="D23" s="1625" t="n"/>
    </row>
    <row r="24" ht="12.5" customHeight="1" s="1354">
      <c r="B24" s="1802" t="inlineStr">
        <is>
          <t>             </t>
        </is>
      </c>
      <c r="C24" s="1997" t="n"/>
      <c r="D24" s="1997" t="n"/>
    </row>
    <row r="25" ht="30" customHeight="1" s="1354">
      <c r="B25" s="1994" t="inlineStr">
        <is>
          <t xml:space="preserve">Méthode de réévaluation utilisée :           </t>
        </is>
      </c>
      <c r="D25" s="1816" t="n"/>
    </row>
    <row r="26" ht="15" customHeight="1" s="1354">
      <c r="B26" s="1993" t="inlineStr">
        <is>
          <t>     </t>
        </is>
      </c>
      <c r="D26" s="1816" t="n"/>
    </row>
    <row r="27" ht="15" customHeight="1" s="1354">
      <c r="B27" s="1994" t="inlineStr">
        <is>
          <t>     </t>
        </is>
      </c>
      <c r="D27" s="1816" t="n"/>
    </row>
    <row r="28" ht="15" customHeight="1" s="1354">
      <c r="B28" s="1994" t="inlineStr">
        <is>
          <t>     </t>
        </is>
      </c>
      <c r="D28" s="1816" t="n"/>
    </row>
    <row r="29" ht="15" customHeight="1" s="1354">
      <c r="B29" s="1994" t="inlineStr">
        <is>
          <t>     </t>
        </is>
      </c>
      <c r="D29" s="1816" t="n"/>
    </row>
    <row r="30" ht="12.5" customHeight="1" s="1354">
      <c r="B30" s="1954" t="inlineStr">
        <is>
          <t>                  </t>
        </is>
      </c>
      <c r="C30" s="1594" t="n"/>
      <c r="D30" s="1998" t="n"/>
    </row>
    <row r="31" ht="22.5" customHeight="1" s="1354">
      <c r="B31" s="1992" t="inlineStr">
        <is>
          <t xml:space="preserve">Traitement fiscal de l'écart de réévaluation et des amortissements supplémentaires :    </t>
        </is>
      </c>
      <c r="C31" s="1597" t="n"/>
      <c r="D31" s="1598" t="n"/>
    </row>
    <row r="32" ht="15" customHeight="1" s="1354">
      <c r="B32" s="1993" t="inlineStr">
        <is>
          <t>     </t>
        </is>
      </c>
      <c r="D32" s="1816" t="n"/>
    </row>
    <row r="33" ht="15" customHeight="1" s="1354">
      <c r="B33" s="1994" t="inlineStr">
        <is>
          <t>     </t>
        </is>
      </c>
      <c r="D33" s="1816" t="n"/>
    </row>
    <row r="34" ht="15" customHeight="1" s="1354">
      <c r="B34" s="1994" t="inlineStr">
        <is>
          <t>     </t>
        </is>
      </c>
      <c r="D34" s="1816" t="n"/>
    </row>
    <row r="35" ht="15" customHeight="1" s="1354">
      <c r="B35" s="1994" t="inlineStr">
        <is>
          <t>     </t>
        </is>
      </c>
      <c r="D35" s="1816" t="n"/>
    </row>
    <row r="36" ht="12.5" customHeight="1" s="1354">
      <c r="B36" s="1954" t="inlineStr">
        <is>
          <t>                  </t>
        </is>
      </c>
      <c r="C36" s="1594" t="n"/>
      <c r="D36" s="1998" t="n"/>
    </row>
    <row r="37" ht="30" customHeight="1" s="1354">
      <c r="B37" s="1805" t="inlineStr">
        <is>
          <t xml:space="preserve">Montant de l'écart incorporé au capital : </t>
        </is>
      </c>
      <c r="C37" s="1754" t="n"/>
      <c r="D37" s="1999" t="inlineStr">
        <is>
          <t>  </t>
        </is>
      </c>
    </row>
    <row r="38" ht="12" customHeight="1" s="1354">
      <c r="B38" s="1747" t="inlineStr">
        <is>
          <t> </t>
        </is>
      </c>
      <c r="C38" s="1747" t="inlineStr">
        <is>
          <t> </t>
        </is>
      </c>
    </row>
    <row r="39" ht="12" customHeight="1" s="1354">
      <c r="B39" s="2000" t="n"/>
    </row>
  </sheetData>
  <mergeCells count="19">
    <mergeCell ref="B11:D11"/>
    <mergeCell ref="B14:D14"/>
    <mergeCell ref="B13:D13"/>
    <mergeCell ref="B29:D29"/>
    <mergeCell ref="B34:D34"/>
    <mergeCell ref="B10:D10"/>
    <mergeCell ref="B28:D28"/>
    <mergeCell ref="B30:D30"/>
    <mergeCell ref="B15:D15"/>
    <mergeCell ref="B33:D33"/>
    <mergeCell ref="B36:D36"/>
    <mergeCell ref="B37:C37"/>
    <mergeCell ref="B32:D32"/>
    <mergeCell ref="B35:D35"/>
    <mergeCell ref="B26:D26"/>
    <mergeCell ref="B25:D25"/>
    <mergeCell ref="B31:D31"/>
    <mergeCell ref="B27:D27"/>
    <mergeCell ref="B12:D12"/>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5"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D29" activeCellId="0" sqref="D29"/>
    </sheetView>
  </sheetViews>
  <sheetFormatPr baseColWidth="8" defaultColWidth="10.90234375" defaultRowHeight="14.5" zeroHeight="0" outlineLevelRow="0"/>
  <cols>
    <col width="28.44" customWidth="1" style="1572" min="1" max="1"/>
    <col width="11.26" customWidth="1" style="1572" min="2" max="2"/>
    <col width="15.44" customWidth="1" style="1572" min="3" max="3"/>
    <col width="13.81" customWidth="1" style="1572" min="4" max="4"/>
    <col width="12.72" customWidth="1" style="1572" min="5" max="5"/>
    <col width="14.99" customWidth="1" style="1572" min="6" max="6"/>
    <col width="14.17" customWidth="1" style="1572" min="7" max="7"/>
  </cols>
  <sheetData>
    <row r="1"/>
    <row r="2" ht="14.5" customHeight="1" s="1354">
      <c r="A2" s="2001" t="inlineStr">
        <is>
          <t> </t>
        </is>
      </c>
      <c r="B2" s="2001" t="inlineStr">
        <is>
          <t> </t>
        </is>
      </c>
      <c r="C2" s="1820" t="n"/>
      <c r="D2" s="1820" t="n"/>
      <c r="E2" s="1820" t="n"/>
      <c r="F2" s="1820" t="n"/>
      <c r="G2" s="1820" t="n"/>
    </row>
    <row r="3" ht="14.5" customHeight="1" s="1354">
      <c r="A3" s="2001" t="n"/>
      <c r="B3" s="2001" t="n"/>
      <c r="C3" s="1820" t="n"/>
      <c r="D3" s="1820" t="n"/>
      <c r="E3" s="1820" t="n"/>
      <c r="F3" s="1820" t="n"/>
      <c r="G3" s="1820" t="n"/>
    </row>
    <row r="4" ht="14.5" customHeight="1" s="1354">
      <c r="A4" s="2001" t="n"/>
      <c r="B4" s="2001" t="n"/>
      <c r="C4" s="1820" t="n"/>
      <c r="D4" s="1820" t="n"/>
      <c r="E4" s="1820" t="n"/>
      <c r="F4" s="1820" t="n"/>
      <c r="G4" s="1820" t="n"/>
    </row>
    <row r="5" ht="14.5" customHeight="1" s="1354">
      <c r="A5" s="2001" t="n"/>
      <c r="B5" s="2001" t="n"/>
      <c r="C5" s="1820" t="n"/>
      <c r="D5" s="1820" t="n"/>
      <c r="E5" s="1820" t="n"/>
      <c r="F5" s="1820" t="n"/>
      <c r="G5" s="1820" t="n"/>
    </row>
    <row r="6" ht="14" customFormat="1" customHeight="1" s="1583">
      <c r="A6" s="1748" t="inlineStr">
        <is>
          <t>Désignation entité : ENTREPRISE TEST SARL</t>
        </is>
      </c>
      <c r="B6" s="1549" t="n"/>
      <c r="C6" s="1820" t="n"/>
      <c r="D6" s="1820" t="n"/>
      <c r="E6" s="1591" t="inlineStr">
        <is>
          <t>Exercice clos le : 31/12/2025</t>
        </is>
      </c>
      <c r="F6" s="1820" t="n"/>
      <c r="G6" s="1578" t="n"/>
    </row>
    <row r="7" ht="13" customFormat="1" customHeight="1" s="1583">
      <c r="A7" s="1749" t="inlineStr">
        <is>
          <t>Numéro d’identification : CD/KNG/RCCM/23-B-01234</t>
        </is>
      </c>
      <c r="B7" s="1591" t="n"/>
      <c r="C7" s="1820" t="n"/>
      <c r="D7" s="1820" t="n"/>
      <c r="E7" s="1591" t="inlineStr">
        <is>
          <t>Durée (en mois) : 12</t>
        </is>
      </c>
      <c r="F7" s="1820" t="n"/>
      <c r="G7" s="1582" t="n"/>
    </row>
    <row r="8" ht="14.5" customHeight="1" s="1354">
      <c r="A8" s="2001" t="n"/>
      <c r="B8" s="2001" t="n"/>
    </row>
    <row r="9" ht="14.5" customHeight="1" s="1354">
      <c r="A9" s="2002" t="inlineStr">
        <is>
          <t xml:space="preserve">                NOTE 4</t>
        </is>
      </c>
    </row>
    <row r="10" ht="15" customHeight="1" s="1354">
      <c r="A10" s="1842" t="inlineStr">
        <is>
          <t>IMMOBILISATIONS FINANCIERES</t>
        </is>
      </c>
      <c r="B10" s="1594" t="n"/>
      <c r="C10" s="1594" t="n"/>
      <c r="D10" s="1594" t="n"/>
      <c r="E10" s="1594" t="n"/>
      <c r="F10" s="1594" t="n"/>
      <c r="G10" s="1594" t="n"/>
    </row>
    <row r="11" ht="23" customHeight="1" s="1354">
      <c r="A11" s="2003" t="inlineStr">
        <is>
          <t xml:space="preserve">Libellés </t>
        </is>
      </c>
      <c r="B11" s="2004" t="inlineStr">
        <is>
          <t xml:space="preserve">Année N </t>
        </is>
      </c>
      <c r="C11" s="2004" t="inlineStr">
        <is>
          <t xml:space="preserve">Année N-1 </t>
        </is>
      </c>
      <c r="D11" s="2004" t="inlineStr">
        <is>
          <t xml:space="preserve">Variation en % </t>
        </is>
      </c>
      <c r="E11" s="2004" t="inlineStr">
        <is>
          <t xml:space="preserve">Créances à un an au plus </t>
        </is>
      </c>
      <c r="F11" s="2005" t="inlineStr">
        <is>
          <t xml:space="preserve">Créances à plus d'un an et à </t>
        </is>
      </c>
      <c r="G11" s="2006" t="inlineStr">
        <is>
          <t xml:space="preserve">Créances à plus de deux ans </t>
        </is>
      </c>
    </row>
    <row r="12" ht="15" customHeight="1" s="1354">
      <c r="A12" s="2007" t="n"/>
      <c r="B12" s="2008" t="n"/>
      <c r="C12" s="2008" t="n"/>
      <c r="D12" s="2008" t="n"/>
      <c r="E12" s="2008" t="n"/>
      <c r="F12" s="2009" t="inlineStr">
        <is>
          <t xml:space="preserve">deux ans au plus </t>
        </is>
      </c>
      <c r="G12" s="2010" t="n"/>
    </row>
    <row r="13" ht="15" customHeight="1" s="1354">
      <c r="A13" s="2011" t="inlineStr">
        <is>
          <t xml:space="preserve">Titres de participation </t>
        </is>
      </c>
      <c r="B13" s="2788">
        <f>SUMIF(BALANCE!$A$2:$A$70,"26*",BALANCE!$F$2:$F$70)-SUMIF(BALANCE!$A$2:$A$70,"26*",BALANCE!$G$2:$G$70)</f>
        <v/>
      </c>
      <c r="C13" s="2788">
        <f>SUMIF(BALANCE_N1!$A$2:$A$70,"26*",BALANCE_N1!$F$2:$F$70)-SUMIF(BALANCE_N1!$A$2:$A$70,"26*",BALANCE_N1!$G$2:$G$70)</f>
        <v/>
      </c>
      <c r="D13" s="2012" t="inlineStr">
        <is>
          <t>  </t>
        </is>
      </c>
      <c r="E13" s="2012" t="inlineStr">
        <is>
          <t>  </t>
        </is>
      </c>
      <c r="F13" s="2012" t="inlineStr">
        <is>
          <t>  </t>
        </is>
      </c>
      <c r="G13" s="2013" t="inlineStr">
        <is>
          <t>  </t>
        </is>
      </c>
    </row>
    <row r="14" ht="15" customHeight="1" s="1354">
      <c r="A14" s="2014" t="inlineStr">
        <is>
          <t xml:space="preserve">Prêts et créances </t>
        </is>
      </c>
      <c r="B14" s="2789">
        <f>SUMIF(BALANCE!$A$2:$A$70,"278*",BALANCE!$F$2:$F$70)-SUMIF(BALANCE!$A$2:$A$70,"278*",BALANCE!$G$2:$G$70)+SUMIF(BALANCE!$A$2:$A$70,"277*",BALANCE!$F$2:$F$70)-SUMIF(BALANCE!$A$2:$A$70,"277*",BALANCE!$G$2:$G$70)+SUMIF(BALANCE!$A$2:$A$70,"271*",BALANCE!$F$2:$F$70)-SUMIF(BALANCE!$A$2:$A$70,"271*",BALANCE!$G$2:$G$70)</f>
        <v/>
      </c>
      <c r="C14" s="2789">
        <f>SUMIF(BALANCE_N1!$A$2:$A$70,"278*",BALANCE_N1!$F$2:$F$70)-SUMIF(BALANCE_N1!$A$2:$A$70,"278*",BALANCE_N1!$G$2:$G$70)+SUMIF(BALANCE_N1!$A$2:$A$70,"277*",BALANCE_N1!$F$2:$F$70)-SUMIF(BALANCE_N1!$A$2:$A$70,"277*",BALANCE_N1!$G$2:$G$70)+SUMIF(BALANCE_N1!$A$2:$A$70,"271*",BALANCE_N1!$F$2:$F$70)-SUMIF(BALANCE_N1!$A$2:$A$70,"271*",BALANCE_N1!$G$2:$G$70)</f>
        <v/>
      </c>
      <c r="D14" s="2015" t="inlineStr">
        <is>
          <t>  </t>
        </is>
      </c>
      <c r="E14" s="2015" t="inlineStr">
        <is>
          <t>  </t>
        </is>
      </c>
      <c r="F14" s="2015" t="inlineStr">
        <is>
          <t>  </t>
        </is>
      </c>
      <c r="G14" s="2016" t="inlineStr">
        <is>
          <t>  </t>
        </is>
      </c>
    </row>
    <row r="15" ht="15" customHeight="1" s="1354">
      <c r="A15" s="2014" t="inlineStr">
        <is>
          <t xml:space="preserve">Prêt au personnel </t>
        </is>
      </c>
      <c r="B15" s="2789">
        <f>SUMIF(BALANCE!$A$2:$A$70,"272*",BALANCE!$F$2:$F$70)-SUMIF(BALANCE!$A$2:$A$70,"272*",BALANCE!$G$2:$G$70)</f>
        <v/>
      </c>
      <c r="C15" s="2789">
        <f>SUMIF(BALANCE_N1!$A$2:$A$70,"272*",BALANCE_N1!$F$2:$F$70)-SUMIF(BALANCE_N1!$A$2:$A$70,"272*",BALANCE_N1!$G$2:$G$70)</f>
        <v/>
      </c>
      <c r="D15" s="2015" t="inlineStr">
        <is>
          <t>  </t>
        </is>
      </c>
      <c r="E15" s="2015" t="inlineStr">
        <is>
          <t>  </t>
        </is>
      </c>
      <c r="F15" s="2015" t="inlineStr">
        <is>
          <t>  </t>
        </is>
      </c>
      <c r="G15" s="2016" t="inlineStr">
        <is>
          <t>  </t>
        </is>
      </c>
    </row>
    <row r="16" ht="15" customHeight="1" s="1354">
      <c r="A16" s="2014" t="inlineStr">
        <is>
          <t xml:space="preserve">Créances sur  l'état </t>
        </is>
      </c>
      <c r="B16" s="2789">
        <f>SUMIF(BALANCE!$A$2:$A$70,"273*",BALANCE!$F$2:$F$70)-SUMIF(BALANCE!$A$2:$A$70,"273*",BALANCE!$G$2:$G$70)</f>
        <v/>
      </c>
      <c r="C16" s="2789">
        <f>SUMIF(BALANCE_N1!$A$2:$A$70,"273*",BALANCE_N1!$F$2:$F$70)-SUMIF(BALANCE_N1!$A$2:$A$70,"273*",BALANCE_N1!$G$2:$G$70)</f>
        <v/>
      </c>
      <c r="D16" s="2015" t="inlineStr">
        <is>
          <t>  </t>
        </is>
      </c>
      <c r="E16" s="2015" t="inlineStr">
        <is>
          <t>  </t>
        </is>
      </c>
      <c r="F16" s="2015" t="inlineStr">
        <is>
          <t>  </t>
        </is>
      </c>
      <c r="G16" s="2016" t="inlineStr">
        <is>
          <t>  </t>
        </is>
      </c>
    </row>
    <row r="17" ht="15" customHeight="1" s="1354">
      <c r="A17" s="2014" t="inlineStr">
        <is>
          <t xml:space="preserve">Titres immobilisés </t>
        </is>
      </c>
      <c r="B17" s="2789">
        <f>SUMIF(BALANCE!$A$2:$A$70,"274*",BALANCE!$F$2:$F$70)-SUMIF(BALANCE!$A$2:$A$70,"274*",BALANCE!$G$2:$G$70)</f>
        <v/>
      </c>
      <c r="C17" s="2789">
        <f>SUMIF(BALANCE_N1!$A$2:$A$70,"274*",BALANCE_N1!$F$2:$F$70)-SUMIF(BALANCE_N1!$A$2:$A$70,"274*",BALANCE_N1!$G$2:$G$70)</f>
        <v/>
      </c>
      <c r="D17" s="2015" t="inlineStr">
        <is>
          <t>  </t>
        </is>
      </c>
      <c r="E17" s="2015" t="inlineStr">
        <is>
          <t>  </t>
        </is>
      </c>
      <c r="F17" s="2015" t="inlineStr">
        <is>
          <t>  </t>
        </is>
      </c>
      <c r="G17" s="2016" t="inlineStr">
        <is>
          <t>  </t>
        </is>
      </c>
    </row>
    <row r="18" ht="15" customHeight="1" s="1354">
      <c r="A18" s="2014" t="inlineStr">
        <is>
          <t xml:space="preserve">Dépôts et cautionnements </t>
        </is>
      </c>
      <c r="B18" s="2790">
        <f>SUMIF(BALANCE!$A$2:$A$70,"275*",BALANCE!$F$2:$F$70)-SUMIF(BALANCE!$A$2:$A$70,"275*",BALANCE!$G$2:$G$70)</f>
        <v/>
      </c>
      <c r="C18" s="2790">
        <f>SUMIF(BALANCE_N1!$A$2:$A$70,"275*",BALANCE_N1!$F$2:$F$70)-SUMIF(BALANCE_N1!$A$2:$A$70,"275*",BALANCE_N1!$G$2:$G$70)</f>
        <v/>
      </c>
      <c r="D18" s="2017">
        <f>B18-C18</f>
        <v/>
      </c>
      <c r="E18" s="2017" t="n">
        <v>0</v>
      </c>
      <c r="F18" s="2017" t="n">
        <v>0</v>
      </c>
      <c r="G18" s="2018">
        <f>C18</f>
        <v/>
      </c>
    </row>
    <row r="19" ht="15" customHeight="1" s="1354">
      <c r="A19" s="2019" t="inlineStr">
        <is>
          <t xml:space="preserve">Intérêts courus </t>
        </is>
      </c>
      <c r="B19" s="2791">
        <f>SUMIF(BALANCE!$A$2:$A$70,"276*",BALANCE!$F$2:$F$70)-SUMIF(BALANCE!$A$2:$A$70,"276*",BALANCE!$G$2:$G$70)</f>
        <v/>
      </c>
      <c r="C19" s="2791">
        <f>SUMIF(BALANCE_N1!$A$2:$A$70,"276*",BALANCE_N1!$F$2:$F$70)-SUMIF(BALANCE_N1!$A$2:$A$70,"276*",BALANCE_N1!$G$2:$G$70)</f>
        <v/>
      </c>
      <c r="D19" s="2020" t="inlineStr">
        <is>
          <t>  </t>
        </is>
      </c>
      <c r="E19" s="2020" t="inlineStr">
        <is>
          <t>  </t>
        </is>
      </c>
      <c r="F19" s="2020" t="inlineStr">
        <is>
          <t>  </t>
        </is>
      </c>
      <c r="G19" s="2021" t="inlineStr">
        <is>
          <t>  </t>
        </is>
      </c>
    </row>
    <row r="20" ht="15" customHeight="1" s="1354">
      <c r="A20" s="2022" t="inlineStr">
        <is>
          <t xml:space="preserve">TOTAL BRUT </t>
        </is>
      </c>
      <c r="B20" s="2023">
        <f>SUM(B13:B19)</f>
        <v/>
      </c>
      <c r="C20" s="2023">
        <f>SUM(C13:C19)</f>
        <v/>
      </c>
      <c r="D20" s="2023">
        <f>SUM(D13:D19)</f>
        <v/>
      </c>
      <c r="E20" s="2023">
        <f>SUM(E13:E19)</f>
        <v/>
      </c>
      <c r="F20" s="2023">
        <f>SUM(F13:F19)</f>
        <v/>
      </c>
      <c r="G20" s="2024">
        <f>SUM(G13:G19)</f>
        <v/>
      </c>
    </row>
    <row r="21" ht="14.5" customHeight="1" s="1354">
      <c r="A21" s="2011" t="inlineStr">
        <is>
          <t xml:space="preserve">Dépréciations  titres de participation </t>
        </is>
      </c>
      <c r="B21" s="2792">
        <f>SUMIF(BALANCE!$A$2:$A$70,"296*",BALANCE!$G$2:$G$70)-SUMIF(BALANCE!$A$2:$A$70,"296*",BALANCE!$F$2:$F$70)</f>
        <v/>
      </c>
      <c r="C21" s="2792">
        <f>SUMIF(BALANCE_N1!$A$2:$A$70,"296*",BALANCE_N1!$G$2:$G$70)-SUMIF(BALANCE_N1!$A$2:$A$70,"296*",BALANCE_N1!$F$2:$F$70)</f>
        <v/>
      </c>
      <c r="D21" s="2025" t="inlineStr">
        <is>
          <t>  </t>
        </is>
      </c>
      <c r="E21" s="2025" t="inlineStr">
        <is>
          <t>  </t>
        </is>
      </c>
      <c r="F21" s="2025" t="inlineStr">
        <is>
          <t>  </t>
        </is>
      </c>
      <c r="G21" s="2026" t="inlineStr">
        <is>
          <t>  </t>
        </is>
      </c>
    </row>
    <row r="22" ht="15" customHeight="1" s="1354">
      <c r="A22" s="2014" t="inlineStr">
        <is>
          <t xml:space="preserve">Dépréciations autres immobilisations </t>
        </is>
      </c>
      <c r="B22" s="2793">
        <f>SUMIF(BALANCE!$A$2:$A$70,"297*",BALANCE!$G$2:$G$70)-SUMIF(BALANCE!$A$2:$A$70,"297*",BALANCE!$F$2:$F$70)</f>
        <v/>
      </c>
      <c r="C22" s="2793">
        <f>SUMIF(BALANCE_N1!$A$2:$A$70,"297*",BALANCE_N1!$G$2:$G$70)-SUMIF(BALANCE_N1!$A$2:$A$70,"297*",BALANCE_N1!$F$2:$F$70)</f>
        <v/>
      </c>
      <c r="D22" s="2027" t="inlineStr">
        <is>
          <t>  </t>
        </is>
      </c>
      <c r="E22" s="2027" t="inlineStr">
        <is>
          <t>  </t>
        </is>
      </c>
      <c r="F22" s="2027" t="inlineStr">
        <is>
          <t>  </t>
        </is>
      </c>
      <c r="G22" s="2028" t="inlineStr">
        <is>
          <t>  </t>
        </is>
      </c>
    </row>
    <row r="23" ht="15" customHeight="1" s="1354">
      <c r="A23" s="2022" t="inlineStr">
        <is>
          <t xml:space="preserve">TOTAL NET DE DEPRECIATION </t>
        </is>
      </c>
      <c r="B23" s="2794">
        <f>B20-B21-B22</f>
        <v/>
      </c>
      <c r="C23" s="2794">
        <f>C20-C21-C22</f>
        <v/>
      </c>
      <c r="D23" s="2029" t="inlineStr">
        <is>
          <t>  </t>
        </is>
      </c>
      <c r="E23" s="2029" t="inlineStr">
        <is>
          <t>  </t>
        </is>
      </c>
      <c r="F23" s="2029" t="inlineStr">
        <is>
          <t>  </t>
        </is>
      </c>
      <c r="G23" s="2030" t="inlineStr">
        <is>
          <t>  </t>
        </is>
      </c>
    </row>
    <row r="24" ht="15" customHeight="1" s="1354">
      <c r="A24" s="2031" t="inlineStr">
        <is>
          <t xml:space="preserve"> Liste des filiales et participations : </t>
        </is>
      </c>
    </row>
    <row r="25" ht="30" customHeight="1" s="1354">
      <c r="A25" s="2032" t="inlineStr">
        <is>
          <t xml:space="preserve">Dénomination sociale </t>
        </is>
      </c>
      <c r="B25" s="2033" t="inlineStr">
        <is>
          <t xml:space="preserve">Localisation (ville / pays) </t>
        </is>
      </c>
      <c r="C25" s="1598" t="n"/>
      <c r="D25" s="2034" t="inlineStr">
        <is>
          <t>Valeur d'acquisition</t>
        </is>
      </c>
      <c r="E25" s="2035" t="inlineStr">
        <is>
          <t>% Détenu</t>
        </is>
      </c>
      <c r="F25" s="2033" t="inlineStr">
        <is>
          <t xml:space="preserve">Montant des </t>
        </is>
      </c>
      <c r="G25" s="2036" t="inlineStr">
        <is>
          <t xml:space="preserve">Résultat dernier </t>
        </is>
      </c>
    </row>
    <row r="26" ht="30" customHeight="1" s="1354">
      <c r="A26" s="2037" t="n"/>
      <c r="B26" s="1755" t="n"/>
      <c r="C26" s="1816" t="n"/>
      <c r="D26" s="1998" t="n"/>
      <c r="E26" s="1594" t="n"/>
      <c r="F26" s="2038" t="inlineStr">
        <is>
          <t xml:space="preserve">capitaux propres filiale </t>
        </is>
      </c>
      <c r="G26" s="2039" t="inlineStr">
        <is>
          <t xml:space="preserve">exercice filiale  </t>
        </is>
      </c>
    </row>
    <row r="27" ht="20.15" customHeight="1" s="1354">
      <c r="A27" s="2040" t="inlineStr">
        <is>
          <t>  </t>
        </is>
      </c>
      <c r="B27" s="2041" t="inlineStr">
        <is>
          <t>     </t>
        </is>
      </c>
      <c r="C27" s="1710" t="n"/>
      <c r="D27" s="2042" t="n"/>
      <c r="E27" s="2043" t="n"/>
      <c r="F27" s="2044" t="n"/>
      <c r="G27" s="2045" t="n"/>
    </row>
    <row r="28" ht="20.15" customHeight="1" s="1354">
      <c r="A28" s="2046" t="inlineStr">
        <is>
          <t>  </t>
        </is>
      </c>
      <c r="B28" s="2047" t="inlineStr">
        <is>
          <t>     </t>
        </is>
      </c>
      <c r="C28" s="1710" t="n"/>
      <c r="D28" s="2048" t="n"/>
      <c r="E28" s="2049" t="n"/>
      <c r="F28" s="2050" t="n"/>
      <c r="G28" s="2051" t="n"/>
    </row>
    <row r="29" ht="20.15" customHeight="1" s="1354">
      <c r="A29" s="2046" t="inlineStr">
        <is>
          <t>  </t>
        </is>
      </c>
      <c r="B29" s="2047" t="inlineStr">
        <is>
          <t>     </t>
        </is>
      </c>
      <c r="C29" s="1710" t="n"/>
      <c r="D29" s="2048" t="n"/>
      <c r="E29" s="2049" t="n"/>
      <c r="F29" s="2050" t="n"/>
      <c r="G29" s="2051" t="n"/>
    </row>
    <row r="30" ht="20.15" customHeight="1" s="1354">
      <c r="A30" s="2046" t="inlineStr">
        <is>
          <t>  </t>
        </is>
      </c>
      <c r="B30" s="2047" t="inlineStr">
        <is>
          <t>     </t>
        </is>
      </c>
      <c r="C30" s="1710" t="n"/>
      <c r="D30" s="2048" t="n"/>
      <c r="E30" s="2049" t="n"/>
      <c r="F30" s="2050" t="n"/>
      <c r="G30" s="2051" t="n"/>
    </row>
    <row r="31" ht="20.15" customHeight="1" s="1354">
      <c r="A31" s="2052" t="inlineStr">
        <is>
          <t>  </t>
        </is>
      </c>
      <c r="B31" s="2053" t="inlineStr">
        <is>
          <t>     </t>
        </is>
      </c>
      <c r="C31" s="1743" t="n"/>
      <c r="D31" s="2054" t="n"/>
      <c r="E31" s="2055" t="n"/>
      <c r="F31" s="2056" t="n"/>
      <c r="G31" s="2057" t="n"/>
    </row>
    <row r="32" ht="12" customHeight="1" s="1354">
      <c r="A32" s="2058" t="n"/>
      <c r="B32" s="2058" t="n"/>
      <c r="C32" s="2058" t="n"/>
      <c r="D32" s="2059" t="n"/>
      <c r="E32" s="2060" t="n"/>
      <c r="F32" s="2060" t="n"/>
    </row>
    <row r="33" ht="14.5" customHeight="1" s="1354">
      <c r="A33" s="2061" t="inlineStr">
        <is>
          <t xml:space="preserve">Commentaire :   </t>
        </is>
      </c>
      <c r="B33" s="1934" t="n"/>
      <c r="C33" s="1934" t="n"/>
      <c r="D33" s="1934" t="n"/>
      <c r="E33" s="1934" t="n"/>
      <c r="F33" s="1934" t="n"/>
    </row>
    <row r="34" ht="14.5" customHeight="1" s="1354">
      <c r="A34" s="2062" t="inlineStr">
        <is>
          <t xml:space="preserve">•      Justifier toute  variation  significative. </t>
        </is>
      </c>
      <c r="B34" s="1934" t="n"/>
      <c r="C34" s="1934" t="n"/>
      <c r="D34" s="1934" t="n"/>
      <c r="E34" s="1934" t="n"/>
      <c r="F34" s="1934" t="n"/>
    </row>
    <row r="35" ht="14.5" customHeight="1" s="1354">
      <c r="A35" s="2062" t="inlineStr">
        <is>
          <t xml:space="preserve">•      Commenter toutes les créances anciennes. </t>
        </is>
      </c>
      <c r="B35" s="1934" t="n"/>
      <c r="C35" s="1934" t="n"/>
      <c r="D35" s="1934" t="n"/>
      <c r="E35" s="1934" t="n"/>
      <c r="F35" s="1934" t="n"/>
    </row>
    <row r="36" ht="14.5" customHeight="1" s="1354">
      <c r="A36" s="2062" t="inlineStr">
        <is>
          <t xml:space="preserve">•      Pour les créances relatives à la concession, faire un descriptif de l'accord.  </t>
        </is>
      </c>
      <c r="B36" s="1934" t="n"/>
      <c r="C36" s="1934" t="n"/>
      <c r="D36" s="1934" t="n"/>
      <c r="E36" s="1934" t="n"/>
      <c r="F36" s="1934" t="n"/>
    </row>
    <row r="37" ht="14.5" customHeight="1" s="1354">
      <c r="A37" s="2062" t="inlineStr">
        <is>
          <t xml:space="preserve">•      Indiquer : </t>
        </is>
      </c>
      <c r="B37" s="1934" t="n"/>
      <c r="C37" s="1934" t="n"/>
      <c r="D37" s="1934" t="n"/>
      <c r="E37" s="1934" t="n"/>
      <c r="F37" s="1934" t="n"/>
    </row>
    <row r="38" ht="14.5" customHeight="1" s="1354">
      <c r="A38" s="2063" t="inlineStr">
        <is>
          <t xml:space="preserve">- la nature de la créance ; </t>
        </is>
      </c>
      <c r="B38" s="1934" t="n"/>
      <c r="C38" s="1934" t="n"/>
      <c r="D38" s="1934" t="n"/>
      <c r="E38" s="1934" t="n"/>
      <c r="F38" s="1934" t="n"/>
    </row>
    <row r="39" ht="14.5" customHeight="1" s="1354">
      <c r="A39" s="2063" t="inlineStr">
        <is>
          <t xml:space="preserve">- la durée de la concession ; </t>
        </is>
      </c>
      <c r="B39" s="1934" t="n"/>
      <c r="C39" s="1934" t="n"/>
      <c r="D39" s="1934" t="n"/>
      <c r="E39" s="1934" t="n"/>
      <c r="F39" s="1934" t="n"/>
    </row>
    <row r="40" ht="14.5" customHeight="1" s="1354">
      <c r="A40" s="2063" t="inlineStr">
        <is>
          <t xml:space="preserve">- l'échéance. </t>
        </is>
      </c>
      <c r="B40" s="1934" t="n"/>
      <c r="C40" s="1934" t="n"/>
      <c r="D40" s="1934" t="n"/>
      <c r="E40" s="1934" t="n"/>
      <c r="F40" s="1934" t="n"/>
    </row>
    <row r="41" ht="14.5" customHeight="1" s="1354">
      <c r="A41" s="2062" t="inlineStr">
        <is>
          <t xml:space="preserve">•      Indiquer le nombre et la date d'acquisition des actions ou parts propres. </t>
        </is>
      </c>
      <c r="B41" s="1934" t="n"/>
      <c r="C41" s="1934" t="n"/>
      <c r="D41" s="1934" t="n"/>
      <c r="E41" s="1934" t="n"/>
      <c r="F41" s="1934" t="n"/>
    </row>
    <row r="42" ht="14.5" customHeight="1" s="1354">
      <c r="A42" s="2062" t="inlineStr">
        <is>
          <t xml:space="preserve">•      Dépréciation : indiquer les évènements et les circonstances qui ont motivé la  dépréciation ou la reprise. </t>
        </is>
      </c>
      <c r="B42" s="1934" t="n"/>
      <c r="C42" s="1934" t="n"/>
      <c r="D42" s="1934" t="n"/>
      <c r="E42" s="1934" t="n"/>
      <c r="F42" s="1934" t="n"/>
    </row>
    <row r="43" ht="14.5" customHeight="1" s="1354">
      <c r="A43" s="1589" t="n"/>
    </row>
  </sheetData>
  <mergeCells count="17">
    <mergeCell ref="B30:C30"/>
    <mergeCell ref="E25:E26"/>
    <mergeCell ref="B29:C29"/>
    <mergeCell ref="A9:G9"/>
    <mergeCell ref="A25:A26"/>
    <mergeCell ref="B25:C26"/>
    <mergeCell ref="A11:A12"/>
    <mergeCell ref="B28:C28"/>
    <mergeCell ref="D25:D26"/>
    <mergeCell ref="B11:B12"/>
    <mergeCell ref="C11:C12"/>
    <mergeCell ref="D11:D12"/>
    <mergeCell ref="G11:G12"/>
    <mergeCell ref="B27:C27"/>
    <mergeCell ref="E11:E12"/>
    <mergeCell ref="B31:C31"/>
    <mergeCell ref="A10:G10"/>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41"/>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8" activeCellId="0" sqref="B38"/>
    </sheetView>
  </sheetViews>
  <sheetFormatPr baseColWidth="8" defaultColWidth="10.8125" defaultRowHeight="11.5" zeroHeight="0" outlineLevelRow="0"/>
  <cols>
    <col width="39.26" customWidth="1" style="1577" min="1" max="1"/>
    <col width="17.72" customWidth="1" style="1577" min="2" max="2"/>
    <col width="13.72" customWidth="1" style="1577" min="3" max="3"/>
    <col width="14.17" customWidth="1" style="1577" min="4" max="4"/>
    <col width="13.44" customWidth="1" style="1577" min="5" max="5"/>
    <col width="10.81" customWidth="1" style="1577" min="6" max="257"/>
  </cols>
  <sheetData>
    <row r="1"/>
    <row r="2"/>
    <row r="3"/>
    <row r="4"/>
    <row r="5"/>
    <row r="6" ht="14" customFormat="1" customHeight="1" s="1583">
      <c r="A6" s="1748" t="inlineStr">
        <is>
          <t>Désignation entité : ENTREPRISE TEST SARL</t>
        </is>
      </c>
      <c r="B6" s="1549" t="n"/>
      <c r="C6" s="1591" t="inlineStr">
        <is>
          <t>Exercice clos le : 31/12/2025</t>
        </is>
      </c>
      <c r="D6" s="1820" t="n"/>
      <c r="E6" s="1578" t="n"/>
    </row>
    <row r="7" ht="13" customFormat="1" customHeight="1" s="1583">
      <c r="A7" s="1749" t="inlineStr">
        <is>
          <t>Numéro d’identification : CD/KNG/RCCM/23-B-01234</t>
        </is>
      </c>
      <c r="B7" s="1591" t="n"/>
      <c r="C7" s="1591" t="inlineStr">
        <is>
          <t>Durée (en mois) : 12</t>
        </is>
      </c>
      <c r="D7" s="1820" t="n"/>
      <c r="E7" s="1582" t="n"/>
    </row>
    <row r="8" ht="12" customFormat="1" customHeight="1" s="1583">
      <c r="A8" s="2064" t="n"/>
      <c r="B8" s="1577" t="n"/>
      <c r="C8" s="1577" t="n"/>
      <c r="D8" s="2065" t="n"/>
    </row>
    <row r="9"/>
    <row r="10" ht="14" customHeight="1" s="1354">
      <c r="A10" s="1811" t="inlineStr">
        <is>
          <t xml:space="preserve">NOTE 5 </t>
        </is>
      </c>
      <c r="F10" s="2066" t="n"/>
      <c r="G10" s="1811" t="n"/>
      <c r="H10" s="1811" t="n"/>
    </row>
    <row r="11" ht="14" customHeight="1" s="1354">
      <c r="A11" s="2067" t="inlineStr">
        <is>
          <t>ACTIF CIRCULANT HAO</t>
        </is>
      </c>
      <c r="F11" s="2068" t="n"/>
      <c r="G11" s="2067" t="n"/>
      <c r="H11" s="2067" t="n"/>
    </row>
    <row r="12" ht="12" customHeight="1" s="1354">
      <c r="A12" s="2069" t="n"/>
      <c r="B12" s="2069" t="n"/>
      <c r="C12" s="2069" t="n"/>
      <c r="D12" s="2069" t="n"/>
      <c r="E12" s="2069" t="n"/>
      <c r="F12" s="2069" t="n"/>
      <c r="G12" s="2069" t="n"/>
      <c r="H12" s="2069" t="n"/>
    </row>
    <row r="13" ht="22" customHeight="1" s="1354">
      <c r="A13" s="1698" t="inlineStr">
        <is>
          <t xml:space="preserve">Libellés </t>
        </is>
      </c>
      <c r="B13" s="1798" t="n"/>
      <c r="C13" s="2070" t="inlineStr">
        <is>
          <t xml:space="preserve">Année N </t>
        </is>
      </c>
      <c r="D13" s="1698" t="inlineStr">
        <is>
          <t xml:space="preserve">Année N-1 </t>
        </is>
      </c>
      <c r="E13" s="2071" t="inlineStr">
        <is>
          <t>Variation en %</t>
        </is>
      </c>
    </row>
    <row r="14" ht="22" customHeight="1" s="1354">
      <c r="A14" s="1718" t="inlineStr">
        <is>
          <t xml:space="preserve">Créances sur cessions d'immobilisations </t>
        </is>
      </c>
      <c r="B14" s="1710" t="n"/>
      <c r="C14" s="2795">
        <f>SUMIF(BALANCE!$A$2:$A$70,"485*",BALANCE!$F$2:$F$70)-SUMIF(BALANCE!$A$2:$A$70,"485*",BALANCE!$G$2:$G$70)</f>
        <v/>
      </c>
      <c r="D14" s="2796">
        <f>SUMIF(BALANCE_N1!$A$2:$A$70,"485*",BALANCE_N1!$F$2:$F$70)-SUMIF(BALANCE_N1!$A$2:$A$70,"485*",BALANCE_N1!$G$2:$G$70)</f>
        <v/>
      </c>
      <c r="E14" s="2072" t="n">
        <v>0</v>
      </c>
    </row>
    <row r="15" ht="22" customHeight="1" s="1354">
      <c r="A15" s="2073" t="inlineStr">
        <is>
          <t xml:space="preserve">Autres créances hors activités ordinaires </t>
        </is>
      </c>
      <c r="B15" s="1703" t="n"/>
      <c r="C15" s="2797">
        <f>SUMIF(BALANCE!$A$2:$A$70,"488*",BALANCE!$F$2:$F$70)-SUMIF(BALANCE!$A$2:$A$70,"488*",BALANCE!$G$2:$G$70)</f>
        <v/>
      </c>
      <c r="D15" s="2798">
        <f>SUMIF(BALANCE_N1!$A$2:$A$70,"488*",BALANCE_N1!$F$2:$F$70)-SUMIF(BALANCE_N1!$A$2:$A$70,"488*",BALANCE_N1!$G$2:$G$70)</f>
        <v/>
      </c>
      <c r="E15" s="2075" t="n"/>
    </row>
    <row r="16" ht="22" customHeight="1" s="1354">
      <c r="A16" s="2076" t="inlineStr">
        <is>
          <t xml:space="preserve"> TOTAL BRUT </t>
        </is>
      </c>
      <c r="B16" s="1754" t="n"/>
      <c r="C16" s="2781">
        <f>SUM(C14:C15)</f>
        <v/>
      </c>
      <c r="D16" s="2780">
        <f>SUM(D14:D15)</f>
        <v/>
      </c>
      <c r="E16" s="2077" t="n"/>
    </row>
    <row r="17" ht="22" customHeight="1" s="1354">
      <c r="A17" s="2078" t="inlineStr">
        <is>
          <t xml:space="preserve">Dépréciations des créances HAO </t>
        </is>
      </c>
      <c r="B17" s="1603" t="n"/>
      <c r="C17" s="2799">
        <f>SUMIF(BALANCE!$A$2:$A$70,"498*",BALANCE!$G$2:$G$70)-SUMIF(BALANCE!$A$2:$A$70,"498*",BALANCE!$F$2:$F$70)</f>
        <v/>
      </c>
      <c r="D17" s="2800">
        <f>SUMIF(BALANCE_N1!$A$2:$A$70,"498*",BALANCE_N1!$G$2:$G$70)-SUMIF(BALANCE_N1!$A$2:$A$70,"498*",BALANCE_N1!$F$2:$F$70)</f>
        <v/>
      </c>
      <c r="E17" s="2080" t="n"/>
    </row>
    <row r="18" ht="22" customHeight="1" s="1354">
      <c r="A18" s="2073" t="inlineStr">
        <is>
          <t>  </t>
        </is>
      </c>
      <c r="B18" s="1703" t="n"/>
      <c r="C18" s="2081" t="n"/>
      <c r="D18" s="1803" t="n"/>
      <c r="E18" s="2082" t="n"/>
    </row>
    <row r="19" ht="22" customHeight="1" s="1354">
      <c r="A19" s="2076" t="inlineStr">
        <is>
          <t xml:space="preserve">TOTAL NET DE DEPRECIATION </t>
        </is>
      </c>
      <c r="B19" s="1754" t="n"/>
      <c r="C19" s="2783">
        <f>C16-C17</f>
        <v/>
      </c>
      <c r="D19" s="2782">
        <f>D16-D17</f>
        <v/>
      </c>
      <c r="E19" s="2083" t="n"/>
    </row>
    <row r="20" ht="11.5" customHeight="1" s="1354">
      <c r="A20" s="2084" t="inlineStr">
        <is>
          <t xml:space="preserve">Commentaire:  </t>
        </is>
      </c>
      <c r="B20" s="1960" t="n"/>
      <c r="C20" s="1960" t="n"/>
      <c r="D20" s="1960" t="n"/>
      <c r="E20" s="1960" t="n"/>
    </row>
    <row r="21" ht="11.5" customHeight="1" s="1354">
      <c r="A21" s="2085" t="inlineStr">
        <is>
          <t xml:space="preserve">•       Commenter toute  variation  significative. </t>
        </is>
      </c>
      <c r="B21" s="1960" t="n"/>
      <c r="C21" s="1960" t="n"/>
      <c r="D21" s="1960" t="n"/>
      <c r="E21" s="1960" t="n"/>
    </row>
    <row r="22" ht="11.5" customHeight="1" s="1354">
      <c r="A22" s="2085" t="inlineStr">
        <is>
          <t xml:space="preserve">•       Dépréciation : indiquer les évènements et les circonstances qui ont motivé la dépréciation ou la reprise.  </t>
        </is>
      </c>
      <c r="B22" s="1960" t="n"/>
      <c r="C22" s="1960" t="n"/>
      <c r="D22" s="1960" t="n"/>
      <c r="E22" s="1960" t="n"/>
    </row>
    <row r="23" ht="11.5" customHeight="1" s="1354">
      <c r="A23" s="2086" t="n"/>
    </row>
    <row r="24" ht="11.5" customHeight="1" s="1354">
      <c r="A24" s="2086" t="n"/>
    </row>
    <row r="25" ht="14.5" customHeight="1" s="1354">
      <c r="A25" s="2067" t="inlineStr">
        <is>
          <t>DETTES  CIRCULANTES HAO</t>
        </is>
      </c>
    </row>
    <row r="26" ht="11.5" customHeight="1" s="1354">
      <c r="A26" s="2087" t="inlineStr">
        <is>
          <t xml:space="preserve">Libellés </t>
        </is>
      </c>
      <c r="B26" s="1797" t="n"/>
      <c r="C26" s="1698" t="inlineStr">
        <is>
          <t xml:space="preserve">Année N </t>
        </is>
      </c>
      <c r="D26" s="1698" t="inlineStr">
        <is>
          <t xml:space="preserve">Année N-1 </t>
        </is>
      </c>
      <c r="E26" s="2071" t="inlineStr">
        <is>
          <t>Variation en %</t>
        </is>
      </c>
    </row>
    <row r="27" ht="22" customHeight="1" s="1354">
      <c r="A27" s="2088" t="inlineStr">
        <is>
          <t xml:space="preserve">Fournisseurs d'investissements </t>
        </is>
      </c>
      <c r="B27" s="1709" t="n"/>
      <c r="C27" s="2796">
        <f>SUMIF(BALANCE!$A$2:$A$70,"481*",BALANCE!$G$2:$G$70)-SUMIF(BALANCE!$A$2:$A$70,"481*",BALANCE!$F$2:$F$70)</f>
        <v/>
      </c>
      <c r="D27" s="2796">
        <f>SUMIF(BALANCE_N1!$A$2:$A$70,"481*",BALANCE_N1!$G$2:$G$70)-SUMIF(BALANCE_N1!$A$2:$A$70,"481*",BALANCE_N1!$F$2:$F$70)</f>
        <v/>
      </c>
      <c r="E27" s="2072" t="n"/>
    </row>
    <row r="28" ht="22" customHeight="1" s="1354">
      <c r="A28" s="2088" t="inlineStr">
        <is>
          <t xml:space="preserve">Fournisseurs d'investissements effets à payer </t>
        </is>
      </c>
      <c r="B28" s="1709" t="n"/>
      <c r="C28" s="2796">
        <f>SUMIF(BALANCE!$A$2:$A$70,"482*",BALANCE!$G$2:$G$70)-SUMIF(BALANCE!$A$2:$A$70,"482*",BALANCE!$F$2:$F$70)</f>
        <v/>
      </c>
      <c r="D28" s="2796">
        <f>SUMIF(BALANCE_N1!$A$2:$A$70,"482*",BALANCE_N1!$G$2:$G$70)-SUMIF(BALANCE_N1!$A$2:$A$70,"482*",BALANCE_N1!$F$2:$F$70)</f>
        <v/>
      </c>
      <c r="E28" s="2072" t="n"/>
    </row>
    <row r="29" ht="26.25" customHeight="1" s="1354">
      <c r="A29" s="2088" t="inlineStr">
        <is>
          <t xml:space="preserve">Versements restant à effectuer sur titres de participation et titres immobilisés non libérés </t>
        </is>
      </c>
      <c r="B29" s="1709" t="n"/>
      <c r="C29" s="1729" t="n"/>
      <c r="D29" s="1729" t="n"/>
      <c r="E29" s="2072" t="n"/>
    </row>
    <row r="30" ht="22" customHeight="1" s="1354">
      <c r="A30" s="2088" t="inlineStr">
        <is>
          <t xml:space="preserve">Autres dettes hors activités ordinaires </t>
        </is>
      </c>
      <c r="B30" s="1709" t="n"/>
      <c r="C30" s="2796">
        <f>SUMIF(BALANCE!$A$2:$A$70,"484*",BALANCE!$G$2:$G$70)-SUMIF(BALANCE!$A$2:$A$70,"484*",BALANCE!$F$2:$F$70)+SUMIF(BALANCE!$A$2:$A$70,"4998*",BALANCE!$G$2:$G$70)-SUMIF(BALANCE!$A$2:$A$70,"4998*",BALANCE!$F$2:$F$70)</f>
        <v/>
      </c>
      <c r="D30" s="2796">
        <f>SUMIF(BALANCE_N1!$A$2:$A$70,"484*",BALANCE_N1!$G$2:$G$70)-SUMIF(BALANCE_N1!$A$2:$A$70,"484*",BALANCE_N1!$F$2:$F$70)+SUMIF(BALANCE_N1!$A$2:$A$70,"4998*",BALANCE_N1!$G$2:$G$70)-SUMIF(BALANCE_N1!$A$2:$A$70,"4998*",BALANCE_N1!$F$2:$F$70)</f>
        <v/>
      </c>
      <c r="E30" s="2072" t="n"/>
    </row>
    <row r="31" ht="22" customHeight="1" s="1354">
      <c r="A31" s="2089" t="inlineStr">
        <is>
          <t xml:space="preserve">TOTAL  </t>
        </is>
      </c>
      <c r="B31" s="1753" t="n"/>
      <c r="C31" s="2782">
        <f>SUM(C27:C30)</f>
        <v/>
      </c>
      <c r="D31" s="2782">
        <f>SUM(D27:D30)</f>
        <v/>
      </c>
      <c r="E31" s="2083" t="n"/>
    </row>
    <row r="32" ht="11.5" customHeight="1" s="1354">
      <c r="A32" s="2090" t="inlineStr">
        <is>
          <t> </t>
        </is>
      </c>
    </row>
    <row r="33" ht="11.5" customHeight="1" s="1354">
      <c r="A33" s="2061" t="inlineStr">
        <is>
          <t xml:space="preserve">Commentaire :  </t>
        </is>
      </c>
      <c r="B33" s="1934" t="n"/>
      <c r="C33" s="1934" t="n"/>
      <c r="D33" s="1934" t="n"/>
    </row>
    <row r="34" ht="11.5" customHeight="1" s="1354">
      <c r="A34" s="2091" t="inlineStr">
        <is>
          <t> </t>
        </is>
      </c>
      <c r="B34" s="1934" t="n"/>
      <c r="C34" s="1934" t="n"/>
      <c r="D34" s="1934" t="n"/>
    </row>
    <row r="35" ht="11.5" customHeight="1" s="1354">
      <c r="A35" s="2062" t="inlineStr">
        <is>
          <t xml:space="preserve">•      Indiquer la date de cession et la nature de l'immobilisation achetée et/ou cédée. </t>
        </is>
      </c>
      <c r="B35" s="1934" t="n"/>
      <c r="C35" s="1934" t="n"/>
      <c r="D35" s="1934" t="n"/>
    </row>
    <row r="36" ht="11.5" customHeight="1" s="1354">
      <c r="A36" s="2062" t="inlineStr">
        <is>
          <t xml:space="preserve">•      Expliciter toute variation significative. </t>
        </is>
      </c>
      <c r="B36" s="1934" t="n"/>
      <c r="C36" s="1934" t="n"/>
      <c r="D36" s="1934" t="n"/>
    </row>
    <row r="37" ht="11.5" customHeight="1" s="1354">
      <c r="A37" s="2092" t="inlineStr">
        <is>
          <t> </t>
        </is>
      </c>
      <c r="B37" s="1934" t="n"/>
      <c r="C37" s="1934" t="n"/>
      <c r="D37" s="1934" t="n"/>
    </row>
    <row r="38" ht="11.5" customHeight="1" s="1354">
      <c r="A38" s="2092" t="inlineStr">
        <is>
          <t>   </t>
        </is>
      </c>
      <c r="B38" s="2092" t="inlineStr">
        <is>
          <t> </t>
        </is>
      </c>
      <c r="C38" s="1934" t="n"/>
      <c r="D38" s="1934" t="n"/>
    </row>
    <row r="39" ht="11.5" customHeight="1" s="1354">
      <c r="A39" s="1934" t="n"/>
      <c r="B39" s="1934" t="n"/>
      <c r="C39" s="1934" t="n"/>
      <c r="D39" s="1934" t="n"/>
    </row>
    <row r="40" ht="11.5" customHeight="1" s="1354">
      <c r="A40" s="1934" t="n"/>
      <c r="B40" s="1934" t="n"/>
      <c r="C40" s="1934" t="n"/>
      <c r="D40" s="1934" t="n"/>
    </row>
    <row r="41" ht="11.5" customHeight="1" s="1354">
      <c r="A41" s="1934" t="n"/>
      <c r="B41" s="1934" t="n"/>
      <c r="C41" s="1934" t="n"/>
      <c r="D41" s="1934" t="n"/>
    </row>
  </sheetData>
  <mergeCells count="16">
    <mergeCell ref="A26:B26"/>
    <mergeCell ref="A30:B30"/>
    <mergeCell ref="A16:B16"/>
    <mergeCell ref="A29:B29"/>
    <mergeCell ref="A15:B15"/>
    <mergeCell ref="A10:E10"/>
    <mergeCell ref="A19:B19"/>
    <mergeCell ref="A25:E25"/>
    <mergeCell ref="A28:B28"/>
    <mergeCell ref="A11:E11"/>
    <mergeCell ref="A13:B13"/>
    <mergeCell ref="A14:B14"/>
    <mergeCell ref="A17:B17"/>
    <mergeCell ref="A18:B18"/>
    <mergeCell ref="A27:B27"/>
    <mergeCell ref="A31:B3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5"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13" colorId="64" zoomScale="100" zoomScaleNormal="100" zoomScalePageLayoutView="100" workbookViewId="0">
      <selection pane="topLeft" activeCell="C22" activeCellId="0" sqref="C22:E22"/>
    </sheetView>
  </sheetViews>
  <sheetFormatPr baseColWidth="8" defaultColWidth="10.8125" defaultRowHeight="12" zeroHeight="0" outlineLevelRow="0"/>
  <cols>
    <col width="5.44" customWidth="1" style="1583" min="1" max="1"/>
    <col width="65.72" customWidth="1" style="1583" min="2" max="2"/>
    <col width="12.44" customWidth="1" style="1583" min="3" max="3"/>
    <col width="12.81" customWidth="1" style="1583" min="4" max="4"/>
    <col width="11.44" customWidth="1" style="1583" min="5" max="5"/>
    <col width="0.8100000000000001" customWidth="1" style="1583" min="6" max="6"/>
    <col width="10.81" customWidth="1" style="1583" min="7" max="257"/>
  </cols>
  <sheetData>
    <row r="1" ht="12" customHeight="1" s="1354">
      <c r="B1" s="2093" t="n"/>
    </row>
    <row r="2" ht="12" customHeight="1" s="1354">
      <c r="B2" s="2000" t="n"/>
    </row>
    <row r="3" ht="12" customHeight="1" s="1354">
      <c r="B3" s="2094" t="n"/>
    </row>
    <row r="4" ht="12" customHeight="1" s="1354">
      <c r="B4" s="2094" t="n"/>
    </row>
    <row r="5" ht="12" customHeight="1" s="1354">
      <c r="B5" s="2094" t="n"/>
    </row>
    <row r="6" ht="15.5" customHeight="1" s="1354">
      <c r="B6" s="1748" t="inlineStr">
        <is>
          <t>Désignation entité : ENTREPRISE TEST SARL</t>
        </is>
      </c>
      <c r="C6" s="1591" t="inlineStr">
        <is>
          <t>Exercice clos le : 31/12/2025</t>
        </is>
      </c>
      <c r="D6" s="1591" t="n"/>
      <c r="E6" s="1578" t="n"/>
    </row>
    <row r="7" ht="13" customHeight="1" s="1354">
      <c r="B7" s="1749" t="inlineStr">
        <is>
          <t>Numéro d’identification : CD/KNG/RCCM/23-B-01234</t>
        </is>
      </c>
      <c r="C7" s="1591" t="inlineStr">
        <is>
          <t>Durée (en mois) : 12</t>
        </is>
      </c>
      <c r="D7" s="1591" t="n"/>
      <c r="E7" s="1582" t="n"/>
    </row>
    <row r="8"/>
    <row r="9" ht="14" customHeight="1" s="1354">
      <c r="B9" s="1991" t="inlineStr">
        <is>
          <t>NOTE 6</t>
        </is>
      </c>
      <c r="F9" s="1828" t="n"/>
    </row>
    <row r="10" ht="17" customHeight="1" s="1354">
      <c r="B10" s="1966" t="inlineStr">
        <is>
          <t>STOCKS ET EN COURS (1)</t>
        </is>
      </c>
      <c r="F10" s="1967" t="n"/>
    </row>
    <row r="11" ht="23.5" customHeight="1" s="1354">
      <c r="B11" s="2003" t="inlineStr">
        <is>
          <t xml:space="preserve">Libellés </t>
        </is>
      </c>
      <c r="C11" s="2095" t="inlineStr">
        <is>
          <t xml:space="preserve">Année N </t>
        </is>
      </c>
      <c r="D11" s="2095" t="inlineStr">
        <is>
          <t xml:space="preserve">Année N-1 </t>
        </is>
      </c>
      <c r="E11" s="2006" t="inlineStr">
        <is>
          <t xml:space="preserve">Variation en % </t>
        </is>
      </c>
    </row>
    <row r="12" ht="15" customHeight="1" s="1354">
      <c r="B12" s="2096" t="inlineStr">
        <is>
          <t xml:space="preserve">Marchandises </t>
        </is>
      </c>
      <c r="C12" s="2801">
        <f>SUMIF(BALANCE!$A$2:$A$70,"31*",BALANCE!$F$2:$F$70)-SUMIF(BALANCE!$A$2:$A$70,"31*",BALANCE!$G$2:$G$70)</f>
        <v/>
      </c>
      <c r="D12" s="2801">
        <f>SUMIF(BALANCE_N1!$A$2:$A$70,"31*",BALANCE_N1!$F$2:$F$70)-SUMIF(BALANCE_N1!$A$2:$A$70,"31*",BALANCE_N1!$G$2:$G$70)</f>
        <v/>
      </c>
      <c r="E12" s="2098">
        <f>+(C12-D12)/D12</f>
        <v/>
      </c>
    </row>
    <row r="13" ht="15" customHeight="1" s="1354">
      <c r="B13" s="2099" t="inlineStr">
        <is>
          <t xml:space="preserve">Matières premières et fournitures liées </t>
        </is>
      </c>
      <c r="C13" s="2802">
        <f>SUMIF(BALANCE!$A$2:$A$70,"32*",BALANCE!$F$2:$F$70)-SUMIF(BALANCE!$A$2:$A$70,"32*",BALANCE!$G$2:$G$70)</f>
        <v/>
      </c>
      <c r="D13" s="2802">
        <f>SUMIF(BALANCE_N1!$A$2:$A$70,"32*",BALANCE_N1!$F$2:$F$70)-SUMIF(BALANCE_N1!$A$2:$A$70,"32*",BALANCE_N1!$G$2:$G$70)</f>
        <v/>
      </c>
      <c r="E13" s="2101" t="n"/>
    </row>
    <row r="14" ht="15" customHeight="1" s="1354">
      <c r="B14" s="2099" t="inlineStr">
        <is>
          <t xml:space="preserve">Autres approvisionnements </t>
        </is>
      </c>
      <c r="C14" s="2802">
        <f>SUMIF(BALANCE!$A$2:$A$70,"33*",BALANCE!$F$2:$F$70)-SUMIF(BALANCE!$A$2:$A$70,"33*",BALANCE!$G$2:$G$70)</f>
        <v/>
      </c>
      <c r="D14" s="2802">
        <f>SUMIF(BALANCE_N1!$A$2:$A$70,"33*",BALANCE_N1!$F$2:$F$70)-SUMIF(BALANCE_N1!$A$2:$A$70,"33*",BALANCE_N1!$G$2:$G$70)</f>
        <v/>
      </c>
      <c r="E14" s="2101" t="n"/>
    </row>
    <row r="15" ht="15" customHeight="1" s="1354">
      <c r="B15" s="2099" t="inlineStr">
        <is>
          <t xml:space="preserve">Produits en cours </t>
        </is>
      </c>
      <c r="C15" s="2802">
        <f>SUMIF(BALANCE!$A$2:$A$70,"34*",BALANCE!$F$2:$F$70)-SUMIF(BALANCE!$A$2:$A$70,"34*",BALANCE!$G$2:$G$70)</f>
        <v/>
      </c>
      <c r="D15" s="2802">
        <f>SUMIF(BALANCE_N1!$A$2:$A$70,"34*",BALANCE_N1!$F$2:$F$70)-SUMIF(BALANCE_N1!$A$2:$A$70,"34*",BALANCE_N1!$G$2:$G$70)</f>
        <v/>
      </c>
      <c r="E15" s="2101" t="n"/>
    </row>
    <row r="16" ht="15" customHeight="1" s="1354">
      <c r="B16" s="2099" t="inlineStr">
        <is>
          <t xml:space="preserve">Services en cours </t>
        </is>
      </c>
      <c r="C16" s="2802">
        <f>SUMIF(BALANCE!$A$2:$A$70,"35*",BALANCE!$F$2:$F$70)-SUMIF(BALANCE!$A$2:$A$70,"35*",BALANCE!$G$2:$G$70)</f>
        <v/>
      </c>
      <c r="D16" s="2802">
        <f>SUMIF(BALANCE_N1!$A$2:$A$70,"35*",BALANCE_N1!$F$2:$F$70)-SUMIF(BALANCE_N1!$A$2:$A$70,"35*",BALANCE_N1!$G$2:$G$70)</f>
        <v/>
      </c>
      <c r="E16" s="2101" t="n"/>
    </row>
    <row r="17" ht="15" customHeight="1" s="1354">
      <c r="B17" s="2099" t="inlineStr">
        <is>
          <t xml:space="preserve">Produits finis </t>
        </is>
      </c>
      <c r="C17" s="2802">
        <f>SUMIF(BALANCE!$A$2:$A$70,"36*",BALANCE!$F$2:$F$70)-SUMIF(BALANCE!$A$2:$A$70,"36*",BALANCE!$G$2:$G$70)</f>
        <v/>
      </c>
      <c r="D17" s="2802">
        <f>SUMIF(BALANCE_N1!$A$2:$A$70,"36*",BALANCE_N1!$F$2:$F$70)-SUMIF(BALANCE_N1!$A$2:$A$70,"36*",BALANCE_N1!$G$2:$G$70)</f>
        <v/>
      </c>
      <c r="E17" s="2101" t="n"/>
    </row>
    <row r="18" ht="15" customHeight="1" s="1354">
      <c r="B18" s="2099" t="inlineStr">
        <is>
          <t xml:space="preserve">Produits intermédiaires </t>
        </is>
      </c>
      <c r="C18" s="2802">
        <f>SUMIF(BALANCE!$A$2:$A$70,"37*",BALANCE!$F$2:$F$70)-SUMIF(BALANCE!$A$2:$A$70,"37*",BALANCE!$G$2:$G$70)</f>
        <v/>
      </c>
      <c r="D18" s="2802">
        <f>SUMIF(BALANCE_N1!$A$2:$A$70,"37*",BALANCE_N1!$F$2:$F$70)-SUMIF(BALANCE_N1!$A$2:$A$70,"37*",BALANCE_N1!$G$2:$G$70)</f>
        <v/>
      </c>
      <c r="E18" s="2101" t="n"/>
    </row>
    <row r="19" ht="12.5" customHeight="1" s="1354">
      <c r="B19" s="2102" t="inlineStr">
        <is>
          <t xml:space="preserve">Stocks en cours de route, en consignation ou en dépôt </t>
        </is>
      </c>
      <c r="C19" s="2803">
        <f>SUMIF(BALANCE!$A$2:$A$70,"38*",BALANCE!$F$2:$F$70)-SUMIF(BALANCE!$A$2:$A$70,"38*",BALANCE!$G$2:$G$70)</f>
        <v/>
      </c>
      <c r="D19" s="2803">
        <f>SUMIF(BALANCE_N1!$A$2:$A$70,"38*",BALANCE_N1!$F$2:$F$70)-SUMIF(BALANCE_N1!$A$2:$A$70,"38*",BALANCE_N1!$G$2:$G$70)</f>
        <v/>
      </c>
      <c r="E19" s="2101" t="n"/>
    </row>
    <row r="20" ht="15" customHeight="1" s="1354">
      <c r="B20" s="2104" t="inlineStr">
        <is>
          <t xml:space="preserve">TOTAL BRUT STOCKS ET EN COURS </t>
        </is>
      </c>
      <c r="C20" s="2105">
        <f>SUM(C12:C19)</f>
        <v/>
      </c>
      <c r="D20" s="2105">
        <f>SUM(D12:D19)</f>
        <v/>
      </c>
      <c r="E20" s="2106">
        <f>+(C20-D20)/D20</f>
        <v/>
      </c>
    </row>
    <row r="21" ht="15" customHeight="1" s="1354">
      <c r="B21" s="2107" t="inlineStr">
        <is>
          <t> </t>
        </is>
      </c>
      <c r="C21" s="2108" t="n"/>
      <c r="D21" s="2108" t="n"/>
      <c r="E21" s="2109" t="n"/>
    </row>
    <row r="22" ht="15" customHeight="1" s="1354">
      <c r="B22" s="2099" t="inlineStr">
        <is>
          <t xml:space="preserve">Dépréciations des stocks </t>
        </is>
      </c>
      <c r="C22" s="2802">
        <f>SUMIF(BALANCE!$A$2:$A$70,"39*",BALANCE!$G$2:$G$70)-SUMIF(BALANCE!$A$2:$A$70,"39*",BALANCE!$F$2:$F$70)</f>
        <v/>
      </c>
      <c r="D22" s="2802">
        <f>SUMIF(BALANCE_N1!$A$2:$A$70,"39*",BALANCE_N1!$G$2:$G$70)-SUMIF(BALANCE_N1!$A$2:$A$70,"39*",BALANCE_N1!$F$2:$F$70)</f>
        <v/>
      </c>
      <c r="E22" s="2110" t="n"/>
    </row>
    <row r="23" ht="15" customHeight="1" s="1354">
      <c r="B23" s="2102" t="inlineStr">
        <is>
          <t>  </t>
        </is>
      </c>
      <c r="C23" s="2111" t="n"/>
      <c r="D23" s="2111" t="n"/>
      <c r="E23" s="2112" t="n"/>
    </row>
    <row r="24" ht="15" customHeight="1" s="1354">
      <c r="B24" s="2113" t="inlineStr">
        <is>
          <t xml:space="preserve">TOTAL NET DE DEPRECIATION </t>
        </is>
      </c>
      <c r="C24" s="2804">
        <f>C20-C22</f>
        <v/>
      </c>
      <c r="D24" s="2804">
        <f>D20-D22</f>
        <v/>
      </c>
      <c r="E24" s="2115">
        <f>E20</f>
        <v/>
      </c>
    </row>
    <row r="25" ht="25.5" customHeight="1" s="1354">
      <c r="B25" s="2116" t="inlineStr">
        <is>
          <t xml:space="preserve">(1) Les stocks H.A.O. seront inscrits dans l'actif circulant H.A.O. que lorsque leur montant total est significatif (supérieur à 5 % du total de l'actif circulant). </t>
        </is>
      </c>
    </row>
    <row r="26" ht="12" customHeight="1" s="1354">
      <c r="B26" s="2061" t="inlineStr">
        <is>
          <t> </t>
        </is>
      </c>
      <c r="C26" s="1934" t="n"/>
      <c r="D26" s="1934" t="n"/>
      <c r="E26" s="1934" t="n"/>
      <c r="F26" s="1934" t="n"/>
    </row>
    <row r="27" ht="12" customHeight="1" s="1354">
      <c r="B27" s="2117" t="inlineStr">
        <is>
          <t xml:space="preserve"> Commentaire :  </t>
        </is>
      </c>
      <c r="C27" s="1934" t="n"/>
      <c r="D27" s="1934" t="n"/>
      <c r="E27" s="1934" t="n"/>
      <c r="F27" s="1934" t="n"/>
    </row>
    <row r="28" ht="29.25" customHeight="1" s="1354">
      <c r="B28" s="2116" t="inlineStr">
        <is>
          <t xml:space="preserve">• Indiquer la date de prise d'inventaire et décrire brièvement la procédure, les méthodes comptables adoptées pour évaluer le stock. </t>
        </is>
      </c>
    </row>
    <row r="29" ht="16.5" customHeight="1" s="1354">
      <c r="B29" s="2116" t="inlineStr">
        <is>
          <t xml:space="preserve">• Commenter toute variation significative des stocks. </t>
        </is>
      </c>
    </row>
    <row r="30" ht="19.5" customHeight="1" s="1354">
      <c r="B30" s="2116" t="inlineStr">
        <is>
          <t xml:space="preserve">• Indiquer le détail des stocks dépréciés et les évènements et circonstances qui ont conduit à la dépréciation et à la reprise. </t>
        </is>
      </c>
    </row>
    <row r="31" ht="12" customHeight="1" s="1354">
      <c r="B31" s="2118" t="inlineStr">
        <is>
          <t> </t>
        </is>
      </c>
      <c r="C31" s="2119" t="inlineStr">
        <is>
          <t> </t>
        </is>
      </c>
      <c r="D31" s="2119" t="inlineStr">
        <is>
          <t> </t>
        </is>
      </c>
      <c r="E31" s="2120" t="inlineStr">
        <is>
          <t> </t>
        </is>
      </c>
    </row>
    <row r="32" ht="12" customHeight="1" s="1354">
      <c r="B32" s="2093" t="inlineStr">
        <is>
          <t> </t>
        </is>
      </c>
    </row>
    <row r="33" ht="12" customHeight="1" s="1354">
      <c r="B33" s="2093" t="inlineStr">
        <is>
          <t> </t>
        </is>
      </c>
    </row>
    <row r="34" ht="12" customHeight="1" s="1354">
      <c r="B34" s="2093" t="inlineStr">
        <is>
          <t> </t>
        </is>
      </c>
    </row>
    <row r="35" ht="12" customHeight="1" s="1354">
      <c r="B35" s="2093" t="n"/>
    </row>
    <row r="36" ht="12" customHeight="1" s="1354">
      <c r="B36" s="2093" t="inlineStr">
        <is>
          <t> </t>
        </is>
      </c>
    </row>
    <row r="37" ht="12" customHeight="1" s="1354">
      <c r="B37" s="2093" t="inlineStr">
        <is>
          <t> </t>
        </is>
      </c>
    </row>
    <row r="38" ht="12" customHeight="1" s="1354">
      <c r="B38" s="2093" t="n"/>
    </row>
  </sheetData>
  <mergeCells count="6">
    <mergeCell ref="B30:F30"/>
    <mergeCell ref="B9:E9"/>
    <mergeCell ref="B29:F29"/>
    <mergeCell ref="B25:F25"/>
    <mergeCell ref="B28:F28"/>
    <mergeCell ref="B10:E10"/>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A38" activeCellId="0" sqref="A38"/>
    </sheetView>
  </sheetViews>
  <sheetFormatPr baseColWidth="8" defaultColWidth="10.8125" defaultRowHeight="12" zeroHeight="0" outlineLevelRow="0"/>
  <cols>
    <col width="61.26" customWidth="1" style="1583" min="1" max="1"/>
    <col width="12.44" customWidth="1" style="1583" min="2" max="3"/>
    <col width="13.44" customWidth="1" style="1583" min="4" max="4"/>
    <col width="12.44" customWidth="1" style="1583" min="5" max="6"/>
    <col width="10.81" customWidth="1" style="1583" min="7" max="257"/>
  </cols>
  <sheetData>
    <row r="1"/>
    <row r="2"/>
    <row r="3"/>
    <row r="4" ht="13" customHeight="1" s="1354">
      <c r="A4" s="1748" t="inlineStr">
        <is>
          <t>Désignation entité : ENTREPRISE TEST SARL</t>
        </is>
      </c>
      <c r="E4" s="1591" t="inlineStr">
        <is>
          <t>Exercice clos le : 31/12/2025</t>
        </is>
      </c>
      <c r="F4" s="1591" t="n"/>
      <c r="G4" s="1578" t="n"/>
    </row>
    <row r="5" ht="13" customHeight="1" s="1354">
      <c r="A5" s="1749" t="inlineStr">
        <is>
          <t>Numéro d’identification : CD/KNG/RCCM/23-B-01234</t>
        </is>
      </c>
      <c r="E5" s="1591" t="inlineStr">
        <is>
          <t>Durée (en mois) : 12</t>
        </is>
      </c>
      <c r="F5" s="1591" t="n"/>
      <c r="G5" s="1582" t="n"/>
    </row>
    <row r="6" ht="14" customHeight="1" s="1354">
      <c r="A6" s="2002" t="inlineStr">
        <is>
          <t xml:space="preserve"> NOTE 7 </t>
        </is>
      </c>
    </row>
    <row r="7" ht="14.5" customHeight="1" s="1354">
      <c r="A7" s="1966" t="inlineStr">
        <is>
          <t>CLIENTS</t>
        </is>
      </c>
    </row>
    <row r="8" ht="23.25" customHeight="1" s="1354">
      <c r="A8" s="2003" t="inlineStr">
        <is>
          <t xml:space="preserve">Libellés </t>
        </is>
      </c>
      <c r="B8" s="2004" t="inlineStr">
        <is>
          <t xml:space="preserve">Année  N </t>
        </is>
      </c>
      <c r="C8" s="2004" t="inlineStr">
        <is>
          <t xml:space="preserve">Année  N-1 </t>
        </is>
      </c>
      <c r="D8" s="2004" t="inlineStr">
        <is>
          <t xml:space="preserve">Variation en % </t>
        </is>
      </c>
      <c r="E8" s="2121" t="inlineStr">
        <is>
          <t xml:space="preserve">Créances à un an au plus </t>
        </is>
      </c>
      <c r="F8" s="2005" t="inlineStr">
        <is>
          <t xml:space="preserve">Créances à plus </t>
        </is>
      </c>
      <c r="G8" s="2122" t="inlineStr">
        <is>
          <t xml:space="preserve">Créances à plus de deux ans </t>
        </is>
      </c>
    </row>
    <row r="9" ht="19.5" customHeight="1" s="1354">
      <c r="A9" s="2123" t="n"/>
      <c r="B9" s="2124" t="n"/>
      <c r="C9" s="2124" t="n"/>
      <c r="D9" s="2124" t="n"/>
      <c r="E9" s="2125" t="n"/>
      <c r="F9" s="1861" t="inlineStr">
        <is>
          <t xml:space="preserve">d'un an </t>
        </is>
      </c>
      <c r="G9" s="1816" t="n"/>
    </row>
    <row r="10" ht="15" customHeight="1" s="1354">
      <c r="A10" s="2123" t="n"/>
      <c r="B10" s="2124" t="n"/>
      <c r="C10" s="2124" t="n"/>
      <c r="D10" s="2124" t="n"/>
      <c r="E10" s="2125" t="n"/>
      <c r="F10" s="1861" t="inlineStr">
        <is>
          <t xml:space="preserve">et à deux </t>
        </is>
      </c>
      <c r="G10" s="1816" t="n"/>
    </row>
    <row r="11" ht="15" customHeight="1" s="1354">
      <c r="A11" s="2007" t="n"/>
      <c r="B11" s="2008" t="n"/>
      <c r="C11" s="2008" t="n"/>
      <c r="D11" s="2008" t="n"/>
      <c r="E11" s="2126" t="n"/>
      <c r="F11" s="2009" t="inlineStr">
        <is>
          <t xml:space="preserve">ans au plus </t>
        </is>
      </c>
      <c r="G11" s="1998" t="n"/>
    </row>
    <row r="12" ht="12" customHeight="1" s="1354">
      <c r="A12" s="2096" t="inlineStr">
        <is>
          <t xml:space="preserve">Clients (hors réserves de propriété Groupe) </t>
        </is>
      </c>
      <c r="B12" s="2805">
        <f>SUMIF(BALANCE!$A$2:$A$70,"411*",BALANCE!$F$2:$F$70)-SUMIF(BALANCE!$A$2:$A$70,"411*",BALANCE!$G$2:$G$70)</f>
        <v/>
      </c>
      <c r="C12" s="2805">
        <f>SUMIF(BALANCE_N1!$A$2:$A$70,"411*",BALANCE_N1!$F$2:$F$70)-SUMIF(BALANCE_N1!$A$2:$A$70,"411*",BALANCE_N1!$G$2:$G$70)</f>
        <v/>
      </c>
      <c r="D12" s="2128">
        <f>(B12-C12)/C12</f>
        <v/>
      </c>
      <c r="E12" s="2127">
        <f>B12</f>
        <v/>
      </c>
      <c r="F12" s="2127" t="n"/>
      <c r="G12" s="2129" t="n"/>
    </row>
    <row r="13" ht="15" customHeight="1" s="1354">
      <c r="A13" s="2099" t="inlineStr">
        <is>
          <t xml:space="preserve">Clients effets à recevoir (hors réserves de propriété groupe) </t>
        </is>
      </c>
      <c r="B13" s="2806">
        <f>SUMIF(BALANCE!$A$2:$A$70,"412*",BALANCE!$F$2:$F$70)-SUMIF(BALANCE!$A$2:$A$70,"412*",BALANCE!$G$2:$G$70)+SUMIF(BALANCE!$A$2:$A$70,"413*",BALANCE!$F$2:$F$70)-SUMIF(BALANCE!$A$2:$A$70,"413*",BALANCE!$G$2:$G$70)</f>
        <v/>
      </c>
      <c r="C13" s="2806">
        <f>SUMIF(BALANCE_N1!$A$2:$A$70,"412*",BALANCE_N1!$F$2:$F$70)-SUMIF(BALANCE_N1!$A$2:$A$70,"412*",BALANCE_N1!$G$2:$G$70)+SUMIF(BALANCE_N1!$A$2:$A$70,"413*",BALANCE_N1!$F$2:$F$70)-SUMIF(BALANCE_N1!$A$2:$A$70,"413*",BALANCE_N1!$G$2:$G$70)</f>
        <v/>
      </c>
      <c r="D13" s="2130" t="n"/>
      <c r="E13" s="2130" t="n"/>
      <c r="F13" s="2130" t="n"/>
      <c r="G13" s="2131" t="n"/>
    </row>
    <row r="14" ht="15" customHeight="1" s="1354">
      <c r="A14" s="2099" t="inlineStr">
        <is>
          <t xml:space="preserve">Clients et effets à recevoir  avec réserves de propriété  </t>
        </is>
      </c>
      <c r="B14" s="2130" t="n"/>
      <c r="C14" s="2130" t="n"/>
      <c r="D14" s="2130" t="n"/>
      <c r="E14" s="2130" t="n"/>
      <c r="F14" s="2130" t="n"/>
      <c r="G14" s="2131" t="n"/>
    </row>
    <row r="15" ht="15" customHeight="1" s="1354">
      <c r="A15" s="2132" t="inlineStr">
        <is>
          <t xml:space="preserve">Clients et effets à recevoir Groupe  </t>
        </is>
      </c>
      <c r="B15" s="2130" t="n"/>
      <c r="C15" s="2130" t="n"/>
      <c r="D15" s="2130" t="n"/>
      <c r="E15" s="2130" t="n"/>
      <c r="F15" s="2130" t="n"/>
      <c r="G15" s="2131" t="n"/>
    </row>
    <row r="16" ht="15" customHeight="1" s="1354">
      <c r="A16" s="2099" t="inlineStr">
        <is>
          <t xml:space="preserve">Créances sur cession d'immobilisations </t>
        </is>
      </c>
      <c r="B16" s="2806">
        <f>SUMIF(BALANCE!$A$2:$A$70,"414*",BALANCE!$F$2:$F$70)-SUMIF(BALANCE!$A$2:$A$70,"414*",BALANCE!$G$2:$G$70)</f>
        <v/>
      </c>
      <c r="C16" s="2806">
        <f>SUMIF(BALANCE_N1!$A$2:$A$70,"414*",BALANCE_N1!$F$2:$F$70)-SUMIF(BALANCE_N1!$A$2:$A$70,"414*",BALANCE_N1!$G$2:$G$70)</f>
        <v/>
      </c>
      <c r="D16" s="2130" t="n"/>
      <c r="E16" s="2130" t="n"/>
      <c r="F16" s="2130" t="n"/>
      <c r="G16" s="2131" t="n"/>
    </row>
    <row r="17" ht="15" customHeight="1" s="1354">
      <c r="A17" s="2099" t="inlineStr">
        <is>
          <t xml:space="preserve">Clients effets escomptés et non échus </t>
        </is>
      </c>
      <c r="B17" s="2806">
        <f>SUMIF(BALANCE!$A$2:$A$70,"415*",BALANCE!$F$2:$F$70)-SUMIF(BALANCE!$A$2:$A$70,"415*",BALANCE!$G$2:$G$70)</f>
        <v/>
      </c>
      <c r="C17" s="2806">
        <f>SUMIF(BALANCE_N1!$A$2:$A$70,"415*",BALANCE_N1!$F$2:$F$70)-SUMIF(BALANCE_N1!$A$2:$A$70,"415*",BALANCE_N1!$G$2:$G$70)</f>
        <v/>
      </c>
      <c r="D17" s="2130" t="n"/>
      <c r="E17" s="2130" t="n"/>
      <c r="F17" s="2130" t="n"/>
      <c r="G17" s="2131" t="n"/>
    </row>
    <row r="18" ht="15" customHeight="1" s="1354">
      <c r="A18" s="2099" t="inlineStr">
        <is>
          <t xml:space="preserve">Créances litigieuses ou douteuses </t>
        </is>
      </c>
      <c r="B18" s="2806">
        <f>SUMIF(BALANCE!$A$2:$A$70,"416*",BALANCE!$F$2:$F$70)-SUMIF(BALANCE!$A$2:$A$70,"416*",BALANCE!$G$2:$G$70)</f>
        <v/>
      </c>
      <c r="C18" s="2806">
        <f>SUMIF(BALANCE_N1!$A$2:$A$70,"416*",BALANCE_N1!$F$2:$F$70)-SUMIF(BALANCE_N1!$A$2:$A$70,"416*",BALANCE_N1!$G$2:$G$70)</f>
        <v/>
      </c>
      <c r="D18" s="2130" t="n"/>
      <c r="E18" s="2130" t="n"/>
      <c r="F18" s="2130" t="n"/>
      <c r="G18" s="2131" t="n"/>
    </row>
    <row r="19" ht="15" customHeight="1" s="1354">
      <c r="A19" s="2102" t="inlineStr">
        <is>
          <t xml:space="preserve">Clients produits à recevoir </t>
        </is>
      </c>
      <c r="B19" s="2807">
        <f>SUMIF(BALANCE!$A$2:$A$70,"418*",BALANCE!$F$2:$F$70)-SUMIF(BALANCE!$A$2:$A$70,"418*",BALANCE!$G$2:$G$70)</f>
        <v/>
      </c>
      <c r="C19" s="2807">
        <f>SUMIF(BALANCE_N1!$A$2:$A$70,"418*",BALANCE_N1!$F$2:$F$70)-SUMIF(BALANCE_N1!$A$2:$A$70,"418*",BALANCE_N1!$G$2:$G$70)</f>
        <v/>
      </c>
      <c r="D19" s="2133" t="n"/>
      <c r="E19" s="2133" t="n"/>
      <c r="F19" s="2133" t="n"/>
      <c r="G19" s="2134" t="n"/>
    </row>
    <row r="20" ht="15" customHeight="1" s="1354">
      <c r="A20" s="2104" t="inlineStr">
        <is>
          <t xml:space="preserve">TOTAL BRUT CLIENTS </t>
        </is>
      </c>
      <c r="B20" s="1897">
        <f>SUM(B12:B19)</f>
        <v/>
      </c>
      <c r="C20" s="1897">
        <f>SUM(C12:C19)</f>
        <v/>
      </c>
      <c r="D20" s="2135">
        <f>SUM(D12:D19)</f>
        <v/>
      </c>
      <c r="E20" s="1897">
        <f>SUM(E12:E19)</f>
        <v/>
      </c>
      <c r="F20" s="1897">
        <f>SUM(F12:F19)</f>
        <v/>
      </c>
      <c r="G20" s="1897">
        <f>SUM(G12:G19)</f>
        <v/>
      </c>
    </row>
    <row r="21" ht="15" customHeight="1" s="1354">
      <c r="A21" s="2107" t="inlineStr">
        <is>
          <t>  </t>
        </is>
      </c>
      <c r="B21" s="1768" t="n"/>
      <c r="C21" s="1768" t="n"/>
      <c r="D21" s="1768" t="n"/>
      <c r="E21" s="1768" t="n"/>
      <c r="F21" s="1768" t="n"/>
      <c r="G21" s="1769" t="n"/>
    </row>
    <row r="22" ht="15" customHeight="1" s="1354">
      <c r="A22" s="2099" t="inlineStr">
        <is>
          <t xml:space="preserve">Dépréciations des comptes clients </t>
        </is>
      </c>
      <c r="B22" s="2806">
        <f>SUMIF(BALANCE!$A$2:$A$70,"491*",BALANCE!$G$2:$G$70)-SUMIF(BALANCE!$A$2:$A$70,"491*",BALANCE!$F$2:$F$70)</f>
        <v/>
      </c>
      <c r="C22" s="2806">
        <f>SUMIF(BALANCE_N1!$A$2:$A$70,"491*",BALANCE_N1!$G$2:$G$70)-SUMIF(BALANCE_N1!$A$2:$A$70,"491*",BALANCE_N1!$F$2:$F$70)</f>
        <v/>
      </c>
      <c r="D22" s="2130" t="n"/>
      <c r="E22" s="2130" t="n"/>
      <c r="F22" s="2130" t="n"/>
      <c r="G22" s="2131" t="n"/>
    </row>
    <row r="23" ht="15" customHeight="1" s="1354">
      <c r="A23" s="2102" t="inlineStr">
        <is>
          <t>  </t>
        </is>
      </c>
      <c r="B23" s="1777" t="n"/>
      <c r="C23" s="1777" t="n"/>
      <c r="D23" s="1777" t="n"/>
      <c r="E23" s="1777" t="n"/>
      <c r="F23" s="1777" t="n"/>
      <c r="G23" s="1778" t="n"/>
    </row>
    <row r="24" ht="15" customHeight="1" s="1354">
      <c r="A24" s="2104" t="inlineStr">
        <is>
          <t xml:space="preserve">TOTAL NET DE DEPRECIATION </t>
        </is>
      </c>
      <c r="B24" s="2808">
        <f>B20-B22</f>
        <v/>
      </c>
      <c r="C24" s="2808">
        <f>C20-C22</f>
        <v/>
      </c>
      <c r="D24" s="1897">
        <f>D20</f>
        <v/>
      </c>
      <c r="E24" s="1897">
        <f>E20</f>
        <v/>
      </c>
      <c r="F24" s="1762" t="n"/>
      <c r="G24" s="1763" t="n"/>
    </row>
    <row r="25" ht="15" customHeight="1" s="1354">
      <c r="A25" s="2107" t="inlineStr">
        <is>
          <t>  </t>
        </is>
      </c>
      <c r="B25" s="1768" t="n"/>
      <c r="C25" s="1768" t="n"/>
      <c r="D25" s="1768" t="n"/>
      <c r="E25" s="1768" t="n"/>
      <c r="F25" s="1768" t="n"/>
      <c r="G25" s="1769" t="n"/>
    </row>
    <row r="26" ht="15" customHeight="1" s="1354">
      <c r="A26" s="2099" t="inlineStr">
        <is>
          <t xml:space="preserve">Clients, avances reçues hors groupe </t>
        </is>
      </c>
      <c r="B26" s="2806">
        <f>SUMIF(BALANCE!$A$2:$A$70,"4191*",BALANCE!$G$2:$G$70)-SUMIF(BALANCE!$A$2:$A$70,"4191*",BALANCE!$F$2:$F$70)</f>
        <v/>
      </c>
      <c r="C26" s="2806">
        <f>SUMIF(BALANCE_N1!$A$2:$A$70,"4191*",BALANCE_N1!$G$2:$G$70)-SUMIF(BALANCE_N1!$A$2:$A$70,"4191*",BALANCE_N1!$F$2:$F$70)</f>
        <v/>
      </c>
      <c r="D26" s="2130" t="n"/>
      <c r="E26" s="2130" t="n"/>
      <c r="F26" s="2130" t="n"/>
      <c r="G26" s="2131" t="n"/>
    </row>
    <row r="27" ht="15" customHeight="1" s="1354">
      <c r="A27" s="2099" t="inlineStr">
        <is>
          <t xml:space="preserve">Clients, avances reçues  groupe </t>
        </is>
      </c>
      <c r="B27" s="2806">
        <f>SUMIF(BALANCE!$A$2:$A$70,"4192*",BALANCE!$G$2:$G$70)-SUMIF(BALANCE!$A$2:$A$70,"4192*",BALANCE!$F$2:$F$70)</f>
        <v/>
      </c>
      <c r="C27" s="2806">
        <f>SUMIF(BALANCE_N1!$A$2:$A$70,"4192*",BALANCE_N1!$G$2:$G$70)-SUMIF(BALANCE_N1!$A$2:$A$70,"4192*",BALANCE_N1!$F$2:$F$70)</f>
        <v/>
      </c>
      <c r="D27" s="2130" t="n"/>
      <c r="E27" s="2130" t="n"/>
      <c r="F27" s="2130" t="n"/>
      <c r="G27" s="2131" t="n"/>
    </row>
    <row r="28" ht="15" customHeight="1" s="1354">
      <c r="A28" s="2102" t="inlineStr">
        <is>
          <t xml:space="preserve">Autres clients créditeurs  </t>
        </is>
      </c>
      <c r="B28" s="2807">
        <f>SUMIF(BALANCE!$A$2:$A$70,"419*",BALANCE!$G$2:$G$70)-SUMIF(BALANCE!$A$2:$A$70,"419*",BALANCE!$F$2:$F$70)-SUMIF(BALANCE!$A$2:$A$70,"4192*",BALANCE!$G$2:$G$70)+SUMIF(BALANCE!$A$2:$A$70,"4192*",BALANCE!$F$2:$F$70)-SUMIF(BALANCE!$A$2:$A$70,"4191*",BALANCE!$G$2:$G$70)+SUMIF(BALANCE!$A$2:$A$70,"4191*",BALANCE!$F$2:$F$70)</f>
        <v/>
      </c>
      <c r="C28" s="2807">
        <f>SUMIF(BALANCE_N1!$A$2:$A$70,"419*",BALANCE_N1!$G$2:$G$70)-SUMIF(BALANCE_N1!$A$2:$A$70,"419*",BALANCE_N1!$F$2:$F$70)-SUMIF(BALANCE_N1!$A$2:$A$70,"4192*",BALANCE_N1!$G$2:$G$70)+SUMIF(BALANCE_N1!$A$2:$A$70,"4192*",BALANCE_N1!$F$2:$F$70)-SUMIF(BALANCE_N1!$A$2:$A$70,"4191*",BALANCE_N1!$G$2:$G$70)+SUMIF(BALANCE_N1!$A$2:$A$70,"4191*",BALANCE_N1!$F$2:$F$70)</f>
        <v/>
      </c>
      <c r="D28" s="2133" t="n"/>
      <c r="E28" s="2133" t="n"/>
      <c r="F28" s="2133" t="n"/>
      <c r="G28" s="2134" t="n"/>
    </row>
    <row r="29" ht="15" customHeight="1" s="1354">
      <c r="A29" s="2104" t="inlineStr">
        <is>
          <t xml:space="preserve">TOTAL CLIENTS CREDITEURS </t>
        </is>
      </c>
      <c r="B29" s="2809">
        <f>SUM(B26:B28)</f>
        <v/>
      </c>
      <c r="C29" s="2809">
        <f>SUM(C26:C28)</f>
        <v/>
      </c>
      <c r="D29" s="1762" t="n"/>
      <c r="E29" s="1762" t="n"/>
      <c r="F29" s="1762" t="n"/>
      <c r="G29" s="1763" t="n"/>
    </row>
    <row r="30" ht="12" customHeight="1" s="1354">
      <c r="A30" s="2136" t="inlineStr">
        <is>
          <t xml:space="preserve"> Commentaire : </t>
        </is>
      </c>
    </row>
    <row r="31" ht="15.75" customHeight="1" s="1354">
      <c r="A31" s="2137" t="inlineStr">
        <is>
          <t xml:space="preserve">• Commenter toutes  variations significatives. 
• Indiquer pour  les créances du groupe, le nom de la société du groupe et le % de titres  détenus. 
• Commenter les créances anciennes. 
• Indiquer les événements et circonstances qui ont conduit à la dépréciation et à la reprise. 
</t>
        </is>
      </c>
    </row>
    <row r="32" ht="12" customHeight="1" s="1354"/>
    <row r="33" ht="12" customHeight="1" s="1354"/>
    <row r="34" ht="12" customHeight="1" s="1354"/>
    <row r="35" ht="12" customHeight="1" s="1354"/>
  </sheetData>
  <mergeCells count="9">
    <mergeCell ref="A31:G35"/>
    <mergeCell ref="D8:D11"/>
    <mergeCell ref="A8:A11"/>
    <mergeCell ref="B8:B11"/>
    <mergeCell ref="A6:G6"/>
    <mergeCell ref="C8:C11"/>
    <mergeCell ref="E8:E11"/>
    <mergeCell ref="G8:G11"/>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B39" activeCellId="0" sqref="B39"/>
    </sheetView>
  </sheetViews>
  <sheetFormatPr baseColWidth="8" defaultColWidth="10.8125" defaultRowHeight="11.5" zeroHeight="0" outlineLevelRow="0"/>
  <cols>
    <col width="61.44" customWidth="1" style="1577" min="1" max="1"/>
    <col width="12.44" customWidth="1" style="1577" min="2" max="3"/>
    <col width="13.44" customWidth="1" style="1577" min="4" max="4"/>
    <col width="12.44" customWidth="1" style="1577" min="5" max="6"/>
    <col width="10.81" customWidth="1" style="1577" min="7" max="257"/>
  </cols>
  <sheetData>
    <row r="1" ht="11.5" customHeight="1" s="1354">
      <c r="A1" s="2138" t="n"/>
    </row>
    <row r="2" ht="11.5" customHeight="1" s="1354">
      <c r="A2" s="1642" t="n"/>
    </row>
    <row r="3" ht="11.5" customHeight="1" s="1354">
      <c r="A3" s="2139" t="n"/>
    </row>
    <row r="4" ht="11.5" customHeight="1" s="1354">
      <c r="A4" s="2139" t="n"/>
    </row>
    <row r="5" ht="13" customHeight="1" s="1354">
      <c r="A5" s="1748" t="inlineStr">
        <is>
          <t>Désignation entité : ENTREPRISE TEST SARL</t>
        </is>
      </c>
      <c r="B5" s="1583" t="n"/>
      <c r="C5" s="1583" t="n"/>
      <c r="D5" s="1583" t="n"/>
      <c r="E5" s="1591" t="inlineStr">
        <is>
          <t>Exercice clos le : 31/12/2025</t>
        </is>
      </c>
      <c r="F5" s="1591" t="n"/>
      <c r="G5" s="1578" t="n"/>
    </row>
    <row r="6" ht="13" customHeight="1" s="1354">
      <c r="A6" s="1749" t="inlineStr">
        <is>
          <t>Numéro d’identification : CD/KNG/RCCM/23-B-01234</t>
        </is>
      </c>
      <c r="B6" s="1583" t="n"/>
      <c r="C6" s="1583" t="n"/>
      <c r="D6" s="1583" t="n"/>
      <c r="E6" s="1591" t="inlineStr">
        <is>
          <t>Durée (en mois) : 12</t>
        </is>
      </c>
      <c r="F6" s="1591" t="n"/>
      <c r="G6" s="1582" t="n"/>
    </row>
    <row r="7" ht="12.5" customHeight="1" s="1354">
      <c r="A7" s="2139" t="n"/>
      <c r="E7" s="1591" t="n"/>
      <c r="F7" s="1591" t="n"/>
      <c r="G7" s="1591" t="n"/>
    </row>
    <row r="8" ht="11.5" customHeight="1" s="1354">
      <c r="A8" s="2140" t="inlineStr">
        <is>
          <t xml:space="preserve">NOTE 8 </t>
        </is>
      </c>
    </row>
    <row r="9" ht="12" customHeight="1" s="1354">
      <c r="A9" s="2141" t="inlineStr">
        <is>
          <t>AUTRES CREANCES</t>
        </is>
      </c>
      <c r="B9" s="1594" t="n"/>
      <c r="C9" s="1594" t="n"/>
      <c r="D9" s="1594" t="n"/>
      <c r="E9" s="1594" t="n"/>
      <c r="F9" s="1594" t="n"/>
      <c r="G9" s="1594" t="n"/>
    </row>
    <row r="10" ht="23" customHeight="1" s="1354">
      <c r="A10" s="1752" t="inlineStr">
        <is>
          <t xml:space="preserve">Libellés </t>
        </is>
      </c>
      <c r="B10" s="1752" t="inlineStr">
        <is>
          <t xml:space="preserve">Année N </t>
        </is>
      </c>
      <c r="C10" s="1752" t="inlineStr">
        <is>
          <t xml:space="preserve">Année N-1 </t>
        </is>
      </c>
      <c r="D10" s="1752" t="inlineStr">
        <is>
          <t xml:space="preserve">Variation en % </t>
        </is>
      </c>
      <c r="E10" s="1752" t="inlineStr">
        <is>
          <t xml:space="preserve">Créances à un an au plus </t>
        </is>
      </c>
      <c r="F10" s="2142" t="inlineStr">
        <is>
          <t xml:space="preserve">Créances à plus </t>
        </is>
      </c>
      <c r="G10" s="1752" t="inlineStr">
        <is>
          <t xml:space="preserve">Créances à plus de deux ans </t>
        </is>
      </c>
    </row>
    <row r="11" ht="11.5" customHeight="1" s="1354">
      <c r="A11" s="1600" t="n"/>
      <c r="B11" s="1600" t="n"/>
      <c r="C11" s="1600" t="n"/>
      <c r="D11" s="1600" t="n"/>
      <c r="E11" s="1600" t="n"/>
      <c r="F11" s="2143" t="inlineStr">
        <is>
          <t xml:space="preserve">d'un an </t>
        </is>
      </c>
      <c r="G11" s="1600" t="n"/>
    </row>
    <row r="12" ht="11.5" customHeight="1" s="1354">
      <c r="A12" s="1600" t="n"/>
      <c r="B12" s="1600" t="n"/>
      <c r="C12" s="1600" t="n"/>
      <c r="D12" s="1600" t="n"/>
      <c r="E12" s="1600" t="n"/>
      <c r="F12" s="2143" t="inlineStr">
        <is>
          <t xml:space="preserve">et à deux </t>
        </is>
      </c>
      <c r="G12" s="1600" t="n"/>
    </row>
    <row r="13" ht="12" customHeight="1" s="1354">
      <c r="A13" s="1740" t="n"/>
      <c r="B13" s="1740" t="n"/>
      <c r="C13" s="1740" t="n"/>
      <c r="D13" s="1740" t="n"/>
      <c r="E13" s="1740" t="n"/>
      <c r="F13" s="2144" t="inlineStr">
        <is>
          <t xml:space="preserve">ans au plus </t>
        </is>
      </c>
      <c r="G13" s="1740" t="n"/>
    </row>
    <row r="14" ht="12" customHeight="1" s="1354">
      <c r="A14" s="1950" t="inlineStr">
        <is>
          <t xml:space="preserve">Personnel </t>
        </is>
      </c>
      <c r="B14" s="2810">
        <f>SUMIF(BALANCE!$A$2:$A$70,"42*",BALANCE!$F$2:$F$70)</f>
        <v/>
      </c>
      <c r="C14" s="2810">
        <f>SUMIF(BALANCE_N1!$A$2:$A$70,"42*",BALANCE_N1!$F$2:$F$70)</f>
        <v/>
      </c>
      <c r="D14" s="2145" t="n"/>
      <c r="E14" s="2145" t="n"/>
      <c r="F14" s="2145" t="n"/>
      <c r="G14" s="2145" t="n"/>
    </row>
    <row r="15" ht="12" customHeight="1" s="1354">
      <c r="A15" s="1950" t="inlineStr">
        <is>
          <t xml:space="preserve">Organismes sociaux </t>
        </is>
      </c>
      <c r="B15" s="2810">
        <f>SUMIF(BALANCE!$A$2:$A$70,"43*",BALANCE!$F$2:$F$70)</f>
        <v/>
      </c>
      <c r="C15" s="2810">
        <f>SUMIF(BALANCE_N1!$A$2:$A$70,"43*",BALANCE_N1!$F$2:$F$70)</f>
        <v/>
      </c>
      <c r="D15" s="2145" t="n"/>
      <c r="E15" s="2145" t="n"/>
      <c r="F15" s="2145" t="n"/>
      <c r="G15" s="2145" t="n"/>
    </row>
    <row r="16" ht="12" customHeight="1" s="1354">
      <c r="A16" s="1950" t="inlineStr">
        <is>
          <t xml:space="preserve">Etat et Collectivités publiques </t>
        </is>
      </c>
      <c r="B16" s="2811">
        <f>SUMIF(BALANCE!$A$2:$A$70,"44*",BALANCE!$F$2:$F$70)</f>
        <v/>
      </c>
      <c r="C16" s="2811">
        <f>SUMIF(BALANCE_N1!$A$2:$A$70,"44*",BALANCE_N1!$F$2:$F$70)</f>
        <v/>
      </c>
      <c r="D16" s="2147" t="n"/>
      <c r="E16" s="2146" t="n"/>
      <c r="F16" s="2146" t="n"/>
      <c r="G16" s="2145" t="n"/>
    </row>
    <row r="17" ht="12" customHeight="1" s="1354">
      <c r="A17" s="1950" t="inlineStr">
        <is>
          <t xml:space="preserve">Organismes internationaux </t>
        </is>
      </c>
      <c r="B17" s="2810">
        <f>SUMIF(BALANCE!$A$2:$A$70,"451*",BALANCE!$F$2:$F$70)+SUMIF(BALANCE!$A$2:$A$70,"452*",BALANCE!$F$2:$F$70)+SUMIF(BALANCE!$A$2:$A$70,"458*",BALANCE!$F$2:$F$70)</f>
        <v/>
      </c>
      <c r="C17" s="2810">
        <f>SUMIF(BALANCE_N1!$A$2:$A$70,"451*",BALANCE_N1!$F$2:$F$70)+SUMIF(BALANCE_N1!$A$2:$A$70,"452*",BALANCE_N1!$F$2:$F$70)+SUMIF(BALANCE_N1!$A$2:$A$70,"458*",BALANCE_N1!$F$2:$F$70)</f>
        <v/>
      </c>
      <c r="D17" s="2145" t="n"/>
      <c r="E17" s="2145" t="n"/>
      <c r="F17" s="2145" t="n"/>
      <c r="G17" s="2145" t="n"/>
    </row>
    <row r="18" ht="12" customHeight="1" s="1354">
      <c r="A18" s="1950" t="inlineStr">
        <is>
          <t xml:space="preserve">Apporteurs, associés et groupe </t>
        </is>
      </c>
      <c r="B18" s="2810">
        <f>SUMIF(BALANCE!$A$2:$A$70,"46*",BALANCE!$F$2:$F$70)</f>
        <v/>
      </c>
      <c r="C18" s="2810">
        <f>SUMIF(BALANCE_N1!$A$2:$A$70,"46*",BALANCE_N1!$F$2:$F$70)</f>
        <v/>
      </c>
      <c r="D18" s="2145" t="n"/>
      <c r="E18" s="2145" t="n"/>
      <c r="F18" s="2145" t="n"/>
      <c r="G18" s="2145" t="n"/>
    </row>
    <row r="19" ht="12" customHeight="1" s="1354">
      <c r="A19" s="1950" t="inlineStr">
        <is>
          <t xml:space="preserve">Compte transitoire ajustement spécial lié à la révision du SYSCOHADA </t>
        </is>
      </c>
      <c r="B19" s="2810">
        <f>SUMIF(BALANCE!$A$2:$A$70,"475*",BALANCE!$F$2:$F$70)</f>
        <v/>
      </c>
      <c r="C19" s="2810">
        <f>SUMIF(BALANCE_N1!$A$2:$A$70,"475*",BALANCE_N1!$F$2:$F$70)</f>
        <v/>
      </c>
      <c r="D19" s="2145" t="n"/>
      <c r="E19" s="2145" t="n"/>
      <c r="F19" s="2145" t="n"/>
      <c r="G19" s="2145" t="n"/>
    </row>
    <row r="20" ht="12" customHeight="1" s="1354">
      <c r="A20" s="1950" t="inlineStr">
        <is>
          <t xml:space="preserve">Autres débiteurs divers </t>
        </is>
      </c>
      <c r="B20" s="2810">
        <f>SUMIF(BALANCE!$A$2:$A$70,"471*",BALANCE!$F$2:$F$70)+SUMIF(BALANCE!$A$2:$A$70,"474*",BALANCE!$F$2:$F$70)+SUMIF(BALANCE!$A$2:$A$70,"473*",BALANCE!$F$2:$F$70)+SUMIF(BALANCE!$A$2:$A$70,"472*",BALANCE!$F$2:$F$70)+SUMIF(BALANCE!$A$2:$A$70,"476*",BALANCE!$F$2:$F$70)</f>
        <v/>
      </c>
      <c r="C20" s="2810">
        <f>SUMIF(BALANCE_N1!$A$2:$A$70,"471*",BALANCE_N1!$F$2:$F$70)+SUMIF(BALANCE_N1!$A$2:$A$70,"474*",BALANCE_N1!$F$2:$F$70)+SUMIF(BALANCE_N1!$A$2:$A$70,"473*",BALANCE_N1!$F$2:$F$70)+SUMIF(BALANCE_N1!$A$2:$A$70,"472*",BALANCE_N1!$F$2:$F$70)+SUMIF(BALANCE_N1!$A$2:$A$70,"476*",BALANCE_N1!$F$2:$F$70)</f>
        <v/>
      </c>
      <c r="D20" s="2148" t="n"/>
      <c r="E20" s="2145">
        <f>B20</f>
        <v/>
      </c>
      <c r="F20" s="2145" t="n"/>
      <c r="G20" s="2145" t="n"/>
    </row>
    <row r="21" ht="12" customHeight="1" s="1354">
      <c r="A21" s="1950" t="inlineStr">
        <is>
          <t xml:space="preserve">Comptes permanents non bloqués des établissements et des succursales </t>
        </is>
      </c>
      <c r="B21" s="2810">
        <f>SUMIF(BALANCE!$A$2:$A$70,"185*",BALANCE!$F$2:$F$70)</f>
        <v/>
      </c>
      <c r="C21" s="2810">
        <f>SUMIF(BALANCE_N1!$A$2:$A$70,"185*",BALANCE_N1!$F$2:$F$70)</f>
        <v/>
      </c>
      <c r="D21" s="2145" t="n"/>
      <c r="E21" s="2145" t="n"/>
      <c r="F21" s="2145" t="n"/>
      <c r="G21" s="2145" t="n"/>
    </row>
    <row r="22" ht="12" customHeight="1" s="1354">
      <c r="A22" s="1950" t="inlineStr">
        <is>
          <t xml:space="preserve">Comptes de liaison charges et produits </t>
        </is>
      </c>
      <c r="B22" s="2810">
        <f>SUMIF(BALANCE!$A$2:$A$70,"187*",BALANCE!$F$2:$F$70)+SUMIF(BALANCE!$A$2:$A$70,"186*",BALANCE!$F$2:$F$70)</f>
        <v/>
      </c>
      <c r="C22" s="2810">
        <f>SUMIF(BALANCE_N1!$A$2:$A$70,"187*",BALANCE_N1!$F$2:$F$70)+SUMIF(BALANCE_N1!$A$2:$A$70,"186*",BALANCE_N1!$F$2:$F$70)</f>
        <v/>
      </c>
      <c r="D22" s="2145" t="n"/>
      <c r="E22" s="2145" t="n"/>
      <c r="F22" s="2145" t="n"/>
      <c r="G22" s="2145" t="n"/>
    </row>
    <row r="23" ht="12" customHeight="1" s="1354">
      <c r="A23" s="1950" t="inlineStr">
        <is>
          <t xml:space="preserve">Comptes de liaison des sociétés en participation </t>
        </is>
      </c>
      <c r="B23" s="2811">
        <f>SUMIF(BALANCE!$A$2:$A$70,"188*",BALANCE!$F$2:$F$70)</f>
        <v/>
      </c>
      <c r="C23" s="2811">
        <f>SUMIF(BALANCE_N1!$A$2:$A$70,"188*",BALANCE_N1!$F$2:$F$70)</f>
        <v/>
      </c>
      <c r="D23" s="2146" t="n"/>
      <c r="E23" s="2146" t="n"/>
      <c r="F23" s="2146" t="n"/>
      <c r="G23" s="2146" t="n"/>
    </row>
    <row r="24" ht="12" customHeight="1" s="1354">
      <c r="A24" s="2149" t="inlineStr">
        <is>
          <t xml:space="preserve">TOTAL BRUT AUTRES CREANCES </t>
        </is>
      </c>
      <c r="B24" s="2150">
        <f>SUM(B14:B23)</f>
        <v/>
      </c>
      <c r="C24" s="2150">
        <f>SUM(C14:C23)</f>
        <v/>
      </c>
      <c r="D24" s="2150">
        <f>SUM(D14:D23)</f>
        <v/>
      </c>
      <c r="E24" s="2150">
        <f>SUM(E14:E23)</f>
        <v/>
      </c>
      <c r="F24" s="2150">
        <f>SUM(F14:F23)</f>
        <v/>
      </c>
      <c r="G24" s="2150">
        <f>SUM(G14:G23)</f>
        <v/>
      </c>
    </row>
    <row r="25" ht="12" customHeight="1" s="1354">
      <c r="A25" s="1950" t="inlineStr">
        <is>
          <t>  </t>
        </is>
      </c>
      <c r="B25" s="2151" t="n"/>
      <c r="C25" s="2151" t="n"/>
      <c r="D25" s="2151" t="n"/>
      <c r="E25" s="2151" t="n"/>
      <c r="F25" s="2151" t="n"/>
      <c r="G25" s="2151" t="n"/>
    </row>
    <row r="26" ht="12" customHeight="1" s="1354">
      <c r="A26" s="1950" t="inlineStr">
        <is>
          <t xml:space="preserve">Dépréciations des autres créances </t>
        </is>
      </c>
      <c r="B26" s="2810">
        <f>SUMIF(BALANCE!$A$2:$A$70,"497*",BALANCE!$G$2:$G$70)-SUMIF(BALANCE!$A$2:$A$70,"497*",BALANCE!$F$2:$F$70)+SUMIF(BALANCE!$A$2:$A$70,"495*",BALANCE!$G$2:$G$70)-SUMIF(BALANCE!$A$2:$A$70,"495*",BALANCE!$F$2:$F$70)+SUMIF(BALANCE!$A$2:$A$70,"493*",BALANCE!$G$2:$G$70)-SUMIF(BALANCE!$A$2:$A$70,"493*",BALANCE!$F$2:$F$70)+SUMIF(BALANCE!$A$2:$A$70,"492*",BALANCE!$G$2:$G$70)-SUMIF(BALANCE!$A$2:$A$70,"492*",BALANCE!$F$2:$F$70)+SUMIF(BALANCE!$A$2:$A$70,"496*",BALANCE!$G$2:$G$70)-SUMIF(BALANCE!$A$2:$A$70,"496*",BALANCE!$F$2:$F$70)+SUMIF(BALANCE!$A$2:$A$70,"494*",BALANCE!$G$2:$G$70)-SUMIF(BALANCE!$A$2:$A$70,"494*",BALANCE!$F$2:$F$70)</f>
        <v/>
      </c>
      <c r="C26" s="2810">
        <f>SUMIF(BALANCE_N1!$A$2:$A$70,"497*",BALANCE_N1!$G$2:$G$70)-SUMIF(BALANCE_N1!$A$2:$A$70,"497*",BALANCE_N1!$F$2:$F$70)+SUMIF(BALANCE_N1!$A$2:$A$70,"495*",BALANCE_N1!$G$2:$G$70)-SUMIF(BALANCE_N1!$A$2:$A$70,"495*",BALANCE_N1!$F$2:$F$70)+SUMIF(BALANCE_N1!$A$2:$A$70,"493*",BALANCE_N1!$G$2:$G$70)-SUMIF(BALANCE_N1!$A$2:$A$70,"493*",BALANCE_N1!$F$2:$F$70)+SUMIF(BALANCE_N1!$A$2:$A$70,"492*",BALANCE_N1!$G$2:$G$70)-SUMIF(BALANCE_N1!$A$2:$A$70,"492*",BALANCE_N1!$F$2:$F$70)+SUMIF(BALANCE_N1!$A$2:$A$70,"496*",BALANCE_N1!$G$2:$G$70)-SUMIF(BALANCE_N1!$A$2:$A$70,"496*",BALANCE_N1!$F$2:$F$70)+SUMIF(BALANCE_N1!$A$2:$A$70,"494*",BALANCE_N1!$G$2:$G$70)-SUMIF(BALANCE_N1!$A$2:$A$70,"494*",BALANCE_N1!$F$2:$F$70)</f>
        <v/>
      </c>
      <c r="D26" s="2145" t="n"/>
      <c r="E26" s="2145" t="n"/>
      <c r="F26" s="2145" t="n"/>
      <c r="G26" s="2145" t="n"/>
    </row>
    <row r="27" ht="12" customHeight="1" s="1354">
      <c r="A27" s="1950" t="inlineStr">
        <is>
          <t>  </t>
        </is>
      </c>
      <c r="B27" s="2151" t="n"/>
      <c r="C27" s="2151" t="n"/>
      <c r="D27" s="2151" t="n"/>
      <c r="E27" s="2151" t="n"/>
      <c r="F27" s="2151" t="n"/>
      <c r="G27" s="2151" t="n"/>
    </row>
    <row r="28" ht="12" customHeight="1" s="1354">
      <c r="A28" s="1951" t="inlineStr">
        <is>
          <t xml:space="preserve">TOTAL NET DE DEPRECIATION </t>
        </is>
      </c>
      <c r="B28" s="2812">
        <f>B24-B26</f>
        <v/>
      </c>
      <c r="C28" s="2812">
        <f>C24-C26</f>
        <v/>
      </c>
      <c r="D28" s="2150">
        <f>D24</f>
        <v/>
      </c>
      <c r="E28" s="2150">
        <f>E24</f>
        <v/>
      </c>
      <c r="F28" s="2152" t="n"/>
      <c r="G28" s="2152" t="n"/>
    </row>
    <row r="29" ht="11.5" customHeight="1" s="1354">
      <c r="A29" s="2090" t="inlineStr">
        <is>
          <t> </t>
        </is>
      </c>
    </row>
    <row r="30" ht="11.5" customHeight="1" s="1354">
      <c r="A30" s="2061" t="inlineStr">
        <is>
          <t xml:space="preserve">Commentaire :  </t>
        </is>
      </c>
      <c r="B30" s="1934" t="n"/>
      <c r="C30" s="1934" t="n"/>
      <c r="D30" s="1934" t="n"/>
      <c r="E30" s="1934" t="n"/>
      <c r="F30" s="1934" t="n"/>
    </row>
    <row r="31" ht="11.5" customHeight="1" s="1354">
      <c r="A31" s="2062" t="inlineStr">
        <is>
          <t xml:space="preserve">•      Justifier toute variation significative. </t>
        </is>
      </c>
      <c r="B31" s="1934" t="n"/>
      <c r="C31" s="1934" t="n"/>
      <c r="D31" s="1934" t="n"/>
      <c r="E31" s="1934" t="n"/>
      <c r="F31" s="1934" t="n"/>
    </row>
    <row r="32" ht="11.5" customHeight="1" s="1354">
      <c r="A32" s="2062" t="inlineStr">
        <is>
          <t xml:space="preserve">•      Détailler les créances dont le montant est significatif. </t>
        </is>
      </c>
      <c r="B32" s="1934" t="n"/>
      <c r="C32" s="1934" t="n"/>
      <c r="D32" s="1934" t="n"/>
      <c r="E32" s="1934" t="n"/>
      <c r="F32" s="1934" t="n"/>
    </row>
    <row r="33" ht="11.5" customHeight="1" s="1354">
      <c r="A33" s="2062" t="inlineStr">
        <is>
          <t xml:space="preserve">•      Justifier les créances anciennes. </t>
        </is>
      </c>
      <c r="B33" s="1934" t="n"/>
      <c r="C33" s="1934" t="n"/>
      <c r="D33" s="1934" t="n"/>
      <c r="E33" s="1934" t="n"/>
      <c r="F33" s="1934" t="n"/>
    </row>
    <row r="34" ht="11.5" customHeight="1" s="1354">
      <c r="A34" s="2062" t="inlineStr">
        <is>
          <t xml:space="preserve">•      Indiquer  les événements et circonstances qui ont conduit à la dépréciation et à la reprise. </t>
        </is>
      </c>
      <c r="B34" s="1934" t="n"/>
      <c r="C34" s="1934" t="n"/>
      <c r="D34" s="1934" t="n"/>
      <c r="E34" s="1934" t="n"/>
      <c r="F34" s="1934" t="n"/>
    </row>
    <row r="35" ht="11.5" customHeight="1" s="1354">
      <c r="A35" s="2062" t="inlineStr">
        <is>
          <t xml:space="preserve">•      Compte transitoire ajustement spécial, indiquer le détail du compte et la durée restant pour l'apurement. </t>
        </is>
      </c>
      <c r="B35" s="1934" t="n"/>
      <c r="C35" s="1934" t="n"/>
      <c r="D35" s="1934" t="n"/>
      <c r="E35" s="1934" t="n"/>
      <c r="F35" s="1934" t="n"/>
    </row>
  </sheetData>
  <mergeCells count="8">
    <mergeCell ref="G10:G13"/>
    <mergeCell ref="A9:G9"/>
    <mergeCell ref="A8:G8"/>
    <mergeCell ref="C10:C13"/>
    <mergeCell ref="B10:B13"/>
    <mergeCell ref="D10:D13"/>
    <mergeCell ref="A10:A13"/>
    <mergeCell ref="E10:E13"/>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G6" activeCellId="0" sqref="G6:G7"/>
    </sheetView>
  </sheetViews>
  <sheetFormatPr baseColWidth="8" defaultColWidth="10.8125" defaultRowHeight="12" zeroHeight="0" outlineLevelRow="0"/>
  <cols>
    <col width="61.72" customWidth="1" style="1583" min="1" max="1"/>
    <col width="10.81" customWidth="1" style="1583" min="2" max="257"/>
  </cols>
  <sheetData>
    <row r="1" ht="12" customHeight="1" s="1354">
      <c r="A1" s="2093" t="n"/>
    </row>
    <row r="2" ht="12" customHeight="1" s="1354">
      <c r="A2" s="2093" t="n"/>
    </row>
    <row r="3" ht="12" customHeight="1" s="1354">
      <c r="A3" s="2093" t="n"/>
    </row>
    <row r="4" ht="12" customHeight="1" s="1354">
      <c r="A4" s="2153" t="inlineStr">
        <is>
          <t>NOTE 8A: TABLEAU D’ETALEMENT DES CHARGES IMMOBILISEES</t>
        </is>
      </c>
    </row>
    <row r="5" ht="12" customHeight="1" s="1354">
      <c r="A5" s="2153" t="n"/>
    </row>
    <row r="6" ht="13" customFormat="1" customHeight="1" s="1577">
      <c r="A6" s="1748" t="inlineStr">
        <is>
          <t>Désignation entité : ENTREPRISE TEST SARL</t>
        </is>
      </c>
      <c r="B6" s="1583" t="n"/>
      <c r="C6" s="1583" t="n"/>
      <c r="D6" s="1583" t="n"/>
      <c r="E6" s="1591" t="inlineStr">
        <is>
          <t>Exercice clos le : 31/12/2025</t>
        </is>
      </c>
      <c r="G6" s="1578" t="n"/>
    </row>
    <row r="7" ht="13" customFormat="1" customHeight="1" s="1577">
      <c r="A7" s="1749" t="inlineStr">
        <is>
          <t>Numéro d’identification : CD/KNG/RCCM/23-B-01234</t>
        </is>
      </c>
      <c r="B7" s="1583" t="n"/>
      <c r="C7" s="1583" t="n"/>
      <c r="D7" s="1583" t="n"/>
      <c r="E7" s="1591" t="inlineStr">
        <is>
          <t>Durée (en mois) : 12</t>
        </is>
      </c>
      <c r="G7" s="1582" t="n"/>
    </row>
    <row r="8" ht="12" customHeight="1" s="1354">
      <c r="A8" s="1963" t="n"/>
    </row>
    <row r="9" ht="14" customHeight="1" s="1354">
      <c r="A9" s="1991" t="inlineStr">
        <is>
          <t xml:space="preserve">NOTE 8A </t>
        </is>
      </c>
    </row>
    <row r="10" ht="15.75" customHeight="1" s="1354">
      <c r="A10" s="2154" t="inlineStr">
        <is>
          <t xml:space="preserve">TABLEAU D’ETALEMENT DES CHARGES IMMOBILISEES  </t>
        </is>
      </c>
      <c r="B10" s="1594" t="n"/>
      <c r="C10" s="1594" t="n"/>
      <c r="D10" s="1594" t="n"/>
      <c r="E10" s="1594" t="n"/>
      <c r="F10" s="1594" t="n"/>
      <c r="G10" s="1594" t="n"/>
    </row>
    <row r="11" ht="31.5" customHeight="1" s="1354">
      <c r="A11" s="2155" t="inlineStr">
        <is>
          <t xml:space="preserve">Libellés </t>
        </is>
      </c>
      <c r="B11" s="2155" t="inlineStr">
        <is>
          <t xml:space="preserve">Frais d'établissement </t>
        </is>
      </c>
      <c r="C11" s="1754" t="n"/>
      <c r="D11" s="2155" t="inlineStr">
        <is>
          <t xml:space="preserve">Charges à repartir sur plusieurs exercices </t>
        </is>
      </c>
      <c r="E11" s="1754" t="n"/>
      <c r="F11" s="2155" t="inlineStr">
        <is>
          <t xml:space="preserve">Primes de remboursement des obligations </t>
        </is>
      </c>
      <c r="G11" s="1754" t="n"/>
    </row>
    <row r="12" ht="33" customHeight="1" s="1354">
      <c r="A12" s="2156" t="inlineStr">
        <is>
          <t xml:space="preserve">Montant global à étaler au 1er janvier 2018 </t>
        </is>
      </c>
      <c r="B12" s="2157" t="inlineStr">
        <is>
          <t>  </t>
        </is>
      </c>
      <c r="C12" s="1754" t="n"/>
      <c r="D12" s="2157" t="inlineStr">
        <is>
          <t>  </t>
        </is>
      </c>
      <c r="E12" s="1754" t="n"/>
      <c r="F12" s="2157" t="inlineStr">
        <is>
          <t>  </t>
        </is>
      </c>
      <c r="G12" s="1754" t="n"/>
    </row>
    <row r="13" ht="24.75" customHeight="1" s="1354">
      <c r="A13" s="2156" t="inlineStr">
        <is>
          <t xml:space="preserve">Durée d'étalement retenue </t>
        </is>
      </c>
      <c r="B13" s="2157" t="inlineStr">
        <is>
          <t>  </t>
        </is>
      </c>
      <c r="C13" s="1754" t="n"/>
      <c r="D13" s="2157" t="inlineStr">
        <is>
          <t>  </t>
        </is>
      </c>
      <c r="E13" s="1754" t="n"/>
      <c r="F13" s="2157" t="inlineStr">
        <is>
          <t>  </t>
        </is>
      </c>
      <c r="G13" s="1754" t="n"/>
    </row>
    <row r="14" ht="15" customHeight="1" s="1354">
      <c r="A14" s="2158" t="inlineStr">
        <is>
          <t xml:space="preserve">Exercice 2018 </t>
        </is>
      </c>
      <c r="B14" s="2159" t="inlineStr">
        <is>
          <t xml:space="preserve">Comptes  </t>
        </is>
      </c>
      <c r="C14" s="2160" t="inlineStr">
        <is>
          <t xml:space="preserve">Montants </t>
        </is>
      </c>
      <c r="D14" s="2160" t="inlineStr">
        <is>
          <t xml:space="preserve">Comptes </t>
        </is>
      </c>
      <c r="E14" s="2160" t="inlineStr">
        <is>
          <t xml:space="preserve">Montants </t>
        </is>
      </c>
      <c r="F14" s="2159" t="inlineStr">
        <is>
          <t xml:space="preserve">Comptes </t>
        </is>
      </c>
      <c r="G14" s="2159" t="inlineStr">
        <is>
          <t xml:space="preserve">Montants </t>
        </is>
      </c>
    </row>
    <row r="15" ht="15" customHeight="1" s="1354">
      <c r="A15" s="1600" t="n"/>
      <c r="B15" s="2160" t="inlineStr">
        <is>
          <t xml:space="preserve">60... </t>
        </is>
      </c>
      <c r="C15" s="2161" t="n"/>
      <c r="D15" s="2160" t="inlineStr">
        <is>
          <t xml:space="preserve">60... </t>
        </is>
      </c>
      <c r="E15" s="2161" t="n"/>
      <c r="F15" s="2160" t="n">
        <v>6714</v>
      </c>
      <c r="G15" s="2160" t="n"/>
    </row>
    <row r="16" ht="15" customHeight="1" s="1354">
      <c r="A16" s="1600" t="n"/>
      <c r="B16" s="2160" t="inlineStr">
        <is>
          <t xml:space="preserve">61... </t>
        </is>
      </c>
      <c r="C16" s="2161" t="n"/>
      <c r="D16" s="2160" t="inlineStr">
        <is>
          <t xml:space="preserve">61... </t>
        </is>
      </c>
      <c r="E16" s="2161" t="n"/>
      <c r="F16" s="2162" t="n"/>
      <c r="G16" s="2162" t="n"/>
    </row>
    <row r="17" ht="15" customHeight="1" s="1354">
      <c r="A17" s="1600" t="n"/>
      <c r="B17" s="2160" t="inlineStr">
        <is>
          <t xml:space="preserve">62... </t>
        </is>
      </c>
      <c r="C17" s="2161" t="n"/>
      <c r="D17" s="2160" t="inlineStr">
        <is>
          <t xml:space="preserve">62... </t>
        </is>
      </c>
      <c r="E17" s="2161" t="n"/>
      <c r="F17" s="2162" t="n"/>
      <c r="G17" s="2162" t="n"/>
    </row>
    <row r="18" ht="15" customHeight="1" s="1354">
      <c r="A18" s="1600" t="n"/>
      <c r="B18" s="2160" t="inlineStr">
        <is>
          <t xml:space="preserve">63... </t>
        </is>
      </c>
      <c r="C18" s="2161" t="n"/>
      <c r="D18" s="2160" t="inlineStr">
        <is>
          <t xml:space="preserve">63... </t>
        </is>
      </c>
      <c r="E18" s="2161" t="n"/>
      <c r="F18" s="2162" t="n"/>
      <c r="G18" s="2162" t="n"/>
    </row>
    <row r="19" ht="15" customHeight="1" s="1354">
      <c r="A19" s="1740" t="n"/>
      <c r="B19" s="2160" t="inlineStr">
        <is>
          <t xml:space="preserve">... </t>
        </is>
      </c>
      <c r="C19" s="2161" t="n"/>
      <c r="D19" s="2160" t="inlineStr">
        <is>
          <t xml:space="preserve">... </t>
        </is>
      </c>
      <c r="E19" s="2161" t="n"/>
      <c r="F19" s="2162" t="n"/>
      <c r="G19" s="2162" t="n"/>
    </row>
    <row r="20" ht="15" customHeight="1" s="1354">
      <c r="A20" s="2156" t="inlineStr">
        <is>
          <t xml:space="preserve">Total exercice 2018 </t>
        </is>
      </c>
      <c r="B20" s="2163" t="inlineStr">
        <is>
          <t>  </t>
        </is>
      </c>
      <c r="C20" s="2161" t="n"/>
      <c r="D20" s="2160" t="inlineStr">
        <is>
          <t>  </t>
        </is>
      </c>
      <c r="E20" s="2161" t="n"/>
      <c r="F20" s="2160" t="inlineStr">
        <is>
          <t>  </t>
        </is>
      </c>
      <c r="G20" s="2160" t="n"/>
    </row>
    <row r="21" ht="15" customHeight="1" s="1354">
      <c r="A21" s="2156" t="inlineStr">
        <is>
          <t xml:space="preserve">Total exercice 2019 </t>
        </is>
      </c>
      <c r="B21" s="2160" t="inlineStr">
        <is>
          <t>  </t>
        </is>
      </c>
      <c r="C21" s="2161" t="n"/>
      <c r="D21" s="2160" t="inlineStr">
        <is>
          <t>  </t>
        </is>
      </c>
      <c r="E21" s="2161" t="n"/>
      <c r="F21" s="2160" t="inlineStr">
        <is>
          <t>  </t>
        </is>
      </c>
      <c r="G21" s="2160" t="n"/>
    </row>
    <row r="22" ht="15" customHeight="1" s="1354">
      <c r="A22" s="2156" t="inlineStr">
        <is>
          <t xml:space="preserve">Total exercice 2020 </t>
        </is>
      </c>
      <c r="B22" s="2160" t="inlineStr">
        <is>
          <t>  </t>
        </is>
      </c>
      <c r="C22" s="2161" t="n"/>
      <c r="D22" s="2160" t="inlineStr">
        <is>
          <t>  </t>
        </is>
      </c>
      <c r="E22" s="2161" t="n"/>
      <c r="F22" s="2160" t="inlineStr">
        <is>
          <t>  </t>
        </is>
      </c>
      <c r="G22" s="2160" t="n"/>
    </row>
    <row r="23" ht="15" customHeight="1" s="1354">
      <c r="A23" s="2156" t="inlineStr">
        <is>
          <t xml:space="preserve">Total exercice 2021 </t>
        </is>
      </c>
      <c r="B23" s="2160" t="inlineStr">
        <is>
          <t>  </t>
        </is>
      </c>
      <c r="C23" s="2161" t="n"/>
      <c r="D23" s="2160" t="inlineStr">
        <is>
          <t>  </t>
        </is>
      </c>
      <c r="E23" s="2161" t="n"/>
      <c r="F23" s="2160" t="inlineStr">
        <is>
          <t>  </t>
        </is>
      </c>
      <c r="G23" s="2160" t="n"/>
    </row>
    <row r="24" ht="15" customHeight="1" s="1354">
      <c r="A24" s="2156" t="inlineStr">
        <is>
          <t xml:space="preserve">Total exercice 2022 </t>
        </is>
      </c>
      <c r="B24" s="2160" t="inlineStr">
        <is>
          <t>  </t>
        </is>
      </c>
      <c r="C24" s="2161" t="n"/>
      <c r="D24" s="2160" t="inlineStr">
        <is>
          <t>  </t>
        </is>
      </c>
      <c r="E24" s="2161" t="n"/>
      <c r="F24" s="2160" t="inlineStr">
        <is>
          <t>  </t>
        </is>
      </c>
      <c r="G24" s="2160" t="n"/>
    </row>
    <row r="25" ht="15" customHeight="1" s="1354">
      <c r="A25" s="2164" t="inlineStr">
        <is>
          <t xml:space="preserve">TOTAL GENERAL </t>
        </is>
      </c>
      <c r="B25" s="2163" t="inlineStr">
        <is>
          <t>  </t>
        </is>
      </c>
      <c r="C25" s="1955" t="n"/>
      <c r="D25" s="2165" t="inlineStr">
        <is>
          <t>  </t>
        </is>
      </c>
      <c r="E25" s="1955" t="n"/>
      <c r="F25" s="2165" t="inlineStr">
        <is>
          <t>  </t>
        </is>
      </c>
      <c r="G25" s="2165" t="n"/>
    </row>
    <row r="26" ht="13.5" customHeight="1" s="1354">
      <c r="A26" s="2120" t="inlineStr">
        <is>
          <t> </t>
        </is>
      </c>
      <c r="C26" s="2166" t="inlineStr">
        <is>
          <t> </t>
        </is>
      </c>
    </row>
  </sheetData>
  <mergeCells count="12">
    <mergeCell ref="B13:C13"/>
    <mergeCell ref="F11:G11"/>
    <mergeCell ref="F12:G12"/>
    <mergeCell ref="A9:G9"/>
    <mergeCell ref="B11:C11"/>
    <mergeCell ref="D11:E11"/>
    <mergeCell ref="D13:E13"/>
    <mergeCell ref="F13:G13"/>
    <mergeCell ref="A14:A19"/>
    <mergeCell ref="A10:G10"/>
    <mergeCell ref="D12:E12"/>
    <mergeCell ref="B12:C12"/>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F2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9" activeCellId="0" sqref="B19:D19"/>
    </sheetView>
  </sheetViews>
  <sheetFormatPr baseColWidth="8" defaultColWidth="10.8125" defaultRowHeight="12" zeroHeight="0" outlineLevelRow="0"/>
  <cols>
    <col width="51.26" customWidth="1" style="1583" min="1" max="1"/>
    <col width="10.81" customWidth="1" style="1583" min="2" max="257"/>
  </cols>
  <sheetData>
    <row r="1" ht="12" customHeight="1" s="1354">
      <c r="A1" s="2093" t="n"/>
    </row>
    <row r="2" ht="12" customHeight="1" s="1354">
      <c r="A2" s="2167" t="inlineStr">
        <is>
          <t>  </t>
        </is>
      </c>
    </row>
    <row r="3" ht="12" customHeight="1" s="1354">
      <c r="A3" s="2168" t="n"/>
    </row>
    <row r="4" ht="13" customFormat="1" customHeight="1" s="1577">
      <c r="A4" s="1748" t="inlineStr">
        <is>
          <t>Désignation entité : ENTREPRISE TEST SARL</t>
        </is>
      </c>
      <c r="B4" s="1591" t="inlineStr">
        <is>
          <t>Exercice clos le : 31/12/2025</t>
        </is>
      </c>
      <c r="C4" s="1591" t="n"/>
      <c r="D4" s="1578" t="n"/>
    </row>
    <row r="5" ht="13" customFormat="1" customHeight="1" s="1577">
      <c r="A5" s="1749" t="inlineStr">
        <is>
          <t>Numéro d’identification : CD/KNG/RCCM/23-B-01234</t>
        </is>
      </c>
      <c r="B5" s="1591" t="inlineStr">
        <is>
          <t>Durée (en mois) : 12</t>
        </is>
      </c>
      <c r="C5" s="1591" t="n"/>
      <c r="D5" s="1582" t="n"/>
    </row>
    <row r="6" ht="12" customHeight="1" s="1354">
      <c r="A6" s="2168" t="n"/>
    </row>
    <row r="7" ht="14" customHeight="1" s="1354">
      <c r="A7" s="2169" t="inlineStr">
        <is>
          <t xml:space="preserve"> NOTE 9 </t>
        </is>
      </c>
      <c r="E7" s="2169" t="n"/>
      <c r="F7" s="2169" t="n"/>
    </row>
    <row r="8" ht="14.5" customHeight="1" s="1354">
      <c r="A8" s="2170" t="inlineStr">
        <is>
          <t>TITRES DE PLACEMENT</t>
        </is>
      </c>
      <c r="B8" s="1594" t="n"/>
      <c r="C8" s="1594" t="n"/>
      <c r="D8" s="1594" t="n"/>
      <c r="E8" s="1966" t="n"/>
      <c r="F8" s="1966" t="n"/>
    </row>
    <row r="9" ht="12" customHeight="1" s="1354">
      <c r="A9" s="2171" t="inlineStr">
        <is>
          <t xml:space="preserve"> Libellés </t>
        </is>
      </c>
      <c r="B9" s="1752" t="inlineStr">
        <is>
          <t>Année N</t>
        </is>
      </c>
      <c r="C9" s="2142" t="inlineStr">
        <is>
          <t>Année</t>
        </is>
      </c>
      <c r="D9" s="1752" t="inlineStr">
        <is>
          <t>Variation en %</t>
        </is>
      </c>
    </row>
    <row r="10" ht="12.5" customHeight="1" s="1354">
      <c r="A10" s="1740" t="n"/>
      <c r="B10" s="1740" t="n"/>
      <c r="C10" s="2144" t="inlineStr">
        <is>
          <t>N-1</t>
        </is>
      </c>
      <c r="D10" s="1740" t="n"/>
    </row>
    <row r="11" ht="12.5" customHeight="1" s="1354">
      <c r="A11" s="1950" t="inlineStr">
        <is>
          <t xml:space="preserve">Titres de trésor et bons de caisse à court terme </t>
        </is>
      </c>
      <c r="B11" s="2813">
        <f>SUMIF(BALANCE!$A$2:$A$70,"501*",BALANCE!$F$2:$F$70)-SUMIF(BALANCE!$A$2:$A$70,"501*",BALANCE!$G$2:$G$70)</f>
        <v/>
      </c>
      <c r="C11" s="2813">
        <f>SUMIF(BALANCE_N1!$A$2:$A$70,"501*",BALANCE_N1!$F$2:$F$70)-SUMIF(BALANCE_N1!$A$2:$A$70,"501*",BALANCE_N1!$G$2:$G$70)</f>
        <v/>
      </c>
      <c r="D11" s="2160" t="n"/>
    </row>
    <row r="12" ht="12.5" customHeight="1" s="1354">
      <c r="A12" s="1950" t="inlineStr">
        <is>
          <t xml:space="preserve">Actions </t>
        </is>
      </c>
      <c r="B12" s="2813">
        <f>SUMIF(BALANCE!$A$2:$A$70,"502*",BALANCE!$F$2:$F$70)-SUMIF(BALANCE!$A$2:$A$70,"502*",BALANCE!$G$2:$G$70)</f>
        <v/>
      </c>
      <c r="C12" s="2813">
        <f>SUMIF(BALANCE_N1!$A$2:$A$70,"502*",BALANCE_N1!$F$2:$F$70)-SUMIF(BALANCE_N1!$A$2:$A$70,"502*",BALANCE_N1!$G$2:$G$70)</f>
        <v/>
      </c>
      <c r="D12" s="2160" t="n"/>
    </row>
    <row r="13" ht="12.5" customHeight="1" s="1354">
      <c r="A13" s="1950" t="inlineStr">
        <is>
          <t xml:space="preserve">Obligations </t>
        </is>
      </c>
      <c r="B13" s="2813">
        <f>SUMIF(BALANCE!$A$2:$A$70,"503*",BALANCE!$F$2:$F$70)-SUMIF(BALANCE!$A$2:$A$70,"503*",BALANCE!$G$2:$G$70)</f>
        <v/>
      </c>
      <c r="C13" s="2813">
        <f>SUMIF(BALANCE_N1!$A$2:$A$70,"503*",BALANCE_N1!$F$2:$F$70)-SUMIF(BALANCE_N1!$A$2:$A$70,"503*",BALANCE_N1!$G$2:$G$70)</f>
        <v/>
      </c>
      <c r="D13" s="2160" t="n"/>
    </row>
    <row r="14" ht="12.5" customHeight="1" s="1354">
      <c r="A14" s="1950" t="inlineStr">
        <is>
          <t xml:space="preserve">Bons de souscription </t>
        </is>
      </c>
      <c r="B14" s="2813">
        <f>SUMIF(BALANCE!$A$2:$A$70,"504*",BALANCE!$F$2:$F$70)-SUMIF(BALANCE!$A$2:$A$70,"504*",BALANCE!$G$2:$G$70)</f>
        <v/>
      </c>
      <c r="C14" s="2813">
        <f>SUMIF(BALANCE_N1!$A$2:$A$70,"504*",BALANCE_N1!$F$2:$F$70)-SUMIF(BALANCE_N1!$A$2:$A$70,"504*",BALANCE_N1!$G$2:$G$70)</f>
        <v/>
      </c>
      <c r="D14" s="2160" t="n"/>
    </row>
    <row r="15" ht="12.5" customHeight="1" s="1354">
      <c r="A15" s="1950" t="inlineStr">
        <is>
          <t xml:space="preserve">Titres négociables hors régions </t>
        </is>
      </c>
      <c r="B15" s="2813">
        <f>SUMIF(BALANCE!$A$2:$A$70,"505*",BALANCE!$F$2:$F$70)-SUMIF(BALANCE!$A$2:$A$70,"505*",BALANCE!$G$2:$G$70)</f>
        <v/>
      </c>
      <c r="C15" s="2813">
        <f>SUMIF(BALANCE_N1!$A$2:$A$70,"505*",BALANCE_N1!$F$2:$F$70)-SUMIF(BALANCE_N1!$A$2:$A$70,"505*",BALANCE_N1!$G$2:$G$70)</f>
        <v/>
      </c>
      <c r="D15" s="2160" t="n"/>
    </row>
    <row r="16" ht="12.5" customHeight="1" s="1354">
      <c r="A16" s="1950" t="inlineStr">
        <is>
          <t xml:space="preserve">Intérêts courus </t>
        </is>
      </c>
      <c r="B16" s="2813">
        <f>SUMIF(BALANCE!$A$2:$A$70,"506*",BALANCE!$F$2:$F$70)-SUMIF(BALANCE!$A$2:$A$70,"506*",BALANCE!$G$2:$G$70)</f>
        <v/>
      </c>
      <c r="C16" s="2813">
        <f>SUMIF(BALANCE_N1!$A$2:$A$70,"506*",BALANCE_N1!$F$2:$F$70)-SUMIF(BALANCE_N1!$A$2:$A$70,"506*",BALANCE_N1!$G$2:$G$70)</f>
        <v/>
      </c>
      <c r="D16" s="2160" t="n"/>
    </row>
    <row r="17" ht="12.5" customHeight="1" s="1354">
      <c r="A17" s="1950" t="inlineStr">
        <is>
          <t xml:space="preserve">Autres valeurs assimilés </t>
        </is>
      </c>
      <c r="B17" s="2813">
        <f>SUMIF(BALANCE!$A$2:$A$70,"508*",BALANCE!$F$2:$F$70)-SUMIF(BALANCE!$A$2:$A$70,"508*",BALANCE!$G$2:$G$70)</f>
        <v/>
      </c>
      <c r="C17" s="2813">
        <f>SUMIF(BALANCE_N1!$A$2:$A$70,"508*",BALANCE_N1!$F$2:$F$70)-SUMIF(BALANCE_N1!$A$2:$A$70,"508*",BALANCE_N1!$G$2:$G$70)</f>
        <v/>
      </c>
      <c r="D17" s="2160" t="n"/>
    </row>
    <row r="18" ht="12.5" customHeight="1" s="1354">
      <c r="A18" s="1951" t="inlineStr">
        <is>
          <t xml:space="preserve">TOTAL BRUT TITRES </t>
        </is>
      </c>
      <c r="B18" s="2814">
        <f>SUM(B11:B17)</f>
        <v/>
      </c>
      <c r="C18" s="2814">
        <f>SUM(C11:C17)</f>
        <v/>
      </c>
      <c r="D18" s="2172" t="n"/>
    </row>
    <row r="19" ht="12.5" customHeight="1" s="1354">
      <c r="A19" s="1950" t="inlineStr">
        <is>
          <t xml:space="preserve">Dépréciations des titres  </t>
        </is>
      </c>
      <c r="B19" s="2813">
        <f>SUMIF(BALANCE!$A$2:$A$70,"590*",BALANCE!$G$2:$G$70)-SUMIF(BALANCE!$A$2:$A$70,"590*",BALANCE!$F$2:$F$70)</f>
        <v/>
      </c>
      <c r="C19" s="2813">
        <f>SUMIF(BALANCE_N1!$A$2:$A$70,"590*",BALANCE_N1!$G$2:$G$70)-SUMIF(BALANCE_N1!$A$2:$A$70,"590*",BALANCE_N1!$F$2:$F$70)</f>
        <v/>
      </c>
      <c r="D19" s="2160" t="n"/>
    </row>
    <row r="20" ht="12.5" customHeight="1" s="1354">
      <c r="A20" s="1950" t="inlineStr">
        <is>
          <t>  </t>
        </is>
      </c>
      <c r="B20" s="2160" t="n"/>
      <c r="C20" s="2160" t="n"/>
      <c r="D20" s="2160" t="n"/>
    </row>
    <row r="21" ht="12.5" customHeight="1" s="1354">
      <c r="A21" s="2173" t="inlineStr">
        <is>
          <t xml:space="preserve">TOTAL NET DE DEPRECIATION </t>
        </is>
      </c>
      <c r="B21" s="2815">
        <f>B18-B19</f>
        <v/>
      </c>
      <c r="C21" s="2815">
        <f>C18-C19</f>
        <v/>
      </c>
      <c r="D21" s="2162" t="n"/>
    </row>
    <row r="22" ht="12" customHeight="1" s="1354">
      <c r="A22" s="2061" t="inlineStr">
        <is>
          <t xml:space="preserve">Commentaires:  </t>
        </is>
      </c>
      <c r="B22" s="1934" t="n"/>
      <c r="C22" s="1934" t="n"/>
      <c r="D22" s="1934" t="n"/>
    </row>
    <row r="23" ht="12" customHeight="1" s="1354">
      <c r="A23" s="2116" t="inlineStr">
        <is>
          <t xml:space="preserve">•      Justifier toute variation significative. </t>
        </is>
      </c>
      <c r="B23" s="2174" t="n"/>
      <c r="C23" s="2174" t="n"/>
      <c r="D23" s="2174" t="n"/>
    </row>
    <row r="24" ht="36" customHeight="1" s="1354">
      <c r="A24" s="2116" t="inlineStr">
        <is>
          <t xml:space="preserve">•      Pour les titres cotés à une bourse de valeur : indiquer le nombre, le prix unitaire d'acquisition et le cours de la bourse au 31 décembre. </t>
        </is>
      </c>
    </row>
    <row r="25" ht="12" customHeight="1" s="1354">
      <c r="A25" s="1932" t="inlineStr">
        <is>
          <t xml:space="preserve">•      Faire ressortir les actions ou parts propres et indiquer la date d'acquisition et le nombre de titres détenus. </t>
        </is>
      </c>
      <c r="D25" s="1934" t="n"/>
    </row>
    <row r="26" ht="12" customHeight="1" s="1354">
      <c r="A26" s="1932" t="inlineStr">
        <is>
          <t xml:space="preserve">•      Indiquer  les événements et circonstances qui ont conduit à la dépréciation et à la reprise. </t>
        </is>
      </c>
    </row>
    <row r="27" ht="12" customHeight="1" s="1354">
      <c r="A27" s="2175" t="n"/>
    </row>
    <row r="28" ht="12" customHeight="1" s="1354">
      <c r="A28" s="2175" t="n"/>
    </row>
    <row r="29" ht="12" customHeight="1" s="1354">
      <c r="A29" s="2175" t="n"/>
    </row>
  </sheetData>
  <mergeCells count="8">
    <mergeCell ref="A25:C25"/>
    <mergeCell ref="B9:B10"/>
    <mergeCell ref="D9:D10"/>
    <mergeCell ref="A8:D8"/>
    <mergeCell ref="A9:A10"/>
    <mergeCell ref="A26:D26"/>
    <mergeCell ref="A7:D7"/>
    <mergeCell ref="A24:D24"/>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E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17"/>
    </sheetView>
  </sheetViews>
  <sheetFormatPr baseColWidth="8" defaultColWidth="10.8125" defaultRowHeight="12" zeroHeight="0" outlineLevelRow="0"/>
  <cols>
    <col width="48.81" customWidth="1" style="1583" min="1" max="1"/>
    <col width="10.81" customWidth="1" style="1583" min="2" max="2"/>
    <col width="14.44" customWidth="1" style="1583" min="3" max="3"/>
    <col width="10.81" customWidth="1" style="1583" min="4" max="257"/>
  </cols>
  <sheetData>
    <row r="1" ht="12" customHeight="1" s="1354">
      <c r="A1" s="2175" t="n"/>
    </row>
    <row r="2" ht="12" customHeight="1" s="1354">
      <c r="A2" s="2175" t="n"/>
    </row>
    <row r="3" ht="12" customHeight="1" s="1354">
      <c r="A3" s="2167" t="inlineStr">
        <is>
          <t> </t>
        </is>
      </c>
    </row>
    <row r="4" ht="15.5" customFormat="1" customHeight="1" s="1577">
      <c r="A4" s="1748" t="inlineStr">
        <is>
          <t>Désignation entité : ENTREPRISE TEST SARL</t>
        </is>
      </c>
      <c r="C4" s="2176" t="inlineStr">
        <is>
          <t xml:space="preserve">         Exercice clos le : 31/12/2025</t>
        </is>
      </c>
      <c r="D4" s="1578" t="n"/>
    </row>
    <row r="5" ht="13" customFormat="1" customHeight="1" s="1577">
      <c r="A5" s="1749" t="inlineStr">
        <is>
          <t>Numéro d’identification : CD/KNG/RCCM/23-B-01234</t>
        </is>
      </c>
      <c r="C5" s="2176" t="inlineStr">
        <is>
          <t xml:space="preserve">        Durée (en mois) : 12</t>
        </is>
      </c>
      <c r="D5" s="1582" t="n"/>
    </row>
    <row r="6" ht="12" customHeight="1" s="1354">
      <c r="A6" s="2167" t="n"/>
    </row>
    <row r="7" ht="14" customHeight="1" s="1354">
      <c r="A7" s="1991" t="inlineStr">
        <is>
          <t xml:space="preserve">NOTE 10 </t>
        </is>
      </c>
      <c r="E7" s="1828" t="n"/>
    </row>
    <row r="8" ht="14.5" customHeight="1" s="1354">
      <c r="A8" s="1966" t="inlineStr">
        <is>
          <t>VALEURS A ENCAISSER</t>
        </is>
      </c>
      <c r="E8" s="1967" t="n"/>
    </row>
    <row r="9" ht="23.5" customHeight="1" s="1354">
      <c r="A9" s="1752" t="inlineStr">
        <is>
          <t xml:space="preserve">Libellés </t>
        </is>
      </c>
      <c r="B9" s="1752" t="inlineStr">
        <is>
          <t xml:space="preserve">Année N </t>
        </is>
      </c>
      <c r="C9" s="1752" t="inlineStr">
        <is>
          <t xml:space="preserve">Année N-1 </t>
        </is>
      </c>
      <c r="D9" s="2122" t="inlineStr">
        <is>
          <t xml:space="preserve">Variation en % </t>
        </is>
      </c>
    </row>
    <row r="10" ht="12" customHeight="1" s="1354">
      <c r="A10" s="1765" t="inlineStr">
        <is>
          <t xml:space="preserve">Effets à encaisser </t>
        </is>
      </c>
      <c r="B10" s="2816">
        <f>SUMIF(BALANCE!$A$2:$A$70,"511*",BALANCE!$F$2:$F$70)-SUMIF(BALANCE!$A$2:$A$70,"511*",BALANCE!$G$2:$G$70)</f>
        <v/>
      </c>
      <c r="C10" s="2816">
        <f>SUMIF(BALANCE_N1!$A$2:$A$70,"511*",BALANCE_N1!$F$2:$F$70)-SUMIF(BALANCE_N1!$A$2:$A$70,"511*",BALANCE_N1!$G$2:$G$70)</f>
        <v/>
      </c>
      <c r="D10" s="2177" t="n"/>
    </row>
    <row r="11" ht="12" customHeight="1" s="1354">
      <c r="A11" s="1675" t="inlineStr">
        <is>
          <t xml:space="preserve">Effets à l'encaissement </t>
        </is>
      </c>
      <c r="B11" s="2817">
        <f>SUMIF(BALANCE!$A$2:$A$70,"512*",BALANCE!$F$2:$F$70)-SUMIF(BALANCE!$A$2:$A$70,"512*",BALANCE!$G$2:$G$70)</f>
        <v/>
      </c>
      <c r="C11" s="2817">
        <f>SUMIF(BALANCE_N1!$A$2:$A$70,"512*",BALANCE_N1!$F$2:$F$70)-SUMIF(BALANCE_N1!$A$2:$A$70,"512*",BALANCE_N1!$G$2:$G$70)</f>
        <v/>
      </c>
      <c r="D11" s="2179" t="n"/>
    </row>
    <row r="12" ht="12" customHeight="1" s="1354">
      <c r="A12" s="1675" t="inlineStr">
        <is>
          <t xml:space="preserve">Chèques à encaisser </t>
        </is>
      </c>
      <c r="B12" s="2817">
        <f>SUMIF(BALANCE!$A$2:$A$70,"513*",BALANCE!$F$2:$F$70)-SUMIF(BALANCE!$A$2:$A$70,"513*",BALANCE!$G$2:$G$70)</f>
        <v/>
      </c>
      <c r="C12" s="2817">
        <f>SUMIF(BALANCE_N1!$A$2:$A$70,"513*",BALANCE_N1!$F$2:$F$70)-SUMIF(BALANCE_N1!$A$2:$A$70,"513*",BALANCE_N1!$G$2:$G$70)</f>
        <v/>
      </c>
      <c r="D12" s="2179" t="n"/>
    </row>
    <row r="13" ht="12" customHeight="1" s="1354">
      <c r="A13" s="1675" t="inlineStr">
        <is>
          <t xml:space="preserve">Chèques à l'encaissement </t>
        </is>
      </c>
      <c r="B13" s="2817">
        <f>SUMIF(BALANCE!$A$2:$A$70,"514*",BALANCE!$F$2:$F$70)-SUMIF(BALANCE!$A$2:$A$70,"514*",BALANCE!$G$2:$G$70)</f>
        <v/>
      </c>
      <c r="C13" s="2817">
        <f>SUMIF(BALANCE_N1!$A$2:$A$70,"514*",BALANCE_N1!$F$2:$F$70)-SUMIF(BALANCE_N1!$A$2:$A$70,"514*",BALANCE_N1!$G$2:$G$70)</f>
        <v/>
      </c>
      <c r="D13" s="2179" t="n"/>
    </row>
    <row r="14" ht="12" customHeight="1" s="1354">
      <c r="A14" s="1675" t="inlineStr">
        <is>
          <t xml:space="preserve">Cartes de crédit à encaisser </t>
        </is>
      </c>
      <c r="B14" s="2817">
        <f>SUMIF(BALANCE!$A$2:$A$70,"515*",BALANCE!$F$2:$F$70)-SUMIF(BALANCE!$A$2:$A$70,"515*",BALANCE!$G$2:$G$70)</f>
        <v/>
      </c>
      <c r="C14" s="2817">
        <f>SUMIF(BALANCE_N1!$A$2:$A$70,"515*",BALANCE_N1!$F$2:$F$70)-SUMIF(BALANCE_N1!$A$2:$A$70,"515*",BALANCE_N1!$G$2:$G$70)</f>
        <v/>
      </c>
      <c r="D14" s="2179" t="n"/>
    </row>
    <row r="15" ht="12.5" customHeight="1" s="1354">
      <c r="A15" s="1623" t="inlineStr">
        <is>
          <t xml:space="preserve">Autres valeurs à encaisser </t>
        </is>
      </c>
      <c r="B15" s="2818">
        <f>SUMIF(BALANCE!$A$2:$A$70,"518*",BALANCE!$F$2:$F$70)-SUMIF(BALANCE!$A$2:$A$70,"518*",BALANCE!$G$2:$G$70)</f>
        <v/>
      </c>
      <c r="C15" s="2818">
        <f>SUMIF(BALANCE_N1!$A$2:$A$70,"518*",BALANCE_N1!$F$2:$F$70)-SUMIF(BALANCE_N1!$A$2:$A$70,"518*",BALANCE_N1!$G$2:$G$70)</f>
        <v/>
      </c>
      <c r="D15" s="2181" t="n"/>
    </row>
    <row r="16" ht="12.5" customHeight="1" s="1354">
      <c r="A16" s="2182" t="inlineStr">
        <is>
          <t xml:space="preserve">TOTAL BRUT VALEURS A ENCAISSER </t>
        </is>
      </c>
      <c r="B16" s="2819">
        <f>SUM(B10:B15)</f>
        <v/>
      </c>
      <c r="C16" s="2819">
        <f>SUM(C10:C15)</f>
        <v/>
      </c>
      <c r="D16" s="2183" t="n"/>
    </row>
    <row r="17" ht="12" customHeight="1" s="1354">
      <c r="A17" s="1765" t="inlineStr">
        <is>
          <t xml:space="preserve">Dépréciations des valeurs à encaisser </t>
        </is>
      </c>
      <c r="B17" s="2816">
        <f>SUMIF(BALANCE!$A$2:$A$70,"591*",BALANCE!$G$2:$G$70)-SUMIF(BALANCE!$A$2:$A$70,"591*",BALANCE!$F$2:$F$70)</f>
        <v/>
      </c>
      <c r="C17" s="2816">
        <f>SUMIF(BALANCE_N1!$A$2:$A$70,"591*",BALANCE_N1!$G$2:$G$70)-SUMIF(BALANCE_N1!$A$2:$A$70,"591*",BALANCE_N1!$F$2:$F$70)</f>
        <v/>
      </c>
      <c r="D17" s="2177" t="n"/>
    </row>
    <row r="18" ht="12.5" customHeight="1" s="1354">
      <c r="A18" s="1623" t="inlineStr">
        <is>
          <t>  </t>
        </is>
      </c>
      <c r="B18" s="1623" t="n"/>
      <c r="C18" s="1623" t="n"/>
      <c r="D18" s="2184" t="n"/>
    </row>
    <row r="19" ht="12.5" customHeight="1" s="1354">
      <c r="A19" s="2185" t="inlineStr">
        <is>
          <t xml:space="preserve">TOTAL NET DE DEPRECIATION </t>
        </is>
      </c>
      <c r="B19" s="2820">
        <f>B16-B17</f>
        <v/>
      </c>
      <c r="C19" s="2820">
        <f>C16-C17</f>
        <v/>
      </c>
      <c r="D19" s="2186" t="n"/>
    </row>
    <row r="20" ht="12" customHeight="1" s="1354">
      <c r="A20" s="2061" t="inlineStr">
        <is>
          <t xml:space="preserve">Commentaires :  </t>
        </is>
      </c>
      <c r="B20" s="1934" t="n"/>
      <c r="C20" s="1934" t="n"/>
      <c r="D20" s="1934" t="n"/>
    </row>
    <row r="21" ht="12" customHeight="1" s="1354">
      <c r="A21" s="2187" t="inlineStr">
        <is>
          <t xml:space="preserve">•      Commenter toute variation significative ; </t>
        </is>
      </c>
      <c r="B21" s="2188" t="n"/>
      <c r="C21" s="2188" t="n"/>
      <c r="D21" s="2188" t="n"/>
      <c r="E21" s="2189" t="n"/>
    </row>
    <row r="22" ht="12" customHeight="1" s="1354">
      <c r="A22" s="2187" t="inlineStr">
        <is>
          <t xml:space="preserve">•      Indiquer  les événements et circonstances qui ont conduit à la dépréciation et  à la reprise. </t>
        </is>
      </c>
      <c r="B22" s="2188" t="n"/>
      <c r="C22" s="2188" t="n"/>
      <c r="D22" s="2188" t="n"/>
      <c r="E22" s="2189" t="n"/>
    </row>
    <row r="23" ht="12" customHeight="1" s="1354">
      <c r="A23" s="2117" t="inlineStr">
        <is>
          <t> </t>
        </is>
      </c>
      <c r="B23" s="1934" t="n"/>
      <c r="C23" s="1934" t="n"/>
      <c r="D23" s="1934" t="n"/>
    </row>
    <row r="24" ht="12" customHeight="1" s="1354">
      <c r="A24" s="2117" t="inlineStr">
        <is>
          <t> </t>
        </is>
      </c>
      <c r="B24" s="1934" t="n"/>
      <c r="C24" s="1934" t="n"/>
      <c r="D24" s="1934" t="n"/>
    </row>
    <row r="25" ht="12" customHeight="1" s="1354">
      <c r="A25" s="2167" t="inlineStr">
        <is>
          <t> </t>
        </is>
      </c>
    </row>
    <row r="26" ht="12" customHeight="1" s="1354">
      <c r="A26" s="2167"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E37"/>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C25" activeCellId="0" sqref="C25:E25"/>
    </sheetView>
  </sheetViews>
  <sheetFormatPr baseColWidth="8" defaultColWidth="10.8125" defaultRowHeight="12" zeroHeight="0" outlineLevelRow="0"/>
  <cols>
    <col width="3.44" customWidth="1" style="1583" min="1" max="1"/>
    <col width="61.17" customWidth="1" style="1583" min="2" max="2"/>
    <col width="11.81" customWidth="1" style="1583" min="3" max="3"/>
    <col width="10.81" customWidth="1" style="1583" min="4" max="4"/>
    <col width="12.44" customWidth="1" style="1583" min="5" max="5"/>
    <col width="10.81" customWidth="1" style="1583" min="6" max="257"/>
  </cols>
  <sheetData>
    <row r="1" ht="12" customHeight="1" s="1354">
      <c r="B1" s="2093" t="n"/>
    </row>
    <row r="2" ht="12" customHeight="1" s="1354">
      <c r="B2" s="2167" t="inlineStr">
        <is>
          <t> </t>
        </is>
      </c>
    </row>
    <row r="3" ht="12" customHeight="1" s="1354">
      <c r="B3" s="1819" t="inlineStr">
        <is>
          <t>NOTE 11 : BANQUES, CHEQUES POSTAUX ET CHEQUES</t>
        </is>
      </c>
    </row>
    <row r="4" ht="14.25" customHeight="1" s="1354">
      <c r="B4" s="1819" t="n"/>
      <c r="E4" s="2190" t="n"/>
    </row>
    <row r="5" ht="13" customFormat="1" customHeight="1" s="1577">
      <c r="B5" s="1748" t="inlineStr">
        <is>
          <t>Désignation entité : ENTREPRISE TEST SARL</t>
        </is>
      </c>
      <c r="C5" s="1591" t="inlineStr">
        <is>
          <t>Exercice clos le : 31/12/2025</t>
        </is>
      </c>
      <c r="D5" s="1591" t="n"/>
      <c r="E5" s="1578" t="n"/>
    </row>
    <row r="6" ht="13" customFormat="1" customHeight="1" s="1577">
      <c r="B6" s="1749" t="inlineStr">
        <is>
          <t>Numéro d’identification : CD/KNG/RCCM/23-B-01234</t>
        </is>
      </c>
      <c r="C6" s="1591" t="inlineStr">
        <is>
          <t>Durée (en mois) : 12</t>
        </is>
      </c>
      <c r="D6" s="1591" t="n"/>
      <c r="E6" s="1582" t="n"/>
    </row>
    <row r="7" ht="12" customHeight="1" s="1354">
      <c r="B7" s="2167" t="inlineStr">
        <is>
          <t> </t>
        </is>
      </c>
    </row>
    <row r="8" ht="14" customHeight="1" s="1354">
      <c r="B8" s="2002" t="inlineStr">
        <is>
          <t xml:space="preserve"> NOTE 11</t>
        </is>
      </c>
    </row>
    <row r="9" ht="15.75" customHeight="1" s="1354">
      <c r="B9" s="2170" t="inlineStr">
        <is>
          <t>DISPONIBILITES</t>
        </is>
      </c>
      <c r="C9" s="1594" t="n"/>
      <c r="D9" s="1594" t="n"/>
      <c r="E9" s="1594" t="n"/>
    </row>
    <row r="10" ht="12" customHeight="1" s="1354">
      <c r="B10" s="2191" t="inlineStr">
        <is>
          <t xml:space="preserve"> Libellés </t>
        </is>
      </c>
      <c r="C10" s="2004" t="inlineStr">
        <is>
          <t>Année N</t>
        </is>
      </c>
      <c r="D10" s="2005" t="inlineStr">
        <is>
          <t>Année</t>
        </is>
      </c>
      <c r="E10" s="2192" t="inlineStr">
        <is>
          <t xml:space="preserve">Variation </t>
        </is>
      </c>
    </row>
    <row r="11" ht="20.25" customHeight="1" s="1354">
      <c r="B11" s="2007" t="n"/>
      <c r="C11" s="2008" t="n"/>
      <c r="D11" s="2009" t="inlineStr">
        <is>
          <t>N-1</t>
        </is>
      </c>
      <c r="E11" s="2193" t="inlineStr">
        <is>
          <t xml:space="preserve">en % </t>
        </is>
      </c>
    </row>
    <row r="12" ht="12" customHeight="1" s="1354">
      <c r="B12" s="2096" t="inlineStr">
        <is>
          <t xml:space="preserve">Banques locales </t>
        </is>
      </c>
      <c r="C12" s="2805">
        <f>SUMIF(BALANCE!$A$2:$A$70,"521*",BALANCE!$F$2:$F$70)</f>
        <v/>
      </c>
      <c r="D12" s="2805">
        <f>SUMIF(BALANCE_N1!$A$2:$A$70,"521*",BALANCE_N1!$F$2:$F$70)</f>
        <v/>
      </c>
      <c r="E12" s="2194">
        <f>(C12-D12)/D12</f>
        <v/>
      </c>
    </row>
    <row r="13" ht="12" customHeight="1" s="1354">
      <c r="B13" s="2099" t="inlineStr">
        <is>
          <t xml:space="preserve">Banques autres états région </t>
        </is>
      </c>
      <c r="C13" s="2806">
        <f>SUMIF(BALANCE!$A$2:$A$70,"522*",BALANCE!$F$2:$F$70)</f>
        <v/>
      </c>
      <c r="D13" s="2806">
        <f>SUMIF(BALANCE_N1!$A$2:$A$70,"522*",BALANCE_N1!$F$2:$F$70)</f>
        <v/>
      </c>
      <c r="E13" s="2195" t="n"/>
    </row>
    <row r="14" ht="12" customHeight="1" s="1354">
      <c r="B14" s="2099" t="inlineStr">
        <is>
          <t xml:space="preserve">Banques, dépôt à terme </t>
        </is>
      </c>
      <c r="C14" s="2806">
        <f>SUMIF(BALANCE!$A$2:$A$70,"525*",BALANCE!$F$2:$F$70)</f>
        <v/>
      </c>
      <c r="D14" s="2806">
        <f>SUMIF(BALANCE_N1!$A$2:$A$70,"525*",BALANCE_N1!$F$2:$F$70)</f>
        <v/>
      </c>
      <c r="E14" s="2195" t="n"/>
    </row>
    <row r="15" ht="12" customHeight="1" s="1354">
      <c r="B15" s="2099" t="inlineStr">
        <is>
          <t xml:space="preserve">Autres Banques </t>
        </is>
      </c>
      <c r="C15" s="2806">
        <f>SUMIF(BALANCE!$A$2:$A$70,"523*",BALANCE!$F$2:$F$70)+SUMIF(BALANCE!$A$2:$A$70,"524*",BALANCE!$F$2:$F$70)</f>
        <v/>
      </c>
      <c r="D15" s="2806">
        <f>SUMIF(BALANCE_N1!$A$2:$A$70,"523*",BALANCE_N1!$F$2:$F$70)+SUMIF(BALANCE_N1!$A$2:$A$70,"524*",BALANCE_N1!$F$2:$F$70)</f>
        <v/>
      </c>
      <c r="E15" s="2195" t="n"/>
    </row>
    <row r="16" ht="12" customHeight="1" s="1354">
      <c r="B16" s="2099" t="inlineStr">
        <is>
          <t xml:space="preserve">Banques intérêts courus </t>
        </is>
      </c>
      <c r="C16" s="2806">
        <f>SUMIF(BALANCE!$A$2:$A$70,"526*",BALANCE!$F$2:$F$70)</f>
        <v/>
      </c>
      <c r="D16" s="2806">
        <f>SUMIF(BALANCE_N1!$A$2:$A$70,"526*",BALANCE_N1!$F$2:$F$70)</f>
        <v/>
      </c>
      <c r="E16" s="2195" t="n"/>
    </row>
    <row r="17" ht="12" customHeight="1" s="1354">
      <c r="B17" s="2099" t="inlineStr">
        <is>
          <t xml:space="preserve">Chèques postaux </t>
        </is>
      </c>
      <c r="C17" s="2806">
        <f>SUMIF(BALANCE!$A$2:$A$70,"532*",BALANCE!$F$2:$F$70)+SUMIF(BALANCE!$A$2:$A$70,"531*",BALANCE!$F$2:$F$70)</f>
        <v/>
      </c>
      <c r="D17" s="2806">
        <f>SUMIF(BALANCE_N1!$A$2:$A$70,"532*",BALANCE_N1!$F$2:$F$70)+SUMIF(BALANCE_N1!$A$2:$A$70,"531*",BALANCE_N1!$F$2:$F$70)</f>
        <v/>
      </c>
      <c r="E17" s="2195" t="n"/>
    </row>
    <row r="18" ht="12" customHeight="1" s="1354">
      <c r="B18" s="2099" t="inlineStr">
        <is>
          <t xml:space="preserve">Autres établissement financiers </t>
        </is>
      </c>
      <c r="C18" s="2806">
        <f>SUMIF(BALANCE!$A$2:$A$70,"533*",BALANCE!$F$2:$F$70)+SUMIF(BALANCE!$A$2:$A$70,"538*",BALANCE!$F$2:$F$70)</f>
        <v/>
      </c>
      <c r="D18" s="2806">
        <f>SUMIF(BALANCE_N1!$A$2:$A$70,"533*",BALANCE_N1!$F$2:$F$70)+SUMIF(BALANCE_N1!$A$2:$A$70,"538*",BALANCE_N1!$F$2:$F$70)</f>
        <v/>
      </c>
      <c r="E18" s="2195" t="n"/>
    </row>
    <row r="19" ht="12" customHeight="1" s="1354">
      <c r="B19" s="2132" t="inlineStr">
        <is>
          <t xml:space="preserve">Etablissement financiers intérêts courus </t>
        </is>
      </c>
      <c r="C19" s="2806">
        <f>SUMIF(BALANCE!$A$2:$A$70,"536*",BALANCE!$F$2:$F$70)</f>
        <v/>
      </c>
      <c r="D19" s="2806">
        <f>SUMIF(BALANCE_N1!$A$2:$A$70,"536*",BALANCE_N1!$F$2:$F$70)</f>
        <v/>
      </c>
      <c r="E19" s="2195" t="n"/>
    </row>
    <row r="20" ht="12" customHeight="1" s="1354">
      <c r="B20" s="2099" t="inlineStr">
        <is>
          <t xml:space="preserve">Instruments de trésorerie </t>
        </is>
      </c>
      <c r="C20" s="2806">
        <f>SUMIF(BALANCE!$A$2:$A$70,"54*",BALANCE!$F$2:$F$70)</f>
        <v/>
      </c>
      <c r="D20" s="2806">
        <f>SUMIF(BALANCE_N1!$A$2:$A$70,"54*",BALANCE_N1!$F$2:$F$70)</f>
        <v/>
      </c>
      <c r="E20" s="2195" t="n"/>
    </row>
    <row r="21" ht="12" customHeight="1" s="1354">
      <c r="B21" s="2099" t="inlineStr">
        <is>
          <t xml:space="preserve">Caisse  </t>
        </is>
      </c>
      <c r="C21" s="2821">
        <f>SUMIF(BALANCE!$A$2:$A$70,"57*",BALANCE!$F$2:$F$70)-SUMIF(BALANCE!$A$2:$A$70,"57*",BALANCE!$G$2:$G$70)</f>
        <v/>
      </c>
      <c r="D21" s="2821">
        <f>SUMIF(BALANCE_N1!$A$2:$A$70,"57*",BALANCE_N1!$F$2:$F$70)-SUMIF(BALANCE_N1!$A$2:$A$70,"57*",BALANCE_N1!$G$2:$G$70)</f>
        <v/>
      </c>
      <c r="E21" s="2195" t="n"/>
    </row>
    <row r="22" ht="12" customHeight="1" s="1354">
      <c r="B22" s="2099" t="inlineStr">
        <is>
          <t xml:space="preserve">Caisse électronique mobile </t>
        </is>
      </c>
      <c r="C22" s="2806">
        <f>SUMIF(BALANCE!$A$2:$A$70,"55*",BALANCE!$F$2:$F$70)-SUMIF(BALANCE!$A$2:$A$70,"55*",BALANCE!$G$2:$G$70)</f>
        <v/>
      </c>
      <c r="D22" s="2806">
        <f>SUMIF(BALANCE_N1!$A$2:$A$70,"55*",BALANCE_N1!$F$2:$F$70)-SUMIF(BALANCE_N1!$A$2:$A$70,"55*",BALANCE_N1!$G$2:$G$70)</f>
        <v/>
      </c>
      <c r="E22" s="2195" t="n"/>
    </row>
    <row r="23" ht="12.5" customHeight="1" s="1354">
      <c r="B23" s="2102" t="inlineStr">
        <is>
          <t xml:space="preserve">Régies d'avances et virements accréditifs </t>
        </is>
      </c>
      <c r="C23" s="2807">
        <f>SUMIF(BALANCE!$A$2:$A$70,"581*",BALANCE!$F$2:$F$70)-SUMIF(BALANCE!$A$2:$A$70,"581*",BALANCE!$G$2:$G$70)+SUMIF(BALANCE!$A$2:$A$70,"582*",BALANCE!$F$2:$F$70)-SUMIF(BALANCE!$A$2:$A$70,"582*",BALANCE!$G$2:$G$70)</f>
        <v/>
      </c>
      <c r="D23" s="2807">
        <f>SUMIF(BALANCE_N1!$A$2:$A$70,"581*",BALANCE_N1!$F$2:$F$70)-SUMIF(BALANCE_N1!$A$2:$A$70,"581*",BALANCE_N1!$G$2:$G$70)+SUMIF(BALANCE_N1!$A$2:$A$70,"582*",BALANCE_N1!$F$2:$F$70)-SUMIF(BALANCE_N1!$A$2:$A$70,"582*",BALANCE_N1!$G$2:$G$70)</f>
        <v/>
      </c>
      <c r="E23" s="2197" t="n"/>
    </row>
    <row r="24" ht="12.5" customHeight="1" s="1354">
      <c r="B24" s="2104" t="inlineStr">
        <is>
          <t xml:space="preserve">TOTAL BRUT DISPONIBILITES </t>
        </is>
      </c>
      <c r="C24" s="1897">
        <f>SUM(C12:C23)</f>
        <v/>
      </c>
      <c r="D24" s="1897">
        <f>SUM(D12:D23)</f>
        <v/>
      </c>
      <c r="E24" s="2198">
        <f>(C24-D24)/D24</f>
        <v/>
      </c>
    </row>
    <row r="25" ht="12" customHeight="1" s="1354">
      <c r="B25" s="2096" t="inlineStr">
        <is>
          <t xml:space="preserve">Dépréciations </t>
        </is>
      </c>
      <c r="C25" s="2822">
        <f>SUMIF(BALANCE!$A$2:$A$70,"592*",BALANCE!$G$2:$G$70)-SUMIF(BALANCE!$A$2:$A$70,"592*",BALANCE!$F$2:$F$70)+SUMIF(BALANCE!$A$2:$A$70,"594*",BALANCE!$G$2:$G$70)-SUMIF(BALANCE!$A$2:$A$70,"594*",BALANCE!$F$2:$F$70)+SUMIF(BALANCE!$A$2:$A$70,"593*",BALANCE!$G$2:$G$70)-SUMIF(BALANCE!$A$2:$A$70,"593*",BALANCE!$F$2:$F$70)</f>
        <v/>
      </c>
      <c r="D25" s="2822">
        <f>SUMIF(BALANCE_N1!$A$2:$A$70,"592*",BALANCE_N1!$G$2:$G$70)-SUMIF(BALANCE_N1!$A$2:$A$70,"592*",BALANCE_N1!$F$2:$F$70)+SUMIF(BALANCE_N1!$A$2:$A$70,"594*",BALANCE_N1!$G$2:$G$70)-SUMIF(BALANCE_N1!$A$2:$A$70,"594*",BALANCE_N1!$F$2:$F$70)+SUMIF(BALANCE_N1!$A$2:$A$70,"593*",BALANCE_N1!$G$2:$G$70)-SUMIF(BALANCE_N1!$A$2:$A$70,"593*",BALANCE_N1!$F$2:$F$70)</f>
        <v/>
      </c>
      <c r="E25" s="2200" t="n"/>
    </row>
    <row r="26" ht="12.5" customHeight="1" s="1354">
      <c r="B26" s="2102" t="inlineStr">
        <is>
          <t>  </t>
        </is>
      </c>
      <c r="C26" s="1777" t="n"/>
      <c r="D26" s="1777" t="n"/>
      <c r="E26" s="2201" t="n"/>
    </row>
    <row r="27" ht="12.5" customHeight="1" s="1354">
      <c r="B27" s="2202" t="inlineStr">
        <is>
          <t xml:space="preserve">TOTAL NET DE DEPRECIATIONS </t>
        </is>
      </c>
      <c r="C27" s="2808">
        <f>C24-C25</f>
        <v/>
      </c>
      <c r="D27" s="2808">
        <f>D24-D25</f>
        <v/>
      </c>
      <c r="E27" s="2135">
        <f>E24</f>
        <v/>
      </c>
    </row>
    <row r="28" ht="12" customHeight="1" s="1354">
      <c r="B28" s="2061" t="inlineStr">
        <is>
          <t xml:space="preserve">Commentaires :  </t>
        </is>
      </c>
      <c r="C28" s="1934" t="n"/>
      <c r="D28" s="1934" t="n"/>
      <c r="E28" s="1934" t="n"/>
    </row>
    <row r="29" ht="12" customHeight="1" s="1354">
      <c r="B29" s="2062" t="inlineStr">
        <is>
          <t xml:space="preserve">•      Indiquer la date de rapprochement des comptes bancaires. </t>
        </is>
      </c>
      <c r="C29" s="1934" t="n"/>
      <c r="D29" s="1934" t="n"/>
      <c r="E29" s="1934" t="n"/>
    </row>
    <row r="30" ht="12" customHeight="1" s="1354">
      <c r="B30" s="2062" t="inlineStr">
        <is>
          <t xml:space="preserve">•      Indiquer la date d'inventaire de la caisse et des instruments de monnaie électronique. </t>
        </is>
      </c>
      <c r="C30" s="1934" t="n"/>
      <c r="D30" s="1934" t="n"/>
      <c r="E30" s="1934" t="n"/>
    </row>
    <row r="31" ht="12" customHeight="1" s="1354">
      <c r="B31" s="2062" t="inlineStr">
        <is>
          <t xml:space="preserve">•      Justifier toute variation significative. </t>
        </is>
      </c>
      <c r="C31" s="1934" t="n"/>
      <c r="D31" s="1934" t="n"/>
      <c r="E31" s="1934" t="n"/>
    </row>
    <row r="32" ht="12" customHeight="1" s="1354">
      <c r="B32" s="2062" t="inlineStr">
        <is>
          <t xml:space="preserve">•      Détailler les instruments de monnaie électronique si le montant est significatif. </t>
        </is>
      </c>
      <c r="C32" s="1934" t="n"/>
      <c r="D32" s="1934" t="n"/>
      <c r="E32" s="1934" t="n"/>
    </row>
    <row r="33" ht="12" customHeight="1" s="1354">
      <c r="B33" s="2062" t="inlineStr">
        <is>
          <t xml:space="preserve">•      Indiquer  les événements et circonstances qui ont conduit à la dépréciation et  à la reprise. </t>
        </is>
      </c>
      <c r="C33" s="1934" t="n"/>
      <c r="D33" s="1934" t="n"/>
      <c r="E33" s="1934" t="n"/>
    </row>
    <row r="34" ht="26.25" customHeight="1" s="1354">
      <c r="B34" s="2203" t="inlineStr">
        <is>
          <t xml:space="preserve">NB : Banques et intérêts courus  et Etablissement financiers intérêts courus figurent dans cette rubrique en négatif si le compte principal attaché est débiteur. </t>
        </is>
      </c>
    </row>
    <row r="35" ht="12" customHeight="1" s="1354">
      <c r="B35" s="2117" t="inlineStr">
        <is>
          <t> </t>
        </is>
      </c>
      <c r="C35" s="1934" t="n"/>
      <c r="D35" s="1934" t="n"/>
      <c r="E35" s="1934" t="n"/>
    </row>
    <row r="36" ht="12" customHeight="1" s="1354">
      <c r="B36" s="2167" t="inlineStr">
        <is>
          <t> </t>
        </is>
      </c>
    </row>
    <row r="37" ht="12" customHeight="1" s="1354">
      <c r="B37" s="2167" t="n"/>
    </row>
  </sheetData>
  <mergeCells count="5">
    <mergeCell ref="B9:E9"/>
    <mergeCell ref="B8:E8"/>
    <mergeCell ref="C10:C11"/>
    <mergeCell ref="B34:E34"/>
    <mergeCell ref="B10:B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5"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F39"/>
  <sheetViews>
    <sheetView showFormulas="0" showGridLines="1" showRowColHeaders="1" showZeros="1" rightToLeft="0" tabSelected="0" showOutlineSymbols="1" defaultGridColor="1" view="normal" topLeftCell="A7" colorId="64" zoomScale="100" zoomScaleNormal="100" zoomScalePageLayoutView="100" workbookViewId="0">
      <selection pane="topLeft" activeCell="B25" activeCellId="0" sqref="B25:B26"/>
    </sheetView>
  </sheetViews>
  <sheetFormatPr baseColWidth="8" defaultColWidth="10.8125" defaultRowHeight="12" zeroHeight="0" outlineLevelRow="0"/>
  <cols>
    <col width="38.44" customWidth="1" style="1583" min="1" max="1"/>
    <col width="9.81" customWidth="1" style="1583" min="2" max="2"/>
    <col width="10.17" customWidth="1" style="1583" min="3" max="3"/>
    <col width="16.81" customWidth="1" style="1583" min="4" max="4"/>
    <col width="9.17" customWidth="1" style="1583" min="5" max="5"/>
    <col width="10.81" customWidth="1" style="1583" min="6" max="257"/>
  </cols>
  <sheetData>
    <row r="1" ht="12" customHeight="1" s="1354">
      <c r="A1" s="2167" t="n"/>
    </row>
    <row r="2" ht="12" customHeight="1" s="1354">
      <c r="A2" s="2167" t="n"/>
    </row>
    <row r="3" ht="12" customHeight="1" s="1354">
      <c r="A3" s="2167" t="n"/>
    </row>
    <row r="4" ht="15.5" customFormat="1" customHeight="1" s="1577">
      <c r="A4" s="1748" t="inlineStr">
        <is>
          <t>Désignation entité : ENTREPRISE TEST SARL</t>
        </is>
      </c>
      <c r="D4" s="1591" t="inlineStr">
        <is>
          <t>Exercice clos le : 31/12/2025</t>
        </is>
      </c>
      <c r="E4" s="1591" t="n"/>
      <c r="F4" s="1578" t="n"/>
    </row>
    <row r="5" ht="13" customFormat="1" customHeight="1" s="1577">
      <c r="A5" s="1749" t="inlineStr">
        <is>
          <t>Numéro d’identification : CD/KNG/RCCM/23-B-01234</t>
        </is>
      </c>
      <c r="D5" s="1591" t="inlineStr">
        <is>
          <t>Durée (en mois) : 12</t>
        </is>
      </c>
      <c r="E5" s="1591" t="n"/>
      <c r="F5" s="1582" t="n"/>
    </row>
    <row r="6"/>
    <row r="7" ht="12" customHeight="1" s="1354">
      <c r="A7" s="2140" t="inlineStr">
        <is>
          <t xml:space="preserve">NOTE 12 </t>
        </is>
      </c>
    </row>
    <row r="8" ht="12.5" customHeight="1" s="1354">
      <c r="A8" s="2069" t="inlineStr">
        <is>
          <t xml:space="preserve">ECARTS DE CONVERSION </t>
        </is>
      </c>
    </row>
    <row r="9" ht="15" customHeight="1" s="1354">
      <c r="A9" s="2204" t="inlineStr">
        <is>
          <t xml:space="preserve">Libellés </t>
        </is>
      </c>
      <c r="B9" s="1752" t="inlineStr">
        <is>
          <t xml:space="preserve">Devises </t>
        </is>
      </c>
      <c r="C9" s="1752" t="inlineStr">
        <is>
          <t xml:space="preserve">Montant en devises </t>
        </is>
      </c>
      <c r="D9" s="1698" t="inlineStr">
        <is>
          <t xml:space="preserve">Cours </t>
        </is>
      </c>
      <c r="E9" s="1698" t="inlineStr">
        <is>
          <t xml:space="preserve">Cours </t>
        </is>
      </c>
      <c r="F9" s="2122" t="inlineStr">
        <is>
          <t xml:space="preserve">Variation en valeur absolue </t>
        </is>
      </c>
    </row>
    <row r="10" ht="15" customHeight="1" s="1354">
      <c r="A10" s="1755" t="n"/>
      <c r="B10" s="1600" t="n"/>
      <c r="C10" s="1600" t="n"/>
      <c r="D10" s="2205" t="inlineStr">
        <is>
          <t xml:space="preserve">UML </t>
        </is>
      </c>
      <c r="E10" s="2205" t="inlineStr">
        <is>
          <t xml:space="preserve">UML </t>
        </is>
      </c>
      <c r="F10" s="1816" t="n"/>
    </row>
    <row r="11" ht="15" customHeight="1" s="1354">
      <c r="A11" s="2037" t="n"/>
      <c r="B11" s="1740" t="n"/>
      <c r="C11" s="1740" t="n"/>
      <c r="D11" s="2206" t="inlineStr">
        <is>
          <t xml:space="preserve">Année acquisition </t>
        </is>
      </c>
      <c r="E11" s="2207" t="n">
        <v>43100</v>
      </c>
      <c r="F11" s="1998" t="n"/>
    </row>
    <row r="12" ht="15" customHeight="1" s="1354">
      <c r="A12" s="1764" t="inlineStr">
        <is>
          <t xml:space="preserve">Ecarts de conversion actif : </t>
        </is>
      </c>
      <c r="B12" s="1996" t="inlineStr">
        <is>
          <t>  </t>
        </is>
      </c>
      <c r="C12" s="1996" t="n"/>
      <c r="D12" s="1996" t="n"/>
      <c r="E12" s="1996" t="n"/>
      <c r="F12" s="2177" t="n"/>
    </row>
    <row r="13" ht="15" customHeight="1" s="1354">
      <c r="A13" s="2208" t="inlineStr">
        <is>
          <t xml:space="preserve">détailler les créances et dettes concernées </t>
        </is>
      </c>
      <c r="B13" s="1605" t="n"/>
      <c r="C13" s="1605" t="n"/>
      <c r="D13" s="1605" t="n"/>
      <c r="E13" s="1605" t="n"/>
      <c r="F13" s="1603" t="n"/>
    </row>
    <row r="14" ht="15" customHeight="1" s="1354">
      <c r="A14" s="2208" t="inlineStr">
        <is>
          <t>  </t>
        </is>
      </c>
      <c r="B14" s="2209" t="inlineStr">
        <is>
          <t>  </t>
        </is>
      </c>
      <c r="C14" s="1675" t="n"/>
      <c r="D14" s="1675" t="n"/>
      <c r="E14" s="1675" t="n"/>
      <c r="F14" s="1613" t="n"/>
    </row>
    <row r="15" ht="15" customHeight="1" s="1354">
      <c r="A15" s="1770" t="inlineStr">
        <is>
          <t>  </t>
        </is>
      </c>
      <c r="B15" s="1675" t="inlineStr">
        <is>
          <t>  </t>
        </is>
      </c>
      <c r="C15" s="1675" t="n"/>
      <c r="D15" s="1675" t="n"/>
      <c r="E15" s="1675" t="n"/>
      <c r="F15" s="1613" t="n"/>
    </row>
    <row r="16" ht="24" customHeight="1" s="1354">
      <c r="A16" s="1770" t="inlineStr">
        <is>
          <t xml:space="preserve">Ecart de conversion passif : détailler les créances et dettes concernées </t>
        </is>
      </c>
      <c r="B16" s="2178" t="inlineStr">
        <is>
          <t>  </t>
        </is>
      </c>
      <c r="C16" s="2178" t="n"/>
      <c r="D16" s="2178" t="n"/>
      <c r="E16" s="2178" t="n"/>
      <c r="F16" s="2179" t="n"/>
    </row>
    <row r="17" ht="15" customHeight="1" s="1354">
      <c r="A17" s="1770" t="inlineStr">
        <is>
          <t>  </t>
        </is>
      </c>
      <c r="B17" s="1675" t="inlineStr">
        <is>
          <t>  </t>
        </is>
      </c>
      <c r="C17" s="1675" t="n"/>
      <c r="D17" s="1675" t="n"/>
      <c r="E17" s="1675" t="n"/>
      <c r="F17" s="1613" t="n"/>
    </row>
    <row r="18" ht="15" customHeight="1" s="1354">
      <c r="A18" s="1770" t="inlineStr">
        <is>
          <t>  </t>
        </is>
      </c>
      <c r="B18" s="1675" t="inlineStr">
        <is>
          <t>  </t>
        </is>
      </c>
      <c r="C18" s="1675" t="n"/>
      <c r="D18" s="1675" t="n"/>
      <c r="E18" s="1675" t="n"/>
      <c r="F18" s="1613" t="n"/>
    </row>
    <row r="19" ht="15" customHeight="1" s="1354">
      <c r="A19" s="1770" t="inlineStr">
        <is>
          <t>  </t>
        </is>
      </c>
      <c r="B19" s="1675" t="inlineStr">
        <is>
          <t>  </t>
        </is>
      </c>
      <c r="C19" s="1675" t="n"/>
      <c r="D19" s="1675" t="n"/>
      <c r="E19" s="1675" t="n"/>
      <c r="F19" s="1613" t="n"/>
    </row>
    <row r="20" ht="15" customHeight="1" s="1354">
      <c r="A20" s="2210" t="inlineStr">
        <is>
          <t>  </t>
        </is>
      </c>
      <c r="B20" s="1802" t="inlineStr">
        <is>
          <t>  </t>
        </is>
      </c>
      <c r="C20" s="1802" t="n"/>
      <c r="D20" s="1802" t="n"/>
      <c r="E20" s="1802" t="n"/>
      <c r="F20" s="2211" t="n"/>
    </row>
    <row r="21" ht="15" customHeight="1" s="1354">
      <c r="A21" s="2212" t="inlineStr">
        <is>
          <t xml:space="preserve"> Commentaire:   </t>
        </is>
      </c>
    </row>
    <row r="22" ht="15" customHeight="1" s="1354">
      <c r="A22" s="2086" t="inlineStr">
        <is>
          <t xml:space="preserve"> Faire un commentaire. </t>
        </is>
      </c>
    </row>
    <row r="23" ht="15" customHeight="1" s="1354">
      <c r="A23" s="2069" t="inlineStr">
        <is>
          <t xml:space="preserve">TRANSFERTS DE CHARGES </t>
        </is>
      </c>
    </row>
    <row r="24" ht="15" customHeight="1" s="1354">
      <c r="A24" s="2204" t="inlineStr">
        <is>
          <t xml:space="preserve">Libellés </t>
        </is>
      </c>
      <c r="B24" s="1752" t="inlineStr">
        <is>
          <t xml:space="preserve">Année N </t>
        </is>
      </c>
      <c r="C24" s="1752" t="inlineStr">
        <is>
          <t xml:space="preserve">Année N-1 </t>
        </is>
      </c>
      <c r="D24" s="2122" t="inlineStr">
        <is>
          <t xml:space="preserve">Variation en % </t>
        </is>
      </c>
    </row>
    <row r="25" ht="15" customHeight="1" s="1354">
      <c r="A25" s="1764" t="inlineStr">
        <is>
          <t xml:space="preserve">Transferts de charges d'exploitation : </t>
        </is>
      </c>
      <c r="B25" s="2816">
        <f>SUMIF(BALANCE!$A$2:$A$70,"781*",BALANCE!$G$2:$G$70)-SUMIF(BALANCE!$A$2:$A$70,"781*",BALANCE!$F$2:$F$70)</f>
        <v/>
      </c>
      <c r="C25" s="2816">
        <f>SUMIF(BALANCE_N1!$A$2:$A$70,"781*",BALANCE_N1!$G$2:$G$70)-SUMIF(BALANCE_N1!$A$2:$A$70,"781*",BALANCE_N1!$F$2:$F$70)</f>
        <v/>
      </c>
      <c r="D25" s="2177" t="inlineStr">
        <is>
          <t>  </t>
        </is>
      </c>
    </row>
    <row r="26" ht="15" customHeight="1" s="1354">
      <c r="A26" s="2208" t="inlineStr">
        <is>
          <t xml:space="preserve">détailler la nature des charges transférer </t>
        </is>
      </c>
      <c r="B26" s="1605" t="n"/>
      <c r="C26" s="1605" t="n"/>
      <c r="D26" s="1603" t="n"/>
    </row>
    <row r="27" ht="15" customHeight="1" s="1354">
      <c r="A27" s="2208" t="inlineStr">
        <is>
          <t>  </t>
        </is>
      </c>
      <c r="B27" s="2209" t="inlineStr">
        <is>
          <t>  </t>
        </is>
      </c>
      <c r="C27" s="1675" t="inlineStr">
        <is>
          <t>  </t>
        </is>
      </c>
      <c r="D27" s="1613" t="inlineStr">
        <is>
          <t>  </t>
        </is>
      </c>
    </row>
    <row r="28" ht="15" customHeight="1" s="1354">
      <c r="A28" s="1770" t="inlineStr">
        <is>
          <t>  </t>
        </is>
      </c>
      <c r="B28" s="1675" t="inlineStr">
        <is>
          <t>  </t>
        </is>
      </c>
      <c r="C28" s="1675" t="inlineStr">
        <is>
          <t>  </t>
        </is>
      </c>
      <c r="D28" s="1613" t="inlineStr">
        <is>
          <t>  </t>
        </is>
      </c>
    </row>
    <row r="29" ht="24" customHeight="1" s="1354">
      <c r="A29" s="1770" t="inlineStr">
        <is>
          <t xml:space="preserve">Transferts de charges financières : détailler la nature des charges transférer </t>
        </is>
      </c>
      <c r="B29" s="2817">
        <f>SUMIF(BALANCE!$A$2:$A$70,"787*",BALANCE!$G$2:$G$70)-SUMIF(BALANCE!$A$2:$A$70,"787*",BALANCE!$F$2:$F$70)</f>
        <v/>
      </c>
      <c r="C29" s="2817">
        <f>SUMIF(BALANCE_N1!$A$2:$A$70,"787*",BALANCE_N1!$G$2:$G$70)-SUMIF(BALANCE_N1!$A$2:$A$70,"787*",BALANCE_N1!$F$2:$F$70)</f>
        <v/>
      </c>
      <c r="D29" s="2179" t="inlineStr">
        <is>
          <t>  </t>
        </is>
      </c>
    </row>
    <row r="30" ht="15" customHeight="1" s="1354">
      <c r="A30" s="1770" t="inlineStr">
        <is>
          <t>  </t>
        </is>
      </c>
      <c r="B30" s="1675" t="inlineStr">
        <is>
          <t>  </t>
        </is>
      </c>
      <c r="C30" s="1675" t="inlineStr">
        <is>
          <t>  </t>
        </is>
      </c>
      <c r="D30" s="1613" t="inlineStr">
        <is>
          <t>  </t>
        </is>
      </c>
    </row>
    <row r="31" ht="15" customHeight="1" s="1354">
      <c r="A31" s="1770" t="inlineStr">
        <is>
          <t>  </t>
        </is>
      </c>
      <c r="B31" s="1675" t="inlineStr">
        <is>
          <t>  </t>
        </is>
      </c>
      <c r="C31" s="1675" t="inlineStr">
        <is>
          <t>  </t>
        </is>
      </c>
      <c r="D31" s="1613" t="inlineStr">
        <is>
          <t>  </t>
        </is>
      </c>
    </row>
    <row r="32" ht="15" customHeight="1" s="1354">
      <c r="A32" s="1770" t="inlineStr">
        <is>
          <t>  </t>
        </is>
      </c>
      <c r="B32" s="1675" t="inlineStr">
        <is>
          <t>  </t>
        </is>
      </c>
      <c r="C32" s="1675" t="inlineStr">
        <is>
          <t>  </t>
        </is>
      </c>
      <c r="D32" s="1613" t="inlineStr">
        <is>
          <t>  </t>
        </is>
      </c>
    </row>
    <row r="33" ht="15" customHeight="1" s="1354">
      <c r="A33" s="2210" t="inlineStr">
        <is>
          <t>  </t>
        </is>
      </c>
      <c r="B33" s="1802" t="inlineStr">
        <is>
          <t>  </t>
        </is>
      </c>
      <c r="C33" s="1802" t="inlineStr">
        <is>
          <t>  </t>
        </is>
      </c>
      <c r="D33" s="2211" t="inlineStr">
        <is>
          <t>  </t>
        </is>
      </c>
    </row>
    <row r="34" ht="12" customHeight="1" s="1354">
      <c r="A34" s="2212" t="inlineStr">
        <is>
          <t> </t>
        </is>
      </c>
    </row>
    <row r="35" ht="12" customHeight="1" s="1354">
      <c r="A35" s="2090" t="inlineStr">
        <is>
          <t xml:space="preserve">Commentaire:   </t>
        </is>
      </c>
    </row>
    <row r="36" ht="12" customHeight="1" s="1354">
      <c r="A36" s="2138" t="inlineStr">
        <is>
          <t xml:space="preserve">•      Faire un commentaire </t>
        </is>
      </c>
    </row>
    <row r="37" ht="12" customHeight="1" s="1354">
      <c r="A37" s="2213" t="n"/>
    </row>
    <row r="38" ht="12" customHeight="1" s="1354">
      <c r="A38" s="2213" t="n"/>
    </row>
    <row r="39" ht="12" customHeight="1" s="1354">
      <c r="A39" s="2167" t="inlineStr">
        <is>
          <t> </t>
        </is>
      </c>
    </row>
  </sheetData>
  <mergeCells count="15">
    <mergeCell ref="F9:F11"/>
    <mergeCell ref="A7:F7"/>
    <mergeCell ref="B12:B13"/>
    <mergeCell ref="E12:E13"/>
    <mergeCell ref="C12:C13"/>
    <mergeCell ref="A23:F23"/>
    <mergeCell ref="F12:F13"/>
    <mergeCell ref="C25:C26"/>
    <mergeCell ref="A8:F8"/>
    <mergeCell ref="D25:D26"/>
    <mergeCell ref="B25:B26"/>
    <mergeCell ref="B9:B11"/>
    <mergeCell ref="D12:D13"/>
    <mergeCell ref="C9:C11"/>
    <mergeCell ref="A9:A1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H34"/>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22" activeCellId="0" sqref="F22"/>
    </sheetView>
  </sheetViews>
  <sheetFormatPr baseColWidth="8" defaultColWidth="10.8125" defaultRowHeight="12" zeroHeight="0" outlineLevelRow="0"/>
  <cols>
    <col width="3.72" customWidth="1" style="1583" min="1" max="1"/>
    <col width="30.81" customWidth="1" style="1583" min="2" max="2"/>
    <col width="10.81" customWidth="1" style="1583" min="3" max="3"/>
    <col width="14.72" customWidth="1" style="1583" min="4" max="4"/>
    <col width="10.81" customWidth="1" style="1583" min="5" max="5"/>
    <col width="14.99" customWidth="1" style="1583" min="6" max="6"/>
    <col width="11.44" customWidth="1" style="1583" min="7" max="7"/>
    <col width="10.81" customWidth="1" style="1583" min="8" max="257"/>
  </cols>
  <sheetData>
    <row r="1"/>
    <row r="2"/>
    <row r="3"/>
    <row r="4"/>
    <row r="5" ht="13" customFormat="1" customHeight="1" s="1577">
      <c r="B5" s="1748" t="inlineStr">
        <is>
          <t>Désignation entité : ENTREPRISE TEST SARL</t>
        </is>
      </c>
      <c r="E5" s="1591" t="inlineStr">
        <is>
          <t>Exercice clos le : 31/12/2025</t>
        </is>
      </c>
      <c r="F5" s="1591" t="n"/>
      <c r="G5" s="1578" t="n"/>
    </row>
    <row r="6" ht="13" customFormat="1" customHeight="1" s="1577">
      <c r="B6" s="1749" t="inlineStr">
        <is>
          <t>Numéro d’identification : CD/KNG/RCCM/23-B-01234</t>
        </is>
      </c>
      <c r="E6" s="1591" t="inlineStr">
        <is>
          <t>Durée (en mois) : 12</t>
        </is>
      </c>
      <c r="F6" s="1591" t="n"/>
      <c r="G6" s="1582" t="n"/>
    </row>
    <row r="7" ht="9.75" customHeight="1" s="1354">
      <c r="B7" s="1958" t="n"/>
    </row>
    <row r="8" ht="14" customHeight="1" s="1354">
      <c r="B8" s="2214" t="inlineStr">
        <is>
          <t xml:space="preserve">NOTE 13 </t>
        </is>
      </c>
    </row>
    <row r="9" ht="15.75" customHeight="1" s="1354">
      <c r="B9" s="2215" t="inlineStr">
        <is>
          <t>CAPITAL</t>
        </is>
      </c>
    </row>
    <row r="10" ht="12" customHeight="1" s="1354">
      <c r="B10" s="2216" t="n"/>
      <c r="D10" s="2217" t="inlineStr">
        <is>
          <t>Valeur nominale des actions ou parts :</t>
        </is>
      </c>
      <c r="F10" s="1816" t="n"/>
      <c r="G10" s="2218" t="n"/>
    </row>
    <row r="11" ht="12.5" customHeight="1" s="1354">
      <c r="F11" s="1816" t="n"/>
      <c r="G11" s="1600" t="n"/>
    </row>
    <row r="12" ht="35.25" customHeight="1" s="1354">
      <c r="B12" s="2219" t="inlineStr">
        <is>
          <t>Nom et Prénoms</t>
        </is>
      </c>
      <c r="C12" s="2220" t="inlineStr">
        <is>
          <t>Nationalité</t>
        </is>
      </c>
      <c r="D12" s="2220" t="inlineStr">
        <is>
          <t>Nature des actions ou parts (ordinaires ou préférences)</t>
        </is>
      </c>
      <c r="E12" s="2220" t="inlineStr">
        <is>
          <t>Nombre</t>
        </is>
      </c>
      <c r="F12" s="2220" t="inlineStr">
        <is>
          <t>Montant total</t>
        </is>
      </c>
      <c r="G12" s="2221" t="inlineStr">
        <is>
          <t xml:space="preserve">Cessions ou rembourse-ments </t>
        </is>
      </c>
    </row>
    <row r="13" ht="16.5" customHeight="1" s="1354">
      <c r="B13" s="1755" t="n"/>
      <c r="C13" s="2124" t="n"/>
      <c r="D13" s="2124" t="n"/>
      <c r="E13" s="2124" t="n"/>
      <c r="F13" s="2124" t="n"/>
      <c r="G13" s="2222" t="inlineStr">
        <is>
          <t xml:space="preserve">en cours </t>
        </is>
      </c>
    </row>
    <row r="14" ht="23.25" customHeight="1" s="1354">
      <c r="B14" s="2037" t="n"/>
      <c r="C14" s="2008" t="n"/>
      <c r="D14" s="2008" t="n"/>
      <c r="E14" s="2008" t="n"/>
      <c r="F14" s="2008" t="n"/>
      <c r="G14" s="2223" t="inlineStr">
        <is>
          <t>d’exercice</t>
        </is>
      </c>
    </row>
    <row r="15" ht="12" customHeight="1" s="1354">
      <c r="B15" s="2096" t="n"/>
      <c r="C15" s="2224" t="n"/>
      <c r="D15" s="2224" t="n"/>
      <c r="E15" s="2225" t="n"/>
      <c r="F15" s="1768">
        <f>PASSIF!D10</f>
        <v/>
      </c>
      <c r="G15" s="1769" t="n">
        <v>0</v>
      </c>
    </row>
    <row r="16" ht="12" customHeight="1" s="1354">
      <c r="B16" s="2099" t="n"/>
      <c r="C16" s="2226" t="n"/>
      <c r="D16" s="2226" t="n"/>
      <c r="E16" s="2226" t="n"/>
      <c r="F16" s="1772" t="n"/>
      <c r="G16" s="1773" t="n"/>
    </row>
    <row r="17" ht="12" customHeight="1" s="1354">
      <c r="B17" s="2099" t="n"/>
      <c r="C17" s="2226" t="n"/>
      <c r="D17" s="2226" t="n"/>
      <c r="E17" s="2226" t="n"/>
      <c r="F17" s="1772" t="n"/>
      <c r="G17" s="1773" t="n"/>
    </row>
    <row r="18" ht="12" customHeight="1" s="1354">
      <c r="B18" s="2099" t="n"/>
      <c r="C18" s="2226" t="n"/>
      <c r="D18" s="2226" t="n"/>
      <c r="E18" s="2226" t="n"/>
      <c r="F18" s="1772" t="n"/>
      <c r="G18" s="1773" t="n"/>
    </row>
    <row r="19" ht="12" customHeight="1" s="1354">
      <c r="B19" s="2099" t="n"/>
      <c r="C19" s="2226" t="n"/>
      <c r="D19" s="2226" t="n"/>
      <c r="E19" s="2226" t="n"/>
      <c r="F19" s="1772" t="n"/>
      <c r="G19" s="1773" t="n"/>
    </row>
    <row r="20" ht="12" customHeight="1" s="1354">
      <c r="B20" s="2099" t="n"/>
      <c r="C20" s="2226" t="n"/>
      <c r="D20" s="2226" t="n"/>
      <c r="E20" s="2226" t="n"/>
      <c r="F20" s="1772" t="n"/>
      <c r="G20" s="1773" t="n"/>
    </row>
    <row r="21" ht="12" customHeight="1" s="1354">
      <c r="B21" s="2099" t="n"/>
      <c r="C21" s="2226" t="n"/>
      <c r="D21" s="2226" t="n"/>
      <c r="E21" s="2226" t="n"/>
      <c r="F21" s="1772" t="n"/>
      <c r="G21" s="1773" t="n"/>
    </row>
    <row r="22" ht="12" customHeight="1" s="1354">
      <c r="B22" s="2099" t="n"/>
      <c r="C22" s="2226" t="n"/>
      <c r="D22" s="2226" t="n"/>
      <c r="E22" s="2226" t="n"/>
      <c r="F22" s="1772" t="n"/>
      <c r="G22" s="1773" t="n"/>
    </row>
    <row r="23" ht="12.5" customHeight="1" s="1354">
      <c r="B23" s="2227" t="inlineStr">
        <is>
          <t>Apporteurs, capital non appelé</t>
        </is>
      </c>
      <c r="C23" s="2228" t="n"/>
      <c r="D23" s="2228" t="n"/>
      <c r="E23" s="2228" t="n"/>
      <c r="F23" s="2228" t="n"/>
      <c r="G23" s="2229" t="n"/>
    </row>
    <row r="24" ht="12.5" customHeight="1" s="1354">
      <c r="B24" s="2230" t="inlineStr">
        <is>
          <t>TOTAL</t>
        </is>
      </c>
      <c r="C24" s="1753" t="n"/>
      <c r="D24" s="2231" t="n"/>
      <c r="E24" s="2232" t="n"/>
      <c r="F24" s="2233">
        <f>SUM(F15:F22)</f>
        <v/>
      </c>
      <c r="G24" s="2233">
        <f>SUM(G15:G22)</f>
        <v/>
      </c>
    </row>
    <row r="25" ht="12" customHeight="1" s="1354">
      <c r="B25" s="1958" t="n"/>
    </row>
    <row r="26" ht="12" customHeight="1" s="1354">
      <c r="B26" s="1642" t="inlineStr">
        <is>
          <t>Commentaire :</t>
        </is>
      </c>
    </row>
    <row r="27" ht="12" customHeight="1" s="1354">
      <c r="B27" s="2234" t="n"/>
    </row>
    <row r="28" ht="12" customHeight="1" s="1354">
      <c r="B28" s="2235" t="inlineStr">
        <is>
          <t>·         Indiquer si possible le montant du capital à la constitution.</t>
        </is>
      </c>
      <c r="C28" s="2236" t="n"/>
      <c r="D28" s="2236" t="n"/>
      <c r="E28" s="2236" t="n"/>
      <c r="F28" s="2236" t="n"/>
      <c r="G28" s="2236" t="n"/>
      <c r="H28" s="2236" t="n"/>
    </row>
    <row r="29" ht="12" customHeight="1" s="1354">
      <c r="B29" s="2235" t="inlineStr">
        <is>
          <t>·         Indiquer si possible les dates des AGE et le montant du capital augmenté en cas d’augmentation de capital.</t>
        </is>
      </c>
      <c r="C29" s="2236" t="n"/>
      <c r="D29" s="2236" t="n"/>
      <c r="E29" s="2236" t="n"/>
      <c r="F29" s="2236" t="n"/>
      <c r="G29" s="2236" t="n"/>
      <c r="H29" s="2236" t="n"/>
    </row>
    <row r="30" ht="12" customHeight="1" s="1354">
      <c r="B30" s="2235" t="inlineStr">
        <is>
          <t>·         Indiquer si possible les dates des AGE et le montant du capital diminué en cas de réduction de capital.</t>
        </is>
      </c>
      <c r="C30" s="2236" t="n"/>
      <c r="D30" s="2236" t="n"/>
      <c r="E30" s="2236" t="n"/>
      <c r="F30" s="2236" t="n"/>
      <c r="G30" s="2236" t="n"/>
      <c r="H30" s="2236" t="n"/>
    </row>
    <row r="31" ht="12" customHeight="1" s="1354">
      <c r="B31" s="2235" t="inlineStr">
        <is>
          <t>·         Indiquer les avantages accordés aux actions de préférence.</t>
        </is>
      </c>
      <c r="C31" s="2236" t="n"/>
      <c r="D31" s="2236" t="n"/>
      <c r="E31" s="2236" t="n"/>
      <c r="F31" s="2236" t="n"/>
      <c r="G31" s="2236" t="n"/>
      <c r="H31" s="2236" t="n"/>
    </row>
    <row r="32" ht="12" customHeight="1" s="1354">
      <c r="B32" s="2235" t="inlineStr">
        <is>
          <t>·         Apporteurs, capital non appelé : indiquer le délai restant pour appeler le capital.</t>
        </is>
      </c>
      <c r="C32" s="2236" t="n"/>
      <c r="D32" s="2236" t="n"/>
      <c r="E32" s="2236" t="n"/>
      <c r="F32" s="2236" t="n"/>
      <c r="G32" s="2236" t="n"/>
      <c r="H32" s="2236" t="n"/>
    </row>
    <row r="33"/>
    <row r="34" ht="12" customHeight="1" s="1354">
      <c r="B34" s="1958" t="n"/>
    </row>
  </sheetData>
  <mergeCells count="11">
    <mergeCell ref="F12:F14"/>
    <mergeCell ref="C12:C14"/>
    <mergeCell ref="D12:D14"/>
    <mergeCell ref="B12:B14"/>
    <mergeCell ref="E12:E14"/>
    <mergeCell ref="B10:C10"/>
    <mergeCell ref="B9:G9"/>
    <mergeCell ref="B8:G8"/>
    <mergeCell ref="D10:F11"/>
    <mergeCell ref="B24:D24"/>
    <mergeCell ref="G10:G11"/>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G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F26" activeCellId="0" sqref="F26"/>
    </sheetView>
  </sheetViews>
  <sheetFormatPr baseColWidth="8" defaultColWidth="10.8125" defaultRowHeight="11.5" zeroHeight="0" outlineLevelRow="0"/>
  <cols>
    <col width="4.17" customWidth="1" style="1577" min="1" max="1"/>
    <col width="58.44" customWidth="1" style="1577" min="2" max="2"/>
    <col width="14.44" customWidth="1" style="1577" min="3" max="3"/>
    <col width="13.26" customWidth="1" style="1577" min="4" max="4"/>
    <col width="14.26" customWidth="1" style="1577" min="5" max="5"/>
    <col width="10.81" customWidth="1" style="1577" min="6" max="257"/>
  </cols>
  <sheetData>
    <row r="1"/>
    <row r="2"/>
    <row r="3"/>
    <row r="4" ht="13" customHeight="1" s="1354">
      <c r="B4" s="1748" t="inlineStr">
        <is>
          <t>Désignation entité : ENTREPRISE TEST SARL</t>
        </is>
      </c>
      <c r="C4" s="1591" t="inlineStr">
        <is>
          <t>Exercice clos le : 31/12/2025</t>
        </is>
      </c>
      <c r="D4" s="1591" t="n"/>
      <c r="E4" s="1578" t="n"/>
    </row>
    <row r="5" ht="13" customHeight="1" s="1354">
      <c r="B5" s="1749" t="inlineStr">
        <is>
          <t>Numéro d’identification : CD/KNG/RCCM/23-B-01234</t>
        </is>
      </c>
      <c r="C5" s="1591" t="inlineStr">
        <is>
          <t>Durée (en mois) : 12</t>
        </is>
      </c>
      <c r="D5" s="1591" t="n"/>
      <c r="E5" s="1582" t="n"/>
    </row>
    <row r="6"/>
    <row r="7" ht="14" customHeight="1" s="1354">
      <c r="B7" s="2237" t="inlineStr">
        <is>
          <t xml:space="preserve">  NOTE 14 </t>
        </is>
      </c>
      <c r="F7" s="2237" t="n"/>
      <c r="G7" s="2237" t="n"/>
    </row>
    <row r="8" ht="14.5" customHeight="1" s="1354">
      <c r="B8" s="1812" t="inlineStr">
        <is>
          <t>PRIMES ET RESERVES</t>
        </is>
      </c>
      <c r="C8" s="1594" t="n"/>
      <c r="D8" s="1594" t="n"/>
      <c r="E8" s="1594" t="n"/>
      <c r="F8" s="2067" t="n"/>
      <c r="G8" s="2067" t="n"/>
    </row>
    <row r="9" ht="23.5" customHeight="1" s="1354">
      <c r="B9" s="2191" t="inlineStr">
        <is>
          <t xml:space="preserve"> Libellés </t>
        </is>
      </c>
      <c r="C9" s="2004" t="inlineStr">
        <is>
          <t xml:space="preserve">Année N </t>
        </is>
      </c>
      <c r="D9" s="2004" t="inlineStr">
        <is>
          <t xml:space="preserve">Année    N-1 </t>
        </is>
      </c>
      <c r="E9" s="2006" t="inlineStr">
        <is>
          <t xml:space="preserve">Variation en valeur absolue </t>
        </is>
      </c>
    </row>
    <row r="10" ht="15" customHeight="1" s="1354">
      <c r="B10" s="2096" t="inlineStr">
        <is>
          <t xml:space="preserve">Prime d'apport  </t>
        </is>
      </c>
      <c r="C10" s="2823">
        <f>SUMIF(BALANCE!$A$2:$A$70,"1052*",BALANCE!$G$2:$G$70)-SUMIF(BALANCE!$A$2:$A$70,"1052*",BALANCE!$F$2:$F$70)</f>
        <v/>
      </c>
      <c r="D10" s="2823">
        <f>SUMIF(BALANCE_N1!$A$2:$A$70,"1052*",BALANCE_N1!$G$2:$G$70)-SUMIF(BALANCE_N1!$A$2:$A$70,"1052*",BALANCE_N1!$F$2:$F$70)</f>
        <v/>
      </c>
      <c r="E10" s="2239" t="n"/>
    </row>
    <row r="11" ht="15" customHeight="1" s="1354">
      <c r="B11" s="2099" t="inlineStr">
        <is>
          <t xml:space="preserve">Primes d'émission </t>
        </is>
      </c>
      <c r="C11" s="2802">
        <f>SUMIF(BALANCE!$A$2:$A$70,"1051*",BALANCE!$G$2:$G$70)-SUMIF(BALANCE!$A$2:$A$70,"1051*",BALANCE!$F$2:$F$70)</f>
        <v/>
      </c>
      <c r="D11" s="2802">
        <f>SUMIF(BALANCE_N1!$A$2:$A$70,"1051*",BALANCE_N1!$G$2:$G$70)-SUMIF(BALANCE_N1!$A$2:$A$70,"1051*",BALANCE_N1!$F$2:$F$70)</f>
        <v/>
      </c>
      <c r="E11" s="2110" t="n"/>
    </row>
    <row r="12" ht="15" customHeight="1" s="1354">
      <c r="B12" s="2099" t="inlineStr">
        <is>
          <t xml:space="preserve">Prime de fusion </t>
        </is>
      </c>
      <c r="C12" s="2802">
        <f>SUMIF(BALANCE!$A$2:$A$70,"1053*",BALANCE!$G$2:$G$70)-SUMIF(BALANCE!$A$2:$A$70,"1053*",BALANCE!$F$2:$F$70)</f>
        <v/>
      </c>
      <c r="D12" s="2802">
        <f>SUMIF(BALANCE_N1!$A$2:$A$70,"1053*",BALANCE_N1!$G$2:$G$70)-SUMIF(BALANCE_N1!$A$2:$A$70,"1053*",BALANCE_N1!$F$2:$F$70)</f>
        <v/>
      </c>
      <c r="E12" s="2110" t="n"/>
    </row>
    <row r="13" ht="15" customHeight="1" s="1354">
      <c r="B13" s="2099" t="inlineStr">
        <is>
          <t xml:space="preserve">Prime de conversion </t>
        </is>
      </c>
      <c r="C13" s="2802">
        <f>SUMIF(BALANCE!$A$2:$A$70,"1054*",BALANCE!$G$2:$G$70)-SUMIF(BALANCE!$A$2:$A$70,"1054*",BALANCE!$F$2:$F$70)</f>
        <v/>
      </c>
      <c r="D13" s="2802">
        <f>SUMIF(BALANCE_N1!$A$2:$A$70,"1054*",BALANCE_N1!$G$2:$G$70)-SUMIF(BALANCE_N1!$A$2:$A$70,"1054*",BALANCE_N1!$F$2:$F$70)</f>
        <v/>
      </c>
      <c r="E13" s="2110" t="n"/>
    </row>
    <row r="14" ht="15" customHeight="1" s="1354">
      <c r="B14" s="2099" t="inlineStr">
        <is>
          <t xml:space="preserve">Autres primes </t>
        </is>
      </c>
      <c r="C14" s="2802">
        <f>SUMIF(BALANCE!$A$2:$A$70,"1058*",BALANCE!$G$2:$G$70)-SUMIF(BALANCE!$A$2:$A$70,"1058*",BALANCE!$F$2:$F$70)</f>
        <v/>
      </c>
      <c r="D14" s="2802">
        <f>SUMIF(BALANCE_N1!$A$2:$A$70,"1058*",BALANCE_N1!$G$2:$G$70)-SUMIF(BALANCE_N1!$A$2:$A$70,"1058*",BALANCE_N1!$F$2:$F$70)</f>
        <v/>
      </c>
      <c r="E14" s="2110" t="n"/>
    </row>
    <row r="15" ht="15" customHeight="1" s="1354">
      <c r="B15" s="2240" t="inlineStr">
        <is>
          <t xml:space="preserve">TOTAL PRIMES </t>
        </is>
      </c>
      <c r="C15" s="2824">
        <f>SUM(C10:C14)</f>
        <v/>
      </c>
      <c r="D15" s="2824">
        <f>SUM(D10:D14)</f>
        <v/>
      </c>
      <c r="E15" s="2242" t="n"/>
    </row>
    <row r="16" ht="15" customHeight="1" s="1354">
      <c r="B16" s="2099" t="inlineStr">
        <is>
          <t> </t>
        </is>
      </c>
      <c r="C16" s="2243" t="n"/>
      <c r="D16" s="2243" t="n"/>
      <c r="E16" s="2244" t="n"/>
    </row>
    <row r="17" ht="15" customHeight="1" s="1354">
      <c r="B17" s="2099" t="inlineStr">
        <is>
          <t xml:space="preserve">Réserves légales </t>
        </is>
      </c>
      <c r="C17" s="2802">
        <f>SUMIF(BALANCE!$A$2:$A$70,"111*",BALANCE!$G$2:$G$70)-SUMIF(BALANCE!$A$2:$A$70,"111*",BALANCE!$F$2:$F$70)</f>
        <v/>
      </c>
      <c r="D17" s="2802">
        <f>SUMIF(BALANCE_N1!$A$2:$A$70,"111*",BALANCE_N1!$G$2:$G$70)-SUMIF(BALANCE_N1!$A$2:$A$70,"111*",BALANCE_N1!$F$2:$F$70)</f>
        <v/>
      </c>
      <c r="E17" s="2110" t="n"/>
    </row>
    <row r="18" ht="15" customHeight="1" s="1354">
      <c r="B18" s="2099" t="inlineStr">
        <is>
          <t xml:space="preserve">Réserves statutaires </t>
        </is>
      </c>
      <c r="C18" s="2802">
        <f>SUMIF(BALANCE!$A$2:$A$70,"112*",BALANCE!$G$2:$G$70)-SUMIF(BALANCE!$A$2:$A$70,"112*",BALANCE!$F$2:$F$70)</f>
        <v/>
      </c>
      <c r="D18" s="2802">
        <f>SUMIF(BALANCE_N1!$A$2:$A$70,"112*",BALANCE_N1!$G$2:$G$70)-SUMIF(BALANCE_N1!$A$2:$A$70,"112*",BALANCE_N1!$F$2:$F$70)</f>
        <v/>
      </c>
      <c r="E18" s="2110" t="n"/>
    </row>
    <row r="19" ht="15" customHeight="1" s="1354">
      <c r="B19" s="2099" t="inlineStr">
        <is>
          <t xml:space="preserve">Réserves de plus-values nettes à long terme </t>
        </is>
      </c>
      <c r="C19" s="2802">
        <f>SUMIF(BALANCE!$A$2:$A$70,"1131*",BALANCE!$G$2:$G$70)-SUMIF(BALANCE!$A$2:$A$70,"1131*",BALANCE!$F$2:$F$70)</f>
        <v/>
      </c>
      <c r="D19" s="2802">
        <f>SUMIF(BALANCE_N1!$A$2:$A$70,"1131*",BALANCE_N1!$G$2:$G$70)-SUMIF(BALANCE_N1!$A$2:$A$70,"1131*",BALANCE_N1!$F$2:$F$70)</f>
        <v/>
      </c>
      <c r="E19" s="2110" t="n"/>
    </row>
    <row r="20" ht="28.5" customHeight="1" s="1354">
      <c r="B20" s="2099" t="inlineStr">
        <is>
          <t xml:space="preserve">Réserves d’attribution gratuite d’actions au personnel salarié et aux dirigeants </t>
        </is>
      </c>
      <c r="C20" s="2802">
        <f>SUMIF(BALANCE!$A$2:$A$70,"1132*",BALANCE!$G$2:$G$70)-SUMIF(BALANCE!$A$2:$A$70,"1132*",BALANCE!$F$2:$F$70)</f>
        <v/>
      </c>
      <c r="D20" s="2802">
        <f>SUMIF(BALANCE_N1!$A$2:$A$70,"1132*",BALANCE_N1!$G$2:$G$70)-SUMIF(BALANCE_N1!$A$2:$A$70,"1132*",BALANCE_N1!$F$2:$F$70)</f>
        <v/>
      </c>
      <c r="E20" s="2110" t="n"/>
    </row>
    <row r="21" ht="15" customHeight="1" s="1354">
      <c r="B21" s="2099" t="inlineStr">
        <is>
          <t xml:space="preserve">Autres réserves réglementées </t>
        </is>
      </c>
      <c r="C21" s="2802">
        <f>SUMIF(BALANCE!$A$2:$A$70,"1138*",BALANCE!$G$2:$G$70)-SUMIF(BALANCE!$A$2:$A$70,"1138*",BALANCE!$F$2:$F$70)+SUMIF(BALANCE!$A$2:$A$70,"1134*",BALANCE!$G$2:$G$70)-SUMIF(BALANCE!$A$2:$A$70,"1134*",BALANCE!$F$2:$F$70)+SUMIF(BALANCE!$A$2:$A$70,"1133*",BALANCE!$G$2:$G$70)-SUMIF(BALANCE!$A$2:$A$70,"1133*",BALANCE!$F$2:$F$70)</f>
        <v/>
      </c>
      <c r="D21" s="2802">
        <f>SUMIF(BALANCE_N1!$A$2:$A$70,"1138*",BALANCE_N1!$G$2:$G$70)-SUMIF(BALANCE_N1!$A$2:$A$70,"1138*",BALANCE_N1!$F$2:$F$70)+SUMIF(BALANCE_N1!$A$2:$A$70,"1134*",BALANCE_N1!$G$2:$G$70)-SUMIF(BALANCE_N1!$A$2:$A$70,"1134*",BALANCE_N1!$F$2:$F$70)+SUMIF(BALANCE_N1!$A$2:$A$70,"1133*",BALANCE_N1!$G$2:$G$70)-SUMIF(BALANCE_N1!$A$2:$A$70,"1133*",BALANCE_N1!$F$2:$F$70)</f>
        <v/>
      </c>
      <c r="E21" s="2110" t="n"/>
    </row>
    <row r="22" ht="15" customHeight="1" s="1354">
      <c r="B22" s="2240" t="inlineStr">
        <is>
          <t xml:space="preserve">TOTAL RESERVES INDISPONIBLES </t>
        </is>
      </c>
      <c r="C22" s="2825">
        <f>SUM(C17:C21)</f>
        <v/>
      </c>
      <c r="D22" s="2825">
        <f>SUM(D17:D21)</f>
        <v/>
      </c>
      <c r="E22" s="2246" t="n"/>
    </row>
    <row r="23" ht="15" customHeight="1" s="1354">
      <c r="B23" s="2099" t="inlineStr">
        <is>
          <t> </t>
        </is>
      </c>
      <c r="C23" s="2243" t="n"/>
      <c r="D23" s="2243" t="n"/>
      <c r="E23" s="2244" t="n"/>
    </row>
    <row r="24" ht="15" customHeight="1" s="1354">
      <c r="B24" s="2247" t="inlineStr">
        <is>
          <t xml:space="preserve">Réserves libres </t>
        </is>
      </c>
      <c r="C24" s="2802">
        <f>SUMIF(BALANCE!$A$2:$A$70,"118*",BALANCE!$G$2:$G$70)-SUMIF(BALANCE!$A$2:$A$70,"118*",BALANCE!$F$2:$F$70)</f>
        <v/>
      </c>
      <c r="D24" s="2802">
        <f>SUMIF(BALANCE_N1!$A$2:$A$70,"118*",BALANCE_N1!$G$2:$G$70)-SUMIF(BALANCE_N1!$A$2:$A$70,"118*",BALANCE_N1!$F$2:$F$70)</f>
        <v/>
      </c>
      <c r="E24" s="2110" t="n"/>
    </row>
    <row r="25" ht="15" customHeight="1" s="1354">
      <c r="B25" s="2099" t="inlineStr">
        <is>
          <t> </t>
        </is>
      </c>
      <c r="C25" s="2243" t="n"/>
      <c r="D25" s="2243" t="n"/>
      <c r="E25" s="2244" t="n"/>
    </row>
    <row r="26" ht="15" customHeight="1" s="1354">
      <c r="B26" s="2248" t="inlineStr">
        <is>
          <t xml:space="preserve">Report à nouveau </t>
        </is>
      </c>
      <c r="C26" s="2249">
        <f>PASSIF!D16</f>
        <v/>
      </c>
      <c r="D26" s="2249">
        <f>PASSIF!E16</f>
        <v/>
      </c>
      <c r="E26" s="2250">
        <f>(C26-D26)/D26</f>
        <v/>
      </c>
    </row>
    <row r="27" ht="11.5" customHeight="1" s="1354">
      <c r="B27" s="2090" t="inlineStr">
        <is>
          <t xml:space="preserve">Commentaires:  </t>
        </is>
      </c>
    </row>
    <row r="28" ht="12" customHeight="1" s="1354">
      <c r="B28" s="2138" t="inlineStr">
        <is>
          <t xml:space="preserve">•      Indiquer les dates de l'AGE qui a décidé des primes d'apport, d'émission de fusion. </t>
        </is>
      </c>
    </row>
    <row r="29" ht="12" customHeight="1" s="1354">
      <c r="B29" s="2138" t="inlineStr">
        <is>
          <t xml:space="preserve">•      Indiquer le détail des réserves libres. </t>
        </is>
      </c>
    </row>
    <row r="30" ht="12" customHeight="1" s="1354">
      <c r="B30" s="2138" t="inlineStr">
        <is>
          <t xml:space="preserve">•      Indiquer le montant restant à doter et le taux de dotation de la réserve légale. </t>
        </is>
      </c>
    </row>
    <row r="31" ht="12" customHeight="1" s="1354">
      <c r="B31" s="2138" t="inlineStr">
        <is>
          <t xml:space="preserve">•      Indiquer la date de l'AGO qui justifie la variation des réserves et du report à nouveau. </t>
        </is>
      </c>
    </row>
    <row r="32" ht="11.5" customHeight="1" s="1354">
      <c r="B32" s="2212" t="inlineStr">
        <is>
          <t> </t>
        </is>
      </c>
    </row>
    <row r="33" ht="11.5" customHeight="1" s="1354">
      <c r="B33" s="2212" t="inlineStr">
        <is>
          <t> </t>
        </is>
      </c>
    </row>
    <row r="34" ht="11.5" customHeight="1" s="1354">
      <c r="B34" s="2212" t="n"/>
    </row>
  </sheetData>
  <mergeCells count="2">
    <mergeCell ref="B7:E7"/>
    <mergeCell ref="B8:E8"/>
  </mergeCells>
  <printOptions horizontalCentered="0" verticalCentered="0" headings="0" gridLines="0" gridLinesSet="1"/>
  <pageMargins left="0.118055555555556" right="0.118055555555556" top="0.157638888888889" bottom="0.157638888888889" header="0.511811023622047" footer="0.511811023622047"/>
  <pageSetup orientation="portrait" paperSize="9" scale="9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H3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K46" activeCellId="0" sqref="K46"/>
    </sheetView>
  </sheetViews>
  <sheetFormatPr baseColWidth="8" defaultColWidth="10.90234375" defaultRowHeight="14.5" zeroHeight="0" outlineLevelRow="0"/>
  <cols>
    <col width="64.26000000000001" customWidth="1" style="1572" min="1" max="1"/>
  </cols>
  <sheetData>
    <row r="1" ht="15" customHeight="1" s="1354">
      <c r="A1" s="2251" t="n"/>
    </row>
    <row r="2" ht="15" customHeight="1" s="1354">
      <c r="A2" s="2251" t="n"/>
    </row>
    <row r="3" ht="9.75" customHeight="1" s="1354">
      <c r="A3" s="2251" t="inlineStr">
        <is>
          <t> </t>
        </is>
      </c>
    </row>
    <row r="4" ht="13" customFormat="1" customHeight="1" s="1577">
      <c r="A4" s="1748" t="inlineStr">
        <is>
          <t>Désignation entité : ENTREPRISE TEST SARL</t>
        </is>
      </c>
      <c r="B4" s="1583" t="n"/>
      <c r="C4" s="1583" t="n"/>
      <c r="D4" s="1583" t="n"/>
      <c r="E4" s="1591" t="inlineStr">
        <is>
          <t>Exercice clos le : 31/12/2025</t>
        </is>
      </c>
      <c r="F4" s="1591" t="n"/>
      <c r="G4" s="1578" t="n"/>
    </row>
    <row r="5" ht="13" customFormat="1" customHeight="1" s="1577">
      <c r="A5" s="1749" t="inlineStr">
        <is>
          <t>Numéro d’identification : CD/KNG/RCCM/23-B-01234</t>
        </is>
      </c>
      <c r="B5" s="1583" t="n"/>
      <c r="C5" s="1583" t="n"/>
      <c r="D5" s="1583" t="n"/>
      <c r="E5" s="1591" t="inlineStr">
        <is>
          <t>Durée (en mois) : 12</t>
        </is>
      </c>
      <c r="F5" s="1591" t="n"/>
      <c r="G5" s="1582" t="n"/>
    </row>
    <row r="6" ht="4.5" customFormat="1" customHeight="1" s="1577">
      <c r="A6" s="2064" t="n"/>
      <c r="D6" s="2065" t="n"/>
    </row>
    <row r="7" ht="14.5" customHeight="1" s="1354">
      <c r="A7" s="2252" t="inlineStr">
        <is>
          <t xml:space="preserve">           NOTE 15 A </t>
        </is>
      </c>
    </row>
    <row r="8" ht="16" customHeight="1" s="1354">
      <c r="A8" s="2253" t="inlineStr">
        <is>
          <t>TOTAL SUBVENTIONS ET PROVISIONS REGLEMENTEES</t>
        </is>
      </c>
      <c r="B8" s="1594" t="n"/>
      <c r="C8" s="1594" t="n"/>
      <c r="D8" s="1594" t="n"/>
      <c r="E8" s="1594" t="n"/>
      <c r="F8" s="1594" t="n"/>
      <c r="G8" s="1594" t="n"/>
      <c r="H8" s="1594" t="n"/>
    </row>
    <row r="9" ht="39.5" customHeight="1" s="1354">
      <c r="A9" s="2254" t="inlineStr">
        <is>
          <t xml:space="preserve">Libellés </t>
        </is>
      </c>
      <c r="B9" s="2255" t="inlineStr">
        <is>
          <t xml:space="preserve">NOTE </t>
        </is>
      </c>
      <c r="C9" s="2255" t="inlineStr">
        <is>
          <t xml:space="preserve">Année N </t>
        </is>
      </c>
      <c r="D9" s="2255" t="inlineStr">
        <is>
          <t xml:space="preserve">Année N-1 </t>
        </is>
      </c>
      <c r="E9" s="2255" t="inlineStr">
        <is>
          <t xml:space="preserve">Variation en valeur absolue </t>
        </is>
      </c>
      <c r="F9" s="2255" t="inlineStr">
        <is>
          <t xml:space="preserve">Variation en % </t>
        </is>
      </c>
      <c r="G9" s="2255" t="inlineStr">
        <is>
          <t xml:space="preserve">Régime fiscal </t>
        </is>
      </c>
      <c r="H9" s="2256" t="inlineStr">
        <is>
          <t xml:space="preserve">Echéances </t>
        </is>
      </c>
    </row>
    <row r="10" ht="15" customHeight="1" s="1354">
      <c r="A10" s="2257" t="inlineStr">
        <is>
          <t xml:space="preserve">État </t>
        </is>
      </c>
      <c r="B10" s="2258" t="inlineStr">
        <is>
          <t>  </t>
        </is>
      </c>
      <c r="C10" s="2826">
        <f>SUMIF(BALANCE!$A$2:$A$70,"1411*",BALANCE!$G$2:$G$70)-SUMIF(BALANCE!$A$2:$A$70,"1411*",BALANCE!$F$2:$F$70)</f>
        <v/>
      </c>
      <c r="D10" s="2826">
        <f>SUMIF(BALANCE_N1!$A$2:$A$70,"1411*",BALANCE_N1!$G$2:$G$70)-SUMIF(BALANCE_N1!$A$2:$A$70,"1411*",BALANCE_N1!$F$2:$F$70)</f>
        <v/>
      </c>
      <c r="E10" s="2259" t="n"/>
      <c r="F10" s="2259" t="n"/>
      <c r="G10" s="2260" t="n"/>
      <c r="H10" s="2261" t="n"/>
    </row>
    <row r="11" ht="15" customHeight="1" s="1354">
      <c r="A11" s="2262" t="inlineStr">
        <is>
          <t xml:space="preserve">Régions </t>
        </is>
      </c>
      <c r="B11" s="2263" t="inlineStr">
        <is>
          <t>  </t>
        </is>
      </c>
      <c r="C11" s="2827">
        <f>SUMIF(BALANCE!$A$2:$A$70,"1412*",BALANCE!$G$2:$G$70)-SUMIF(BALANCE!$A$2:$A$70,"1412*",BALANCE!$F$2:$F$70)</f>
        <v/>
      </c>
      <c r="D11" s="2827">
        <f>SUMIF(BALANCE_N1!$A$2:$A$70,"1412*",BALANCE_N1!$G$2:$G$70)-SUMIF(BALANCE_N1!$A$2:$A$70,"1412*",BALANCE_N1!$F$2:$F$70)</f>
        <v/>
      </c>
      <c r="E11" s="2264" t="n"/>
      <c r="F11" s="2264" t="n"/>
      <c r="G11" s="2265" t="n"/>
      <c r="H11" s="2266" t="n"/>
    </row>
    <row r="12" ht="15" customHeight="1" s="1354">
      <c r="A12" s="2262" t="inlineStr">
        <is>
          <t xml:space="preserve">Départements </t>
        </is>
      </c>
      <c r="B12" s="2263" t="inlineStr">
        <is>
          <t>  </t>
        </is>
      </c>
      <c r="C12" s="2827">
        <f>SUMIF(BALANCE!$A$2:$A$70,"1413*",BALANCE!$G$2:$G$70)-SUMIF(BALANCE!$A$2:$A$70,"1413*",BALANCE!$F$2:$F$70)</f>
        <v/>
      </c>
      <c r="D12" s="2827">
        <f>SUMIF(BALANCE_N1!$A$2:$A$70,"1413*",BALANCE_N1!$G$2:$G$70)-SUMIF(BALANCE_N1!$A$2:$A$70,"1413*",BALANCE_N1!$F$2:$F$70)</f>
        <v/>
      </c>
      <c r="E12" s="2264" t="n"/>
      <c r="F12" s="2264" t="n"/>
      <c r="G12" s="2265" t="n"/>
      <c r="H12" s="2266" t="n"/>
    </row>
    <row r="13" ht="14.5" customHeight="1" s="1354">
      <c r="A13" s="2262" t="inlineStr">
        <is>
          <t xml:space="preserve">Communes et collectivités publiques décentralisées </t>
        </is>
      </c>
      <c r="B13" s="2263" t="inlineStr">
        <is>
          <t>  </t>
        </is>
      </c>
      <c r="C13" s="2827">
        <f>SUMIF(BALANCE!$A$2:$A$70,"1414*",BALANCE!$G$2:$G$70)-SUMIF(BALANCE!$A$2:$A$70,"1414*",BALANCE!$F$2:$F$70)</f>
        <v/>
      </c>
      <c r="D13" s="2827">
        <f>SUMIF(BALANCE_N1!$A$2:$A$70,"1414*",BALANCE_N1!$G$2:$G$70)-SUMIF(BALANCE_N1!$A$2:$A$70,"1414*",BALANCE_N1!$F$2:$F$70)</f>
        <v/>
      </c>
      <c r="E13" s="2264" t="n"/>
      <c r="F13" s="2264" t="n"/>
      <c r="G13" s="2265" t="n"/>
      <c r="H13" s="2266" t="n"/>
    </row>
    <row r="14" ht="15" customHeight="1" s="1354">
      <c r="A14" s="2262" t="inlineStr">
        <is>
          <t xml:space="preserve">Entités publiques ou mixtes </t>
        </is>
      </c>
      <c r="B14" s="2263" t="inlineStr">
        <is>
          <t>  </t>
        </is>
      </c>
      <c r="C14" s="2827">
        <f>SUMIF(BALANCE!$A$2:$A$70,"1415*",BALANCE!$G$2:$G$70)-SUMIF(BALANCE!$A$2:$A$70,"1415*",BALANCE!$F$2:$F$70)</f>
        <v/>
      </c>
      <c r="D14" s="2827">
        <f>SUMIF(BALANCE_N1!$A$2:$A$70,"1415*",BALANCE_N1!$G$2:$G$70)-SUMIF(BALANCE_N1!$A$2:$A$70,"1415*",BALANCE_N1!$F$2:$F$70)</f>
        <v/>
      </c>
      <c r="E14" s="2264" t="n"/>
      <c r="F14" s="2264" t="n"/>
      <c r="G14" s="2265" t="n"/>
      <c r="H14" s="2266" t="n"/>
    </row>
    <row r="15" ht="15" customHeight="1" s="1354">
      <c r="A15" s="2262" t="inlineStr">
        <is>
          <t xml:space="preserve">Entités  et organismes privés </t>
        </is>
      </c>
      <c r="B15" s="2263" t="inlineStr">
        <is>
          <t>  </t>
        </is>
      </c>
      <c r="C15" s="2827">
        <f>SUMIF(BALANCE!$A$2:$A$70,"1416*",BALANCE!$G$2:$G$70)-SUMIF(BALANCE!$A$2:$A$70,"1416*",BALANCE!$F$2:$F$70)</f>
        <v/>
      </c>
      <c r="D15" s="2827">
        <f>SUMIF(BALANCE_N1!$A$2:$A$70,"1416*",BALANCE_N1!$G$2:$G$70)-SUMIF(BALANCE_N1!$A$2:$A$70,"1416*",BALANCE_N1!$F$2:$F$70)</f>
        <v/>
      </c>
      <c r="E15" s="2264" t="n"/>
      <c r="F15" s="2264" t="n"/>
      <c r="G15" s="2265" t="n"/>
      <c r="H15" s="2266" t="n"/>
    </row>
    <row r="16" ht="15" customHeight="1" s="1354">
      <c r="A16" s="2262" t="inlineStr">
        <is>
          <t xml:space="preserve">Organismes internationaux </t>
        </is>
      </c>
      <c r="B16" s="2263" t="inlineStr">
        <is>
          <t>  </t>
        </is>
      </c>
      <c r="C16" s="2827">
        <f>SUMIF(BALANCE!$A$2:$A$70,"1417*",BALANCE!$G$2:$G$70)-SUMIF(BALANCE!$A$2:$A$70,"1417*",BALANCE!$F$2:$F$70)</f>
        <v/>
      </c>
      <c r="D16" s="2827">
        <f>SUMIF(BALANCE_N1!$A$2:$A$70,"1417*",BALANCE_N1!$G$2:$G$70)-SUMIF(BALANCE_N1!$A$2:$A$70,"1417*",BALANCE_N1!$F$2:$F$70)</f>
        <v/>
      </c>
      <c r="E16" s="2264" t="n"/>
      <c r="F16" s="2264" t="n"/>
      <c r="G16" s="2265" t="n"/>
      <c r="H16" s="2266" t="n"/>
    </row>
    <row r="17" ht="15" customHeight="1" s="1354">
      <c r="A17" s="2267" t="inlineStr">
        <is>
          <t xml:space="preserve">Autres  </t>
        </is>
      </c>
      <c r="B17" s="2268" t="inlineStr">
        <is>
          <t>  </t>
        </is>
      </c>
      <c r="C17" s="2828">
        <f>SUMIF(BALANCE!$A$2:$A$70,"148*",BALANCE!$G$2:$G$70)-SUMIF(BALANCE!$A$2:$A$70,"148*",BALANCE!$F$2:$F$70)+SUMIF(BALANCE!$A$2:$A$70,"1418*",BALANCE!$G$2:$G$70)-SUMIF(BALANCE!$A$2:$A$70,"1418*",BALANCE!$F$2:$F$70)</f>
        <v/>
      </c>
      <c r="D17" s="2828">
        <f>SUMIF(BALANCE_N1!$A$2:$A$70,"148*",BALANCE_N1!$G$2:$G$70)-SUMIF(BALANCE_N1!$A$2:$A$70,"148*",BALANCE_N1!$F$2:$F$70)+SUMIF(BALANCE_N1!$A$2:$A$70,"1418*",BALANCE_N1!$G$2:$G$70)-SUMIF(BALANCE_N1!$A$2:$A$70,"1418*",BALANCE_N1!$F$2:$F$70)</f>
        <v/>
      </c>
      <c r="E17" s="2269" t="n"/>
      <c r="F17" s="2269" t="n"/>
      <c r="G17" s="2270" t="n"/>
      <c r="H17" s="2271" t="n"/>
    </row>
    <row r="18" ht="15" customHeight="1" s="1354">
      <c r="A18" s="2272" t="inlineStr">
        <is>
          <t xml:space="preserve">TOTAL SUBVENTIONS  </t>
        </is>
      </c>
      <c r="B18" s="2273" t="inlineStr">
        <is>
          <t>  </t>
        </is>
      </c>
      <c r="C18" s="2829">
        <f>SUM(C10:C17)</f>
        <v/>
      </c>
      <c r="D18" s="2829">
        <f>SUM(D10:D17)</f>
        <v/>
      </c>
      <c r="E18" s="2274" t="n"/>
      <c r="F18" s="2274" t="n"/>
      <c r="G18" s="2274" t="n"/>
      <c r="H18" s="2275" t="n"/>
    </row>
    <row r="19" ht="15" customHeight="1" s="1354">
      <c r="A19" s="2257" t="inlineStr">
        <is>
          <t>  </t>
        </is>
      </c>
      <c r="B19" s="2258" t="inlineStr">
        <is>
          <t>  </t>
        </is>
      </c>
      <c r="C19" s="2276" t="n"/>
      <c r="D19" s="2276" t="n"/>
      <c r="E19" s="2276" t="n"/>
      <c r="F19" s="2276" t="n"/>
      <c r="G19" s="2276" t="n"/>
      <c r="H19" s="2277" t="n"/>
    </row>
    <row r="20" ht="15" customHeight="1" s="1354">
      <c r="A20" s="2262" t="inlineStr">
        <is>
          <t xml:space="preserve">Amortissements dérogatoires </t>
        </is>
      </c>
      <c r="B20" s="2263" t="inlineStr">
        <is>
          <t>  </t>
        </is>
      </c>
      <c r="C20" s="2827">
        <f>SUMIF(BALANCE!$A$2:$A$70,"151*",BALANCE!$G$2:$G$70)-SUMIF(BALANCE!$A$2:$A$70,"151*",BALANCE!$F$2:$F$70)</f>
        <v/>
      </c>
      <c r="D20" s="2827">
        <f>SUMIF(BALANCE_N1!$A$2:$A$70,"151*",BALANCE_N1!$G$2:$G$70)-SUMIF(BALANCE_N1!$A$2:$A$70,"151*",BALANCE_N1!$F$2:$F$70)</f>
        <v/>
      </c>
      <c r="E20" s="2264" t="n"/>
      <c r="F20" s="2264" t="n"/>
      <c r="G20" s="2264" t="n"/>
      <c r="H20" s="2266" t="n"/>
    </row>
    <row r="21" ht="15" customHeight="1" s="1354">
      <c r="A21" s="2262" t="inlineStr">
        <is>
          <t xml:space="preserve">Plus-value de cession à réinvestir </t>
        </is>
      </c>
      <c r="B21" s="2263" t="inlineStr">
        <is>
          <t>  </t>
        </is>
      </c>
      <c r="C21" s="2827">
        <f>SUMIF(BALANCE!$A$2:$A$70,"152*",BALANCE!$G$2:$G$70)-SUMIF(BALANCE!$A$2:$A$70,"152*",BALANCE!$F$2:$F$70)</f>
        <v/>
      </c>
      <c r="D21" s="2827">
        <f>SUMIF(BALANCE_N1!$A$2:$A$70,"152*",BALANCE_N1!$G$2:$G$70)-SUMIF(BALANCE_N1!$A$2:$A$70,"152*",BALANCE_N1!$F$2:$F$70)</f>
        <v/>
      </c>
      <c r="E21" s="2264" t="n"/>
      <c r="F21" s="2264" t="n"/>
      <c r="G21" s="2264" t="n"/>
      <c r="H21" s="2266" t="n"/>
    </row>
    <row r="22" ht="15" customHeight="1" s="1354">
      <c r="A22" s="2262" t="inlineStr">
        <is>
          <t xml:space="preserve">Provision spéciale de réévaluation </t>
        </is>
      </c>
      <c r="B22" s="2263" t="n"/>
      <c r="C22" s="2827">
        <f>SUMIF(BALANCE!$A$2:$A$70,"154*",BALANCE!$G$2:$G$70)-SUMIF(BALANCE!$A$2:$A$70,"154*",BALANCE!$F$2:$F$70)</f>
        <v/>
      </c>
      <c r="D22" s="2827">
        <f>SUMIF(BALANCE_N1!$A$2:$A$70,"154*",BALANCE_N1!$G$2:$G$70)-SUMIF(BALANCE_N1!$A$2:$A$70,"154*",BALANCE_N1!$F$2:$F$70)</f>
        <v/>
      </c>
      <c r="E22" s="2264" t="n"/>
      <c r="F22" s="2264" t="n"/>
      <c r="G22" s="2264" t="n"/>
      <c r="H22" s="2266" t="n"/>
    </row>
    <row r="23" ht="15" customHeight="1" s="1354">
      <c r="A23" s="2262" t="inlineStr">
        <is>
          <t xml:space="preserve">Provisions réglementées relatives aux immobilisations </t>
        </is>
      </c>
      <c r="B23" s="2263" t="inlineStr">
        <is>
          <t>  </t>
        </is>
      </c>
      <c r="C23" s="2827">
        <f>SUMIF(BALANCE!$A$2:$A$70,"155*",BALANCE!$G$2:$G$70)-SUMIF(BALANCE!$A$2:$A$70,"155*",BALANCE!$F$2:$F$70)</f>
        <v/>
      </c>
      <c r="D23" s="2827">
        <f>SUMIF(BALANCE_N1!$A$2:$A$70,"155*",BALANCE_N1!$G$2:$G$70)-SUMIF(BALANCE_N1!$A$2:$A$70,"155*",BALANCE_N1!$F$2:$F$70)</f>
        <v/>
      </c>
      <c r="E23" s="2264" t="n"/>
      <c r="F23" s="2264" t="n"/>
      <c r="G23" s="2264" t="n"/>
      <c r="H23" s="2266" t="n"/>
    </row>
    <row r="24" ht="15" customHeight="1" s="1354">
      <c r="A24" s="2262" t="inlineStr">
        <is>
          <t xml:space="preserve">Provisions réglementés relatives aux stocks </t>
        </is>
      </c>
      <c r="B24" s="2263" t="inlineStr">
        <is>
          <t>  </t>
        </is>
      </c>
      <c r="C24" s="2827">
        <f>SUMIF(BALANCE!$A$2:$A$70,"156*",BALANCE!$G$2:$G$70)-SUMIF(BALANCE!$A$2:$A$70,"156*",BALANCE!$F$2:$F$70)</f>
        <v/>
      </c>
      <c r="D24" s="2827">
        <f>SUMIF(BALANCE_N1!$A$2:$A$70,"156*",BALANCE_N1!$G$2:$G$70)-SUMIF(BALANCE_N1!$A$2:$A$70,"156*",BALANCE_N1!$F$2:$F$70)</f>
        <v/>
      </c>
      <c r="E24" s="2264" t="n"/>
      <c r="F24" s="2264" t="n"/>
      <c r="G24" s="2264" t="n"/>
      <c r="H24" s="2266" t="n"/>
    </row>
    <row r="25" ht="15" customHeight="1" s="1354">
      <c r="A25" s="2262" t="inlineStr">
        <is>
          <t xml:space="preserve">Provisions pour investissement </t>
        </is>
      </c>
      <c r="B25" s="2263" t="inlineStr">
        <is>
          <t>  </t>
        </is>
      </c>
      <c r="C25" s="2827">
        <f>SUMIF(BALANCE!$A$2:$A$70,"157*",BALANCE!$G$2:$G$70)-SUMIF(BALANCE!$A$2:$A$70,"157*",BALANCE!$F$2:$F$70)</f>
        <v/>
      </c>
      <c r="D25" s="2827">
        <f>SUMIF(BALANCE_N1!$A$2:$A$70,"157*",BALANCE_N1!$G$2:$G$70)-SUMIF(BALANCE_N1!$A$2:$A$70,"157*",BALANCE_N1!$F$2:$F$70)</f>
        <v/>
      </c>
      <c r="E25" s="2264" t="n"/>
      <c r="F25" s="2264" t="n"/>
      <c r="G25" s="2264" t="n"/>
      <c r="H25" s="2266" t="n"/>
    </row>
    <row r="26" ht="15" customHeight="1" s="1354">
      <c r="A26" s="2267" t="inlineStr">
        <is>
          <t xml:space="preserve">Autres provisions et fonds réglementées </t>
        </is>
      </c>
      <c r="B26" s="2268" t="inlineStr">
        <is>
          <t>  </t>
        </is>
      </c>
      <c r="C26" s="2828">
        <f>SUMIF(BALANCE!$A$2:$A$70,"158*",BALANCE!$G$2:$G$70)-SUMIF(BALANCE!$A$2:$A$70,"158*",BALANCE!$F$2:$F$70)+SUMIF(BALANCE!$A$2:$A$70,"153*",BALANCE!$G$2:$G$70)-SUMIF(BALANCE!$A$2:$A$70,"153*",BALANCE!$F$2:$F$70)</f>
        <v/>
      </c>
      <c r="D26" s="2828">
        <f>SUMIF(BALANCE_N1!$A$2:$A$70,"158*",BALANCE_N1!$G$2:$G$70)-SUMIF(BALANCE_N1!$A$2:$A$70,"158*",BALANCE_N1!$F$2:$F$70)+SUMIF(BALANCE_N1!$A$2:$A$70,"153*",BALANCE_N1!$G$2:$G$70)-SUMIF(BALANCE_N1!$A$2:$A$70,"153*",BALANCE_N1!$F$2:$F$70)</f>
        <v/>
      </c>
      <c r="E26" s="2269" t="n"/>
      <c r="F26" s="2269" t="n"/>
      <c r="G26" s="2269" t="n"/>
      <c r="H26" s="2271" t="n"/>
    </row>
    <row r="27" ht="15" customHeight="1" s="1354">
      <c r="A27" s="2272" t="inlineStr">
        <is>
          <t xml:space="preserve">TOTAL PROVISIONS REGLEMENTEES </t>
        </is>
      </c>
      <c r="B27" s="2273" t="inlineStr">
        <is>
          <t>  </t>
        </is>
      </c>
      <c r="C27" s="2829">
        <f>SUM(C20:C26)</f>
        <v/>
      </c>
      <c r="D27" s="2829">
        <f>SUM(D20:D26)</f>
        <v/>
      </c>
      <c r="E27" s="2274" t="n"/>
      <c r="F27" s="2274" t="n"/>
      <c r="G27" s="2274" t="n"/>
      <c r="H27" s="2275" t="n"/>
    </row>
    <row r="28" ht="15" customHeight="1" s="1354">
      <c r="A28" s="2279" t="inlineStr">
        <is>
          <t>  </t>
        </is>
      </c>
      <c r="B28" s="2280" t="inlineStr">
        <is>
          <t>  </t>
        </is>
      </c>
      <c r="C28" s="2281" t="n"/>
      <c r="D28" s="2281" t="n"/>
      <c r="E28" s="2281" t="n"/>
      <c r="F28" s="2281" t="n"/>
      <c r="G28" s="2281" t="n"/>
      <c r="H28" s="2282" t="n"/>
    </row>
    <row r="29" ht="15" customHeight="1" s="1354">
      <c r="A29" s="2283" t="inlineStr">
        <is>
          <t xml:space="preserve">TOTAL SUBVENTIONS ET </t>
        </is>
      </c>
      <c r="B29" s="2284" t="inlineStr">
        <is>
          <t>  </t>
        </is>
      </c>
      <c r="C29" s="2830">
        <f>C18+C27</f>
        <v/>
      </c>
      <c r="D29" s="2830">
        <f>D18+D27</f>
        <v/>
      </c>
      <c r="E29" s="2285" t="n"/>
      <c r="F29" s="2285" t="n"/>
      <c r="G29" s="2286" t="n"/>
      <c r="H29" s="2287" t="n"/>
    </row>
    <row r="30" ht="15" customHeight="1" s="1354">
      <c r="A30" s="2288" t="inlineStr">
        <is>
          <t xml:space="preserve">PROVISIONS REGLEMENTEES </t>
        </is>
      </c>
      <c r="B30" s="2289" t="n"/>
      <c r="C30" s="2008" t="n"/>
      <c r="D30" s="2008" t="n"/>
      <c r="E30" s="2008" t="n"/>
      <c r="F30" s="2008" t="n"/>
      <c r="G30" s="2008" t="n"/>
      <c r="H30" s="2010" t="n"/>
    </row>
    <row r="31" ht="9" customHeight="1" s="1354">
      <c r="A31" s="2290" t="inlineStr">
        <is>
          <t> </t>
        </is>
      </c>
    </row>
    <row r="32" ht="14.5" customHeight="1" s="1354">
      <c r="A32" s="2291" t="inlineStr">
        <is>
          <t xml:space="preserve">Commentaire:  </t>
        </is>
      </c>
    </row>
    <row r="33" ht="39" customHeight="1" s="1354">
      <c r="A33" s="2292" t="inlineStr">
        <is>
          <t xml:space="preserve">Indiquer pour la subvention la date d’octroi, la nature, les obligations éventuelles. Pour les provisions réglementées, indiquer le texte de référence, les obligations. Commenter toute variation significative. </t>
        </is>
      </c>
    </row>
    <row r="34" ht="14.5" customHeight="1" s="1354">
      <c r="A34" s="2293" t="n"/>
    </row>
    <row r="35" ht="15.5" customHeight="1" s="1354">
      <c r="A35" s="2294" t="inlineStr">
        <is>
          <t> </t>
        </is>
      </c>
    </row>
  </sheetData>
  <mergeCells count="10">
    <mergeCell ref="F29:F30"/>
    <mergeCell ref="H29:H30"/>
    <mergeCell ref="A7:H7"/>
    <mergeCell ref="C29:C30"/>
    <mergeCell ref="E29:E30"/>
    <mergeCell ref="A33:H33"/>
    <mergeCell ref="A8:H8"/>
    <mergeCell ref="D29:D30"/>
    <mergeCell ref="B29:B30"/>
    <mergeCell ref="G29:G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G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G4" activeCellId="0" sqref="G4:G5"/>
    </sheetView>
  </sheetViews>
  <sheetFormatPr baseColWidth="8" defaultColWidth="10.90234375" defaultRowHeight="14.5" zeroHeight="0" outlineLevelRow="0"/>
  <cols>
    <col width="61.72" customWidth="1" style="1572" min="1" max="1"/>
  </cols>
  <sheetData>
    <row r="1"/>
    <row r="2"/>
    <row r="3"/>
    <row r="4" ht="13" customFormat="1" customHeight="1" s="1577">
      <c r="A4" s="1748" t="inlineStr">
        <is>
          <t>Désignation entité : ENTREPRISE TEST SARL</t>
        </is>
      </c>
      <c r="B4" s="1583" t="n"/>
      <c r="C4" s="1583" t="n"/>
      <c r="D4" s="1583" t="n"/>
      <c r="E4" s="1591" t="inlineStr">
        <is>
          <t>Exercice clos le : 31/12/2025</t>
        </is>
      </c>
      <c r="F4" s="1591" t="n"/>
      <c r="G4" s="1578" t="n"/>
    </row>
    <row r="5" ht="13" customFormat="1" customHeight="1" s="1577">
      <c r="A5" s="1749" t="inlineStr">
        <is>
          <t>Numéro d’identification : CD/KNG/RCCM/23-B-01234</t>
        </is>
      </c>
      <c r="B5" s="1583" t="n"/>
      <c r="C5" s="1583" t="n"/>
      <c r="D5" s="1583" t="n"/>
      <c r="E5" s="1591" t="inlineStr">
        <is>
          <t>Durée (en mois) : 12</t>
        </is>
      </c>
      <c r="F5" s="1591" t="n"/>
      <c r="G5" s="1582" t="n"/>
    </row>
    <row r="6"/>
    <row r="7" ht="14.5" customHeight="1" s="1354">
      <c r="A7" s="1991" t="inlineStr">
        <is>
          <t xml:space="preserve">NOTE 15 B </t>
        </is>
      </c>
    </row>
    <row r="8" ht="15" customHeight="1" s="1354">
      <c r="A8" s="2170" t="inlineStr">
        <is>
          <t xml:space="preserve">AUTRES FONDS PROPRES (1) </t>
        </is>
      </c>
      <c r="B8" s="1594" t="n"/>
      <c r="C8" s="1594" t="n"/>
      <c r="D8" s="1594" t="n"/>
      <c r="E8" s="1594" t="n"/>
      <c r="F8" s="1594" t="n"/>
      <c r="G8" s="1594" t="n"/>
    </row>
    <row r="9" ht="42.5" customHeight="1" s="1354">
      <c r="A9" s="2295" t="inlineStr">
        <is>
          <t xml:space="preserve"> Libellés </t>
        </is>
      </c>
      <c r="B9" s="2296" t="inlineStr">
        <is>
          <t xml:space="preserve">NOTE </t>
        </is>
      </c>
      <c r="C9" s="2296" t="inlineStr">
        <is>
          <t xml:space="preserve">Année N </t>
        </is>
      </c>
      <c r="D9" s="2296" t="inlineStr">
        <is>
          <t xml:space="preserve">Année N-1 </t>
        </is>
      </c>
      <c r="E9" s="2296" t="inlineStr">
        <is>
          <t xml:space="preserve">Variation en valeur absolue </t>
        </is>
      </c>
      <c r="F9" s="2296" t="inlineStr">
        <is>
          <t xml:space="preserve">Variation en % </t>
        </is>
      </c>
      <c r="G9" s="2297" t="inlineStr">
        <is>
          <t xml:space="preserve">Echéances </t>
        </is>
      </c>
    </row>
    <row r="10" ht="15" customHeight="1" s="1354">
      <c r="A10" s="2298" t="inlineStr">
        <is>
          <t xml:space="preserve">Titres participatifs </t>
        </is>
      </c>
      <c r="B10" s="2299" t="inlineStr">
        <is>
          <t>  </t>
        </is>
      </c>
      <c r="C10" s="2300" t="n"/>
      <c r="D10" s="2300" t="n"/>
      <c r="E10" s="2300" t="n"/>
      <c r="F10" s="2300" t="n"/>
      <c r="G10" s="2300" t="n"/>
    </row>
    <row r="11" ht="17" customHeight="1" s="1354">
      <c r="A11" s="2298" t="inlineStr">
        <is>
          <t>Avances conditionnées (1)</t>
        </is>
      </c>
      <c r="B11" s="2299" t="inlineStr">
        <is>
          <t>  </t>
        </is>
      </c>
      <c r="C11" s="2831">
        <f>SUMIF(BALANCE!$A$2:$A$70,"167*",BALANCE!$G$2:$G$70)-SUMIF(BALANCE!$A$2:$A$70,"167*",BALANCE!$F$2:$F$70)</f>
        <v/>
      </c>
      <c r="D11" s="2831">
        <f>SUMIF(BALANCE_N1!$A$2:$A$70,"167*",BALANCE_N1!$G$2:$G$70)-SUMIF(BALANCE_N1!$A$2:$A$70,"167*",BALANCE_N1!$F$2:$F$70)</f>
        <v/>
      </c>
      <c r="E11" s="2300" t="n"/>
      <c r="F11" s="2300" t="n"/>
      <c r="G11" s="2300" t="n"/>
    </row>
    <row r="12" ht="15" customHeight="1" s="1354">
      <c r="A12" s="2301" t="inlineStr">
        <is>
          <t xml:space="preserve">Titres subordonnés à durée indéterminée (T.S.D.I.) </t>
        </is>
      </c>
      <c r="B12" s="2299" t="inlineStr">
        <is>
          <t>  </t>
        </is>
      </c>
      <c r="C12" s="2300" t="n"/>
      <c r="D12" s="2300" t="n"/>
      <c r="E12" s="2300" t="n"/>
      <c r="F12" s="2300" t="n"/>
      <c r="G12" s="2300" t="n"/>
    </row>
    <row r="13" ht="15" customHeight="1" s="1354">
      <c r="A13" s="2298" t="inlineStr">
        <is>
          <t xml:space="preserve">Obligations remboursables en actions (O.R.A.) </t>
        </is>
      </c>
      <c r="B13" s="2299" t="inlineStr">
        <is>
          <t>  </t>
        </is>
      </c>
      <c r="C13" s="2300" t="n"/>
      <c r="D13" s="2300" t="n"/>
      <c r="E13" s="2300" t="n"/>
      <c r="F13" s="2300" t="n"/>
      <c r="G13" s="2300" t="n"/>
    </row>
    <row r="14" ht="15" customHeight="1" s="1354">
      <c r="A14" s="2298" t="inlineStr">
        <is>
          <t xml:space="preserve">Autres  </t>
        </is>
      </c>
      <c r="B14" s="2299" t="inlineStr">
        <is>
          <t>  </t>
        </is>
      </c>
      <c r="C14" s="2300" t="n"/>
      <c r="D14" s="2300" t="n"/>
      <c r="E14" s="2300" t="n"/>
      <c r="F14" s="2300" t="n"/>
      <c r="G14" s="2300" t="n"/>
    </row>
    <row r="15" ht="15" customHeight="1" s="1354">
      <c r="A15" s="2302" t="inlineStr">
        <is>
          <t xml:space="preserve">TOTAL AUTRES FONDS PROPRES </t>
        </is>
      </c>
      <c r="B15" s="2303" t="inlineStr">
        <is>
          <t>  </t>
        </is>
      </c>
      <c r="C15" s="2832">
        <f>SUM(C10:C14)</f>
        <v/>
      </c>
      <c r="D15" s="2832">
        <f>SUM(D10:D14)</f>
        <v/>
      </c>
      <c r="E15" s="2304" t="n"/>
      <c r="F15" s="2304" t="n"/>
      <c r="G15" s="2304" t="n"/>
    </row>
    <row r="16" ht="14.5" customHeight="1" s="1354">
      <c r="A16" s="2305" t="inlineStr">
        <is>
          <t xml:space="preserve"> Commentaire : </t>
        </is>
      </c>
    </row>
    <row r="17" ht="52.5" customHeight="1" s="1354">
      <c r="A17" s="2306" t="inlineStr">
        <is>
          <t xml:space="preserve"> (1) Le  cas  échéant,  une  rubrique  "Autres  fonds  propres"  (montant des émissions de titres participatifs, avances conditionnées, ...) sur une ligne séparée est  intercalée  entre  les  rubriques "TOTAL CAPITAUX PROPRES ET RESSOURCES ASSIMILEES" et  "emprunts et dettes financières" si le montant des autres fonds propres est significatif. </t>
        </is>
      </c>
    </row>
    <row r="18" ht="14.5" customHeight="1" s="1354">
      <c r="A18" s="2291" t="inlineStr">
        <is>
          <t xml:space="preserve">Commentaires :  </t>
        </is>
      </c>
      <c r="B18" s="1820" t="n"/>
      <c r="C18" s="1820" t="n"/>
      <c r="D18" s="1820" t="n"/>
      <c r="E18" s="1820" t="n"/>
      <c r="F18" s="1820" t="n"/>
      <c r="G18" s="1820" t="n"/>
    </row>
    <row r="19" ht="38.25" customHeight="1" s="1354">
      <c r="A19" s="2307" t="inlineStr">
        <is>
          <t>* Justifier l'inscription de ces dettes dans une rubrique spécifique du passif du bilan "autres fonds propres" (faible probabilité de remboursement, absence d’échéancier…;</t>
        </is>
      </c>
    </row>
    <row r="20" ht="21" customHeight="1" s="1354">
      <c r="A20" s="2308" t="inlineStr">
        <is>
          <t xml:space="preserve">*Justifier le caractère significatif du montant total de cette rubrique Commenter toute variation significative. </t>
        </is>
      </c>
    </row>
    <row r="21" ht="14.5" customHeight="1" s="1354">
      <c r="A21" s="2305" t="inlineStr">
        <is>
          <t> </t>
        </is>
      </c>
    </row>
    <row r="22" ht="14.5" customHeight="1" s="1354">
      <c r="A22" s="2309" t="inlineStr">
        <is>
          <t> </t>
        </is>
      </c>
    </row>
    <row r="23" ht="14.5" customHeight="1" s="1354">
      <c r="A23" s="2309" t="inlineStr">
        <is>
          <t> </t>
        </is>
      </c>
    </row>
    <row r="24" ht="14.5" customHeight="1" s="1354">
      <c r="A24" s="2309" t="inlineStr">
        <is>
          <t> </t>
        </is>
      </c>
    </row>
  </sheetData>
  <mergeCells count="5">
    <mergeCell ref="A17:G17"/>
    <mergeCell ref="A8:G8"/>
    <mergeCell ref="A20:G20"/>
    <mergeCell ref="A7:G7"/>
    <mergeCell ref="A19:G19"/>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K48"/>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41" activeCellId="0" sqref="A41:H48"/>
    </sheetView>
  </sheetViews>
  <sheetFormatPr baseColWidth="8" defaultColWidth="10.8125" defaultRowHeight="12" zeroHeight="0" outlineLevelRow="0"/>
  <cols>
    <col width="71.72" customWidth="1" style="1583" min="1" max="1"/>
    <col width="13.99" customWidth="1" style="1583" min="2" max="2"/>
    <col width="14.26" customWidth="1" style="1583" min="3" max="3"/>
    <col width="13.44" customWidth="1" style="1583" min="4" max="4"/>
    <col width="13.72" customWidth="1" style="1583" min="5" max="5"/>
    <col width="13.99" customWidth="1" style="1583" min="6" max="6"/>
    <col width="18.44" customWidth="1" style="1583" min="7" max="7"/>
    <col width="14.44" customWidth="1" style="1583" min="8" max="8"/>
    <col width="10.81" customWidth="1" style="1583" min="9" max="257"/>
  </cols>
  <sheetData>
    <row r="1"/>
    <row r="2"/>
    <row r="3" ht="22.5" customFormat="1" customHeight="1" s="1577">
      <c r="A3" s="1748" t="inlineStr">
        <is>
          <t>Désignation entité : ENTREPRISE TEST SARL</t>
        </is>
      </c>
      <c r="B3" s="1583" t="n"/>
      <c r="C3" s="1583" t="n"/>
      <c r="D3" s="1583" t="n"/>
      <c r="E3" s="1591" t="inlineStr">
        <is>
          <t>Exercice clos le : 31/12/2025</t>
        </is>
      </c>
      <c r="F3" s="1591" t="n"/>
      <c r="G3" s="1578" t="n"/>
    </row>
    <row r="4" ht="13" customFormat="1" customHeight="1" s="1577">
      <c r="A4" s="1749" t="inlineStr">
        <is>
          <t>Numéro d’identification : CD/KNG/RCCM/23-B-01234</t>
        </is>
      </c>
      <c r="B4" s="1583" t="n"/>
      <c r="C4" s="1583" t="n"/>
      <c r="D4" s="1583" t="n"/>
      <c r="E4" s="1591" t="inlineStr">
        <is>
          <t>Durée (en mois) : 12</t>
        </is>
      </c>
      <c r="F4" s="1591" t="n"/>
      <c r="G4" s="1582" t="n"/>
    </row>
    <row r="5" ht="12.5" customHeight="1" s="1354">
      <c r="A5" s="2310" t="inlineStr">
        <is>
          <t>NOTE 16A</t>
        </is>
      </c>
    </row>
    <row r="6" ht="47.25" customHeight="1" s="1354">
      <c r="A6" s="2311" t="inlineStr">
        <is>
          <t>Libellés</t>
        </is>
      </c>
      <c r="B6" s="2312" t="inlineStr">
        <is>
          <t>Année N</t>
        </is>
      </c>
      <c r="C6" s="2312" t="inlineStr">
        <is>
          <t>Année N-1</t>
        </is>
      </c>
      <c r="D6" s="2312" t="inlineStr">
        <is>
          <t>Variation en valeur absolue</t>
        </is>
      </c>
      <c r="E6" s="2312" t="inlineStr">
        <is>
          <t>Variation en %</t>
        </is>
      </c>
      <c r="F6" s="2312" t="inlineStr">
        <is>
          <t>Dettes à un an au plus</t>
        </is>
      </c>
      <c r="G6" s="2312" t="inlineStr">
        <is>
          <t>Dettes à plus d’un an et à deux ans au plus</t>
        </is>
      </c>
      <c r="H6" s="2313" t="inlineStr">
        <is>
          <t>Dettes à plus de deux ans</t>
        </is>
      </c>
    </row>
    <row r="7" ht="12" customHeight="1" s="1354">
      <c r="A7" s="2096" t="inlineStr">
        <is>
          <t>Emprunts obligataires</t>
        </is>
      </c>
      <c r="B7" s="2822">
        <f>SUMIF(BALANCE!$A$2:$A$70,"161*",BALANCE!$G$2:$G$70)-SUMIF(BALANCE!$A$2:$A$70,"161*",BALANCE!$F$2:$F$70)</f>
        <v/>
      </c>
      <c r="C7" s="2822">
        <f>SUMIF(BALANCE_N1!$A$2:$A$70,"161*",BALANCE_N1!$G$2:$G$70)-SUMIF(BALANCE_N1!$A$2:$A$70,"161*",BALANCE_N1!$F$2:$F$70)</f>
        <v/>
      </c>
      <c r="D7" s="2199" t="n"/>
      <c r="E7" s="2199" t="n"/>
      <c r="F7" s="2199" t="n"/>
      <c r="G7" s="2199" t="n"/>
      <c r="H7" s="2129" t="n"/>
    </row>
    <row r="8" ht="12" customHeight="1" s="1354">
      <c r="A8" s="2099" t="inlineStr">
        <is>
          <t>Emprunts et dettes auprès des établissements de crédit</t>
        </is>
      </c>
      <c r="B8" s="2806">
        <f>SUMIF(BALANCE!$A$2:$A$70,"162*",BALANCE!$G$2:$G$70)-SUMIF(BALANCE!$A$2:$A$70,"162*",BALANCE!$F$2:$F$70)</f>
        <v/>
      </c>
      <c r="C8" s="2806">
        <f>SUMIF(BALANCE_N1!$A$2:$A$70,"162*",BALANCE_N1!$G$2:$G$70)-SUMIF(BALANCE_N1!$A$2:$A$70,"162*",BALANCE_N1!$F$2:$F$70)</f>
        <v/>
      </c>
      <c r="D8" s="2314">
        <f>B8-C8</f>
        <v/>
      </c>
      <c r="E8" s="2315">
        <f>D8/C8</f>
        <v/>
      </c>
      <c r="F8" s="2130">
        <f>0</f>
        <v/>
      </c>
      <c r="G8" s="2130" t="n"/>
      <c r="H8" s="2131">
        <f>B8-G8</f>
        <v/>
      </c>
    </row>
    <row r="9" ht="12" customHeight="1" s="1354">
      <c r="A9" s="2099" t="inlineStr">
        <is>
          <t>Avances reçues de l’Etat</t>
        </is>
      </c>
      <c r="B9" s="2806">
        <f>SUMIF(BALANCE!$A$2:$A$70,"163*",BALANCE!$G$2:$G$70)-SUMIF(BALANCE!$A$2:$A$70,"163*",BALANCE!$F$2:$F$70)</f>
        <v/>
      </c>
      <c r="C9" s="2806">
        <f>SUMIF(BALANCE_N1!$A$2:$A$70,"163*",BALANCE_N1!$G$2:$G$70)-SUMIF(BALANCE_N1!$A$2:$A$70,"163*",BALANCE_N1!$F$2:$F$70)</f>
        <v/>
      </c>
      <c r="D9" s="2130" t="n"/>
      <c r="E9" s="2130" t="n"/>
      <c r="F9" s="2130" t="n"/>
      <c r="G9" s="2130" t="n"/>
      <c r="H9" s="2131" t="n"/>
    </row>
    <row r="10" ht="12" customHeight="1" s="1354">
      <c r="A10" s="2099" t="inlineStr">
        <is>
          <t>Avances reçues et comptes courants bloqués</t>
        </is>
      </c>
      <c r="B10" s="2806">
        <f>SUMIF(BALANCE!$A$2:$A$70,"164*",BALANCE!$G$2:$G$70)-SUMIF(BALANCE!$A$2:$A$70,"164*",BALANCE!$F$2:$F$70)</f>
        <v/>
      </c>
      <c r="C10" s="2806">
        <f>SUMIF(BALANCE_N1!$A$2:$A$70,"164*",BALANCE_N1!$G$2:$G$70)-SUMIF(BALANCE_N1!$A$2:$A$70,"164*",BALANCE_N1!$F$2:$F$70)</f>
        <v/>
      </c>
      <c r="D10" s="2130" t="n"/>
      <c r="E10" s="2130" t="n"/>
      <c r="F10" s="2130" t="n"/>
      <c r="G10" s="2130" t="n"/>
      <c r="H10" s="2131" t="n"/>
    </row>
    <row r="11" ht="12" customHeight="1" s="1354">
      <c r="A11" s="2099" t="inlineStr">
        <is>
          <t>Dépôts et cautionnements reçus</t>
        </is>
      </c>
      <c r="B11" s="2806">
        <f>SUMIF(BALANCE!$A$2:$A$70,"165*",BALANCE!$G$2:$G$70)-SUMIF(BALANCE!$A$2:$A$70,"165*",BALANCE!$F$2:$F$70)</f>
        <v/>
      </c>
      <c r="C11" s="2806">
        <f>SUMIF(BALANCE_N1!$A$2:$A$70,"165*",BALANCE_N1!$G$2:$G$70)-SUMIF(BALANCE_N1!$A$2:$A$70,"165*",BALANCE_N1!$F$2:$F$70)</f>
        <v/>
      </c>
      <c r="D11" s="2130" t="n"/>
      <c r="E11" s="2130" t="n"/>
      <c r="F11" s="2130" t="n"/>
      <c r="G11" s="2130" t="n"/>
      <c r="H11" s="2131" t="n"/>
    </row>
    <row r="12" ht="12" customHeight="1" s="1354">
      <c r="A12" s="2099" t="inlineStr">
        <is>
          <t xml:space="preserve">Intérêt courus </t>
        </is>
      </c>
      <c r="B12" s="2806">
        <f>SUMIF(BALANCE!$A$2:$A$70,"166*",BALANCE!$G$2:$G$70)-SUMIF(BALANCE!$A$2:$A$70,"166*",BALANCE!$F$2:$F$70)</f>
        <v/>
      </c>
      <c r="C12" s="2806">
        <f>SUMIF(BALANCE_N1!$A$2:$A$70,"166*",BALANCE_N1!$G$2:$G$70)-SUMIF(BALANCE_N1!$A$2:$A$70,"166*",BALANCE_N1!$F$2:$F$70)</f>
        <v/>
      </c>
      <c r="D12" s="2130" t="n"/>
      <c r="E12" s="2130" t="n"/>
      <c r="F12" s="2130" t="n"/>
      <c r="G12" s="2130" t="n"/>
      <c r="H12" s="2131" t="n"/>
    </row>
    <row r="13" ht="12" customHeight="1" s="1354">
      <c r="A13" s="2099" t="inlineStr">
        <is>
          <t>Avances assorties de conditions particulières</t>
        </is>
      </c>
      <c r="B13" s="2806">
        <f>SUMIF(BALANCE!$A$2:$A$70,"167*",BALANCE!$G$2:$G$70)-SUMIF(BALANCE!$A$2:$A$70,"167*",BALANCE!$F$2:$F$70)</f>
        <v/>
      </c>
      <c r="C13" s="2806">
        <f>SUMIF(BALANCE_N1!$A$2:$A$70,"167*",BALANCE_N1!$G$2:$G$70)-SUMIF(BALANCE_N1!$A$2:$A$70,"167*",BALANCE_N1!$F$2:$F$70)</f>
        <v/>
      </c>
      <c r="D13" s="2130" t="n"/>
      <c r="E13" s="2130" t="n"/>
      <c r="F13" s="2130" t="n"/>
      <c r="G13" s="2130" t="n"/>
      <c r="H13" s="2131" t="n"/>
    </row>
    <row r="14" ht="12" customHeight="1" s="1354">
      <c r="A14" s="2099" t="inlineStr">
        <is>
          <t>Autres emprunts et dettes</t>
        </is>
      </c>
      <c r="B14" s="2806">
        <f>SUMIF(BALANCE!$A$2:$A$70,"168*",BALANCE!$G$2:$G$70)-SUMIF(BALANCE!$A$2:$A$70,"168*",BALANCE!$F$2:$F$70)</f>
        <v/>
      </c>
      <c r="C14" s="2806">
        <f>SUMIF(BALANCE_N1!$A$2:$A$70,"168*",BALANCE_N1!$G$2:$G$70)-SUMIF(BALANCE_N1!$A$2:$A$70,"168*",BALANCE_N1!$F$2:$F$70)</f>
        <v/>
      </c>
      <c r="D14" s="2130" t="n">
        <v>0</v>
      </c>
      <c r="E14" s="2130" t="n">
        <v>0</v>
      </c>
      <c r="F14" s="2130" t="n"/>
      <c r="G14" s="2130" t="n">
        <v>0</v>
      </c>
      <c r="H14" s="2131">
        <f>C14</f>
        <v/>
      </c>
    </row>
    <row r="15" ht="12" customHeight="1" s="1354">
      <c r="A15" s="2099" t="inlineStr">
        <is>
          <t>Dettes liées à des participations</t>
        </is>
      </c>
      <c r="B15" s="2806">
        <f>SUMIF(BALANCE!$A$2:$A$70,"183*",BALANCE!$G$2:$G$70)-SUMIF(BALANCE!$A$2:$A$70,"183*",BALANCE!$F$2:$F$70)+SUMIF(BALANCE!$A$2:$A$70,"181*",BALANCE!$G$2:$G$70)-SUMIF(BALANCE!$A$2:$A$70,"181*",BALANCE!$F$2:$F$70)+SUMIF(BALANCE!$A$2:$A$70,"182*",BALANCE!$G$2:$G$70)-SUMIF(BALANCE!$A$2:$A$70,"182*",BALANCE!$F$2:$F$70)</f>
        <v/>
      </c>
      <c r="C15" s="2806">
        <f>SUMIF(BALANCE_N1!$A$2:$A$70,"183*",BALANCE_N1!$G$2:$G$70)-SUMIF(BALANCE_N1!$A$2:$A$70,"183*",BALANCE_N1!$F$2:$F$70)+SUMIF(BALANCE_N1!$A$2:$A$70,"181*",BALANCE_N1!$G$2:$G$70)-SUMIF(BALANCE_N1!$A$2:$A$70,"181*",BALANCE_N1!$F$2:$F$70)+SUMIF(BALANCE_N1!$A$2:$A$70,"182*",BALANCE_N1!$G$2:$G$70)-SUMIF(BALANCE_N1!$A$2:$A$70,"182*",BALANCE_N1!$F$2:$F$70)</f>
        <v/>
      </c>
      <c r="D15" s="2130" t="n"/>
      <c r="E15" s="2130" t="n"/>
      <c r="F15" s="2130" t="n"/>
      <c r="G15" s="2130" t="n"/>
      <c r="H15" s="2131" t="n"/>
    </row>
    <row r="16" ht="12.5" customHeight="1" s="1354">
      <c r="A16" s="2102" t="inlineStr">
        <is>
          <t>Comptes permanents bloqués des établissements et succursales</t>
        </is>
      </c>
      <c r="B16" s="2807">
        <f>SUMIF(BALANCE!$A$2:$A$70,"184*",BALANCE!$G$2:$G$70)-SUMIF(BALANCE!$A$2:$A$70,"184*",BALANCE!$F$2:$F$70)</f>
        <v/>
      </c>
      <c r="C16" s="2807">
        <f>SUMIF(BALANCE_N1!$A$2:$A$70,"184*",BALANCE_N1!$G$2:$G$70)-SUMIF(BALANCE_N1!$A$2:$A$70,"184*",BALANCE_N1!$F$2:$F$70)</f>
        <v/>
      </c>
      <c r="D16" s="2133" t="n"/>
      <c r="E16" s="2133" t="n"/>
      <c r="F16" s="2133" t="n"/>
      <c r="G16" s="2133" t="n"/>
      <c r="H16" s="2134" t="n"/>
    </row>
    <row r="17" ht="12.5" customHeight="1" s="1354">
      <c r="A17" s="2104" t="inlineStr">
        <is>
          <t>TOTAL EMPRUNTS ET DETTES FINANCIERES</t>
        </is>
      </c>
      <c r="B17" s="1897">
        <f>SUM(B7:B16)</f>
        <v/>
      </c>
      <c r="C17" s="1897">
        <f>SUM(C7:C16)</f>
        <v/>
      </c>
      <c r="D17" s="1897">
        <f>SUM(D7:D16)</f>
        <v/>
      </c>
      <c r="E17" s="1897">
        <f>SUM(E7:E16)</f>
        <v/>
      </c>
      <c r="F17" s="1897">
        <f>SUM(F7:F16)</f>
        <v/>
      </c>
      <c r="G17" s="1897">
        <f>SUM(G7:G16)</f>
        <v/>
      </c>
      <c r="H17" s="1897">
        <f>SUM(H7:H16)</f>
        <v/>
      </c>
    </row>
    <row r="18" ht="12" customHeight="1" s="1354">
      <c r="A18" s="2096" t="n"/>
      <c r="B18" s="1768" t="n"/>
      <c r="C18" s="1768" t="n"/>
      <c r="D18" s="1768" t="n"/>
      <c r="E18" s="1768" t="n"/>
      <c r="F18" s="1768" t="n"/>
      <c r="G18" s="1768" t="n"/>
      <c r="H18" s="1769" t="n"/>
    </row>
    <row r="19" ht="12" customHeight="1" s="1354">
      <c r="A19" s="2099" t="inlineStr">
        <is>
          <t>Crédit-bail immobilier</t>
        </is>
      </c>
      <c r="B19" s="2806">
        <f>SUMIF(BALANCE!$A$2:$A$70,"172*",BALANCE!$G$2:$G$70)-SUMIF(BALANCE!$A$2:$A$70,"172*",BALANCE!$F$2:$F$70)</f>
        <v/>
      </c>
      <c r="C19" s="2806">
        <f>SUMIF(BALANCE_N1!$A$2:$A$70,"172*",BALANCE_N1!$G$2:$G$70)-SUMIF(BALANCE_N1!$A$2:$A$70,"172*",BALANCE_N1!$F$2:$F$70)</f>
        <v/>
      </c>
      <c r="D19" s="2130" t="n"/>
      <c r="E19" s="2130" t="n"/>
      <c r="F19" s="2130" t="n"/>
      <c r="G19" s="2130" t="n"/>
      <c r="H19" s="2131" t="n"/>
    </row>
    <row r="20" ht="12" customHeight="1" s="1354">
      <c r="A20" s="2099" t="inlineStr">
        <is>
          <t>Crédit-bail mobilier</t>
        </is>
      </c>
      <c r="B20" s="2806">
        <f>SUMIF(BALANCE!$A$2:$A$70,"173*",BALANCE!$G$2:$G$70)-SUMIF(BALANCE!$A$2:$A$70,"173*",BALANCE!$F$2:$F$70)</f>
        <v/>
      </c>
      <c r="C20" s="2806">
        <f>SUMIF(BALANCE_N1!$A$2:$A$70,"173*",BALANCE_N1!$G$2:$G$70)-SUMIF(BALANCE_N1!$A$2:$A$70,"173*",BALANCE_N1!$F$2:$F$70)</f>
        <v/>
      </c>
      <c r="D20" s="2130" t="n"/>
      <c r="E20" s="2130" t="n"/>
      <c r="F20" s="2130" t="n"/>
      <c r="G20" s="2130" t="n"/>
      <c r="H20" s="2131" t="n"/>
    </row>
    <row r="21" ht="12" customHeight="1" s="1354">
      <c r="A21" s="2099" t="inlineStr">
        <is>
          <t>Location-vente</t>
        </is>
      </c>
      <c r="B21" s="2806">
        <f>SUMIF(BALANCE!$A$2:$A$70,"174*",BALANCE!$G$2:$G$70)-SUMIF(BALANCE!$A$2:$A$70,"174*",BALANCE!$F$2:$F$70)</f>
        <v/>
      </c>
      <c r="C21" s="2806">
        <f>SUMIF(BALANCE_N1!$A$2:$A$70,"174*",BALANCE_N1!$G$2:$G$70)-SUMIF(BALANCE_N1!$A$2:$A$70,"174*",BALANCE_N1!$F$2:$F$70)</f>
        <v/>
      </c>
      <c r="D21" s="2130" t="n"/>
      <c r="E21" s="2130" t="n"/>
      <c r="F21" s="2130" t="n"/>
      <c r="G21" s="2130" t="n"/>
      <c r="H21" s="2131" t="n"/>
    </row>
    <row r="22" ht="12" customHeight="1" s="1354">
      <c r="A22" s="2099" t="inlineStr">
        <is>
          <t>Intérêts courus</t>
        </is>
      </c>
      <c r="B22" s="2806">
        <f>SUMIF(BALANCE!$A$2:$A$70,"176*",BALANCE!$G$2:$G$70)-SUMIF(BALANCE!$A$2:$A$70,"176*",BALANCE!$F$2:$F$70)</f>
        <v/>
      </c>
      <c r="C22" s="2806">
        <f>SUMIF(BALANCE_N1!$A$2:$A$70,"176*",BALANCE_N1!$G$2:$G$70)-SUMIF(BALANCE_N1!$A$2:$A$70,"176*",BALANCE_N1!$F$2:$F$70)</f>
        <v/>
      </c>
      <c r="D22" s="2130" t="n"/>
      <c r="E22" s="2130" t="n"/>
      <c r="F22" s="2130" t="n"/>
      <c r="G22" s="2130" t="n"/>
      <c r="H22" s="2131" t="n"/>
    </row>
    <row r="23" ht="12.5" customHeight="1" s="1354">
      <c r="A23" s="2102" t="inlineStr">
        <is>
          <t>Autres dettes de location acquisition</t>
        </is>
      </c>
      <c r="B23" s="2807">
        <f>SUMIF(BALANCE!$A$2:$A$70,"178*",BALANCE!$G$2:$G$70)-SUMIF(BALANCE!$A$2:$A$70,"178*",BALANCE!$F$2:$F$70)</f>
        <v/>
      </c>
      <c r="C23" s="2807">
        <f>SUMIF(BALANCE_N1!$A$2:$A$70,"178*",BALANCE_N1!$G$2:$G$70)-SUMIF(BALANCE_N1!$A$2:$A$70,"178*",BALANCE_N1!$F$2:$F$70)</f>
        <v/>
      </c>
      <c r="D23" s="2133" t="n"/>
      <c r="E23" s="2133" t="n"/>
      <c r="F23" s="2133" t="n"/>
      <c r="G23" s="2133" t="n"/>
      <c r="H23" s="2134" t="n"/>
    </row>
    <row r="24" ht="12.5" customHeight="1" s="1354">
      <c r="A24" s="2104" t="inlineStr">
        <is>
          <t xml:space="preserve">TOTAL DETTES DE LOCATION ACQUISITION </t>
        </is>
      </c>
      <c r="B24" s="2809">
        <f>SUM(B19:B23)</f>
        <v/>
      </c>
      <c r="C24" s="2809">
        <f>SUM(C19:C23)</f>
        <v/>
      </c>
      <c r="D24" s="1762" t="n"/>
      <c r="E24" s="1762" t="n"/>
      <c r="F24" s="1762" t="n"/>
      <c r="G24" s="1762" t="n"/>
      <c r="H24" s="1763" t="n"/>
    </row>
    <row r="25" ht="12" customHeight="1" s="1354">
      <c r="A25" s="2096" t="n"/>
      <c r="B25" s="1768" t="n"/>
      <c r="C25" s="1768" t="n"/>
      <c r="D25" s="1768" t="n"/>
      <c r="E25" s="1768" t="n"/>
      <c r="F25" s="2224" t="n"/>
      <c r="G25" s="2224" t="n"/>
      <c r="H25" s="2316" t="n"/>
    </row>
    <row r="26" ht="12" customHeight="1" s="1354">
      <c r="A26" s="2099" t="inlineStr">
        <is>
          <t>Provisions pour litiges</t>
        </is>
      </c>
      <c r="B26" s="2806">
        <f>SUMIF(BALANCE!$A$2:$A$70,"191*",BALANCE!$G$2:$G$70)-SUMIF(BALANCE!$A$2:$A$70,"191*",BALANCE!$F$2:$F$70)</f>
        <v/>
      </c>
      <c r="C26" s="2806">
        <f>SUMIF(BALANCE_N1!$A$2:$A$70,"191*",BALANCE_N1!$G$2:$G$70)-SUMIF(BALANCE_N1!$A$2:$A$70,"191*",BALANCE_N1!$F$2:$F$70)</f>
        <v/>
      </c>
      <c r="D26" s="2130">
        <f>B26-C26</f>
        <v/>
      </c>
      <c r="E26" s="2130" t="n">
        <v>0</v>
      </c>
      <c r="F26" s="2317" t="n"/>
      <c r="G26" s="2317" t="n"/>
      <c r="H26" s="2318" t="n"/>
    </row>
    <row r="27" ht="12" customHeight="1" s="1354">
      <c r="A27" s="2099" t="inlineStr">
        <is>
          <t>Provisions pour garantie donnés aux clients</t>
        </is>
      </c>
      <c r="B27" s="2806">
        <f>SUMIF(BALANCE!$A$2:$A$70,"192*",BALANCE!$G$2:$G$70)-SUMIF(BALANCE!$A$2:$A$70,"192*",BALANCE!$F$2:$F$70)</f>
        <v/>
      </c>
      <c r="C27" s="2806">
        <f>SUMIF(BALANCE_N1!$A$2:$A$70,"192*",BALANCE_N1!$G$2:$G$70)-SUMIF(BALANCE_N1!$A$2:$A$70,"192*",BALANCE_N1!$F$2:$F$70)</f>
        <v/>
      </c>
      <c r="D27" s="2130" t="n"/>
      <c r="E27" s="2130" t="n"/>
      <c r="F27" s="2317" t="n"/>
      <c r="G27" s="2317" t="n"/>
      <c r="H27" s="2318" t="n"/>
    </row>
    <row r="28" ht="12" customHeight="1" s="1354">
      <c r="A28" s="2099" t="inlineStr">
        <is>
          <t>Provisions pour pertes sur marchés à achèvement futur</t>
        </is>
      </c>
      <c r="B28" s="2806">
        <f>SUMIF(BALANCE!$A$2:$A$70,"193*",BALANCE!$G$2:$G$70)-SUMIF(BALANCE!$A$2:$A$70,"193*",BALANCE!$F$2:$F$70)</f>
        <v/>
      </c>
      <c r="C28" s="2806">
        <f>SUMIF(BALANCE_N1!$A$2:$A$70,"193*",BALANCE_N1!$G$2:$G$70)-SUMIF(BALANCE_N1!$A$2:$A$70,"193*",BALANCE_N1!$F$2:$F$70)</f>
        <v/>
      </c>
      <c r="D28" s="2130" t="n"/>
      <c r="E28" s="2130" t="n"/>
      <c r="F28" s="2317" t="n"/>
      <c r="G28" s="2317" t="n"/>
      <c r="H28" s="2318" t="n"/>
    </row>
    <row r="29" ht="12" customHeight="1" s="1354">
      <c r="A29" s="2099" t="inlineStr">
        <is>
          <t>Provisions pour pertes de change</t>
        </is>
      </c>
      <c r="B29" s="2806">
        <f>SUMIF(BALANCE!$A$2:$A$70,"194*",BALANCE!$G$2:$G$70)-SUMIF(BALANCE!$A$2:$A$70,"194*",BALANCE!$F$2:$F$70)</f>
        <v/>
      </c>
      <c r="C29" s="2806">
        <f>SUMIF(BALANCE_N1!$A$2:$A$70,"194*",BALANCE_N1!$G$2:$G$70)-SUMIF(BALANCE_N1!$A$2:$A$70,"194*",BALANCE_N1!$F$2:$F$70)</f>
        <v/>
      </c>
      <c r="D29" s="2130" t="n"/>
      <c r="E29" s="2130" t="n"/>
      <c r="F29" s="2317" t="n"/>
      <c r="G29" s="2317" t="n"/>
      <c r="H29" s="2318" t="n"/>
    </row>
    <row r="30" ht="12" customHeight="1" s="1354">
      <c r="A30" s="2099" t="inlineStr">
        <is>
          <t>Provisions pour impôts</t>
        </is>
      </c>
      <c r="B30" s="2806">
        <f>SUMIF(BALANCE!$A$2:$A$70,"195*",BALANCE!$G$2:$G$70)-SUMIF(BALANCE!$A$2:$A$70,"195*",BALANCE!$F$2:$F$70)</f>
        <v/>
      </c>
      <c r="C30" s="2806">
        <f>SUMIF(BALANCE_N1!$A$2:$A$70,"195*",BALANCE_N1!$G$2:$G$70)-SUMIF(BALANCE_N1!$A$2:$A$70,"195*",BALANCE_N1!$F$2:$F$70)</f>
        <v/>
      </c>
      <c r="D30" s="2130" t="n"/>
      <c r="E30" s="2130" t="n"/>
      <c r="F30" s="2317" t="n"/>
      <c r="G30" s="2317" t="n"/>
      <c r="H30" s="2318" t="n"/>
    </row>
    <row r="31" ht="12" customHeight="1" s="1354">
      <c r="A31" s="2099" t="inlineStr">
        <is>
          <t>Provisions pour pensions et obligations assimilées</t>
        </is>
      </c>
      <c r="B31" s="2806">
        <f>SUMIF(BALANCE!$A$2:$A$70,"196*",BALANCE!$G$2:$G$70)-SUMIF(BALANCE!$A$2:$A$70,"196*",BALANCE!$F$2:$F$70)</f>
        <v/>
      </c>
      <c r="C31" s="2806">
        <f>SUMIF(BALANCE_N1!$A$2:$A$70,"196*",BALANCE_N1!$G$2:$G$70)-SUMIF(BALANCE_N1!$A$2:$A$70,"196*",BALANCE_N1!$F$2:$F$70)</f>
        <v/>
      </c>
      <c r="D31" s="2130" t="n"/>
      <c r="E31" s="2130" t="n"/>
      <c r="F31" s="2317" t="n"/>
      <c r="G31" s="2317" t="n"/>
      <c r="H31" s="2318" t="n"/>
    </row>
    <row r="32" ht="12" customHeight="1" s="1354">
      <c r="A32" s="2099" t="inlineStr">
        <is>
          <t>Actif du régime de retraite</t>
        </is>
      </c>
      <c r="B32" s="2130" t="n"/>
      <c r="C32" s="2130" t="n"/>
      <c r="D32" s="2130" t="n"/>
      <c r="E32" s="2130" t="n"/>
      <c r="F32" s="2317" t="n"/>
      <c r="G32" s="2317" t="n"/>
      <c r="H32" s="2318" t="n"/>
    </row>
    <row r="33" ht="12" customHeight="1" s="1354">
      <c r="A33" s="2099" t="inlineStr">
        <is>
          <t xml:space="preserve">Provisions pour restructuration </t>
        </is>
      </c>
      <c r="B33" s="2806">
        <f>SUMIF(BALANCE!$A$2:$A$70,"197*",BALANCE!$G$2:$G$70)-SUMIF(BALANCE!$A$2:$A$70,"197*",BALANCE!$F$2:$F$70)</f>
        <v/>
      </c>
      <c r="C33" s="2806">
        <f>SUMIF(BALANCE_N1!$A$2:$A$70,"197*",BALANCE_N1!$G$2:$G$70)-SUMIF(BALANCE_N1!$A$2:$A$70,"197*",BALANCE_N1!$F$2:$F$70)</f>
        <v/>
      </c>
      <c r="D33" s="2130" t="n"/>
      <c r="E33" s="2130" t="n"/>
      <c r="F33" s="2317" t="n"/>
      <c r="G33" s="2317" t="n"/>
      <c r="H33" s="2318" t="n"/>
    </row>
    <row r="34" ht="12" customHeight="1" s="1354">
      <c r="A34" s="2099" t="inlineStr">
        <is>
          <t>Provisions pour amendes et pénalités</t>
        </is>
      </c>
      <c r="B34" s="2130" t="n"/>
      <c r="C34" s="2130" t="n"/>
      <c r="D34" s="2130" t="n"/>
      <c r="E34" s="2130" t="n"/>
      <c r="F34" s="2317" t="n"/>
      <c r="G34" s="2317" t="n"/>
      <c r="H34" s="2318" t="n"/>
    </row>
    <row r="35" ht="12" customHeight="1" s="1354">
      <c r="A35" s="2099" t="inlineStr">
        <is>
          <t>Provisions de propre assureur</t>
        </is>
      </c>
      <c r="B35" s="2130" t="n"/>
      <c r="C35" s="2130" t="n"/>
      <c r="D35" s="2130" t="n"/>
      <c r="E35" s="2130" t="n"/>
      <c r="F35" s="2317" t="n"/>
      <c r="G35" s="2317" t="n"/>
      <c r="H35" s="2318" t="n"/>
    </row>
    <row r="36" ht="12" customHeight="1" s="1354">
      <c r="A36" s="2099" t="inlineStr">
        <is>
          <t>Provisions pour démantèlement et remise en état</t>
        </is>
      </c>
      <c r="B36" s="2130" t="n"/>
      <c r="C36" s="2130" t="n"/>
      <c r="D36" s="2130" t="n"/>
      <c r="E36" s="2130" t="n"/>
      <c r="F36" s="2317" t="n"/>
      <c r="G36" s="2317" t="n"/>
      <c r="H36" s="2318" t="n"/>
    </row>
    <row r="37" ht="12" customHeight="1" s="1354">
      <c r="A37" s="2099" t="inlineStr">
        <is>
          <t>Provisions de droits à déduction</t>
        </is>
      </c>
      <c r="B37" s="2130" t="n"/>
      <c r="C37" s="2130" t="n"/>
      <c r="D37" s="2130" t="n"/>
      <c r="E37" s="2130" t="n"/>
      <c r="F37" s="2317" t="n"/>
      <c r="G37" s="2317" t="n"/>
      <c r="H37" s="2318" t="n"/>
    </row>
    <row r="38" ht="12.5" customHeight="1" s="1354">
      <c r="A38" s="2102" t="inlineStr">
        <is>
          <t>Autres provisions</t>
        </is>
      </c>
      <c r="B38" s="2807">
        <f>SUMIF(BALANCE!$A$2:$A$70,"198*",BALANCE!$G$2:$G$70)-SUMIF(BALANCE!$A$2:$A$70,"198*",BALANCE!$F$2:$F$70)</f>
        <v/>
      </c>
      <c r="C38" s="2807">
        <f>SUMIF(BALANCE_N1!$A$2:$A$70,"198*",BALANCE_N1!$G$2:$G$70)-SUMIF(BALANCE_N1!$A$2:$A$70,"198*",BALANCE_N1!$F$2:$F$70)</f>
        <v/>
      </c>
      <c r="D38" s="2133" t="n"/>
      <c r="E38" s="2133" t="n"/>
      <c r="F38" s="2319" t="n"/>
      <c r="G38" s="2319" t="n"/>
      <c r="H38" s="2320" t="n"/>
    </row>
    <row r="39" ht="12.5" customHeight="1" s="1354">
      <c r="A39" s="2104" t="inlineStr">
        <is>
          <t>TOTAL PROVISIONS POUR RISQUES ET CHARGES</t>
        </is>
      </c>
      <c r="B39" s="1897">
        <f>SUM(B26:B38)</f>
        <v/>
      </c>
      <c r="C39" s="1897">
        <f>SUM(C26:C38)</f>
        <v/>
      </c>
      <c r="D39" s="1897">
        <f>SUM(D26:D38)</f>
        <v/>
      </c>
      <c r="E39" s="1897">
        <f>SUM(E26:E38)</f>
        <v/>
      </c>
      <c r="F39" s="2321" t="n"/>
      <c r="G39" s="2321" t="n"/>
      <c r="H39" s="2322" t="n"/>
    </row>
    <row r="40" ht="12" customHeight="1" s="1354">
      <c r="A40" s="1642" t="inlineStr">
        <is>
          <t>Commentaire :</t>
        </is>
      </c>
    </row>
    <row r="41" ht="15.75" customHeight="1" s="1354">
      <c r="A41" s="2323" t="inlineStr">
        <is>
          <t xml:space="preserve">Pour chaque emprunt et dette de location acquisition: mentionner la date d'octroi,  le nom de l'organisme financier, le montant initial de l'emprunt ou de la dette, la durée  du crédit, les garanties données par la société. 
Indiquer  les événements et circonstances qui ont conduit à la provision et à la reprise. Pour les pensions et obligations de retraite indiquer : 
• indiquer la méthode d'évaluation retenue ; 
• pour les actifs du régime, indiquer le nom de la compagnie d'assurance ou du fonds de pension, le descriptif de la convention signée avec l'organisme, la périodicité des versements, le montant et la durée de la convention ; 
• indication de la valeur retenue pour les principales hypothèses actuarielle à la date de clôture et leur base de détermination. 
</t>
        </is>
      </c>
      <c r="I41" s="2324" t="n"/>
      <c r="J41" s="2324" t="n"/>
      <c r="K41" s="2324" t="n"/>
    </row>
    <row r="42" ht="12" customHeight="1" s="1354">
      <c r="I42" s="2324" t="n"/>
      <c r="J42" s="2324" t="n"/>
      <c r="K42" s="2324" t="n"/>
    </row>
    <row r="43" ht="12" customHeight="1" s="1354">
      <c r="I43" s="2324" t="n"/>
      <c r="J43" s="2324" t="n"/>
      <c r="K43" s="2324" t="n"/>
    </row>
    <row r="44" ht="12" customHeight="1" s="1354">
      <c r="I44" s="2324" t="n"/>
      <c r="J44" s="2324" t="n"/>
      <c r="K44" s="2324" t="n"/>
    </row>
    <row r="45" ht="12" customHeight="1" s="1354">
      <c r="I45" s="2324" t="n"/>
      <c r="J45" s="2324" t="n"/>
      <c r="K45" s="2324" t="n"/>
    </row>
    <row r="46" ht="12" customHeight="1" s="1354">
      <c r="I46" s="2324" t="n"/>
      <c r="J46" s="2324" t="n"/>
      <c r="K46" s="2324" t="n"/>
    </row>
    <row r="47" ht="12" customHeight="1" s="1354">
      <c r="I47" s="2324" t="n"/>
      <c r="J47" s="2324" t="n"/>
      <c r="K47" s="2324" t="n"/>
    </row>
    <row r="48" ht="12" customHeight="1" s="1354">
      <c r="I48" s="2324" t="n"/>
      <c r="J48" s="2324" t="n"/>
      <c r="K48" s="2324" t="n"/>
    </row>
  </sheetData>
  <mergeCells count="2">
    <mergeCell ref="A41:H48"/>
    <mergeCell ref="A5:H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B50" activeCellId="0" sqref="B50"/>
    </sheetView>
  </sheetViews>
  <sheetFormatPr baseColWidth="8" defaultColWidth="10.8125" defaultRowHeight="12" zeroHeight="0" outlineLevelRow="0"/>
  <cols>
    <col width="100.26" customWidth="1" style="1583" min="1" max="1"/>
    <col width="19.44" customWidth="1" style="1583" min="2" max="2"/>
    <col width="18.99" customWidth="1" style="1583" min="3" max="3"/>
    <col width="17.17" customWidth="1" style="1583" min="4" max="4"/>
    <col width="17.72" customWidth="1" style="1583" min="5" max="5"/>
    <col width="10.81" customWidth="1" style="1583" min="6" max="257"/>
  </cols>
  <sheetData>
    <row r="1"/>
    <row r="2"/>
    <row r="3"/>
    <row r="4"/>
    <row r="5" ht="13" customFormat="1" customHeight="1" s="1577">
      <c r="A5" s="1748" t="inlineStr">
        <is>
          <t>Désignation entité : ENTREPRISE TEST SARL</t>
        </is>
      </c>
      <c r="B5" s="1591" t="inlineStr">
        <is>
          <t>Exercice clos le : 31/12/2025</t>
        </is>
      </c>
      <c r="C5" s="1578" t="n"/>
    </row>
    <row r="6" ht="13" customFormat="1" customHeight="1" s="1577">
      <c r="A6" s="1749" t="inlineStr">
        <is>
          <t>Numéro d’identification : CD/KNG/RCCM/23-B-01234</t>
        </is>
      </c>
      <c r="B6" s="1591" t="inlineStr">
        <is>
          <t>Durée (en mois) : 12</t>
        </is>
      </c>
      <c r="C6" s="1582" t="n"/>
    </row>
    <row r="7" ht="14" customHeight="1" s="1354">
      <c r="A7" s="2002" t="inlineStr">
        <is>
          <t xml:space="preserve"> NOTE 16B </t>
        </is>
      </c>
      <c r="D7" s="2002" t="n"/>
      <c r="E7" s="2002" t="n"/>
    </row>
    <row r="8" ht="14.5" customHeight="1" s="1354">
      <c r="A8" s="1966" t="inlineStr">
        <is>
          <t xml:space="preserve">ENGAGEMENTS DE RETRAITE ET AVANTAGES ASSIMILES </t>
        </is>
      </c>
      <c r="E8" s="1966" t="n"/>
    </row>
    <row r="9" ht="12" customHeight="1" s="1354">
      <c r="A9" s="2325" t="inlineStr">
        <is>
          <t>HYPOTHESES ACTUARIELLES</t>
        </is>
      </c>
      <c r="B9" s="2326" t="n"/>
      <c r="C9" s="2327" t="n"/>
    </row>
    <row r="10" ht="12.5" customHeight="1" s="1354">
      <c r="A10" s="2328" t="inlineStr">
        <is>
          <t xml:space="preserve">Libellés </t>
        </is>
      </c>
      <c r="B10" s="2329" t="inlineStr">
        <is>
          <t xml:space="preserve">Année N </t>
        </is>
      </c>
      <c r="C10" s="2330" t="inlineStr">
        <is>
          <t xml:space="preserve">Année N-1 </t>
        </is>
      </c>
    </row>
    <row r="11" ht="12" customHeight="1" s="1354">
      <c r="A11" s="2096" t="inlineStr">
        <is>
          <t xml:space="preserve">Taux d'augmentation des salaires </t>
        </is>
      </c>
      <c r="B11" s="2331" t="n"/>
      <c r="C11" s="2332" t="n"/>
    </row>
    <row r="12" ht="12" customHeight="1" s="1354">
      <c r="A12" s="2099" t="inlineStr">
        <is>
          <t xml:space="preserve">Taux d'actualisation </t>
        </is>
      </c>
      <c r="B12" s="2333" t="n"/>
      <c r="C12" s="2334" t="n"/>
    </row>
    <row r="13" ht="12" customHeight="1" s="1354">
      <c r="A13" s="2099" t="inlineStr">
        <is>
          <t xml:space="preserve">Taux d'inflation </t>
        </is>
      </c>
      <c r="B13" s="2333" t="n"/>
      <c r="C13" s="2334" t="n"/>
    </row>
    <row r="14" ht="12" customHeight="1" s="1354">
      <c r="A14" s="2099" t="inlineStr">
        <is>
          <t xml:space="preserve">Probabilité d'être présent dans l'entité à la date de départ à la retraite (expérience passée) </t>
        </is>
      </c>
      <c r="B14" s="2333" t="n"/>
      <c r="C14" s="2334" t="n"/>
    </row>
    <row r="15" ht="12" customHeight="1" s="1354">
      <c r="A15" s="2099" t="inlineStr">
        <is>
          <t xml:space="preserve">Probabilité d'être en vie à l'âge de départ à la retraite (table de mortalité) </t>
        </is>
      </c>
      <c r="B15" s="2333" t="n"/>
      <c r="C15" s="2334" t="n"/>
    </row>
    <row r="16" ht="12.5" customHeight="1" s="1354">
      <c r="A16" s="2335" t="inlineStr">
        <is>
          <t xml:space="preserve">Taux de rendement effectif des actifs du régime </t>
        </is>
      </c>
      <c r="B16" s="2336" t="n"/>
      <c r="C16" s="2337" t="n"/>
    </row>
    <row r="17" ht="12" customHeight="1" s="1354">
      <c r="A17" s="2338" t="inlineStr">
        <is>
          <t xml:space="preserve">Commentaire :  </t>
        </is>
      </c>
    </row>
    <row r="18" ht="36" customHeight="1" s="1354">
      <c r="A18" s="2339" t="inlineStr">
        <is>
          <t xml:space="preserve">•       Commenter les variations d'hypothèses actuarielles utilisées pour le calcul des engagements de retraite et avantages assimilés. </t>
        </is>
      </c>
      <c r="D18" s="2339" t="n"/>
      <c r="E18" s="2339" t="n"/>
    </row>
    <row r="19" ht="12.5" customHeight="1" s="1354">
      <c r="A19" s="2340" t="n"/>
    </row>
    <row r="20" ht="45" customHeight="1" s="1354">
      <c r="A20" s="1752" t="inlineStr">
        <is>
          <t xml:space="preserve">VARIATION DE LA VALEUR DE L'ENGAGEMENT DE RETRAITE  AU COURS DE L'EXERCICE </t>
        </is>
      </c>
      <c r="B20" s="1753" t="n"/>
      <c r="C20" s="1754" t="n"/>
    </row>
    <row r="21" ht="12.5" customHeight="1" s="1354">
      <c r="A21" s="2003" t="inlineStr">
        <is>
          <t xml:space="preserve">Libellés </t>
        </is>
      </c>
      <c r="B21" s="2004" t="inlineStr">
        <is>
          <t xml:space="preserve">Année N </t>
        </is>
      </c>
      <c r="C21" s="2006" t="inlineStr">
        <is>
          <t xml:space="preserve">Année N-1 </t>
        </is>
      </c>
    </row>
    <row r="22" ht="12" customHeight="1" s="1354">
      <c r="A22" s="2341" t="inlineStr">
        <is>
          <t xml:space="preserve">Obligation au titre des engagements de retraite  à l'ouverture </t>
        </is>
      </c>
      <c r="B22" s="2342" t="n"/>
      <c r="C22" s="2343" t="n"/>
    </row>
    <row r="23" ht="12" customHeight="1" s="1354">
      <c r="A23" s="2099" t="inlineStr">
        <is>
          <t xml:space="preserve">Coût des services rendus au cours de l'exercice </t>
        </is>
      </c>
      <c r="B23" s="2344" t="n"/>
      <c r="C23" s="2345" t="n"/>
    </row>
    <row r="24" ht="12" customHeight="1" s="1354">
      <c r="A24" s="2099" t="inlineStr">
        <is>
          <t xml:space="preserve">Coût financier </t>
        </is>
      </c>
      <c r="B24" s="2344" t="n"/>
      <c r="C24" s="2345" t="n"/>
    </row>
    <row r="25" ht="12" customHeight="1" s="1354">
      <c r="A25" s="2099" t="inlineStr">
        <is>
          <t xml:space="preserve">Pertes actuarielles / (gain) </t>
        </is>
      </c>
      <c r="B25" s="2344" t="n"/>
      <c r="C25" s="2345" t="n"/>
    </row>
    <row r="26" ht="12" customHeight="1" s="1354">
      <c r="A26" s="2099" t="inlineStr">
        <is>
          <t xml:space="preserve">Prestations payées au cours de l'exercice </t>
        </is>
      </c>
      <c r="B26" s="2344" t="n"/>
      <c r="C26" s="2345" t="n"/>
    </row>
    <row r="27" ht="12.5" customHeight="1" s="1354">
      <c r="A27" s="2102" t="inlineStr">
        <is>
          <t xml:space="preserve">Coût des services passés </t>
        </is>
      </c>
      <c r="B27" s="2346" t="n"/>
      <c r="C27" s="2347" t="n"/>
    </row>
    <row r="28" ht="12.5" customHeight="1" s="1354">
      <c r="A28" s="2104" t="inlineStr">
        <is>
          <t xml:space="preserve">Obligation au titre des engagements de retraite à la clôture </t>
        </is>
      </c>
      <c r="B28" s="2348" t="n"/>
      <c r="C28" s="2349" t="n"/>
    </row>
    <row r="29" ht="12" customHeight="1" s="1354">
      <c r="A29" s="2350" t="n"/>
      <c r="B29" s="2351" t="n"/>
      <c r="C29" s="2352" t="n"/>
    </row>
    <row r="30" ht="12" customHeight="1" s="1354">
      <c r="A30" s="2338" t="inlineStr">
        <is>
          <t xml:space="preserve">Commentaire :  </t>
        </is>
      </c>
    </row>
    <row r="31" ht="12" customHeight="1" s="1354">
      <c r="A31" s="2353" t="inlineStr">
        <is>
          <t xml:space="preserve">•       Indiquer le montant de la charge par nature comptabilisée au cours de l'exercice  </t>
        </is>
      </c>
    </row>
    <row r="32" ht="12.5" customHeight="1" s="1354">
      <c r="A32" s="2353" t="n"/>
    </row>
    <row r="33" ht="30" customHeight="1" s="1354">
      <c r="A33" s="1752" t="inlineStr">
        <is>
          <t xml:space="preserve">ANALYSE DE SENSIBILITE DES HYPOTHESES ACTUARIELLES </t>
        </is>
      </c>
      <c r="B33" s="1753" t="n"/>
      <c r="C33" s="1753" t="n"/>
      <c r="D33" s="1753" t="n"/>
      <c r="E33" s="1754" t="n"/>
    </row>
    <row r="34" ht="12.5" customHeight="1" s="1354">
      <c r="A34" s="2354" t="inlineStr">
        <is>
          <t xml:space="preserve">Libellés </t>
        </is>
      </c>
      <c r="B34" s="2355" t="inlineStr">
        <is>
          <t xml:space="preserve">Année N </t>
        </is>
      </c>
      <c r="C34" s="2231" t="n"/>
      <c r="D34" s="2356" t="inlineStr">
        <is>
          <t xml:space="preserve">Année N-1 </t>
        </is>
      </c>
      <c r="E34" s="1754" t="n"/>
    </row>
    <row r="35" ht="12" customHeight="1" s="1354">
      <c r="A35" s="2357" t="inlineStr">
        <is>
          <t>  </t>
        </is>
      </c>
      <c r="B35" s="2358" t="inlineStr">
        <is>
          <t xml:space="preserve">Augmentation </t>
        </is>
      </c>
      <c r="C35" s="2358" t="inlineStr">
        <is>
          <t xml:space="preserve">Diminution </t>
        </is>
      </c>
      <c r="D35" s="2358" t="inlineStr">
        <is>
          <t xml:space="preserve">Augmentation </t>
        </is>
      </c>
      <c r="E35" s="2359" t="inlineStr">
        <is>
          <t xml:space="preserve">Diminution </t>
        </is>
      </c>
    </row>
    <row r="36" ht="12" customHeight="1" s="1354">
      <c r="A36" s="2099" t="inlineStr">
        <is>
          <t xml:space="preserve">Taux d'actualisation </t>
        </is>
      </c>
      <c r="B36" s="2333" t="n"/>
      <c r="C36" s="2333" t="n"/>
      <c r="D36" s="2333" t="n"/>
      <c r="E36" s="2334" t="n"/>
    </row>
    <row r="37" ht="12" customHeight="1" s="1354">
      <c r="A37" s="2099" t="inlineStr">
        <is>
          <t xml:space="preserve">(variation de ...%) </t>
        </is>
      </c>
      <c r="B37" s="2360" t="n"/>
      <c r="C37" s="2360" t="n"/>
      <c r="D37" s="2360" t="n"/>
      <c r="E37" s="2361" t="n"/>
    </row>
    <row r="38" ht="12" customHeight="1" s="1354">
      <c r="A38" s="2099" t="inlineStr">
        <is>
          <t xml:space="preserve">Taux de progression des salaires         (variation de ...%) </t>
        </is>
      </c>
      <c r="B38" s="2333" t="n"/>
      <c r="C38" s="2333" t="n"/>
      <c r="D38" s="2333" t="n"/>
      <c r="E38" s="2334" t="n"/>
    </row>
    <row r="39" ht="12.5" customHeight="1" s="1354">
      <c r="A39" s="2335" t="inlineStr">
        <is>
          <t xml:space="preserve">Taux de départ du personnel                 (variation de ...%) </t>
        </is>
      </c>
      <c r="B39" s="2336" t="n"/>
      <c r="C39" s="2336" t="n"/>
      <c r="D39" s="2336" t="n"/>
      <c r="E39" s="2337" t="n"/>
    </row>
    <row r="40" ht="12" customHeight="1" s="1354">
      <c r="A40" s="2212" t="n"/>
    </row>
    <row r="41" ht="12" customHeight="1" s="1354">
      <c r="A41" s="2212" t="inlineStr">
        <is>
          <t xml:space="preserve">Commentaire :  </t>
        </is>
      </c>
    </row>
    <row r="42" ht="12" customHeight="1" s="1354">
      <c r="A42" s="2064" t="inlineStr">
        <is>
          <t xml:space="preserve">•       Indiquer l’impact des variations obtenues sur le montant des engagements de retraite. </t>
        </is>
      </c>
    </row>
    <row r="43" ht="12" customHeight="1" s="1354">
      <c r="A43" s="2064" t="inlineStr">
        <is>
          <t xml:space="preserve">•      clôture et leur base de détermination. </t>
        </is>
      </c>
    </row>
  </sheetData>
  <mergeCells count="13">
    <mergeCell ref="A8:D8"/>
    <mergeCell ref="B36:B37"/>
    <mergeCell ref="D34:E34"/>
    <mergeCell ref="B34:C34"/>
    <mergeCell ref="C36:C37"/>
    <mergeCell ref="A33:E33"/>
    <mergeCell ref="E36:E37"/>
    <mergeCell ref="A18:C18"/>
    <mergeCell ref="D36:D37"/>
    <mergeCell ref="A43:D43"/>
    <mergeCell ref="A7:C7"/>
    <mergeCell ref="A42:D42"/>
    <mergeCell ref="A20:C2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F34"/>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22" activeCellId="0" sqref="B22:E24"/>
    </sheetView>
  </sheetViews>
  <sheetFormatPr baseColWidth="8" defaultColWidth="10.8125" defaultRowHeight="12" zeroHeight="0" outlineLevelRow="0"/>
  <cols>
    <col width="49.44" customWidth="1" style="1583" min="1" max="1"/>
    <col width="10.81" customWidth="1" style="1583" min="2" max="257"/>
  </cols>
  <sheetData>
    <row r="1"/>
    <row r="2"/>
    <row r="3"/>
    <row r="4"/>
    <row r="5" ht="13" customFormat="1" customHeight="1" s="1577">
      <c r="A5" s="1748" t="inlineStr">
        <is>
          <t>Désignation entité : ENTREPRISE TEST SARL</t>
        </is>
      </c>
      <c r="C5" s="1591" t="inlineStr">
        <is>
          <t>Exercice clos le : 31/12/2025</t>
        </is>
      </c>
      <c r="E5" s="1578" t="n"/>
    </row>
    <row r="6" ht="13" customFormat="1" customHeight="1" s="1577">
      <c r="A6" s="1749" t="inlineStr">
        <is>
          <t>Numéro d’identification : CD/KNG/RCCM/23-B-01234</t>
        </is>
      </c>
      <c r="C6" s="1591" t="inlineStr">
        <is>
          <t>Durée (en mois) : 12</t>
        </is>
      </c>
      <c r="E6" s="1582" t="n"/>
    </row>
    <row r="7" ht="12" customHeight="1" s="1354">
      <c r="A7" s="1940" t="n"/>
      <c r="C7" s="1940" t="n"/>
    </row>
    <row r="8" ht="12" customHeight="1" s="1354">
      <c r="A8" s="1822" t="inlineStr">
        <is>
          <t xml:space="preserve"> NOTE 16B bis</t>
        </is>
      </c>
    </row>
    <row r="9" ht="12" customHeight="1" s="1354">
      <c r="A9" s="1963" t="n"/>
    </row>
    <row r="10" ht="12.5" customHeight="1" s="1354">
      <c r="A10" s="2362" t="inlineStr">
        <is>
          <t xml:space="preserve">ENGAGEMENTS DE RETRAITE ET AVANTAGES ASSIMILES  </t>
        </is>
      </c>
      <c r="B10" s="2362" t="n"/>
      <c r="C10" s="2362" t="n"/>
      <c r="D10" s="2362" t="n"/>
      <c r="E10" s="2362" t="n"/>
      <c r="F10" s="2362" t="n"/>
    </row>
    <row r="11" ht="15" customHeight="1" s="1354">
      <c r="A11" s="1752" t="inlineStr">
        <is>
          <t xml:space="preserve">ACTIF/PASSIF NET COMPTABILISE AU TITRE DES REGIMES FINANCES </t>
        </is>
      </c>
      <c r="B11" s="1753" t="n"/>
      <c r="C11" s="1754" t="n"/>
    </row>
    <row r="12" ht="15" customHeight="1" s="1354">
      <c r="A12" s="1831" t="inlineStr">
        <is>
          <t xml:space="preserve">Libellés </t>
        </is>
      </c>
      <c r="B12" s="2144" t="inlineStr">
        <is>
          <t xml:space="preserve">Année N </t>
        </is>
      </c>
      <c r="C12" s="2144" t="inlineStr">
        <is>
          <t xml:space="preserve">Année N-1 </t>
        </is>
      </c>
    </row>
    <row r="13" ht="15" customHeight="1" s="1354">
      <c r="A13" s="1950" t="inlineStr">
        <is>
          <t xml:space="preserve">Valeur actuelle de l'obligation résultant de régimes financés </t>
        </is>
      </c>
      <c r="B13" s="2363" t="n"/>
      <c r="C13" s="2363" t="n"/>
    </row>
    <row r="14" ht="15" customHeight="1" s="1354">
      <c r="A14" s="1950" t="inlineStr">
        <is>
          <t xml:space="preserve">Valeur actuelle des actifs affectés aux plans de retraite </t>
        </is>
      </c>
      <c r="B14" s="2364" t="n"/>
      <c r="C14" s="2364" t="n"/>
    </row>
    <row r="15" ht="15" customHeight="1" s="1354">
      <c r="A15" s="1951" t="inlineStr">
        <is>
          <t xml:space="preserve">Excédent / Déficit de régime </t>
        </is>
      </c>
      <c r="B15" s="2365" t="n"/>
      <c r="C15" s="2365" t="n"/>
    </row>
    <row r="16" ht="12" customHeight="1" s="1354">
      <c r="A16" s="2212" t="inlineStr">
        <is>
          <t xml:space="preserve">Commentaire :  </t>
        </is>
      </c>
    </row>
    <row r="17" ht="12" customHeight="1" s="1354">
      <c r="A17" s="2138" t="inlineStr">
        <is>
          <t>•       Indiquer le montant comptabilisé au passif (ou actif) à la clôture de l'exercice</t>
        </is>
      </c>
    </row>
    <row r="18" ht="12.5" customHeight="1" s="1354">
      <c r="A18" s="2366" t="inlineStr">
        <is>
          <t> </t>
        </is>
      </c>
    </row>
    <row r="19" ht="12.5" customHeight="1" s="1354">
      <c r="A19" s="1752" t="inlineStr">
        <is>
          <t xml:space="preserve">VALEUR ACTUELLE DES ACTIFS DU REGIME </t>
        </is>
      </c>
      <c r="B19" s="1753" t="n"/>
      <c r="C19" s="1753" t="n"/>
      <c r="D19" s="1753" t="n"/>
      <c r="E19" s="1754" t="n"/>
    </row>
    <row r="20" ht="12.5" customHeight="1" s="1354">
      <c r="A20" s="1831" t="inlineStr">
        <is>
          <t xml:space="preserve">Libellés </t>
        </is>
      </c>
      <c r="B20" s="1752" t="inlineStr">
        <is>
          <t xml:space="preserve">Année N </t>
        </is>
      </c>
      <c r="C20" s="1754" t="n"/>
      <c r="D20" s="1752" t="inlineStr">
        <is>
          <t xml:space="preserve">Année N-1 </t>
        </is>
      </c>
      <c r="E20" s="1754" t="n"/>
    </row>
    <row r="21" ht="23.5" customHeight="1" s="1354">
      <c r="A21" s="2367" t="inlineStr">
        <is>
          <t>  </t>
        </is>
      </c>
      <c r="B21" s="2365" t="inlineStr">
        <is>
          <t xml:space="preserve">Rendement attendu </t>
        </is>
      </c>
      <c r="C21" s="2365" t="inlineStr">
        <is>
          <t xml:space="preserve">Juste valeur des actifs </t>
        </is>
      </c>
      <c r="D21" s="2365" t="inlineStr">
        <is>
          <t xml:space="preserve">Rendement attendu </t>
        </is>
      </c>
      <c r="E21" s="2365" t="inlineStr">
        <is>
          <t xml:space="preserve">Juste valeur des actifs </t>
        </is>
      </c>
    </row>
    <row r="22" ht="12.5" customHeight="1" s="1354">
      <c r="A22" s="1950" t="inlineStr">
        <is>
          <t xml:space="preserve">Actions </t>
        </is>
      </c>
      <c r="B22" s="2368" t="n"/>
      <c r="C22" s="2368" t="n"/>
      <c r="D22" s="2368" t="n"/>
      <c r="E22" s="2368" t="n"/>
    </row>
    <row r="23" ht="12.5" customHeight="1" s="1354">
      <c r="A23" s="1950" t="inlineStr">
        <is>
          <t xml:space="preserve">Obligations </t>
        </is>
      </c>
      <c r="B23" s="2368" t="n"/>
      <c r="C23" s="2368" t="n"/>
      <c r="D23" s="2368" t="n"/>
      <c r="E23" s="2368" t="n"/>
    </row>
    <row r="24" ht="12.5" customHeight="1" s="1354">
      <c r="A24" s="1950" t="inlineStr">
        <is>
          <t xml:space="preserve">Autres </t>
        </is>
      </c>
      <c r="B24" s="2368" t="n"/>
      <c r="C24" s="2368" t="n"/>
      <c r="D24" s="2368" t="n"/>
      <c r="E24" s="2368" t="n"/>
    </row>
    <row r="25" ht="12.5" customHeight="1" s="1354">
      <c r="A25" s="2369" t="inlineStr">
        <is>
          <t xml:space="preserve">Total </t>
        </is>
      </c>
      <c r="B25" s="2162" t="n"/>
      <c r="C25" s="2162" t="n"/>
      <c r="D25" s="2162" t="n"/>
      <c r="E25" s="2162" t="n"/>
    </row>
    <row r="26" ht="12" customHeight="1" s="1354">
      <c r="A26" s="2212" t="n"/>
    </row>
    <row r="27" ht="12" customHeight="1" s="1354">
      <c r="A27" s="2212" t="inlineStr">
        <is>
          <t xml:space="preserve">Commentaires :  </t>
        </is>
      </c>
    </row>
    <row r="28" ht="12" customHeight="1" s="1354">
      <c r="A28" s="2138" t="inlineStr">
        <is>
          <t xml:space="preserve">•       Expliquer comment les taux de rendement par catégorie d’actifs et global ont été déterminés </t>
        </is>
      </c>
      <c r="B28" s="2366" t="n"/>
    </row>
    <row r="29" ht="12" customHeight="1" s="1354">
      <c r="A29" s="2138" t="inlineStr">
        <is>
          <t xml:space="preserve">•    Indiquer le montant des rendements réels des actifs affectés aux plans en N et N-1 </t>
        </is>
      </c>
      <c r="B29" s="2366" t="n"/>
    </row>
    <row r="30" ht="12" customHeight="1" s="1354">
      <c r="A30" s="2138" t="inlineStr">
        <is>
          <t>•       Indiquer….</t>
        </is>
      </c>
    </row>
    <row r="31" ht="12" customHeight="1" s="1354">
      <c r="A31" s="2167" t="inlineStr">
        <is>
          <t> </t>
        </is>
      </c>
    </row>
    <row r="32" ht="12" customHeight="1" s="1354">
      <c r="A32" s="2167" t="inlineStr">
        <is>
          <t> </t>
        </is>
      </c>
    </row>
    <row r="33" ht="12" customHeight="1" s="1354">
      <c r="A33" s="2167" t="n"/>
    </row>
    <row r="34" ht="12" customHeight="1" s="1354">
      <c r="A34" s="2167" t="n"/>
    </row>
  </sheetData>
  <mergeCells count="5">
    <mergeCell ref="D20:E20"/>
    <mergeCell ref="A11:C11"/>
    <mergeCell ref="B20:C20"/>
    <mergeCell ref="A19:E19"/>
    <mergeCell ref="A8:E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D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8" activeCellId="0" sqref="B18:C18"/>
    </sheetView>
  </sheetViews>
  <sheetFormatPr baseColWidth="8" defaultColWidth="10.8125" defaultRowHeight="11.5" zeroHeight="0" outlineLevelRow="0"/>
  <cols>
    <col width="56.72" customWidth="1" style="1577" min="1" max="1"/>
    <col width="13.44" customWidth="1" style="1577" min="2" max="2"/>
    <col width="10.81" customWidth="1" style="1577" min="3" max="257"/>
  </cols>
  <sheetData>
    <row r="1"/>
    <row r="2"/>
    <row r="3"/>
    <row r="4"/>
    <row r="5"/>
    <row r="6" ht="13" customHeight="1" s="1354">
      <c r="A6" s="1748" t="inlineStr">
        <is>
          <t>Désignation entité : ENTREPRISE TEST SARL</t>
        </is>
      </c>
      <c r="B6" s="1591" t="inlineStr">
        <is>
          <t>Exercice clos le : 31/12/2025</t>
        </is>
      </c>
      <c r="C6" s="1578" t="n"/>
    </row>
    <row r="7" ht="13" customHeight="1" s="1354">
      <c r="A7" s="1749" t="inlineStr">
        <is>
          <t>Numéro d’identification : CD/KNG/RCCM/23-B-01234</t>
        </is>
      </c>
      <c r="B7" s="1591" t="inlineStr">
        <is>
          <t>Durée (en mois) : 12</t>
        </is>
      </c>
      <c r="C7" s="1582" t="n"/>
    </row>
    <row r="8" ht="11.5" customHeight="1" s="1354">
      <c r="A8" s="1642" t="n"/>
      <c r="C8" s="1642" t="n"/>
    </row>
    <row r="9" ht="11.5" customHeight="1" s="1354">
      <c r="A9" s="1642" t="n"/>
    </row>
    <row r="10" ht="14" customHeight="1" s="1354">
      <c r="A10" s="1811" t="inlineStr">
        <is>
          <t xml:space="preserve">NOTE 16C </t>
        </is>
      </c>
    </row>
    <row r="11" ht="14.5" customHeight="1" s="1354">
      <c r="A11" s="1812" t="inlineStr">
        <is>
          <t xml:space="preserve">ACTIFS ET PASSIFS EVENTUELS </t>
        </is>
      </c>
      <c r="B11" s="1594" t="n"/>
      <c r="C11" s="1594" t="n"/>
    </row>
    <row r="12" ht="12" customHeight="1" s="1354">
      <c r="A12" s="2370" t="inlineStr">
        <is>
          <t xml:space="preserve"> Libellés </t>
        </is>
      </c>
      <c r="B12" s="2004" t="inlineStr">
        <is>
          <t xml:space="preserve">Année N </t>
        </is>
      </c>
      <c r="C12" s="2006" t="inlineStr">
        <is>
          <t xml:space="preserve">Année N-1 </t>
        </is>
      </c>
    </row>
    <row r="13" ht="12" customHeight="1" s="1354">
      <c r="A13" s="2104" t="inlineStr">
        <is>
          <t xml:space="preserve">Actif éventuel </t>
        </is>
      </c>
      <c r="B13" s="2371" t="n"/>
      <c r="C13" s="2372" t="n"/>
    </row>
    <row r="14" ht="11.5" customHeight="1" s="1354">
      <c r="A14" s="2107" t="inlineStr">
        <is>
          <t xml:space="preserve">Litiges </t>
        </is>
      </c>
      <c r="B14" s="2373" t="n"/>
      <c r="C14" s="2374" t="n"/>
    </row>
    <row r="15" ht="11.5" customHeight="1" s="1354">
      <c r="A15" s="2099" t="inlineStr">
        <is>
          <t xml:space="preserve">............. </t>
        </is>
      </c>
      <c r="B15" s="2226" t="n"/>
      <c r="C15" s="2375" t="n"/>
    </row>
    <row r="16" ht="12" customHeight="1" s="1354">
      <c r="A16" s="2102" t="inlineStr">
        <is>
          <t xml:space="preserve">............. </t>
        </is>
      </c>
      <c r="B16" s="2376" t="n"/>
      <c r="C16" s="2377" t="n"/>
    </row>
    <row r="17" ht="12" customHeight="1" s="1354">
      <c r="A17" s="2104" t="inlineStr">
        <is>
          <t xml:space="preserve">Passif éventuel </t>
        </is>
      </c>
      <c r="B17" s="2371" t="n"/>
      <c r="C17" s="2372" t="n"/>
    </row>
    <row r="18" ht="11.5" customHeight="1" s="1354">
      <c r="A18" s="2107" t="inlineStr">
        <is>
          <t xml:space="preserve">Litiges </t>
        </is>
      </c>
      <c r="B18" s="2373" t="n"/>
      <c r="C18" s="2374" t="n"/>
    </row>
    <row r="19" ht="11.5" customHeight="1" s="1354">
      <c r="A19" s="2099" t="inlineStr">
        <is>
          <t xml:space="preserve">............. </t>
        </is>
      </c>
      <c r="B19" s="2226" t="n"/>
      <c r="C19" s="2375" t="n"/>
    </row>
    <row r="20" ht="12" customHeight="1" s="1354">
      <c r="A20" s="2335" t="inlineStr">
        <is>
          <t xml:space="preserve">............. </t>
        </is>
      </c>
      <c r="B20" s="2378" t="n"/>
      <c r="C20" s="2379" t="n"/>
    </row>
    <row r="21" ht="11.5" customHeight="1" s="1354">
      <c r="A21" s="2090" t="inlineStr">
        <is>
          <t xml:space="preserve">Commentaire:  </t>
        </is>
      </c>
    </row>
    <row r="22" ht="48" customHeight="1" s="1354">
      <c r="A22" s="2339" t="inlineStr">
        <is>
          <t xml:space="preserve">•      Décrire les principales caractéristiques des actifs / passifs éventuels, l’horizon de temps auquel les encaissements / décaissements sont attendus et les éventuels remboursements à percevoir. </t>
        </is>
      </c>
      <c r="D22" s="2339" t="n"/>
    </row>
    <row r="23" ht="11.5" customHeight="1" s="1354">
      <c r="A23" s="2212" t="inlineStr">
        <is>
          <t> </t>
        </is>
      </c>
    </row>
    <row r="24" ht="11.5" customHeight="1" s="1354">
      <c r="A24" s="2212" t="inlineStr">
        <is>
          <t> </t>
        </is>
      </c>
    </row>
    <row r="25" ht="11.5" customHeight="1" s="1354">
      <c r="A25" s="2212" t="inlineStr">
        <is>
          <t> </t>
        </is>
      </c>
    </row>
    <row r="26" ht="11.5" customHeight="1" s="1354">
      <c r="A26" s="2212" t="inlineStr">
        <is>
          <t> </t>
        </is>
      </c>
    </row>
  </sheetData>
  <mergeCells count="3">
    <mergeCell ref="A10:C10"/>
    <mergeCell ref="A11:C11"/>
    <mergeCell ref="A22:C2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D33" activeCellId="0" sqref="D33"/>
    </sheetView>
  </sheetViews>
  <sheetFormatPr baseColWidth="8" defaultColWidth="10.8125" defaultRowHeight="11.5" zeroHeight="0" outlineLevelRow="0"/>
  <cols>
    <col width="55.99" customWidth="1" style="1577" min="1" max="1"/>
    <col width="13.99" customWidth="1" style="1577" min="2" max="2"/>
    <col width="12.44" customWidth="1" style="1577" min="3" max="3"/>
    <col width="12.72" customWidth="1" style="1577" min="4" max="4"/>
    <col width="12.44" customWidth="1" style="1577" min="5" max="5"/>
    <col width="12.72" customWidth="1" style="1577" min="6" max="6"/>
    <col width="10.81" customWidth="1" style="1577" min="7" max="257"/>
  </cols>
  <sheetData>
    <row r="1" ht="11.5" customHeight="1" s="1354">
      <c r="A1" s="2212" t="n"/>
    </row>
    <row r="2"/>
    <row r="3"/>
    <row r="4" ht="13" customHeight="1" s="1354">
      <c r="A4" s="1748" t="inlineStr">
        <is>
          <t>Désignation entité : ENTREPRISE TEST SARL</t>
        </is>
      </c>
      <c r="D4" s="1591" t="inlineStr">
        <is>
          <t>Exercice clos le : 31/12/2025</t>
        </is>
      </c>
      <c r="F4" s="1578" t="n"/>
    </row>
    <row r="5" ht="13" customHeight="1" s="1354">
      <c r="A5" s="1749" t="inlineStr">
        <is>
          <t>Numéro d’identification : CD/KNG/RCCM/23-B-01234</t>
        </is>
      </c>
      <c r="D5" s="1591" t="inlineStr">
        <is>
          <t>Durée (en mois) : 12</t>
        </is>
      </c>
      <c r="F5" s="1582" t="n"/>
    </row>
    <row r="6" ht="11.5" customHeight="1" s="1354">
      <c r="A6" s="1642" t="n"/>
      <c r="C6" s="1642" t="n"/>
    </row>
    <row r="7" ht="11.5" customHeight="1" s="1354">
      <c r="A7" s="2380" t="inlineStr">
        <is>
          <t xml:space="preserve"> NOTE 17</t>
        </is>
      </c>
    </row>
    <row r="8" ht="12" customHeight="1" s="1354">
      <c r="A8" s="2141" t="inlineStr">
        <is>
          <t xml:space="preserve">FOURNISSEURS D'EXPLOITATION </t>
        </is>
      </c>
      <c r="B8" s="1594" t="n"/>
      <c r="C8" s="1594" t="n"/>
      <c r="D8" s="1594" t="n"/>
      <c r="E8" s="1594" t="n"/>
      <c r="F8" s="1594" t="n"/>
      <c r="G8" s="1594" t="n"/>
    </row>
    <row r="9" ht="51.75" customHeight="1" s="1354">
      <c r="A9" s="2003" t="inlineStr">
        <is>
          <t xml:space="preserve">Libellés </t>
        </is>
      </c>
      <c r="B9" s="2004" t="inlineStr">
        <is>
          <t xml:space="preserve">Année N </t>
        </is>
      </c>
      <c r="C9" s="2004" t="inlineStr">
        <is>
          <t xml:space="preserve"> Année N-1 </t>
        </is>
      </c>
      <c r="D9" s="2004" t="inlineStr">
        <is>
          <t xml:space="preserve"> Variation en % </t>
        </is>
      </c>
      <c r="E9" s="2004" t="inlineStr">
        <is>
          <t xml:space="preserve">Dettes à un an au plus </t>
        </is>
      </c>
      <c r="F9" s="2004" t="inlineStr">
        <is>
          <t xml:space="preserve">Dettes à plus d'un an et à deux ans au plus </t>
        </is>
      </c>
      <c r="G9" s="2381" t="inlineStr">
        <is>
          <t xml:space="preserve">Dettes à plus de deux ans </t>
        </is>
      </c>
    </row>
    <row r="10" ht="15" customHeight="1" s="1354">
      <c r="A10" s="2382" t="inlineStr">
        <is>
          <t xml:space="preserve">Fournisseurs dettes en compte  (hors groupe) </t>
        </is>
      </c>
      <c r="B10" s="2805">
        <f>SUMIF(BALANCE!$A$2:$A$70,"401*",BALANCE!$G$2:$G$70)-SUMIF(BALANCE!$A$2:$A$70,"401*",BALANCE!$F$2:$F$70)+SUMIF(BALANCE!$A$2:$A$70,"404*",BALANCE!$G$2:$G$70)-SUMIF(BALANCE!$A$2:$A$70,"404*",BALANCE!$F$2:$F$70)</f>
        <v/>
      </c>
      <c r="C10" s="2805">
        <f>SUMIF(BALANCE_N1!$A$2:$A$70,"401*",BALANCE_N1!$G$2:$G$70)-SUMIF(BALANCE_N1!$A$2:$A$70,"401*",BALANCE_N1!$F$2:$F$70)+SUMIF(BALANCE_N1!$A$2:$A$70,"404*",BALANCE_N1!$G$2:$G$70)-SUMIF(BALANCE_N1!$A$2:$A$70,"404*",BALANCE_N1!$F$2:$F$70)</f>
        <v/>
      </c>
      <c r="D10" s="2383">
        <f>(B10-C10)/C10</f>
        <v/>
      </c>
      <c r="E10" s="2127">
        <f>B10</f>
        <v/>
      </c>
      <c r="F10" s="2127" t="n"/>
      <c r="G10" s="2129" t="n"/>
    </row>
    <row r="11" ht="15" customHeight="1" s="1354">
      <c r="A11" s="2099" t="inlineStr">
        <is>
          <t xml:space="preserve">Fournisseurs effets à payer  (hors groupe) </t>
        </is>
      </c>
      <c r="B11" s="2806">
        <f>SUMIF(BALANCE!$A$2:$A$70,"402*",BALANCE!$G$2:$G$70)-SUMIF(BALANCE!$A$2:$A$70,"402*",BALANCE!$F$2:$F$70)</f>
        <v/>
      </c>
      <c r="C11" s="2806">
        <f>SUMIF(BALANCE_N1!$A$2:$A$70,"402*",BALANCE_N1!$G$2:$G$70)-SUMIF(BALANCE_N1!$A$2:$A$70,"402*",BALANCE_N1!$F$2:$F$70)</f>
        <v/>
      </c>
      <c r="D11" s="2130" t="n"/>
      <c r="E11" s="2130" t="n"/>
      <c r="F11" s="2130" t="n"/>
      <c r="G11" s="2131" t="n"/>
    </row>
    <row r="12" ht="11.5" customHeight="1" s="1354">
      <c r="A12" s="2099" t="inlineStr">
        <is>
          <t xml:space="preserve">Fournisseurs, dettes et effets à payer groupe </t>
        </is>
      </c>
      <c r="B12" s="2130" t="n"/>
      <c r="C12" s="2130" t="n"/>
      <c r="D12" s="2130" t="n"/>
      <c r="E12" s="2130" t="n"/>
      <c r="F12" s="2130" t="n"/>
      <c r="G12" s="2131" t="n"/>
    </row>
    <row r="13" ht="11.5" customHeight="1" s="1354">
      <c r="A13" s="2099" t="inlineStr">
        <is>
          <t xml:space="preserve">Fournisseurs factures non parvenues (hors groupe) </t>
        </is>
      </c>
      <c r="B13" s="2806">
        <f>SUMIF(BALANCE!$A$2:$A$70,"408*",BALANCE!$G$2:$G$70)-SUMIF(BALANCE!$A$2:$A$70,"408*",BALANCE!$F$2:$F$70)</f>
        <v/>
      </c>
      <c r="C13" s="2806">
        <f>SUMIF(BALANCE_N1!$A$2:$A$70,"408*",BALANCE_N1!$G$2:$G$70)-SUMIF(BALANCE_N1!$A$2:$A$70,"408*",BALANCE_N1!$F$2:$F$70)</f>
        <v/>
      </c>
      <c r="D13" s="2130" t="n"/>
      <c r="E13" s="2130" t="n"/>
      <c r="F13" s="2130" t="n"/>
      <c r="G13" s="2131" t="n"/>
    </row>
    <row r="14" ht="12" customHeight="1" s="1354">
      <c r="A14" s="2102" t="inlineStr">
        <is>
          <t xml:space="preserve">Fournisseurs factures non parvenues groupe </t>
        </is>
      </c>
      <c r="B14" s="2133" t="n"/>
      <c r="C14" s="2133" t="n"/>
      <c r="D14" s="2133" t="n"/>
      <c r="E14" s="2133" t="n"/>
      <c r="F14" s="2133" t="n"/>
      <c r="G14" s="2134" t="n"/>
    </row>
    <row r="15" ht="15" customHeight="1" s="1354">
      <c r="A15" s="2113" t="inlineStr">
        <is>
          <t xml:space="preserve">TOTAL FOURNISSEURS </t>
        </is>
      </c>
      <c r="B15" s="2808">
        <f>SUM(B10:B14)</f>
        <v/>
      </c>
      <c r="C15" s="2808">
        <f>SUM(C10:C14)</f>
        <v/>
      </c>
      <c r="D15" s="1897" t="n"/>
      <c r="E15" s="1897">
        <f>SUM(E10:E14)</f>
        <v/>
      </c>
      <c r="F15" s="1897" t="n"/>
      <c r="G15" s="2384" t="n"/>
    </row>
    <row r="16" ht="15" customHeight="1" s="1354">
      <c r="A16" s="2096" t="inlineStr">
        <is>
          <t>  </t>
        </is>
      </c>
      <c r="B16" s="2225" t="n"/>
      <c r="C16" s="2225" t="n"/>
      <c r="D16" s="2225" t="n"/>
      <c r="E16" s="2225" t="n"/>
      <c r="F16" s="2225" t="n"/>
      <c r="G16" s="2385" t="n"/>
    </row>
    <row r="17" ht="15" customHeight="1" s="1354">
      <c r="A17" s="2099" t="inlineStr">
        <is>
          <t xml:space="preserve">Fournisseurs, avances et acomptes  (hors groupe) </t>
        </is>
      </c>
      <c r="B17" s="2802">
        <f>SUMIF(BALANCE!$A$2:$A$70,"4093*",BALANCE!$F$2:$F$70)+SUMIF(BALANCE!$A$2:$A$70,"4091*",BALANCE!$F$2:$F$70)</f>
        <v/>
      </c>
      <c r="C17" s="2802">
        <f>SUMIF(BALANCE_N1!$A$2:$A$70,"4093*",BALANCE_N1!$F$2:$F$70)+SUMIF(BALANCE_N1!$A$2:$A$70,"4091*",BALANCE_N1!$F$2:$F$70)</f>
        <v/>
      </c>
      <c r="D17" s="2100" t="n"/>
      <c r="E17" s="2100" t="n"/>
      <c r="F17" s="2100" t="n"/>
      <c r="G17" s="2110" t="n"/>
    </row>
    <row r="18" ht="11.5" customHeight="1" s="1354">
      <c r="A18" s="2099" t="inlineStr">
        <is>
          <t xml:space="preserve">Fournisseurs, avances et acomptes groupe </t>
        </is>
      </c>
      <c r="B18" s="2802">
        <f>SUMIF(BALANCE!$A$2:$A$70,"4092*",BALANCE!$F$2:$F$70)</f>
        <v/>
      </c>
      <c r="C18" s="2802">
        <f>SUMIF(BALANCE_N1!$A$2:$A$70,"4092*",BALANCE_N1!$F$2:$F$70)</f>
        <v/>
      </c>
      <c r="D18" s="2100" t="n"/>
      <c r="E18" s="2100" t="n"/>
      <c r="F18" s="2100" t="n"/>
      <c r="G18" s="2110" t="n"/>
    </row>
    <row r="19" ht="15" customHeight="1" s="1354">
      <c r="A19" s="2102" t="inlineStr">
        <is>
          <t xml:space="preserve">Autres fournisseurs débiteurs </t>
        </is>
      </c>
      <c r="B19" s="2803">
        <f>SUMIF(BALANCE!$A$2:$A$70,"4098*",BALANCE!$F$2:$F$70)+SUMIF(BALANCE!$A$2:$A$70,"4094*",BALANCE!$F$2:$F$70)</f>
        <v/>
      </c>
      <c r="C19" s="2803">
        <f>SUMIF(BALANCE_N1!$A$2:$A$70,"4098*",BALANCE_N1!$F$2:$F$70)+SUMIF(BALANCE_N1!$A$2:$A$70,"4094*",BALANCE_N1!$F$2:$F$70)</f>
        <v/>
      </c>
      <c r="D19" s="2103" t="n"/>
      <c r="E19" s="2103" t="n"/>
      <c r="F19" s="2103" t="n"/>
      <c r="G19" s="2386" t="n"/>
    </row>
    <row r="20" ht="15" customHeight="1" s="1354">
      <c r="A20" s="2113" t="inlineStr">
        <is>
          <t xml:space="preserve">TOTAL FOURNISSEURS DEBITEURS </t>
        </is>
      </c>
      <c r="B20" s="2804">
        <f>SUM(B17:B19)</f>
        <v/>
      </c>
      <c r="C20" s="2804">
        <f>SUM(C17:C19)</f>
        <v/>
      </c>
      <c r="D20" s="2114" t="n"/>
      <c r="E20" s="2114" t="n"/>
      <c r="F20" s="2114" t="n"/>
      <c r="G20" s="2387" t="n"/>
    </row>
    <row r="21" ht="19.5" customHeight="1" s="1354">
      <c r="A21" s="2090" t="inlineStr">
        <is>
          <t xml:space="preserve">Commentaires:  </t>
        </is>
      </c>
    </row>
    <row r="22" ht="15" customHeight="1" s="1354">
      <c r="A22" s="2388" t="inlineStr">
        <is>
          <t xml:space="preserve"> • Commenter toutes variations significatives 
• Indiquer pour  les dettes du groupe le nom de la société du groupe et le % de titres détenus. 
• Commenter les dettes anciennes. 
</t>
        </is>
      </c>
    </row>
    <row r="23" ht="11.5" customHeight="1" s="1354"/>
    <row r="24" ht="11.5" customHeight="1" s="1354"/>
    <row r="25" ht="11.5" customHeight="1" s="1354"/>
    <row r="26" ht="11.5" customHeight="1" s="1354"/>
  </sheetData>
  <mergeCells count="3">
    <mergeCell ref="A8:G8"/>
    <mergeCell ref="A22:D26"/>
    <mergeCell ref="A7:G7"/>
  </mergeCells>
  <printOptions horizontalCentered="0" verticalCentered="0" headings="0" gridLines="0" gridLinesSet="1"/>
  <pageMargins left="0.7" right="0.7" top="0.75" bottom="0.75" header="0.511811023622047" footer="0.511811023622047"/>
  <pageSetup orientation="landscape"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9" colorId="64" zoomScale="100" zoomScaleNormal="100" zoomScalePageLayoutView="100" workbookViewId="0">
      <selection pane="topLeft" activeCell="B37" activeCellId="0" sqref="B37"/>
    </sheetView>
  </sheetViews>
  <sheetFormatPr baseColWidth="8" defaultColWidth="10.90234375" defaultRowHeight="14.5" zeroHeight="0" outlineLevelRow="0"/>
  <cols>
    <col width="68.17" customWidth="1" style="1572" min="1" max="1"/>
    <col width="13.44" customWidth="1" style="1572" min="2" max="2"/>
    <col width="14.17" customWidth="1" style="1572" min="3" max="3"/>
    <col width="13.44" customWidth="1" style="1572" min="4" max="4"/>
    <col width="14.72" customWidth="1" style="1572" min="6" max="6"/>
    <col width="13.44" customWidth="1" style="1572" min="7" max="7"/>
  </cols>
  <sheetData>
    <row r="1" ht="15" customHeight="1" s="1354">
      <c r="A1" s="2251" t="n"/>
    </row>
    <row r="2" ht="14.5" customHeight="1" s="1354">
      <c r="A2" s="2001" t="n"/>
    </row>
    <row r="3" ht="15" customHeight="1" s="1354">
      <c r="A3" s="2251" t="n"/>
    </row>
    <row r="4" ht="13" customFormat="1" customHeight="1" s="1577">
      <c r="A4" s="1748" t="inlineStr">
        <is>
          <t>Désignation entité : ENTREPRISE TEST SARL</t>
        </is>
      </c>
      <c r="F4" s="1591" t="inlineStr">
        <is>
          <t>Exercice clos le : 31/12/2025</t>
        </is>
      </c>
      <c r="H4" s="1578" t="n"/>
    </row>
    <row r="5" ht="13" customFormat="1" customHeight="1" s="1577">
      <c r="A5" s="1749" t="inlineStr">
        <is>
          <t>Numéro d’identification : CD/KNG/RCCM/23-B-01234</t>
        </is>
      </c>
      <c r="F5" s="1591" t="inlineStr">
        <is>
          <t>Durée (en mois) : 12</t>
        </is>
      </c>
      <c r="H5" s="1582" t="n"/>
    </row>
    <row r="6" ht="11.5" customFormat="1" customHeight="1" s="1577">
      <c r="A6" s="1642" t="n"/>
      <c r="C6" s="1642" t="n"/>
      <c r="D6" s="1642" t="n"/>
    </row>
    <row r="7" ht="14" customFormat="1" customHeight="1" s="1577">
      <c r="A7" s="2252" t="inlineStr">
        <is>
          <t xml:space="preserve"> NOTE 18</t>
        </is>
      </c>
    </row>
    <row r="8" ht="14.5" customFormat="1" customHeight="1" s="1577">
      <c r="A8" s="2067" t="inlineStr">
        <is>
          <t>DETTES FISCALES ET SOCIALES</t>
        </is>
      </c>
    </row>
    <row r="9" ht="23" customFormat="1" customHeight="1" s="1577">
      <c r="A9" s="2003" t="inlineStr">
        <is>
          <t xml:space="preserve">Libellés </t>
        </is>
      </c>
      <c r="B9" s="2004" t="inlineStr">
        <is>
          <t xml:space="preserve">Année N </t>
        </is>
      </c>
      <c r="C9" s="2004" t="inlineStr">
        <is>
          <t xml:space="preserve"> Année N-1 </t>
        </is>
      </c>
      <c r="D9" s="2004" t="inlineStr">
        <is>
          <t>Variation en valeur absolue</t>
        </is>
      </c>
      <c r="E9" s="2004" t="inlineStr">
        <is>
          <t xml:space="preserve"> Variation en % </t>
        </is>
      </c>
      <c r="F9" s="2121" t="inlineStr">
        <is>
          <t xml:space="preserve">Dettes à un an au plus </t>
        </is>
      </c>
      <c r="G9" s="2005" t="inlineStr">
        <is>
          <t xml:space="preserve">Dettes à plus d'un </t>
        </is>
      </c>
      <c r="H9" s="2389" t="inlineStr">
        <is>
          <t xml:space="preserve">Dettes à plus de deux ans </t>
        </is>
      </c>
    </row>
    <row r="10" ht="23.5" customFormat="1" customHeight="1" s="1577">
      <c r="A10" s="2007" t="n"/>
      <c r="B10" s="2008" t="n"/>
      <c r="C10" s="2008" t="n"/>
      <c r="D10" s="2008" t="n"/>
      <c r="E10" s="2008" t="n"/>
      <c r="F10" s="2126" t="n"/>
      <c r="G10" s="2009" t="inlineStr">
        <is>
          <t xml:space="preserve">an et à deux ans au plus </t>
        </is>
      </c>
      <c r="H10" s="1998" t="n"/>
    </row>
    <row r="11" ht="20.15" customFormat="1" customHeight="1" s="1577">
      <c r="A11" s="2382" t="inlineStr">
        <is>
          <t>Personnel avances et acomptes</t>
        </is>
      </c>
      <c r="B11" s="2822">
        <f>SUMIF(BALANCE!$A$2:$A$70,"421*",BALANCE!$G$2:$G$70)</f>
        <v/>
      </c>
      <c r="C11" s="2822">
        <f>SUMIF(BALANCE_N1!$A$2:$A$70,"421*",BALANCE_N1!$G$2:$G$70)</f>
        <v/>
      </c>
      <c r="D11" s="2199" t="n"/>
      <c r="E11" s="2199" t="inlineStr">
        <is>
          <t>  </t>
        </is>
      </c>
      <c r="F11" s="2199" t="inlineStr">
        <is>
          <t>  </t>
        </is>
      </c>
      <c r="G11" s="2199" t="inlineStr">
        <is>
          <t>  </t>
        </is>
      </c>
      <c r="H11" s="2129" t="inlineStr">
        <is>
          <t>  </t>
        </is>
      </c>
    </row>
    <row r="12" ht="20.15" customFormat="1" customHeight="1" s="1577">
      <c r="A12" s="2099" t="inlineStr">
        <is>
          <t>Personnel rémunérations dues</t>
        </is>
      </c>
      <c r="B12" s="2806">
        <f>SUMIF(BALANCE!$A$2:$A$70,"422*",BALANCE!$G$2:$G$70)</f>
        <v/>
      </c>
      <c r="C12" s="2806">
        <f>SUMIF(BALANCE_N1!$A$2:$A$70,"422*",BALANCE_N1!$G$2:$G$70)</f>
        <v/>
      </c>
      <c r="D12" s="2130">
        <f>B12-C12</f>
        <v/>
      </c>
      <c r="E12" s="2315" t="n"/>
      <c r="F12" s="2130" t="inlineStr">
        <is>
          <t>  </t>
        </is>
      </c>
      <c r="G12" s="2130" t="inlineStr">
        <is>
          <t>  </t>
        </is>
      </c>
      <c r="H12" s="2131" t="inlineStr">
        <is>
          <t>  </t>
        </is>
      </c>
    </row>
    <row r="13" ht="20.15" customFormat="1" customHeight="1" s="1577">
      <c r="A13" s="2099" t="inlineStr">
        <is>
          <t>Autres personnel</t>
        </is>
      </c>
      <c r="B13" s="2806">
        <f>SUMIF(BALANCE!$A$2:$A$70,"426*",BALANCE!$G$2:$G$70)+SUMIF(BALANCE!$A$2:$A$70,"423*",BALANCE!$G$2:$G$70)+SUMIF(BALANCE!$A$2:$A$70,"424*",BALANCE!$G$2:$G$70)+SUMIF(BALANCE!$A$2:$A$70,"428*",BALANCE!$G$2:$G$70)+SUMIF(BALANCE!$A$2:$A$70,"427*",BALANCE!$G$2:$G$70)+SUMIF(BALANCE!$A$2:$A$70,"425*",BALANCE!$G$2:$G$70)</f>
        <v/>
      </c>
      <c r="C13" s="2806">
        <f>SUMIF(BALANCE_N1!$A$2:$A$70,"426*",BALANCE_N1!$G$2:$G$70)+SUMIF(BALANCE_N1!$A$2:$A$70,"423*",BALANCE_N1!$G$2:$G$70)+SUMIF(BALANCE_N1!$A$2:$A$70,"424*",BALANCE_N1!$G$2:$G$70)+SUMIF(BALANCE_N1!$A$2:$A$70,"428*",BALANCE_N1!$G$2:$G$70)+SUMIF(BALANCE_N1!$A$2:$A$70,"427*",BALANCE_N1!$G$2:$G$70)+SUMIF(BALANCE_N1!$A$2:$A$70,"425*",BALANCE_N1!$G$2:$G$70)</f>
        <v/>
      </c>
      <c r="D13" s="2130" t="n">
        <v>0</v>
      </c>
      <c r="E13" s="2315" t="n"/>
      <c r="F13" s="2130" t="inlineStr">
        <is>
          <t> </t>
        </is>
      </c>
      <c r="G13" s="2130" t="inlineStr">
        <is>
          <t> </t>
        </is>
      </c>
      <c r="H13" s="2131" t="inlineStr">
        <is>
          <t> </t>
        </is>
      </c>
    </row>
    <row r="14" ht="20.15" customFormat="1" customHeight="1" s="1577">
      <c r="A14" s="2099" t="inlineStr">
        <is>
          <t>Caisse de sécurité sociale</t>
        </is>
      </c>
      <c r="B14" s="2821">
        <f>SUMIF(BALANCE!$A$2:$A$70,"431*",BALANCE!$G$2:$G$70)</f>
        <v/>
      </c>
      <c r="C14" s="2821">
        <f>SUMIF(BALANCE_N1!$A$2:$A$70,"431*",BALANCE_N1!$G$2:$G$70)</f>
        <v/>
      </c>
      <c r="D14" s="2196" t="n">
        <v>0</v>
      </c>
      <c r="E14" s="2390">
        <f>D14/C14</f>
        <v/>
      </c>
      <c r="F14" s="2196">
        <f>B14</f>
        <v/>
      </c>
      <c r="G14" s="2130" t="n">
        <v>0</v>
      </c>
      <c r="H14" s="2131" t="n">
        <v>0</v>
      </c>
    </row>
    <row r="15" ht="20.15" customFormat="1" customHeight="1" s="1577">
      <c r="A15" s="2099" t="inlineStr">
        <is>
          <t>Caisse de retraite</t>
        </is>
      </c>
      <c r="B15" s="2806">
        <f>SUMIF(BALANCE!$A$2:$A$70,"432*",BALANCE!$G$2:$G$70)</f>
        <v/>
      </c>
      <c r="C15" s="2806">
        <f>SUMIF(BALANCE_N1!$A$2:$A$70,"432*",BALANCE_N1!$G$2:$G$70)</f>
        <v/>
      </c>
      <c r="D15" s="2130">
        <f>B15-C15</f>
        <v/>
      </c>
      <c r="E15" s="2391" t="n"/>
      <c r="F15" s="2130" t="inlineStr">
        <is>
          <t>  </t>
        </is>
      </c>
      <c r="G15" s="2130" t="inlineStr">
        <is>
          <t>  </t>
        </is>
      </c>
      <c r="H15" s="2131" t="inlineStr">
        <is>
          <t>  </t>
        </is>
      </c>
    </row>
    <row r="16" ht="20.15" customFormat="1" customHeight="1" s="1577">
      <c r="A16" s="2102" t="inlineStr">
        <is>
          <t>Autres organisme sociaux</t>
        </is>
      </c>
      <c r="B16" s="2807">
        <f>SUMIF(BALANCE!$A$2:$A$70,"433*",BALANCE!$G$2:$G$70)+SUMIF(BALANCE!$A$2:$A$70,"438*",BALANCE!$G$2:$G$70)</f>
        <v/>
      </c>
      <c r="C16" s="2807">
        <f>SUMIF(BALANCE_N1!$A$2:$A$70,"433*",BALANCE_N1!$G$2:$G$70)+SUMIF(BALANCE_N1!$A$2:$A$70,"438*",BALANCE_N1!$G$2:$G$70)</f>
        <v/>
      </c>
      <c r="D16" s="2130">
        <f>B16-C16</f>
        <v/>
      </c>
      <c r="E16" s="2133" t="n"/>
      <c r="F16" s="2133" t="n"/>
      <c r="G16" s="2133" t="n"/>
      <c r="H16" s="2134" t="n"/>
    </row>
    <row r="17" ht="20.15" customFormat="1" customHeight="1" s="1577">
      <c r="A17" s="2113" t="inlineStr">
        <is>
          <t>TOTAL DETTES SOCIALES</t>
        </is>
      </c>
      <c r="B17" s="1897">
        <f>SUM(B11:B16)</f>
        <v/>
      </c>
      <c r="C17" s="1897">
        <f>SUM(C11:C16)</f>
        <v/>
      </c>
      <c r="D17" s="1897">
        <f>SUM(D11:D16)</f>
        <v/>
      </c>
      <c r="E17" s="1897" t="n"/>
      <c r="F17" s="1897">
        <f>SUM(F11:F16)</f>
        <v/>
      </c>
      <c r="G17" s="1897">
        <f>SUM(G11:G16)</f>
        <v/>
      </c>
      <c r="H17" s="2384">
        <f>SUM(H11:H16)</f>
        <v/>
      </c>
    </row>
    <row r="18" ht="20.15" customFormat="1" customHeight="1" s="1577">
      <c r="A18" s="2096" t="inlineStr">
        <is>
          <t>  </t>
        </is>
      </c>
      <c r="B18" s="1768" t="inlineStr">
        <is>
          <t>  </t>
        </is>
      </c>
      <c r="C18" s="1768" t="inlineStr">
        <is>
          <t>  </t>
        </is>
      </c>
      <c r="D18" s="1768" t="n"/>
      <c r="E18" s="1768" t="inlineStr">
        <is>
          <t>  </t>
        </is>
      </c>
      <c r="F18" s="1768" t="inlineStr">
        <is>
          <t>  </t>
        </is>
      </c>
      <c r="G18" s="1768" t="inlineStr">
        <is>
          <t>  </t>
        </is>
      </c>
      <c r="H18" s="1769" t="inlineStr">
        <is>
          <t>  </t>
        </is>
      </c>
    </row>
    <row r="19" ht="20.15" customFormat="1" customHeight="1" s="1577">
      <c r="A19" s="2099" t="inlineStr">
        <is>
          <t>Etat, impôts sur les bénéfices</t>
        </is>
      </c>
      <c r="B19" s="2821">
        <f>SUMIF(BALANCE!$A$2:$A$70,"441*",BALANCE!$G$2:$G$70)</f>
        <v/>
      </c>
      <c r="C19" s="2821">
        <f>SUMIF(BALANCE_N1!$A$2:$A$70,"441*",BALANCE_N1!$G$2:$G$70)</f>
        <v/>
      </c>
      <c r="D19" s="2196">
        <f>B19-C19</f>
        <v/>
      </c>
      <c r="E19" s="2390">
        <f>D19/C19</f>
        <v/>
      </c>
      <c r="F19" s="2196">
        <f>B19</f>
        <v/>
      </c>
      <c r="G19" s="2130" t="n">
        <v>0</v>
      </c>
      <c r="H19" s="2131" t="n">
        <v>0</v>
      </c>
    </row>
    <row r="20" ht="20.15" customFormat="1" customHeight="1" s="1577">
      <c r="A20" s="2099" t="inlineStr">
        <is>
          <t>Etat, impôts et taxes</t>
        </is>
      </c>
      <c r="B20" s="2806">
        <f>SUMIF(BALANCE!$A$2:$A$70,"442*",BALANCE!$G$2:$G$70)+SUMIF(BALANCE!$A$2:$A$70,"446*",BALANCE!$G$2:$G$70)</f>
        <v/>
      </c>
      <c r="C20" s="2806">
        <f>SUMIF(BALANCE_N1!$A$2:$A$70,"442*",BALANCE_N1!$G$2:$G$70)+SUMIF(BALANCE_N1!$A$2:$A$70,"446*",BALANCE_N1!$G$2:$G$70)</f>
        <v/>
      </c>
      <c r="D20" s="2130">
        <f>B20-C20</f>
        <v/>
      </c>
      <c r="E20" s="2391" t="n"/>
      <c r="F20" s="2130" t="n"/>
      <c r="G20" s="2130">
        <f>B20-F20</f>
        <v/>
      </c>
      <c r="H20" s="2131" t="n">
        <v>0</v>
      </c>
    </row>
    <row r="21" ht="20.15" customFormat="1" customHeight="1" s="1577">
      <c r="A21" s="2099" t="inlineStr">
        <is>
          <t>Etat, TVA</t>
        </is>
      </c>
      <c r="B21" s="2806">
        <f>SUMIF(BALANCE!$A$2:$A$70,"445*",BALANCE!$G$2:$G$70)+SUMIF(BALANCE!$A$2:$A$70,"443*",BALANCE!$G$2:$G$70)+SUMIF(BALANCE!$A$2:$A$70,"444*",BALANCE!$G$2:$G$70)</f>
        <v/>
      </c>
      <c r="C21" s="2806">
        <f>SUMIF(BALANCE_N1!$A$2:$A$70,"445*",BALANCE_N1!$G$2:$G$70)+SUMIF(BALANCE_N1!$A$2:$A$70,"443*",BALANCE_N1!$G$2:$G$70)+SUMIF(BALANCE_N1!$A$2:$A$70,"444*",BALANCE_N1!$G$2:$G$70)</f>
        <v/>
      </c>
      <c r="D21" s="2130">
        <f>B21-C21</f>
        <v/>
      </c>
      <c r="E21" s="2391" t="n"/>
      <c r="F21" s="2130" t="inlineStr">
        <is>
          <t>  </t>
        </is>
      </c>
      <c r="G21" s="2130" t="inlineStr">
        <is>
          <t>  </t>
        </is>
      </c>
      <c r="H21" s="2131" t="inlineStr">
        <is>
          <t>  </t>
        </is>
      </c>
    </row>
    <row r="22" ht="20.15" customFormat="1" customHeight="1" s="1577">
      <c r="A22" s="2099" t="inlineStr">
        <is>
          <t>Etat, impôts retenus à la source</t>
        </is>
      </c>
      <c r="B22" s="2806">
        <f>SUMIF(BALANCE!$A$2:$A$70,"447*",BALANCE!$G$2:$G$70)</f>
        <v/>
      </c>
      <c r="C22" s="2806">
        <f>SUMIF(BALANCE_N1!$A$2:$A$70,"447*",BALANCE_N1!$G$2:$G$70)</f>
        <v/>
      </c>
      <c r="D22" s="2130" t="n"/>
      <c r="E22" s="2130" t="n"/>
      <c r="F22" s="2130" t="n"/>
      <c r="G22" s="2130" t="n"/>
      <c r="H22" s="2131" t="n"/>
    </row>
    <row r="23" ht="20.15" customFormat="1" customHeight="1" s="1577">
      <c r="A23" s="2102" t="inlineStr">
        <is>
          <t>Autres dettes Etat</t>
        </is>
      </c>
      <c r="B23" s="2807">
        <f>SUMIF(BALANCE!$A$2:$A$70,"449*",BALANCE!$G$2:$G$70)+SUMIF(BALANCE!$A$2:$A$70,"448*",BALANCE!$G$2:$G$70)</f>
        <v/>
      </c>
      <c r="C23" s="2807">
        <f>SUMIF(BALANCE_N1!$A$2:$A$70,"449*",BALANCE_N1!$G$2:$G$70)+SUMIF(BALANCE_N1!$A$2:$A$70,"448*",BALANCE_N1!$G$2:$G$70)</f>
        <v/>
      </c>
      <c r="D23" s="2133" t="n"/>
      <c r="E23" s="2133" t="n"/>
      <c r="F23" s="2133" t="n"/>
      <c r="G23" s="2133" t="n"/>
      <c r="H23" s="2134" t="n"/>
    </row>
    <row r="24" ht="20.15" customFormat="1" customHeight="1" s="1577">
      <c r="A24" s="2113" t="inlineStr">
        <is>
          <t>TOTAL DETTES FISCALES</t>
        </is>
      </c>
      <c r="B24" s="1897">
        <f>SUM(B18:B23)</f>
        <v/>
      </c>
      <c r="C24" s="1897">
        <f>SUM(C18:C23)</f>
        <v/>
      </c>
      <c r="D24" s="1897">
        <f>SUM(D18:D23)</f>
        <v/>
      </c>
      <c r="E24" s="2135">
        <f>D24/C24</f>
        <v/>
      </c>
      <c r="F24" s="1897">
        <f>SUM(F18:F23)</f>
        <v/>
      </c>
      <c r="G24" s="1897">
        <f>SUM(G18:G23)</f>
        <v/>
      </c>
      <c r="H24" s="2384">
        <f>SUM(H18:H23)</f>
        <v/>
      </c>
    </row>
    <row r="25" ht="12.75" customFormat="1" customHeight="1" s="1577">
      <c r="A25" s="2392" t="n"/>
      <c r="B25" s="2393" t="n"/>
      <c r="C25" s="2393" t="n"/>
      <c r="D25" s="2393" t="n"/>
      <c r="E25" s="2393" t="n"/>
      <c r="F25" s="2393" t="n"/>
      <c r="G25" s="2393" t="n"/>
      <c r="H25" s="2394" t="n"/>
    </row>
    <row r="26" ht="20.15" customHeight="1" s="1354">
      <c r="A26" s="2395" t="inlineStr">
        <is>
          <t>TOTAL DETTES SOCIALES ET FISCALES</t>
        </is>
      </c>
      <c r="B26" s="2396">
        <f>B17+B24</f>
        <v/>
      </c>
      <c r="C26" s="2396">
        <f>C17+C24</f>
        <v/>
      </c>
      <c r="D26" s="2396">
        <f>D17+D24</f>
        <v/>
      </c>
      <c r="E26" s="2397">
        <f>E17+E24</f>
        <v/>
      </c>
      <c r="F26" s="2396">
        <f>F17+F24</f>
        <v/>
      </c>
      <c r="G26" s="2396">
        <f>G17+G24</f>
        <v/>
      </c>
      <c r="H26" s="2398">
        <f>H17+H24</f>
        <v/>
      </c>
    </row>
    <row r="27" ht="17.5" customHeight="1" s="1354">
      <c r="A27" s="2399" t="n"/>
    </row>
    <row r="28" ht="11.5" customFormat="1" customHeight="1" s="1577">
      <c r="A28" s="2090" t="inlineStr">
        <is>
          <t xml:space="preserve">Commentaires:  </t>
        </is>
      </c>
    </row>
    <row r="29" ht="12" customFormat="1" customHeight="1" s="1577">
      <c r="A29" s="2086" t="inlineStr">
        <is>
          <t xml:space="preserve"> Commenter toute variation significative. </t>
        </is>
      </c>
    </row>
    <row r="30" ht="12" customFormat="1" customHeight="1" s="1577">
      <c r="A30" s="2086" t="inlineStr">
        <is>
          <t xml:space="preserve"> Commenter les dettes anciennes. </t>
        </is>
      </c>
    </row>
    <row r="31" ht="11.5" customFormat="1" customHeight="1" s="1577">
      <c r="A31" s="2138" t="n"/>
    </row>
    <row r="32" ht="11.5" customFormat="1" customHeight="1" s="1577">
      <c r="A32" s="2212" t="inlineStr">
        <is>
          <t> </t>
        </is>
      </c>
    </row>
    <row r="33" ht="11.5" customFormat="1" customHeight="1" s="1577">
      <c r="A33" s="2212" t="inlineStr">
        <is>
          <t> </t>
        </is>
      </c>
    </row>
    <row r="34" ht="11.5" customFormat="1" customHeight="1" s="1577"/>
    <row r="35" ht="17.5" customHeight="1" s="1354">
      <c r="A35" s="2399" t="n"/>
    </row>
    <row r="36" ht="17.5" customHeight="1" s="1354">
      <c r="A36" s="2399" t="n"/>
    </row>
    <row r="37" ht="17.5" customHeight="1" s="1354">
      <c r="A37" s="2399" t="n"/>
    </row>
    <row r="38"/>
    <row r="39" ht="14.5" customHeight="1" s="1354">
      <c r="A39" s="2400" t="n"/>
    </row>
    <row r="40" ht="14.5" customHeight="1" s="1354">
      <c r="A40" s="2400" t="n"/>
    </row>
    <row r="41" ht="14.5" customHeight="1" s="1354">
      <c r="A41" s="2401" t="n"/>
      <c r="B41" s="2402" t="n"/>
      <c r="C41" s="2402" t="n"/>
      <c r="D41" s="2402" t="n"/>
    </row>
    <row r="42" ht="14.5" customHeight="1" s="1354">
      <c r="A42" s="2169" t="n"/>
    </row>
    <row r="43" ht="15.5" customHeight="1" s="1354">
      <c r="A43" s="2403" t="n"/>
    </row>
    <row r="44" ht="15.5" customHeight="1" s="1354">
      <c r="A44" s="2403" t="n"/>
    </row>
    <row r="45" ht="15" customHeight="1" s="1354">
      <c r="A45" s="2251" t="n"/>
    </row>
    <row r="46" ht="15" customHeight="1" s="1354">
      <c r="A46" s="2251" t="n"/>
    </row>
    <row r="47" ht="15" customHeight="1" s="1354">
      <c r="A47" s="2251" t="n"/>
    </row>
    <row r="48" ht="15" customHeight="1" s="1354">
      <c r="A48" s="2251" t="n"/>
    </row>
    <row r="49" ht="15" customHeight="1" s="1354">
      <c r="A49" s="2251" t="n"/>
    </row>
  </sheetData>
  <mergeCells count="9">
    <mergeCell ref="C9:C10"/>
    <mergeCell ref="B9:B10"/>
    <mergeCell ref="D9:D10"/>
    <mergeCell ref="E9:E10"/>
    <mergeCell ref="H9:H10"/>
    <mergeCell ref="F9:F10"/>
    <mergeCell ref="A7:H7"/>
    <mergeCell ref="A9:A10"/>
    <mergeCell ref="A8:H8"/>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8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H4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13" activeCellId="0" sqref="C13"/>
    </sheetView>
  </sheetViews>
  <sheetFormatPr baseColWidth="8" defaultColWidth="10.8125" defaultRowHeight="11.5" zeroHeight="0" outlineLevelRow="0"/>
  <cols>
    <col width="64.44" customWidth="1" style="1577" min="1" max="1"/>
    <col width="17.81" customWidth="1" style="1577" min="2" max="2"/>
    <col width="16.44" customWidth="1" style="1577" min="3" max="3"/>
    <col width="17.26" customWidth="1" style="1577" min="4" max="4"/>
    <col width="14.26" customWidth="1" style="1577" min="5" max="5"/>
    <col width="13.99" customWidth="1" style="1577" min="6" max="6"/>
    <col width="14.17" customWidth="1" style="1577" min="7" max="7"/>
    <col width="13.99" customWidth="1" style="1577" min="8" max="8"/>
    <col width="10.81" customWidth="1" style="1577" min="9" max="257"/>
  </cols>
  <sheetData>
    <row r="1" ht="11.5" customHeight="1" s="1354">
      <c r="A1" s="2212" t="n"/>
    </row>
    <row r="2" ht="11.5" customHeight="1" s="1354">
      <c r="A2" s="2212" t="n"/>
    </row>
    <row r="3"/>
    <row r="4" ht="13" customHeight="1" s="1354">
      <c r="A4" s="1748" t="inlineStr">
        <is>
          <t>Désignation entité : ENTREPRISE TEST SARL</t>
        </is>
      </c>
      <c r="E4" s="1591" t="inlineStr">
        <is>
          <t>Exercice clos le : 31/12/2025</t>
        </is>
      </c>
      <c r="G4" s="1578" t="n"/>
    </row>
    <row r="5" ht="13" customHeight="1" s="1354">
      <c r="A5" s="1749" t="inlineStr">
        <is>
          <t>Numéro d’identification : CD/KNG/RCCM/23-B-01234</t>
        </is>
      </c>
      <c r="E5" s="1591" t="inlineStr">
        <is>
          <t>Durée (en mois) : 12</t>
        </is>
      </c>
      <c r="G5" s="1582" t="n"/>
    </row>
    <row r="6" ht="14" customHeight="1" s="1354">
      <c r="A6" s="2252" t="inlineStr">
        <is>
          <t xml:space="preserve"> NOTE 19</t>
        </is>
      </c>
    </row>
    <row r="7" ht="14.5" customHeight="1" s="1354">
      <c r="A7" s="2067" t="inlineStr">
        <is>
          <t xml:space="preserve">AUTRES DETTES ET PROVISIONS POUR RISQUES A COURT TERME </t>
        </is>
      </c>
    </row>
    <row r="8" ht="48" customHeight="1" s="1354">
      <c r="A8" s="2003" t="inlineStr">
        <is>
          <t xml:space="preserve">Libellés </t>
        </is>
      </c>
      <c r="B8" s="2004" t="inlineStr">
        <is>
          <t xml:space="preserve">Année N </t>
        </is>
      </c>
      <c r="C8" s="2004" t="inlineStr">
        <is>
          <t xml:space="preserve">Année N-1 </t>
        </is>
      </c>
      <c r="D8" s="2004" t="inlineStr">
        <is>
          <t xml:space="preserve">Variation en valeur absolue </t>
        </is>
      </c>
      <c r="E8" s="2004" t="inlineStr">
        <is>
          <t xml:space="preserve">Variation en % </t>
        </is>
      </c>
      <c r="F8" s="2004" t="inlineStr">
        <is>
          <t xml:space="preserve">Dettes à un an au plus </t>
        </is>
      </c>
      <c r="G8" s="2004" t="inlineStr">
        <is>
          <t>Dettes à plus d'un an et à  deux ans au plus</t>
        </is>
      </c>
      <c r="H8" s="2006" t="inlineStr">
        <is>
          <t xml:space="preserve">Dettes à plus de deux ans </t>
        </is>
      </c>
    </row>
    <row r="9" ht="7.5" customHeight="1" s="1354">
      <c r="A9" s="2007" t="n"/>
      <c r="B9" s="2008" t="n"/>
      <c r="C9" s="2008" t="n"/>
      <c r="D9" s="2008" t="n"/>
      <c r="E9" s="2008" t="n"/>
      <c r="F9" s="2008" t="n"/>
      <c r="G9" s="2008" t="n"/>
      <c r="H9" s="2010" t="n"/>
    </row>
    <row r="10" ht="15" customHeight="1" s="1354">
      <c r="A10" s="2224" t="inlineStr">
        <is>
          <t xml:space="preserve">Organismes internationaux </t>
        </is>
      </c>
      <c r="B10" s="2833">
        <f>SUMIF(BALANCE!$A$2:$A$70,"451*",BALANCE!$G$2:$G$70)+SUMIF(BALANCE!$A$2:$A$70,"452*",BALANCE!$G$2:$G$70)+SUMIF(BALANCE!$A$2:$A$70,"458*",BALANCE!$G$2:$G$70)</f>
        <v/>
      </c>
      <c r="C10" s="2834">
        <f>SUMIF(BALANCE_N1!$A$2:$A$70,"451*",BALANCE_N1!$G$2:$G$70)+SUMIF(BALANCE_N1!$A$2:$A$70,"452*",BALANCE_N1!$G$2:$G$70)+SUMIF(BALANCE_N1!$A$2:$A$70,"458*",BALANCE_N1!$G$2:$G$70)</f>
        <v/>
      </c>
      <c r="D10" s="2405" t="n"/>
      <c r="E10" s="2405" t="n"/>
      <c r="F10" s="2405" t="n"/>
      <c r="G10" s="2405" t="n"/>
      <c r="H10" s="2405" t="n"/>
    </row>
    <row r="11" ht="15" customHeight="1" s="1354">
      <c r="A11" s="2226" t="inlineStr">
        <is>
          <t>  </t>
        </is>
      </c>
      <c r="B11" s="2406" t="n"/>
      <c r="C11" s="2406" t="n"/>
      <c r="D11" s="2406" t="n"/>
      <c r="E11" s="2406" t="n"/>
      <c r="F11" s="2406" t="n"/>
      <c r="G11" s="2406" t="n"/>
      <c r="H11" s="2406" t="n"/>
    </row>
    <row r="12" ht="11.5" customHeight="1" s="1354">
      <c r="A12" s="2226" t="inlineStr">
        <is>
          <t xml:space="preserve">Apporteurs, opérations sur le capital </t>
        </is>
      </c>
      <c r="B12" s="2835">
        <f>SUMIF(BALANCE!$A$2:$A$70,"461*",BALANCE!$G$2:$G$70)</f>
        <v/>
      </c>
      <c r="C12" s="2836">
        <f>SUMIF(BALANCE_N1!$A$2:$A$70,"461*",BALANCE_N1!$G$2:$G$70)</f>
        <v/>
      </c>
      <c r="D12" s="2333" t="n"/>
      <c r="E12" s="2333" t="n"/>
      <c r="F12" s="2333" t="n"/>
      <c r="G12" s="2333" t="n"/>
      <c r="H12" s="2333" t="n"/>
    </row>
    <row r="13" ht="15" customHeight="1" s="1354">
      <c r="A13" s="2226" t="inlineStr">
        <is>
          <t xml:space="preserve">Associés, compte courant </t>
        </is>
      </c>
      <c r="B13" s="2835">
        <f>SUMIF(BALANCE!$A$2:$A$70,"462*",BALANCE!$G$2:$G$70)</f>
        <v/>
      </c>
      <c r="C13" s="2836">
        <f>SUMIF(BALANCE_N1!$A$2:$A$70,"462*",BALANCE_N1!$G$2:$G$70)</f>
        <v/>
      </c>
      <c r="D13" s="2333" t="n"/>
      <c r="E13" s="2333" t="n"/>
      <c r="F13" s="2333" t="n"/>
      <c r="G13" s="2333" t="n"/>
      <c r="H13" s="2333" t="n"/>
    </row>
    <row r="14" ht="15" customHeight="1" s="1354">
      <c r="A14" s="2226" t="inlineStr">
        <is>
          <t xml:space="preserve">Associés dividendes à payer </t>
        </is>
      </c>
      <c r="B14" s="2835">
        <f>SUMIF(BALANCE!$A$2:$A$70,"465*",BALANCE!$G$2:$G$70)</f>
        <v/>
      </c>
      <c r="C14" s="2836">
        <f>SUMIF(BALANCE_N1!$A$2:$A$70,"465*",BALANCE_N1!$G$2:$G$70)</f>
        <v/>
      </c>
      <c r="D14" s="2333" t="n"/>
      <c r="E14" s="2333" t="n"/>
      <c r="F14" s="2333" t="n"/>
      <c r="G14" s="2333" t="n"/>
      <c r="H14" s="2333" t="n"/>
    </row>
    <row r="15" ht="15" customHeight="1" s="1354">
      <c r="A15" s="2226" t="inlineStr">
        <is>
          <t xml:space="preserve">Groupe, comptes courants </t>
        </is>
      </c>
      <c r="B15" s="2835">
        <f>SUMIF(BALANCE!$A$2:$A$70,"466*",BALANCE!$G$2:$G$70)</f>
        <v/>
      </c>
      <c r="C15" s="2836">
        <f>SUMIF(BALANCE_N1!$A$2:$A$70,"466*",BALANCE_N1!$G$2:$G$70)</f>
        <v/>
      </c>
      <c r="D15" s="2333" t="n"/>
      <c r="E15" s="2333" t="n"/>
      <c r="F15" s="2333" t="n"/>
      <c r="G15" s="2333" t="n"/>
      <c r="H15" s="2333" t="n"/>
    </row>
    <row r="16" ht="15" customHeight="1" s="1354">
      <c r="A16" s="2376" t="inlineStr">
        <is>
          <t xml:space="preserve">Autres dettes associés </t>
        </is>
      </c>
      <c r="B16" s="2837">
        <f>SUMIF(BALANCE!$A$2:$A$70,"463*",BALANCE!$G$2:$G$70)+SUMIF(BALANCE!$A$2:$A$70,"467*",BALANCE!$G$2:$G$70)</f>
        <v/>
      </c>
      <c r="C16" s="2838">
        <f>SUMIF(BALANCE_N1!$A$2:$A$70,"463*",BALANCE_N1!$G$2:$G$70)+SUMIF(BALANCE_N1!$A$2:$A$70,"467*",BALANCE_N1!$G$2:$G$70)</f>
        <v/>
      </c>
      <c r="D16" s="2407" t="n"/>
      <c r="E16" s="2407" t="n"/>
      <c r="F16" s="2407" t="n"/>
      <c r="G16" s="2407" t="n"/>
      <c r="H16" s="2407" t="n"/>
    </row>
    <row r="17" ht="15" customHeight="1" s="1354">
      <c r="A17" s="2104" t="inlineStr">
        <is>
          <t xml:space="preserve">TOTAL DETTES ASSOCIES </t>
        </is>
      </c>
      <c r="B17" s="2839">
        <f>SUM(B12:B16)</f>
        <v/>
      </c>
      <c r="C17" s="2839">
        <f>SUM(C12:C16)</f>
        <v/>
      </c>
      <c r="D17" s="2408" t="n"/>
      <c r="E17" s="2408" t="n"/>
      <c r="F17" s="2408" t="n"/>
      <c r="G17" s="2408" t="n"/>
      <c r="H17" s="2409" t="n"/>
    </row>
    <row r="18" ht="15" customHeight="1" s="1354">
      <c r="A18" s="2224" t="inlineStr">
        <is>
          <t>  </t>
        </is>
      </c>
      <c r="B18" s="2224" t="n"/>
      <c r="C18" s="2224" t="n"/>
      <c r="D18" s="2224" t="n"/>
      <c r="E18" s="2224" t="n"/>
      <c r="F18" s="2224" t="n"/>
      <c r="G18" s="2224" t="n"/>
      <c r="H18" s="2224" t="n"/>
    </row>
    <row r="19" ht="15" customHeight="1" s="1354">
      <c r="A19" s="2226" t="inlineStr">
        <is>
          <t xml:space="preserve">Créditeurs divers </t>
        </is>
      </c>
      <c r="B19" s="2840">
        <f>SUMIF(BALANCE!$A$2:$A$70,"471*",BALANCE!$G$2:$G$70)</f>
        <v/>
      </c>
      <c r="C19" s="2841">
        <f>SUMIF(BALANCE_N1!$A$2:$A$70,"471*",BALANCE_N1!$G$2:$G$70)</f>
        <v/>
      </c>
      <c r="D19" s="2411">
        <f>B19-C19</f>
        <v/>
      </c>
      <c r="E19" s="2412">
        <f>IF(D19=0,0,D19/C19)</f>
        <v/>
      </c>
      <c r="F19" s="2333" t="n"/>
      <c r="G19" s="2333" t="n"/>
      <c r="H19" s="2333" t="n"/>
    </row>
    <row r="20" ht="15" customHeight="1" s="1354">
      <c r="A20" s="2226" t="inlineStr">
        <is>
          <t xml:space="preserve">Obligataires  </t>
        </is>
      </c>
      <c r="B20" s="2226" t="n"/>
      <c r="C20" s="2333" t="n"/>
      <c r="D20" s="2333" t="n"/>
      <c r="E20" s="2333" t="n"/>
      <c r="F20" s="2333" t="n"/>
      <c r="G20" s="2333" t="n"/>
      <c r="H20" s="2333" t="n"/>
    </row>
    <row r="21" ht="15" customHeight="1" s="1354">
      <c r="A21" s="2226" t="inlineStr">
        <is>
          <t xml:space="preserve">Rémunérations d'administrateurs </t>
        </is>
      </c>
      <c r="B21" s="2226" t="n"/>
      <c r="C21" s="2333" t="n"/>
      <c r="D21" s="2333" t="n"/>
      <c r="E21" s="2333" t="n"/>
      <c r="F21" s="2333" t="n"/>
      <c r="G21" s="2333" t="n"/>
      <c r="H21" s="2333" t="n"/>
    </row>
    <row r="22" ht="15" customHeight="1" s="1354">
      <c r="A22" s="2226" t="inlineStr">
        <is>
          <t xml:space="preserve">Compte du factor </t>
        </is>
      </c>
      <c r="B22" s="2226" t="n"/>
      <c r="C22" s="2333" t="n"/>
      <c r="D22" s="2333" t="n"/>
      <c r="E22" s="2333" t="n"/>
      <c r="F22" s="2333" t="n"/>
      <c r="G22" s="2333" t="n"/>
      <c r="H22" s="2333" t="n"/>
    </row>
    <row r="23" ht="11.5" customHeight="1" s="1354">
      <c r="A23" s="2226" t="inlineStr">
        <is>
          <t xml:space="preserve">Versements restant à effectuer sur titres de placement non libérés </t>
        </is>
      </c>
      <c r="B23" s="2835">
        <f>SUMIF(BALANCE!$A$2:$A$70,"472*",BALANCE!$G$2:$G$70)</f>
        <v/>
      </c>
      <c r="C23" s="2836">
        <f>SUMIF(BALANCE_N1!$A$2:$A$70,"472*",BALANCE_N1!$G$2:$G$70)</f>
        <v/>
      </c>
      <c r="D23" s="2333" t="n"/>
      <c r="E23" s="2333" t="n"/>
      <c r="F23" s="2333" t="n"/>
      <c r="G23" s="2333" t="n"/>
      <c r="H23" s="2333" t="n"/>
    </row>
    <row r="24" ht="11.5" customHeight="1" s="1354">
      <c r="A24" s="2226" t="inlineStr">
        <is>
          <t xml:space="preserve">Compte transitoire ajustement spécial lié à la révision du SYSCOHADA </t>
        </is>
      </c>
      <c r="B24" s="2835">
        <f>SUMIF(BALANCE!$A$2:$A$70,"475*",BALANCE!$G$2:$G$70)</f>
        <v/>
      </c>
      <c r="C24" s="2836">
        <f>SUMIF(BALANCE_N1!$A$2:$A$70,"475*",BALANCE_N1!$G$2:$G$70)</f>
        <v/>
      </c>
      <c r="D24" s="2333" t="n"/>
      <c r="E24" s="2333" t="n"/>
      <c r="F24" s="2333" t="n"/>
      <c r="G24" s="2333" t="n"/>
      <c r="H24" s="2333" t="n"/>
    </row>
    <row r="25" ht="15" customHeight="1" s="1354">
      <c r="A25" s="2376" t="inlineStr">
        <is>
          <t xml:space="preserve">Autres créditeurs divers </t>
        </is>
      </c>
      <c r="B25" s="2837">
        <f>SUMIF(BALANCE!$A$2:$A$70,"474*",BALANCE!$G$2:$G$70)+SUMIF(BALANCE!$A$2:$A$70,"473*",BALANCE!$G$2:$G$70)+SUMIF(BALANCE!$A$2:$A$70,"477*",BALANCE!$G$2:$G$70)+SUMIF(BALANCE!$A$2:$A$70,"476*",BALANCE!$G$2:$G$70)</f>
        <v/>
      </c>
      <c r="C25" s="2838">
        <f>SUMIF(BALANCE_N1!$A$2:$A$70,"474*",BALANCE_N1!$G$2:$G$70)+SUMIF(BALANCE_N1!$A$2:$A$70,"473*",BALANCE_N1!$G$2:$G$70)+SUMIF(BALANCE_N1!$A$2:$A$70,"477*",BALANCE_N1!$G$2:$G$70)+SUMIF(BALANCE_N1!$A$2:$A$70,"476*",BALANCE_N1!$G$2:$G$70)</f>
        <v/>
      </c>
      <c r="D25" s="2407" t="n"/>
      <c r="E25" s="2407" t="n"/>
      <c r="F25" s="2407" t="n"/>
      <c r="G25" s="2407" t="n"/>
      <c r="H25" s="2407" t="n"/>
    </row>
    <row r="26" ht="15" customHeight="1" s="1354">
      <c r="A26" s="2104" t="inlineStr">
        <is>
          <t xml:space="preserve">TOTAL  CREDITEURS DIVERS </t>
        </is>
      </c>
      <c r="B26" s="2842">
        <f>SUM(B19:B25)</f>
        <v/>
      </c>
      <c r="C26" s="2842">
        <f>SUM(C19:C25)</f>
        <v/>
      </c>
      <c r="D26" s="2413">
        <f>D19</f>
        <v/>
      </c>
      <c r="E26" s="2115">
        <f>E19</f>
        <v/>
      </c>
      <c r="F26" s="2408" t="n"/>
      <c r="G26" s="2408" t="n"/>
      <c r="H26" s="2409" t="n"/>
    </row>
    <row r="27" ht="15" customHeight="1" s="1354">
      <c r="A27" s="2224" t="inlineStr">
        <is>
          <t>  </t>
        </is>
      </c>
      <c r="B27" s="2224" t="n"/>
      <c r="C27" s="2224" t="n"/>
      <c r="D27" s="2224" t="n"/>
      <c r="E27" s="2224" t="n"/>
      <c r="F27" s="2224" t="n"/>
      <c r="G27" s="2224" t="n"/>
      <c r="H27" s="2224" t="n"/>
    </row>
    <row r="28" ht="24.75" customHeight="1" s="1354">
      <c r="A28" s="2226" t="inlineStr">
        <is>
          <t xml:space="preserve">Comptes permanents non bloqués des établissements et des succursales </t>
        </is>
      </c>
      <c r="B28" s="2835">
        <f>SUMIF(BALANCE!$A$2:$A$70,"185*",BALANCE!$G$2:$G$70)</f>
        <v/>
      </c>
      <c r="C28" s="2836">
        <f>SUMIF(BALANCE_N1!$A$2:$A$70,"185*",BALANCE_N1!$G$2:$G$70)</f>
        <v/>
      </c>
      <c r="D28" s="2333" t="n"/>
      <c r="E28" s="2333" t="n"/>
      <c r="F28" s="2333" t="n"/>
      <c r="G28" s="2333" t="n"/>
      <c r="H28" s="2333" t="n"/>
    </row>
    <row r="29" ht="11.5" customHeight="1" s="1354">
      <c r="A29" s="2414" t="inlineStr">
        <is>
          <t xml:space="preserve">Comptes de liaison charges et produits </t>
        </is>
      </c>
      <c r="B29" s="2835">
        <f>SUMIF(BALANCE!$A$2:$A$70,"187*",BALANCE!$G$2:$G$70)+SUMIF(BALANCE!$A$2:$A$70,"186*",BALANCE!$G$2:$G$70)</f>
        <v/>
      </c>
      <c r="C29" s="2836">
        <f>SUMIF(BALANCE_N1!$A$2:$A$70,"187*",BALANCE_N1!$G$2:$G$70)+SUMIF(BALANCE_N1!$A$2:$A$70,"186*",BALANCE_N1!$G$2:$G$70)</f>
        <v/>
      </c>
      <c r="D29" s="2333" t="n"/>
      <c r="E29" s="2333" t="n"/>
      <c r="F29" s="2333" t="n"/>
      <c r="G29" s="2333" t="n"/>
      <c r="H29" s="2333" t="n"/>
    </row>
    <row r="30" ht="11.5" customHeight="1" s="1354">
      <c r="A30" s="2226" t="inlineStr">
        <is>
          <t xml:space="preserve">Comptes de liaison des sociétés en participation </t>
        </is>
      </c>
      <c r="B30" s="2835">
        <f>SUMIF(BALANCE!$A$2:$A$70,"188*",BALANCE!$G$2:$G$70)</f>
        <v/>
      </c>
      <c r="C30" s="2836">
        <f>SUMIF(BALANCE_N1!$A$2:$A$70,"188*",BALANCE_N1!$G$2:$G$70)</f>
        <v/>
      </c>
      <c r="D30" s="2333" t="n"/>
      <c r="E30" s="2333" t="n"/>
      <c r="F30" s="2333" t="n"/>
      <c r="G30" s="2333" t="n"/>
      <c r="H30" s="2333" t="n"/>
    </row>
    <row r="31" ht="15" customHeight="1" s="1354">
      <c r="A31" s="2415" t="inlineStr">
        <is>
          <t xml:space="preserve">TOTAL  COMPTES DE LIAISON </t>
        </is>
      </c>
      <c r="B31" s="2843">
        <f>SUM(B28:B30)</f>
        <v/>
      </c>
      <c r="C31" s="2843">
        <f>SUM(C28:C30)</f>
        <v/>
      </c>
      <c r="D31" s="2416" t="n"/>
      <c r="E31" s="2416" t="n"/>
      <c r="F31" s="2416" t="n"/>
      <c r="G31" s="2416" t="n"/>
      <c r="H31" s="2416" t="n"/>
    </row>
    <row r="32" ht="15" customHeight="1" s="1354">
      <c r="A32" s="2376" t="inlineStr">
        <is>
          <t>  </t>
        </is>
      </c>
      <c r="B32" s="2376" t="n"/>
      <c r="C32" s="2376" t="n"/>
      <c r="D32" s="2376" t="n"/>
      <c r="E32" s="2376" t="n"/>
      <c r="F32" s="2376" t="n"/>
      <c r="G32" s="2376" t="n"/>
      <c r="H32" s="2376" t="n"/>
    </row>
    <row r="33" ht="15" customHeight="1" s="1354">
      <c r="A33" s="2417" t="inlineStr">
        <is>
          <t xml:space="preserve">TOTAL  AUTRES DETTES </t>
        </is>
      </c>
      <c r="B33" s="2844">
        <f>B10+B17+B26+B31</f>
        <v/>
      </c>
      <c r="C33" s="2844">
        <f>C10+C17+C26+C31</f>
        <v/>
      </c>
      <c r="D33" s="2418">
        <f>D26</f>
        <v/>
      </c>
      <c r="E33" s="2419">
        <f>E26</f>
        <v/>
      </c>
      <c r="F33" s="2420" t="n"/>
      <c r="G33" s="2420" t="n"/>
      <c r="H33" s="2421" t="n"/>
    </row>
    <row r="34" ht="15" customHeight="1" s="1354">
      <c r="A34" s="2224" t="inlineStr">
        <is>
          <t>  </t>
        </is>
      </c>
      <c r="B34" s="2224" t="n"/>
      <c r="C34" s="2224" t="n"/>
      <c r="D34" s="2224" t="n"/>
      <c r="E34" s="2224" t="n"/>
      <c r="F34" s="2224" t="n"/>
      <c r="G34" s="2224" t="n"/>
      <c r="H34" s="2224" t="n"/>
    </row>
    <row r="35" ht="11.5" customHeight="1" s="1354">
      <c r="A35" s="2226" t="inlineStr">
        <is>
          <t xml:space="preserve">Provisions pour risques à court terme (voir note 28) </t>
        </is>
      </c>
      <c r="B35" s="2835">
        <f>SUMIF(BALANCE!$A$2:$A$70,"499*",BALANCE!$G$2:$G$70)-SUMIF(BALANCE!$A$2:$A$70,"499*",BALANCE!$F$2:$F$70)-SUMIF(BALANCE!$A$2:$A$70,"599*",BALANCE!$G$2:$G$70)+SUMIF(BALANCE!$A$2:$A$70,"599*",BALANCE!$F$2:$F$70)-SUMIF(BALANCE!$A$2:$A$70,"4998*",BALANCE!$G$2:$G$70)+SUMIF(BALANCE!$A$2:$A$70,"4998*",BALANCE!$F$2:$F$70)</f>
        <v/>
      </c>
      <c r="C35" s="2835">
        <f>SUMIF(BALANCE_N1!$A$2:$A$70,"499*",BALANCE_N1!$G$2:$G$70)-SUMIF(BALANCE_N1!$A$2:$A$70,"499*",BALANCE_N1!$F$2:$F$70)-SUMIF(BALANCE_N1!$A$2:$A$70,"599*",BALANCE_N1!$G$2:$G$70)+SUMIF(BALANCE_N1!$A$2:$A$70,"599*",BALANCE_N1!$F$2:$F$70)-SUMIF(BALANCE_N1!$A$2:$A$70,"4998*",BALANCE_N1!$G$2:$G$70)+SUMIF(BALANCE_N1!$A$2:$A$70,"4998*",BALANCE_N1!$F$2:$F$70)</f>
        <v/>
      </c>
      <c r="D35" s="2226" t="n"/>
      <c r="E35" s="2226" t="n"/>
      <c r="F35" s="2226" t="n"/>
      <c r="G35" s="2226" t="n"/>
      <c r="H35" s="2226" t="n"/>
    </row>
    <row r="36" ht="11.5" customHeight="1" s="1354">
      <c r="A36" s="2090" t="inlineStr">
        <is>
          <t xml:space="preserve">Commentaires :  </t>
        </is>
      </c>
    </row>
    <row r="37" ht="12" customHeight="1" s="1354">
      <c r="A37" s="2138" t="inlineStr">
        <is>
          <t xml:space="preserve">•      Commenter toute variation significative. </t>
        </is>
      </c>
    </row>
    <row r="38" ht="12" customHeight="1" s="1354">
      <c r="A38" s="2138" t="inlineStr">
        <is>
          <t xml:space="preserve">•      Indiquer le taux de rémunération si compte courant rémunéré. </t>
        </is>
      </c>
    </row>
    <row r="39" ht="12" customHeight="1" s="1354">
      <c r="A39" s="2138" t="inlineStr">
        <is>
          <t xml:space="preserve">•      Commenter les dettes anciennes. </t>
        </is>
      </c>
    </row>
    <row r="40" ht="12" customHeight="1" s="1354">
      <c r="A40" s="2138" t="inlineStr">
        <is>
          <t xml:space="preserve">•      Compte transitoire ajustement spécial, indiquer le détail du compte et la durée restant pour l'apurement. </t>
        </is>
      </c>
    </row>
    <row r="41" ht="11.5" customHeight="1" s="1354">
      <c r="A41" s="2212" t="inlineStr">
        <is>
          <t> </t>
        </is>
      </c>
    </row>
  </sheetData>
  <mergeCells count="10">
    <mergeCell ref="A8:A9"/>
    <mergeCell ref="E8:E9"/>
    <mergeCell ref="C8:C9"/>
    <mergeCell ref="H8:H9"/>
    <mergeCell ref="F8:F9"/>
    <mergeCell ref="G8:G9"/>
    <mergeCell ref="A6:G6"/>
    <mergeCell ref="D8:D9"/>
    <mergeCell ref="B8:B9"/>
    <mergeCell ref="A7:G7"/>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H3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7" activeCellId="0" sqref="B17:D21"/>
    </sheetView>
  </sheetViews>
  <sheetFormatPr baseColWidth="8" defaultColWidth="10.8125" defaultRowHeight="12" zeroHeight="0" outlineLevelRow="0"/>
  <cols>
    <col width="52.44" customWidth="1" style="1583" min="1" max="1"/>
    <col width="10.81" customWidth="1" style="1583" min="2" max="2"/>
    <col width="11.99" customWidth="1" style="1583" min="3" max="3"/>
    <col width="10.81" customWidth="1" style="1583" min="4" max="257"/>
  </cols>
  <sheetData>
    <row r="1" ht="12" customHeight="1" s="1354">
      <c r="A1" s="2167" t="n"/>
    </row>
    <row r="2" ht="11.5" customFormat="1" customHeight="1" s="1577">
      <c r="A2" s="2212" t="n"/>
    </row>
    <row r="3" ht="11.5" customFormat="1" customHeight="1" s="1577">
      <c r="A3" s="2212" t="n"/>
    </row>
    <row r="4" ht="11.5" customFormat="1" customHeight="1" s="1577"/>
    <row r="5" ht="13" customFormat="1" customHeight="1" s="1577">
      <c r="A5" s="1748" t="inlineStr">
        <is>
          <t>Désignation entité : ENTREPRISE TEST SARL</t>
        </is>
      </c>
      <c r="C5" s="1591" t="inlineStr">
        <is>
          <t>Exercice clos le : 31/12/2025</t>
        </is>
      </c>
      <c r="D5" s="1578" t="n"/>
    </row>
    <row r="6" ht="13" customFormat="1" customHeight="1" s="1577">
      <c r="A6" s="1749" t="inlineStr">
        <is>
          <t>Numéro d’identification : CD/KNG/RCCM/23-B-01234</t>
        </is>
      </c>
      <c r="C6" s="1591" t="inlineStr">
        <is>
          <t>Durée (en mois) : 12</t>
        </is>
      </c>
      <c r="D6" s="1582" t="n"/>
    </row>
    <row r="7" ht="11.5" customFormat="1" customHeight="1" s="1577">
      <c r="A7" s="1642" t="n"/>
      <c r="C7" s="1642" t="n"/>
    </row>
    <row r="8" ht="16.5" customHeight="1" s="1354">
      <c r="A8" s="1822" t="inlineStr">
        <is>
          <t xml:space="preserve"> NOTE 20 </t>
        </is>
      </c>
      <c r="E8" s="1822" t="n"/>
      <c r="F8" s="1822" t="n"/>
      <c r="G8" s="1822" t="n"/>
      <c r="H8" s="1822" t="n"/>
    </row>
    <row r="9" ht="15.75" customHeight="1" s="1354">
      <c r="A9" s="2422" t="inlineStr">
        <is>
          <t>BANQUES, CREDIT D'ESCOMPTE ET DE TRESORERIE</t>
        </is>
      </c>
      <c r="B9" s="1594" t="n"/>
      <c r="C9" s="1594" t="n"/>
      <c r="D9" s="1594" t="n"/>
      <c r="E9" s="1967" t="n"/>
      <c r="F9" s="1967" t="n"/>
      <c r="G9" s="1967" t="n"/>
      <c r="H9" s="1967" t="n"/>
    </row>
    <row r="10" ht="15" customHeight="1" s="1354">
      <c r="A10" s="2191" t="inlineStr">
        <is>
          <t xml:space="preserve"> Libellés </t>
        </is>
      </c>
      <c r="B10" s="2004" t="inlineStr">
        <is>
          <t xml:space="preserve">Année  N </t>
        </is>
      </c>
      <c r="C10" s="2004" t="inlineStr">
        <is>
          <t xml:space="preserve">Année  N-1 </t>
        </is>
      </c>
      <c r="D10" s="2006" t="inlineStr">
        <is>
          <t xml:space="preserve">Variation en %  </t>
        </is>
      </c>
    </row>
    <row r="11" ht="15" customHeight="1" s="1354">
      <c r="A11" s="2007" t="n"/>
      <c r="B11" s="2008" t="n"/>
      <c r="C11" s="2008" t="n"/>
      <c r="D11" s="2010" t="n"/>
    </row>
    <row r="12" ht="15" customHeight="1" s="1354">
      <c r="A12" s="2096" t="inlineStr">
        <is>
          <t xml:space="preserve">Escomptes de crédit de campagne </t>
        </is>
      </c>
      <c r="B12" s="2845">
        <f>SUMIF(BALANCE!$A$2:$A$70,"564*",BALANCE!$G$2:$G$70)</f>
        <v/>
      </c>
      <c r="C12" s="2845">
        <f>SUMIF(BALANCE_N1!$A$2:$A$70,"564*",BALANCE_N1!$G$2:$G$70)</f>
        <v/>
      </c>
      <c r="D12" s="2424" t="n"/>
    </row>
    <row r="13" ht="15" customHeight="1" s="1354">
      <c r="A13" s="2102" t="inlineStr">
        <is>
          <t xml:space="preserve">Escomptes de crédit ordinaires </t>
        </is>
      </c>
      <c r="B13" s="2846">
        <f>SUMIF(BALANCE!$A$2:$A$70,"565*",BALANCE!$G$2:$G$70)</f>
        <v/>
      </c>
      <c r="C13" s="2846">
        <f>SUMIF(BALANCE_N1!$A$2:$A$70,"565*",BALANCE_N1!$G$2:$G$70)</f>
        <v/>
      </c>
      <c r="D13" s="2426" t="n"/>
    </row>
    <row r="14" ht="15" customHeight="1" s="1354">
      <c r="A14" s="2427" t="inlineStr">
        <is>
          <t xml:space="preserve">TOTAL: BANQUES, CREDITS </t>
        </is>
      </c>
      <c r="B14" s="2847">
        <f>B12+B13</f>
        <v/>
      </c>
      <c r="C14" s="2847">
        <f>C12+C13</f>
        <v/>
      </c>
      <c r="D14" s="2428" t="n"/>
    </row>
    <row r="15" ht="15" customHeight="1" s="1354">
      <c r="A15" s="2429" t="inlineStr">
        <is>
          <t xml:space="preserve">D'ESCOMPTE ET DE TRESORERIE </t>
        </is>
      </c>
      <c r="B15" s="2008" t="n"/>
      <c r="C15" s="2008" t="n"/>
      <c r="D15" s="2010" t="n"/>
    </row>
    <row r="16" ht="15" customHeight="1" s="1354">
      <c r="A16" s="2096" t="inlineStr">
        <is>
          <t>  </t>
        </is>
      </c>
      <c r="B16" s="2430" t="n"/>
      <c r="C16" s="2430" t="n"/>
      <c r="D16" s="2431" t="n"/>
    </row>
    <row r="17" ht="15" customHeight="1" s="1354">
      <c r="A17" s="2099" t="inlineStr">
        <is>
          <t xml:space="preserve">Banques locales </t>
        </is>
      </c>
      <c r="B17" s="2848">
        <f>SUMIF(BALANCE!$A$2:$A$70,"521*",BALANCE!$G$2:$G$70)</f>
        <v/>
      </c>
      <c r="C17" s="2848">
        <f>SUMIF(BALANCE_N1!$A$2:$A$70,"521*",BALANCE_N1!$G$2:$G$70)</f>
        <v/>
      </c>
      <c r="D17" s="2433" t="n"/>
    </row>
    <row r="18" ht="15" customHeight="1" s="1354">
      <c r="A18" s="2099" t="inlineStr">
        <is>
          <t xml:space="preserve">Banques autres états région </t>
        </is>
      </c>
      <c r="B18" s="2848">
        <f>SUMIF(BALANCE!$A$2:$A$70,"522*",BALANCE!$G$2:$G$70)</f>
        <v/>
      </c>
      <c r="C18" s="2848">
        <f>SUMIF(BALANCE_N1!$A$2:$A$70,"522*",BALANCE_N1!$G$2:$G$70)</f>
        <v/>
      </c>
      <c r="D18" s="2433" t="n"/>
    </row>
    <row r="19" ht="15" customHeight="1" s="1354">
      <c r="A19" s="2099" t="inlineStr">
        <is>
          <t xml:space="preserve">Autres Banques </t>
        </is>
      </c>
      <c r="B19" s="2848">
        <f>SUMIF(BALANCE!$A$2:$A$70,"523*",BALANCE!$G$2:$G$70)+SUMIF(BALANCE!$A$2:$A$70,"525*",BALANCE!$G$2:$G$70)+SUMIF(BALANCE!$A$2:$A$70,"524*",BALANCE!$G$2:$G$70)</f>
        <v/>
      </c>
      <c r="C19" s="2848">
        <f>SUMIF(BALANCE_N1!$A$2:$A$70,"523*",BALANCE_N1!$G$2:$G$70)+SUMIF(BALANCE_N1!$A$2:$A$70,"525*",BALANCE_N1!$G$2:$G$70)+SUMIF(BALANCE_N1!$A$2:$A$70,"524*",BALANCE_N1!$G$2:$G$70)</f>
        <v/>
      </c>
      <c r="D19" s="2433" t="n"/>
    </row>
    <row r="20" ht="15" customHeight="1" s="1354">
      <c r="A20" s="2099" t="inlineStr">
        <is>
          <t xml:space="preserve">Banques intérêts courus </t>
        </is>
      </c>
      <c r="B20" s="2848">
        <f>SUMIF(BALANCE!$A$2:$A$70,"566*",BALANCE!$G$2:$G$70)+SUMIF(BALANCE!$A$2:$A$70,"526*",BALANCE!$G$2:$G$70)</f>
        <v/>
      </c>
      <c r="C20" s="2848">
        <f>SUMIF(BALANCE_N1!$A$2:$A$70,"566*",BALANCE_N1!$G$2:$G$70)+SUMIF(BALANCE_N1!$A$2:$A$70,"526*",BALANCE_N1!$G$2:$G$70)</f>
        <v/>
      </c>
      <c r="D20" s="2433" t="n"/>
    </row>
    <row r="21" ht="15" customHeight="1" s="1354">
      <c r="A21" s="2102" t="inlineStr">
        <is>
          <t xml:space="preserve">Crédit de trésorerie </t>
        </is>
      </c>
      <c r="B21" s="2849">
        <f>SUMIF(BALANCE!$A$2:$A$70,"561*",BALANCE!$G$2:$G$70)</f>
        <v/>
      </c>
      <c r="C21" s="2849">
        <f>SUMIF(BALANCE_N1!$A$2:$A$70,"561*",BALANCE_N1!$G$2:$G$70)</f>
        <v/>
      </c>
      <c r="D21" s="2435">
        <f>(B21-C21)/C21</f>
        <v/>
      </c>
    </row>
    <row r="22" ht="15" customHeight="1" s="1354">
      <c r="A22" s="2104" t="inlineStr">
        <is>
          <t xml:space="preserve">TOTAL: BANQUES, CREDITS DE TRESORERIE </t>
        </is>
      </c>
      <c r="B22" s="2842">
        <f>SUM(B17:B21)</f>
        <v/>
      </c>
      <c r="C22" s="2842">
        <f>SUM(C17:C21)</f>
        <v/>
      </c>
      <c r="D22" s="2115">
        <f>D21</f>
        <v/>
      </c>
    </row>
    <row r="23" ht="15" customHeight="1" s="1354">
      <c r="A23" s="2096" t="inlineStr">
        <is>
          <t>  </t>
        </is>
      </c>
      <c r="B23" s="2224" t="n"/>
      <c r="C23" s="2224" t="n"/>
      <c r="D23" s="2316" t="n"/>
    </row>
    <row r="24" ht="15" customHeight="1" s="1354">
      <c r="A24" s="2437" t="inlineStr">
        <is>
          <t xml:space="preserve">TOTAL GENERAL </t>
        </is>
      </c>
      <c r="B24" s="2850">
        <f>B14+B22</f>
        <v/>
      </c>
      <c r="C24" s="2850">
        <f>C14+C22</f>
        <v/>
      </c>
      <c r="D24" s="2439">
        <f>D22</f>
        <v/>
      </c>
    </row>
    <row r="25" ht="12" customHeight="1" s="1354">
      <c r="A25" s="2090" t="inlineStr">
        <is>
          <t xml:space="preserve">Commentaires:  </t>
        </is>
      </c>
    </row>
    <row r="26" ht="12" customHeight="1" s="1354">
      <c r="A26" s="2138" t="inlineStr">
        <is>
          <t xml:space="preserve">•      Commenter toute variation significative. </t>
        </is>
      </c>
    </row>
    <row r="27" ht="21" customHeight="1" s="1354">
      <c r="A27" s="2138" t="inlineStr">
        <is>
          <t xml:space="preserve">•      Indiquer le nom de l'organisme les conditions de crédit, le taux d'intérêt, la durée  du crédit. </t>
        </is>
      </c>
    </row>
    <row r="28" ht="12" customHeight="1" s="1354">
      <c r="A28" s="2440" t="inlineStr">
        <is>
          <t xml:space="preserve">NB : Banques et intérêts courus figure dans cette rubrique si le compte principal attaché est créditeur. </t>
        </is>
      </c>
    </row>
    <row r="29" ht="12" customHeight="1" s="1354">
      <c r="A29" s="2167" t="inlineStr">
        <is>
          <t> </t>
        </is>
      </c>
    </row>
    <row r="30" ht="12" customHeight="1" s="1354">
      <c r="A30" s="2167" t="inlineStr">
        <is>
          <t> </t>
        </is>
      </c>
    </row>
    <row r="31" ht="12" customHeight="1" s="1354">
      <c r="A31" s="2167" t="inlineStr">
        <is>
          <t> </t>
        </is>
      </c>
    </row>
    <row r="32" ht="12" customHeight="1" s="1354">
      <c r="A32" s="2167" t="inlineStr">
        <is>
          <t> </t>
        </is>
      </c>
    </row>
    <row r="33" ht="12" customHeight="1" s="1354">
      <c r="A33" s="2167" t="inlineStr">
        <is>
          <t> </t>
        </is>
      </c>
    </row>
  </sheetData>
  <mergeCells count="9">
    <mergeCell ref="A9:D9"/>
    <mergeCell ref="D10:D11"/>
    <mergeCell ref="A8:D8"/>
    <mergeCell ref="A10:A11"/>
    <mergeCell ref="C14:C15"/>
    <mergeCell ref="C10:C11"/>
    <mergeCell ref="B10:B11"/>
    <mergeCell ref="D14:D15"/>
    <mergeCell ref="B14:B15"/>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outlinePr summaryBelow="1" summaryRight="1"/>
    <pageSetUpPr fitToPage="0"/>
  </sheetPr>
  <dimension ref="A1:D44"/>
  <sheetViews>
    <sheetView showFormulas="0" showGridLines="1" showRowColHeaders="1" showZeros="1" rightToLeft="0" tabSelected="0" showOutlineSymbols="1" defaultGridColor="1" view="normal" topLeftCell="A37" colorId="64" zoomScale="100" zoomScaleNormal="100" zoomScalePageLayoutView="100" workbookViewId="0">
      <selection pane="topLeft" activeCell="G22" activeCellId="0" sqref="G22"/>
    </sheetView>
  </sheetViews>
  <sheetFormatPr baseColWidth="8" defaultColWidth="10.8125" defaultRowHeight="12" zeroHeight="0" outlineLevelRow="0"/>
  <cols>
    <col width="61.17" customWidth="1" style="1583" min="1" max="1"/>
    <col width="16.72" customWidth="1" style="1583" min="2" max="2"/>
    <col width="17.44" customWidth="1" style="1583" min="3" max="3"/>
    <col width="14.44" customWidth="1" style="1583" min="4" max="4"/>
    <col width="10.81" customWidth="1" style="1583" min="5" max="257"/>
  </cols>
  <sheetData>
    <row r="1" ht="12" customHeight="1" s="1354">
      <c r="A1" s="2167" t="n"/>
    </row>
    <row r="2" ht="12" customHeight="1" s="1354">
      <c r="A2" s="2167" t="n"/>
    </row>
    <row r="3" ht="11.5" customFormat="1" customHeight="1" s="1577">
      <c r="A3" s="2212" t="n"/>
    </row>
    <row r="4" ht="11.5" customFormat="1" customHeight="1" s="1577">
      <c r="A4" s="2212" t="n"/>
    </row>
    <row r="5" ht="11.5" customFormat="1" customHeight="1" s="1577"/>
    <row r="6" ht="13" customFormat="1" customHeight="1" s="1577">
      <c r="A6" s="1748" t="inlineStr">
        <is>
          <t>Désignation entité : ENTREPRISE TEST SARL</t>
        </is>
      </c>
      <c r="B6" s="1591" t="inlineStr">
        <is>
          <t>Exercice clos le : 31/12/2025</t>
        </is>
      </c>
      <c r="C6" s="1591" t="n"/>
      <c r="D6" s="1578" t="n"/>
    </row>
    <row r="7" ht="13" customFormat="1" customHeight="1" s="1577">
      <c r="A7" s="1749" t="inlineStr">
        <is>
          <t>Numéro d’identification : CD/KNG/RCCM/23-B-01234</t>
        </is>
      </c>
      <c r="B7" s="1591" t="inlineStr">
        <is>
          <t>Durée (en mois) : 12</t>
        </is>
      </c>
      <c r="C7" s="1591" t="n"/>
      <c r="D7" s="1582" t="n"/>
    </row>
    <row r="8" ht="11.5" customFormat="1" customHeight="1" s="1577">
      <c r="A8" s="1642" t="n"/>
      <c r="C8" s="1642" t="n"/>
    </row>
    <row r="9" ht="14" customHeight="1" s="1354">
      <c r="A9" s="1991" t="inlineStr">
        <is>
          <t>NOTE 21</t>
        </is>
      </c>
    </row>
    <row r="10" ht="14.5" customHeight="1" s="1354">
      <c r="A10" s="2170" t="inlineStr">
        <is>
          <t xml:space="preserve">CHIFFRE D’AFFAIRES et AUTRES PRODUITS </t>
        </is>
      </c>
      <c r="B10" s="1594" t="n"/>
      <c r="C10" s="1594" t="n"/>
      <c r="D10" s="1594" t="n"/>
    </row>
    <row r="11" ht="20.15" customHeight="1" s="1354">
      <c r="A11" s="2003" t="inlineStr">
        <is>
          <t xml:space="preserve">Libellés </t>
        </is>
      </c>
      <c r="B11" s="2004" t="inlineStr">
        <is>
          <t xml:space="preserve">Année N </t>
        </is>
      </c>
      <c r="C11" s="2004" t="inlineStr">
        <is>
          <t xml:space="preserve">Année  N-1 </t>
        </is>
      </c>
      <c r="D11" s="2006" t="inlineStr">
        <is>
          <t xml:space="preserve">Variation en %  </t>
        </is>
      </c>
    </row>
    <row r="12" ht="14.25" customHeight="1" s="1354">
      <c r="A12" s="2007" t="n"/>
      <c r="B12" s="2008" t="n"/>
      <c r="C12" s="2008" t="n"/>
      <c r="D12" s="2010" t="n"/>
    </row>
    <row r="13" ht="20.15" customHeight="1" s="1354">
      <c r="A13" s="2096" t="inlineStr">
        <is>
          <t xml:space="preserve">Ventes dans la région </t>
        </is>
      </c>
      <c r="B13" s="2851">
        <f>SUMIF(BALANCE!$A$2:$A$70,"7011*",BALANCE!$G$2:$G$70)-SUMIF(BALANCE!$A$2:$A$70,"7011*",BALANCE!$F$2:$F$70)</f>
        <v/>
      </c>
      <c r="C13" s="2851">
        <f>SUMIF(BALANCE_N1!$A$2:$A$70,"7011*",BALANCE_N1!$G$2:$G$70)-SUMIF(BALANCE_N1!$A$2:$A$70,"7011*",BALANCE_N1!$F$2:$F$70)</f>
        <v/>
      </c>
      <c r="D13" s="2442">
        <f>(B13-C13)/C13</f>
        <v/>
      </c>
    </row>
    <row r="14" ht="20.15" customHeight="1" s="1354">
      <c r="A14" s="2099" t="inlineStr">
        <is>
          <t xml:space="preserve">Ventes hors région </t>
        </is>
      </c>
      <c r="B14" s="2821">
        <f>SUMIF(BALANCE!$A$2:$A$70,"7012*",BALANCE!$G$2:$G$70)-SUMIF(BALANCE!$A$2:$A$70,"7012*",BALANCE!$F$2:$F$70)</f>
        <v/>
      </c>
      <c r="C14" s="2821">
        <f>SUMIF(BALANCE_N1!$A$2:$A$70,"7012*",BALANCE_N1!$G$2:$G$70)-SUMIF(BALANCE_N1!$A$2:$A$70,"7012*",BALANCE_N1!$F$2:$F$70)</f>
        <v/>
      </c>
      <c r="D14" s="2442" t="n"/>
    </row>
    <row r="15" ht="20.15" customHeight="1" s="1354">
      <c r="A15" s="2099" t="inlineStr">
        <is>
          <t xml:space="preserve">Ventes groupe </t>
        </is>
      </c>
      <c r="B15" s="2821">
        <f>SUMIF(BALANCE!$A$2:$A$70,"7014*",BALANCE!$G$2:$G$70)-SUMIF(BALANCE!$A$2:$A$70,"7014*",BALANCE!$F$2:$F$70)+SUMIF(BALANCE!$A$2:$A$70,"7013*",BALANCE!$G$2:$G$70)-SUMIF(BALANCE!$A$2:$A$70,"7013*",BALANCE!$F$2:$F$70)</f>
        <v/>
      </c>
      <c r="C15" s="2821">
        <f>SUMIF(BALANCE_N1!$A$2:$A$70,"7014*",BALANCE_N1!$G$2:$G$70)-SUMIF(BALANCE_N1!$A$2:$A$70,"7014*",BALANCE_N1!$F$2:$F$70)+SUMIF(BALANCE_N1!$A$2:$A$70,"7013*",BALANCE_N1!$G$2:$G$70)-SUMIF(BALANCE_N1!$A$2:$A$70,"7013*",BALANCE_N1!$F$2:$F$70)</f>
        <v/>
      </c>
      <c r="D15" s="2442" t="n"/>
    </row>
    <row r="16" ht="20.15" customHeight="1" s="1354">
      <c r="A16" s="2102" t="inlineStr">
        <is>
          <t xml:space="preserve">Ventes sur internet </t>
        </is>
      </c>
      <c r="B16" s="2852">
        <f>SUMIF(BALANCE!$A$2:$A$70,"7019*",BALANCE!$G$2:$G$70)-SUMIF(BALANCE!$A$2:$A$70,"7019*",BALANCE!$F$2:$F$70)+SUMIF(BALANCE!$A$2:$A$70,"7015*",BALANCE!$G$2:$G$70)-SUMIF(BALANCE!$A$2:$A$70,"7015*",BALANCE!$F$2:$F$70)</f>
        <v/>
      </c>
      <c r="C16" s="2852">
        <f>SUMIF(BALANCE_N1!$A$2:$A$70,"7019*",BALANCE_N1!$G$2:$G$70)-SUMIF(BALANCE_N1!$A$2:$A$70,"7019*",BALANCE_N1!$F$2:$F$70)+SUMIF(BALANCE_N1!$A$2:$A$70,"7015*",BALANCE_N1!$G$2:$G$70)-SUMIF(BALANCE_N1!$A$2:$A$70,"7015*",BALANCE_N1!$F$2:$F$70)</f>
        <v/>
      </c>
      <c r="D16" s="2442" t="n"/>
    </row>
    <row r="17" ht="20.15" customHeight="1" s="1354">
      <c r="A17" s="2104" t="inlineStr">
        <is>
          <t xml:space="preserve">TOTAL : VENTES MARCHANDISES </t>
        </is>
      </c>
      <c r="B17" s="1897">
        <f>SUM(B13:B16)</f>
        <v/>
      </c>
      <c r="C17" s="1897">
        <f>SUM(C13:C16)</f>
        <v/>
      </c>
      <c r="D17" s="2444">
        <f>(B17-C17)/C17</f>
        <v/>
      </c>
    </row>
    <row r="18" ht="20.15" customHeight="1" s="1354">
      <c r="A18" s="2107" t="inlineStr">
        <is>
          <t>  </t>
        </is>
      </c>
      <c r="B18" s="1879" t="n"/>
      <c r="C18" s="1879" t="n"/>
      <c r="D18" s="2444" t="n"/>
    </row>
    <row r="19" ht="20.15" customHeight="1" s="1354">
      <c r="A19" s="2099" t="inlineStr">
        <is>
          <t xml:space="preserve">Ventes dans la région </t>
        </is>
      </c>
      <c r="B19" s="2821">
        <f>SUMIF(BALANCE!$A$2:$A$70,"703*",BALANCE!$G$2:$G$70)-SUMIF(BALANCE!$A$2:$A$70,"703*",BALANCE!$F$2:$F$70)+SUMIF(BALANCE!$A$2:$A$70,"702*",BALANCE!$G$2:$G$70)-SUMIF(BALANCE!$A$2:$A$70,"702*",BALANCE!$F$2:$F$70)+SUMIF(BALANCE!$A$2:$A$70,"704*",BALANCE!$G$2:$G$70)-SUMIF(BALANCE!$A$2:$A$70,"704*",BALANCE!$F$2:$F$70)</f>
        <v/>
      </c>
      <c r="C19" s="2821">
        <f>SUMIF(BALANCE_N1!$A$2:$A$70,"703*",BALANCE_N1!$G$2:$G$70)-SUMIF(BALANCE_N1!$A$2:$A$70,"703*",BALANCE_N1!$F$2:$F$70)+SUMIF(BALANCE_N1!$A$2:$A$70,"702*",BALANCE_N1!$G$2:$G$70)-SUMIF(BALANCE_N1!$A$2:$A$70,"702*",BALANCE_N1!$F$2:$F$70)+SUMIF(BALANCE_N1!$A$2:$A$70,"704*",BALANCE_N1!$G$2:$G$70)-SUMIF(BALANCE_N1!$A$2:$A$70,"704*",BALANCE_N1!$F$2:$F$70)</f>
        <v/>
      </c>
      <c r="D19" s="2442" t="n"/>
    </row>
    <row r="20" ht="20.15" customHeight="1" s="1354">
      <c r="A20" s="2099" t="inlineStr">
        <is>
          <t xml:space="preserve">Ventes hors région </t>
        </is>
      </c>
      <c r="B20" s="2196" t="n"/>
      <c r="C20" s="2196" t="n"/>
      <c r="D20" s="2442" t="n"/>
    </row>
    <row r="21" ht="20.15" customHeight="1" s="1354">
      <c r="A21" s="2099" t="inlineStr">
        <is>
          <t xml:space="preserve">Ventes groupe </t>
        </is>
      </c>
      <c r="B21" s="2196" t="n"/>
      <c r="C21" s="2196" t="n"/>
      <c r="D21" s="2442" t="n"/>
    </row>
    <row r="22" ht="20.15" customHeight="1" s="1354">
      <c r="A22" s="2102" t="inlineStr">
        <is>
          <t xml:space="preserve">Ventes sur internet </t>
        </is>
      </c>
      <c r="B22" s="2443" t="n"/>
      <c r="C22" s="2443" t="n"/>
      <c r="D22" s="2442" t="n"/>
    </row>
    <row r="23" ht="20.15" customHeight="1" s="1354">
      <c r="A23" s="2104" t="inlineStr">
        <is>
          <t xml:space="preserve">TOTAL : VENTES DE PRODUITS FABRIQUES </t>
        </is>
      </c>
      <c r="B23" s="2808">
        <f>SUM(B19:B22)</f>
        <v/>
      </c>
      <c r="C23" s="2808">
        <f>SUM(C19:C22)</f>
        <v/>
      </c>
      <c r="D23" s="2444" t="n"/>
    </row>
    <row r="24" ht="20.15" customHeight="1" s="1354">
      <c r="A24" s="2107" t="inlineStr">
        <is>
          <t>  </t>
        </is>
      </c>
      <c r="B24" s="1879" t="n"/>
      <c r="C24" s="1879" t="n"/>
      <c r="D24" s="2444" t="n"/>
    </row>
    <row r="25" ht="20.15" customHeight="1" s="1354">
      <c r="A25" s="2099" t="inlineStr">
        <is>
          <t xml:space="preserve">Ventes dans la région </t>
        </is>
      </c>
      <c r="B25" s="2805">
        <f>SUMIF(BALANCE!$A$2:$A$70,"7061*",BALANCE!$G$2:$G$70)-SUMIF(BALANCE!$A$2:$A$70,"7061*",BALANCE!$F$2:$F$70)+SUMIF(BALANCE!$A$2:$A$70,"7051*",BALANCE!$G$2:$G$70)-SUMIF(BALANCE!$A$2:$A$70,"7051*",BALANCE!$F$2:$F$70)</f>
        <v/>
      </c>
      <c r="C25" s="2805">
        <f>SUMIF(BALANCE_N1!$A$2:$A$70,"7061*",BALANCE_N1!$G$2:$G$70)-SUMIF(BALANCE_N1!$A$2:$A$70,"7061*",BALANCE_N1!$F$2:$F$70)+SUMIF(BALANCE_N1!$A$2:$A$70,"7051*",BALANCE_N1!$G$2:$G$70)-SUMIF(BALANCE_N1!$A$2:$A$70,"7051*",BALANCE_N1!$F$2:$F$70)</f>
        <v/>
      </c>
      <c r="D25" s="2442">
        <f>(B25-C25)/C25</f>
        <v/>
      </c>
    </row>
    <row r="26" ht="20.15" customHeight="1" s="1354">
      <c r="A26" s="2099" t="inlineStr">
        <is>
          <t xml:space="preserve">Ventes hors région </t>
        </is>
      </c>
      <c r="B26" s="2821">
        <f>SUMIF(BALANCE!$A$2:$A$70,"7052*",BALANCE!$G$2:$G$70)-SUMIF(BALANCE!$A$2:$A$70,"7052*",BALANCE!$F$2:$F$70)+SUMIF(BALANCE!$A$2:$A$70,"7062*",BALANCE!$G$2:$G$70)-SUMIF(BALANCE!$A$2:$A$70,"7062*",BALANCE!$F$2:$F$70)</f>
        <v/>
      </c>
      <c r="C26" s="2821">
        <f>SUMIF(BALANCE_N1!$A$2:$A$70,"7052*",BALANCE_N1!$G$2:$G$70)-SUMIF(BALANCE_N1!$A$2:$A$70,"7052*",BALANCE_N1!$F$2:$F$70)+SUMIF(BALANCE_N1!$A$2:$A$70,"7062*",BALANCE_N1!$G$2:$G$70)-SUMIF(BALANCE_N1!$A$2:$A$70,"7062*",BALANCE_N1!$F$2:$F$70)</f>
        <v/>
      </c>
      <c r="D26" s="2442" t="n"/>
    </row>
    <row r="27" ht="20.15" customHeight="1" s="1354">
      <c r="A27" s="2099" t="inlineStr">
        <is>
          <t xml:space="preserve">Ventes groupe </t>
        </is>
      </c>
      <c r="B27" s="2821">
        <f>SUMIF(BALANCE!$A$2:$A$70,"7063*",BALANCE!$G$2:$G$70)-SUMIF(BALANCE!$A$2:$A$70,"7063*",BALANCE!$F$2:$F$70)+SUMIF(BALANCE!$A$2:$A$70,"7054*",BALANCE!$G$2:$G$70)-SUMIF(BALANCE!$A$2:$A$70,"7054*",BALANCE!$F$2:$F$70)+SUMIF(BALANCE!$A$2:$A$70,"7053*",BALANCE!$G$2:$G$70)-SUMIF(BALANCE!$A$2:$A$70,"7053*",BALANCE!$F$2:$F$70)+SUMIF(BALANCE!$A$2:$A$70,"7064*",BALANCE!$G$2:$G$70)-SUMIF(BALANCE!$A$2:$A$70,"7064*",BALANCE!$F$2:$F$70)</f>
        <v/>
      </c>
      <c r="C27" s="2821">
        <f>SUMIF(BALANCE_N1!$A$2:$A$70,"7063*",BALANCE_N1!$G$2:$G$70)-SUMIF(BALANCE_N1!$A$2:$A$70,"7063*",BALANCE_N1!$F$2:$F$70)+SUMIF(BALANCE_N1!$A$2:$A$70,"7054*",BALANCE_N1!$G$2:$G$70)-SUMIF(BALANCE_N1!$A$2:$A$70,"7054*",BALANCE_N1!$F$2:$F$70)+SUMIF(BALANCE_N1!$A$2:$A$70,"7053*",BALANCE_N1!$G$2:$G$70)-SUMIF(BALANCE_N1!$A$2:$A$70,"7053*",BALANCE_N1!$F$2:$F$70)+SUMIF(BALANCE_N1!$A$2:$A$70,"7064*",BALANCE_N1!$G$2:$G$70)-SUMIF(BALANCE_N1!$A$2:$A$70,"7064*",BALANCE_N1!$F$2:$F$70)</f>
        <v/>
      </c>
      <c r="D27" s="2442" t="n"/>
    </row>
    <row r="28" ht="20.15" customHeight="1" s="1354">
      <c r="A28" s="2102" t="inlineStr">
        <is>
          <t xml:space="preserve">Ventes sur internet </t>
        </is>
      </c>
      <c r="B28" s="2852">
        <f>SUMIF(BALANCE!$A$2:$A$70,"7059*",BALANCE!$G$2:$G$70)-SUMIF(BALANCE!$A$2:$A$70,"7059*",BALANCE!$F$2:$F$70)+SUMIF(BALANCE!$A$2:$A$70,"7055*",BALANCE!$G$2:$G$70)-SUMIF(BALANCE!$A$2:$A$70,"7055*",BALANCE!$F$2:$F$70)+SUMIF(BALANCE!$A$2:$A$70,"7065*",BALANCE!$G$2:$G$70)-SUMIF(BALANCE!$A$2:$A$70,"7065*",BALANCE!$F$2:$F$70)+SUMIF(BALANCE!$A$2:$A$70,"7069*",BALANCE!$G$2:$G$70)-SUMIF(BALANCE!$A$2:$A$70,"7069*",BALANCE!$F$2:$F$70)</f>
        <v/>
      </c>
      <c r="C28" s="2852">
        <f>SUMIF(BALANCE_N1!$A$2:$A$70,"7059*",BALANCE_N1!$G$2:$G$70)-SUMIF(BALANCE_N1!$A$2:$A$70,"7059*",BALANCE_N1!$F$2:$F$70)+SUMIF(BALANCE_N1!$A$2:$A$70,"7055*",BALANCE_N1!$G$2:$G$70)-SUMIF(BALANCE_N1!$A$2:$A$70,"7055*",BALANCE_N1!$F$2:$F$70)+SUMIF(BALANCE_N1!$A$2:$A$70,"7065*",BALANCE_N1!$G$2:$G$70)-SUMIF(BALANCE_N1!$A$2:$A$70,"7065*",BALANCE_N1!$F$2:$F$70)+SUMIF(BALANCE_N1!$A$2:$A$70,"7069*",BALANCE_N1!$G$2:$G$70)-SUMIF(BALANCE_N1!$A$2:$A$70,"7069*",BALANCE_N1!$F$2:$F$70)</f>
        <v/>
      </c>
      <c r="D28" s="2442" t="n"/>
    </row>
    <row r="29" ht="15.75" customHeight="1" s="1354">
      <c r="A29" s="2104" t="inlineStr">
        <is>
          <t xml:space="preserve">TOTAL : VENTES DE TRAVAUX ET SERVICES VENDUS </t>
        </is>
      </c>
      <c r="B29" s="1897">
        <f>SUM(B25:B28)</f>
        <v/>
      </c>
      <c r="C29" s="1897">
        <f>SUM(C25:C28)</f>
        <v/>
      </c>
      <c r="D29" s="2444">
        <f>(B29-C29)/C29</f>
        <v/>
      </c>
    </row>
    <row r="30" ht="20.15" customHeight="1" s="1354">
      <c r="A30" s="2107" t="inlineStr">
        <is>
          <t>  </t>
        </is>
      </c>
      <c r="B30" s="1879" t="n"/>
      <c r="C30" s="1879" t="n"/>
      <c r="D30" s="2444" t="n"/>
    </row>
    <row r="31" ht="20.15" customHeight="1" s="1354">
      <c r="A31" s="2247" t="inlineStr">
        <is>
          <t xml:space="preserve">Produits accessoires </t>
        </is>
      </c>
      <c r="B31" s="2821">
        <f>SUMIF(BALANCE!$A$2:$A$70,"707*",BALANCE!$G$2:$G$70)-SUMIF(BALANCE!$A$2:$A$70,"707*",BALANCE!$F$2:$F$70)</f>
        <v/>
      </c>
      <c r="C31" s="2821">
        <f>SUMIF(BALANCE_N1!$A$2:$A$70,"707*",BALANCE_N1!$G$2:$G$70)-SUMIF(BALANCE_N1!$A$2:$A$70,"707*",BALANCE_N1!$F$2:$F$70)</f>
        <v/>
      </c>
      <c r="D31" s="2442">
        <f>(B31-C31)/C31</f>
        <v/>
      </c>
    </row>
    <row r="32" ht="20.15" customHeight="1" s="1354">
      <c r="A32" s="2099" t="inlineStr">
        <is>
          <t>  </t>
        </is>
      </c>
      <c r="B32" s="1885" t="n"/>
      <c r="C32" s="1885" t="n"/>
      <c r="D32" s="2444" t="n"/>
    </row>
    <row r="33" ht="20.15" customHeight="1" s="1354">
      <c r="A33" s="2102" t="inlineStr">
        <is>
          <t>  </t>
        </is>
      </c>
      <c r="B33" s="1891" t="n"/>
      <c r="C33" s="1891" t="n"/>
      <c r="D33" s="2444" t="n"/>
    </row>
    <row r="34" ht="20.15" customHeight="1" s="1354">
      <c r="A34" s="2445" t="inlineStr">
        <is>
          <t xml:space="preserve">TOTAL : CHIFFRES D'AFFAIRES </t>
        </is>
      </c>
      <c r="B34" s="2446">
        <f>B17+B23+B29+B31</f>
        <v/>
      </c>
      <c r="C34" s="2446">
        <f>C17+C23+C29+C31</f>
        <v/>
      </c>
      <c r="D34" s="2444">
        <f>(B34-C34)/C34</f>
        <v/>
      </c>
    </row>
    <row r="35" ht="20.15" customHeight="1" s="1354">
      <c r="A35" s="2096" t="inlineStr">
        <is>
          <t>  </t>
        </is>
      </c>
      <c r="B35" s="1879" t="n"/>
      <c r="C35" s="1879" t="n"/>
      <c r="D35" s="2444" t="n"/>
    </row>
    <row r="36" ht="20.15" customHeight="1" s="1354">
      <c r="A36" s="2099" t="inlineStr">
        <is>
          <t xml:space="preserve">Production immobilisée </t>
        </is>
      </c>
      <c r="B36" s="2821">
        <f>SUMIF(BALANCE!$A$2:$A$70,"72*",BALANCE!$G$2:$G$70)-SUMIF(BALANCE!$A$2:$A$70,"72*",BALANCE!$F$2:$F$70)</f>
        <v/>
      </c>
      <c r="C36" s="2821">
        <f>SUMIF(BALANCE_N1!$A$2:$A$70,"72*",BALANCE_N1!$G$2:$G$70)-SUMIF(BALANCE_N1!$A$2:$A$70,"72*",BALANCE_N1!$F$2:$F$70)</f>
        <v/>
      </c>
      <c r="D36" s="2442" t="n"/>
    </row>
    <row r="37" ht="20.15" customHeight="1" s="1354">
      <c r="A37" s="2099" t="inlineStr">
        <is>
          <t xml:space="preserve">Subventions d'exploitation </t>
        </is>
      </c>
      <c r="B37" s="2196">
        <f>'Compte de Résultat'!E19</f>
        <v/>
      </c>
      <c r="C37" s="2196" t="n">
        <v>0</v>
      </c>
      <c r="D37" s="2442" t="n"/>
    </row>
    <row r="38" ht="20.15" customHeight="1" s="1354">
      <c r="A38" s="2102" t="inlineStr">
        <is>
          <t xml:space="preserve">Autres produits </t>
        </is>
      </c>
      <c r="B38" s="2852">
        <f>SUMIF(BALANCE!$A$2:$A$70,"75*",BALANCE!$G$2:$G$70)-SUMIF(BALANCE!$A$2:$A$70,"75*",BALANCE!$F$2:$F$70)</f>
        <v/>
      </c>
      <c r="C38" s="2852">
        <f>SUMIF(BALANCE_N1!$A$2:$A$70,"75*",BALANCE_N1!$G$2:$G$70)-SUMIF(BALANCE_N1!$A$2:$A$70,"75*",BALANCE_N1!$F$2:$F$70)</f>
        <v/>
      </c>
      <c r="D38" s="2442">
        <f>(B38-C38)/C38</f>
        <v/>
      </c>
    </row>
    <row r="39" ht="20.15" customHeight="1" s="1354">
      <c r="A39" s="2445" t="inlineStr">
        <is>
          <t xml:space="preserve">TOTAL : AUTRES PRODUITS </t>
        </is>
      </c>
      <c r="B39" s="2446">
        <f>SUM(B36:B38)</f>
        <v/>
      </c>
      <c r="C39" s="2446">
        <f>SUM(C36:C38)</f>
        <v/>
      </c>
      <c r="D39" s="2444">
        <f>(B39-C39)/C39</f>
        <v/>
      </c>
    </row>
    <row r="40" ht="20.15" customHeight="1" s="1354">
      <c r="A40" s="2447" t="inlineStr">
        <is>
          <t>  </t>
        </is>
      </c>
      <c r="B40" s="2448" t="n"/>
      <c r="C40" s="2448" t="n"/>
      <c r="D40" s="2444" t="n"/>
    </row>
    <row r="41" ht="20.15" customHeight="1" s="1354">
      <c r="A41" s="2417" t="inlineStr">
        <is>
          <t xml:space="preserve">TOTAL </t>
        </is>
      </c>
      <c r="B41" s="2449">
        <f>B34+B39</f>
        <v/>
      </c>
      <c r="C41" s="2449">
        <f>C34+C39</f>
        <v/>
      </c>
      <c r="D41" s="2444">
        <f>(B41-C41)/C41</f>
        <v/>
      </c>
    </row>
    <row r="42" ht="12" customHeight="1" s="1354">
      <c r="A42" s="2212" t="inlineStr">
        <is>
          <t xml:space="preserve"> Commentaires:  </t>
        </is>
      </c>
    </row>
    <row r="43" ht="12" customHeight="1" s="1354">
      <c r="A43" s="2234" t="inlineStr">
        <is>
          <t xml:space="preserve">•      Justifier toute variation significative. </t>
        </is>
      </c>
    </row>
    <row r="44" ht="36" customHeight="1" s="1354">
      <c r="A44" s="2339" t="inlineStr">
        <is>
          <t xml:space="preserve">•      Détailler, produits, intermédiaires, produits résiduels, produits accessoires, autres produits si significatifs. </t>
        </is>
      </c>
    </row>
  </sheetData>
  <mergeCells count="7">
    <mergeCell ref="A9:D9"/>
    <mergeCell ref="B11:B12"/>
    <mergeCell ref="C11:C12"/>
    <mergeCell ref="D11:D12"/>
    <mergeCell ref="A10:D10"/>
    <mergeCell ref="A11:A12"/>
    <mergeCell ref="A44:D4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8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D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H31" activeCellId="0" sqref="H31"/>
    </sheetView>
  </sheetViews>
  <sheetFormatPr baseColWidth="8" defaultColWidth="10.8125" defaultRowHeight="12" zeroHeight="0" outlineLevelRow="0"/>
  <cols>
    <col width="55.81" customWidth="1" style="1583" min="1" max="1"/>
    <col width="15.72" customWidth="1" style="1583" min="2" max="2"/>
    <col width="14.72" customWidth="1" style="1583" min="3" max="3"/>
    <col width="13.26" customWidth="1" style="1583" min="4" max="4"/>
    <col width="10.81" customWidth="1" style="1583" min="5" max="257"/>
  </cols>
  <sheetData>
    <row r="1" ht="12" customHeight="1" s="1354">
      <c r="A1" s="2138" t="n"/>
    </row>
    <row r="2" ht="12" customHeight="1" s="1354">
      <c r="A2" s="2093" t="n"/>
    </row>
    <row r="3" ht="12" customHeight="1" s="1354">
      <c r="A3" s="2168" t="n"/>
    </row>
    <row r="4" ht="12" customHeight="1" s="1354">
      <c r="A4" s="2167" t="inlineStr">
        <is>
          <t> </t>
        </is>
      </c>
    </row>
    <row r="5" ht="13" customHeight="1" s="1354">
      <c r="A5" s="1748" t="inlineStr">
        <is>
          <t>Désignation entité : ENTREPRISE TEST SARL</t>
        </is>
      </c>
      <c r="B5" s="1591" t="inlineStr">
        <is>
          <t>Exercice clos le : 31/12/2025</t>
        </is>
      </c>
      <c r="C5" s="1591" t="n"/>
      <c r="D5" s="1578" t="n"/>
    </row>
    <row r="6" ht="13" customHeight="1" s="1354">
      <c r="A6" s="1749" t="inlineStr">
        <is>
          <t>Numéro d’identification : CD/KNG/RCCM/23-B-01234</t>
        </is>
      </c>
      <c r="B6" s="1591" t="inlineStr">
        <is>
          <t>Durée (en mois) : 12</t>
        </is>
      </c>
      <c r="C6" s="1591" t="n"/>
      <c r="D6" s="1582" t="n"/>
    </row>
    <row r="7" ht="13" customHeight="1" s="1354">
      <c r="A7" s="1822" t="inlineStr">
        <is>
          <t> </t>
        </is>
      </c>
      <c r="B7" s="1820" t="n"/>
      <c r="C7" s="1820" t="n"/>
      <c r="D7" s="1820" t="n"/>
    </row>
    <row r="8" ht="12" customHeight="1" s="1354">
      <c r="A8" s="1822" t="inlineStr">
        <is>
          <t xml:space="preserve"> NOTE 22 </t>
        </is>
      </c>
    </row>
    <row r="9" ht="12.5" customHeight="1" s="1354">
      <c r="A9" s="1967" t="inlineStr">
        <is>
          <t>ACHATS</t>
        </is>
      </c>
    </row>
    <row r="10" ht="20.15" customHeight="1" s="1354">
      <c r="A10" s="2325" t="inlineStr">
        <is>
          <t xml:space="preserve">Libellés </t>
        </is>
      </c>
      <c r="B10" s="2450" t="inlineStr">
        <is>
          <t xml:space="preserve">Année  N </t>
        </is>
      </c>
      <c r="C10" s="2450" t="inlineStr">
        <is>
          <t xml:space="preserve">Année  N-1 </t>
        </is>
      </c>
      <c r="D10" s="2451" t="inlineStr">
        <is>
          <t xml:space="preserve"> Variation en % </t>
        </is>
      </c>
    </row>
    <row r="11" ht="20.15" customHeight="1" s="1354">
      <c r="A11" s="2099" t="inlineStr">
        <is>
          <t xml:space="preserve">Achats dans la région </t>
        </is>
      </c>
      <c r="B11" s="2821">
        <f>SUMIF(BALANCE!$A$2:$A$70,"6011*",BALANCE!$F$2:$F$70)-SUMIF(BALANCE!$A$2:$A$70,"6011*",BALANCE!$G$2:$G$70)</f>
        <v/>
      </c>
      <c r="C11" s="2821">
        <f>SUMIF(BALANCE_N1!$A$2:$A$70,"6011*",BALANCE_N1!$F$2:$F$70)-SUMIF(BALANCE_N1!$A$2:$A$70,"6011*",BALANCE_N1!$G$2:$G$70)</f>
        <v/>
      </c>
      <c r="D11" s="2452">
        <f>(B11-C11)/C11</f>
        <v/>
      </c>
    </row>
    <row r="12" ht="20.15" customHeight="1" s="1354">
      <c r="A12" s="2099" t="inlineStr">
        <is>
          <t xml:space="preserve">Achats hors région </t>
        </is>
      </c>
      <c r="B12" s="2821">
        <f>SUMIF(BALANCE!$A$2:$A$70,"6012*",BALANCE!$F$2:$F$70)-SUMIF(BALANCE!$A$2:$A$70,"6012*",BALANCE!$G$2:$G$70)</f>
        <v/>
      </c>
      <c r="C12" s="2821">
        <f>SUMIF(BALANCE_N1!$A$2:$A$70,"6012*",BALANCE_N1!$F$2:$F$70)-SUMIF(BALANCE_N1!$A$2:$A$70,"6012*",BALANCE_N1!$G$2:$G$70)</f>
        <v/>
      </c>
      <c r="D12" s="2453" t="n"/>
    </row>
    <row r="13" ht="20.15" customHeight="1" s="1354">
      <c r="A13" s="2102" t="inlineStr">
        <is>
          <t xml:space="preserve">Achats groupe </t>
        </is>
      </c>
      <c r="B13" s="2852">
        <f>SUMIF(BALANCE!$A$2:$A$70,"6013*",BALANCE!$F$2:$F$70)-SUMIF(BALANCE!$A$2:$A$70,"6013*",BALANCE!$G$2:$G$70)+SUMIF(BALANCE!$A$2:$A$70,"6014*",BALANCE!$F$2:$F$70)-SUMIF(BALANCE!$A$2:$A$70,"6014*",BALANCE!$G$2:$G$70)+SUMIF(BALANCE!$A$2:$A$70,"6015*",BALANCE!$F$2:$F$70)-SUMIF(BALANCE!$A$2:$A$70,"6015*",BALANCE!$G$2:$G$70)+SUMIF(BALANCE!$A$2:$A$70,"6019*",BALANCE!$F$2:$F$70)-SUMIF(BALANCE!$A$2:$A$70,"6019*",BALANCE!$G$2:$G$70)</f>
        <v/>
      </c>
      <c r="C13" s="2852">
        <f>SUMIF(BALANCE_N1!$A$2:$A$70,"6013*",BALANCE_N1!$F$2:$F$70)-SUMIF(BALANCE_N1!$A$2:$A$70,"6013*",BALANCE_N1!$G$2:$G$70)+SUMIF(BALANCE_N1!$A$2:$A$70,"6014*",BALANCE_N1!$F$2:$F$70)-SUMIF(BALANCE_N1!$A$2:$A$70,"6014*",BALANCE_N1!$G$2:$G$70)+SUMIF(BALANCE_N1!$A$2:$A$70,"6015*",BALANCE_N1!$F$2:$F$70)-SUMIF(BALANCE_N1!$A$2:$A$70,"6015*",BALANCE_N1!$G$2:$G$70)+SUMIF(BALANCE_N1!$A$2:$A$70,"6019*",BALANCE_N1!$F$2:$F$70)-SUMIF(BALANCE_N1!$A$2:$A$70,"6019*",BALANCE_N1!$G$2:$G$70)</f>
        <v/>
      </c>
      <c r="D13" s="2454" t="n"/>
    </row>
    <row r="14" ht="20.15" customHeight="1" s="1354">
      <c r="A14" s="2104" t="inlineStr">
        <is>
          <t xml:space="preserve">TOTAL : ACHATS DE MARCHANDISES </t>
        </is>
      </c>
      <c r="B14" s="1897">
        <f>SUM(B11:B13)</f>
        <v/>
      </c>
      <c r="C14" s="1897">
        <f>SUM(C11:C13)</f>
        <v/>
      </c>
      <c r="D14" s="2198">
        <f>SUM(D11:D13)</f>
        <v/>
      </c>
    </row>
    <row r="15" ht="20.15" customHeight="1" s="1354">
      <c r="A15" s="2107" t="inlineStr">
        <is>
          <t>  </t>
        </is>
      </c>
      <c r="B15" s="1879" t="n"/>
      <c r="C15" s="1879" t="n"/>
      <c r="D15" s="2455" t="n"/>
    </row>
    <row r="16" ht="20.15" customHeight="1" s="1354">
      <c r="A16" s="2099" t="inlineStr">
        <is>
          <t xml:space="preserve">Achats dans la région </t>
        </is>
      </c>
      <c r="B16" s="2821">
        <f>SUMIF(BALANCE!$A$2:$A$70,"6021*",BALANCE!$F$2:$F$70)-SUMIF(BALANCE!$A$2:$A$70,"6021*",BALANCE!$G$2:$G$70)</f>
        <v/>
      </c>
      <c r="C16" s="2821">
        <f>SUMIF(BALANCE_N1!$A$2:$A$70,"6021*",BALANCE_N1!$F$2:$F$70)-SUMIF(BALANCE_N1!$A$2:$A$70,"6021*",BALANCE_N1!$G$2:$G$70)</f>
        <v/>
      </c>
      <c r="D16" s="2453" t="n"/>
    </row>
    <row r="17" ht="20.15" customHeight="1" s="1354">
      <c r="A17" s="2099" t="inlineStr">
        <is>
          <t xml:space="preserve">Achats hors région </t>
        </is>
      </c>
      <c r="B17" s="2821">
        <f>SUMIF(BALANCE!$A$2:$A$70,"6022*",BALANCE!$F$2:$F$70)-SUMIF(BALANCE!$A$2:$A$70,"6022*",BALANCE!$G$2:$G$70)</f>
        <v/>
      </c>
      <c r="C17" s="2821">
        <f>SUMIF(BALANCE_N1!$A$2:$A$70,"6022*",BALANCE_N1!$F$2:$F$70)-SUMIF(BALANCE_N1!$A$2:$A$70,"6022*",BALANCE_N1!$G$2:$G$70)</f>
        <v/>
      </c>
      <c r="D17" s="2453" t="n"/>
    </row>
    <row r="18" ht="20.15" customHeight="1" s="1354">
      <c r="A18" s="2102" t="inlineStr">
        <is>
          <t xml:space="preserve">Achats groupe </t>
        </is>
      </c>
      <c r="B18" s="2852">
        <f>SUMIF(BALANCE!$A$2:$A$70,"6029*",BALANCE!$F$2:$F$70)-SUMIF(BALANCE!$A$2:$A$70,"6029*",BALANCE!$G$2:$G$70)+SUMIF(BALANCE!$A$2:$A$70,"6024*",BALANCE!$F$2:$F$70)-SUMIF(BALANCE!$A$2:$A$70,"6024*",BALANCE!$G$2:$G$70)+SUMIF(BALANCE!$A$2:$A$70,"6025*",BALANCE!$F$2:$F$70)-SUMIF(BALANCE!$A$2:$A$70,"6025*",BALANCE!$G$2:$G$70)+SUMIF(BALANCE!$A$2:$A$70,"6023*",BALANCE!$F$2:$F$70)-SUMIF(BALANCE!$A$2:$A$70,"6023*",BALANCE!$G$2:$G$70)</f>
        <v/>
      </c>
      <c r="C18" s="2852">
        <f>SUMIF(BALANCE_N1!$A$2:$A$70,"6029*",BALANCE_N1!$F$2:$F$70)-SUMIF(BALANCE_N1!$A$2:$A$70,"6029*",BALANCE_N1!$G$2:$G$70)+SUMIF(BALANCE_N1!$A$2:$A$70,"6024*",BALANCE_N1!$F$2:$F$70)-SUMIF(BALANCE_N1!$A$2:$A$70,"6024*",BALANCE_N1!$G$2:$G$70)+SUMIF(BALANCE_N1!$A$2:$A$70,"6025*",BALANCE_N1!$F$2:$F$70)-SUMIF(BALANCE_N1!$A$2:$A$70,"6025*",BALANCE_N1!$G$2:$G$70)+SUMIF(BALANCE_N1!$A$2:$A$70,"6023*",BALANCE_N1!$F$2:$F$70)-SUMIF(BALANCE_N1!$A$2:$A$70,"6023*",BALANCE_N1!$G$2:$G$70)</f>
        <v/>
      </c>
      <c r="D18" s="2454" t="n"/>
    </row>
    <row r="19" ht="20.15" customHeight="1" s="1354">
      <c r="A19" s="2104" t="inlineStr">
        <is>
          <t xml:space="preserve">TOTAL : ACHATS MATIERES PREMIERES ET FOURNITURES LIEES </t>
        </is>
      </c>
      <c r="B19" s="1897">
        <f>SUM(B15:B18)</f>
        <v/>
      </c>
      <c r="C19" s="1897">
        <f>SUM(C15:C18)</f>
        <v/>
      </c>
      <c r="D19" s="2384">
        <f>SUM(D15:D18)</f>
        <v/>
      </c>
    </row>
    <row r="20" ht="20.15" customHeight="1" s="1354">
      <c r="A20" s="2107" t="inlineStr">
        <is>
          <t>  </t>
        </is>
      </c>
      <c r="B20" s="1879" t="n"/>
      <c r="C20" s="1879" t="n"/>
      <c r="D20" s="2455" t="n"/>
    </row>
    <row r="21" ht="20.15" customHeight="1" s="1354">
      <c r="A21" s="2099" t="inlineStr">
        <is>
          <t xml:space="preserve">Matières consommables  </t>
        </is>
      </c>
      <c r="B21" s="2821">
        <f>SUMIF(BALANCE!$A$2:$A$70,"6041*",BALANCE!$F$2:$F$70)-SUMIF(BALANCE!$A$2:$A$70,"6041*",BALANCE!$G$2:$G$70)</f>
        <v/>
      </c>
      <c r="C21" s="2821">
        <f>SUMIF(BALANCE_N1!$A$2:$A$70,"6041*",BALANCE_N1!$F$2:$F$70)-SUMIF(BALANCE_N1!$A$2:$A$70,"6041*",BALANCE_N1!$G$2:$G$70)</f>
        <v/>
      </c>
      <c r="D21" s="2456" t="n"/>
    </row>
    <row r="22" ht="20.15" customHeight="1" s="1354">
      <c r="A22" s="2099" t="inlineStr">
        <is>
          <t xml:space="preserve">Matières combustibles </t>
        </is>
      </c>
      <c r="B22" s="2821">
        <f>SUMIF(BALANCE!$A$2:$A$70,"6042*",BALANCE!$F$2:$F$70)-SUMIF(BALANCE!$A$2:$A$70,"6042*",BALANCE!$G$2:$G$70)</f>
        <v/>
      </c>
      <c r="C22" s="2821">
        <f>SUMIF(BALANCE_N1!$A$2:$A$70,"6042*",BALANCE_N1!$F$2:$F$70)-SUMIF(BALANCE_N1!$A$2:$A$70,"6042*",BALANCE_N1!$G$2:$G$70)</f>
        <v/>
      </c>
      <c r="D22" s="2457" t="n"/>
    </row>
    <row r="23" ht="20.15" customHeight="1" s="1354">
      <c r="A23" s="2099" t="inlineStr">
        <is>
          <t xml:space="preserve">Produits d'entretien </t>
        </is>
      </c>
      <c r="B23" s="2821">
        <f>SUMIF(BALANCE!$A$2:$A$70,"6043*",BALANCE!$F$2:$F$70)-SUMIF(BALANCE!$A$2:$A$70,"6043*",BALANCE!$G$2:$G$70)</f>
        <v/>
      </c>
      <c r="C23" s="2821">
        <f>SUMIF(BALANCE_N1!$A$2:$A$70,"6043*",BALANCE_N1!$F$2:$F$70)-SUMIF(BALANCE_N1!$A$2:$A$70,"6043*",BALANCE_N1!$G$2:$G$70)</f>
        <v/>
      </c>
      <c r="D23" s="2457" t="n"/>
    </row>
    <row r="24" ht="20.15" customHeight="1" s="1354">
      <c r="A24" s="2099" t="inlineStr">
        <is>
          <t xml:space="preserve">Fournitures d'atelier, d'usine et de magasin  </t>
        </is>
      </c>
      <c r="B24" s="2821">
        <f>SUMIF(BALANCE!$A$2:$A$70,"6046*",BALANCE!$F$2:$F$70)-SUMIF(BALANCE!$A$2:$A$70,"6046*",BALANCE!$G$2:$G$70)+SUMIF(BALANCE!$A$2:$A$70,"6044*",BALANCE!$F$2:$F$70)-SUMIF(BALANCE!$A$2:$A$70,"6044*",BALANCE!$G$2:$G$70)</f>
        <v/>
      </c>
      <c r="C24" s="2821">
        <f>SUMIF(BALANCE_N1!$A$2:$A$70,"6046*",BALANCE_N1!$F$2:$F$70)-SUMIF(BALANCE_N1!$A$2:$A$70,"6046*",BALANCE_N1!$G$2:$G$70)+SUMIF(BALANCE_N1!$A$2:$A$70,"6044*",BALANCE_N1!$F$2:$F$70)-SUMIF(BALANCE_N1!$A$2:$A$70,"6044*",BALANCE_N1!$G$2:$G$70)</f>
        <v/>
      </c>
      <c r="D24" s="2457" t="n"/>
    </row>
    <row r="25" ht="20.15" customHeight="1" s="1354">
      <c r="A25" s="2099" t="inlineStr">
        <is>
          <t xml:space="preserve">Eau </t>
        </is>
      </c>
      <c r="B25" s="2821">
        <f>SUMIF(BALANCE!$A$2:$A$70,"6051*",BALANCE!$F$2:$F$70)-SUMIF(BALANCE!$A$2:$A$70,"6051*",BALANCE!$G$2:$G$70)</f>
        <v/>
      </c>
      <c r="C25" s="2821">
        <f>SUMIF(BALANCE_N1!$A$2:$A$70,"6051*",BALANCE_N1!$F$2:$F$70)-SUMIF(BALANCE_N1!$A$2:$A$70,"6051*",BALANCE_N1!$G$2:$G$70)</f>
        <v/>
      </c>
      <c r="D25" s="2452">
        <f>(B25-C25)/C25</f>
        <v/>
      </c>
    </row>
    <row r="26" ht="20.15" customHeight="1" s="1354">
      <c r="A26" s="2099" t="inlineStr">
        <is>
          <t xml:space="preserve">Electricité </t>
        </is>
      </c>
      <c r="B26" s="2821">
        <f>SUMIF(BALANCE!$A$2:$A$70,"6052*",BALANCE!$F$2:$F$70)-SUMIF(BALANCE!$A$2:$A$70,"6052*",BALANCE!$G$2:$G$70)</f>
        <v/>
      </c>
      <c r="C26" s="2821">
        <f>SUMIF(BALANCE_N1!$A$2:$A$70,"6052*",BALANCE_N1!$F$2:$F$70)-SUMIF(BALANCE_N1!$A$2:$A$70,"6052*",BALANCE_N1!$G$2:$G$70)</f>
        <v/>
      </c>
      <c r="D26" s="2452">
        <f>(B26-C26)/C26</f>
        <v/>
      </c>
    </row>
    <row r="27" ht="20.15" customHeight="1" s="1354">
      <c r="A27" s="2099" t="inlineStr">
        <is>
          <t xml:space="preserve">Autres énergies </t>
        </is>
      </c>
      <c r="B27" s="2821">
        <f>SUMIF(BALANCE!$A$2:$A$70,"6053*",BALANCE!$F$2:$F$70)-SUMIF(BALANCE!$A$2:$A$70,"6053*",BALANCE!$G$2:$G$70)</f>
        <v/>
      </c>
      <c r="C27" s="2821">
        <f>SUMIF(BALANCE_N1!$A$2:$A$70,"6053*",BALANCE_N1!$F$2:$F$70)-SUMIF(BALANCE_N1!$A$2:$A$70,"6053*",BALANCE_N1!$G$2:$G$70)</f>
        <v/>
      </c>
      <c r="D27" s="2452">
        <f>(B27-C27)/C27</f>
        <v/>
      </c>
    </row>
    <row r="28" ht="20.15" customHeight="1" s="1354">
      <c r="A28" s="2099" t="inlineStr">
        <is>
          <t xml:space="preserve">Fourniture d'entretien </t>
        </is>
      </c>
      <c r="B28" s="2821">
        <f>SUMIF(BALANCE!$A$2:$A$70,"6054*",BALANCE!$F$2:$F$70)-SUMIF(BALANCE!$A$2:$A$70,"6054*",BALANCE!$G$2:$G$70)</f>
        <v/>
      </c>
      <c r="C28" s="2821">
        <f>SUMIF(BALANCE_N1!$A$2:$A$70,"6054*",BALANCE_N1!$F$2:$F$70)-SUMIF(BALANCE_N1!$A$2:$A$70,"6054*",BALANCE_N1!$G$2:$G$70)</f>
        <v/>
      </c>
      <c r="D28" s="2452">
        <f>(B28-C28)/C28</f>
        <v/>
      </c>
    </row>
    <row r="29" ht="20.15" customHeight="1" s="1354">
      <c r="A29" s="2099" t="inlineStr">
        <is>
          <t xml:space="preserve">Fourniture de bureau </t>
        </is>
      </c>
      <c r="B29" s="2821">
        <f>SUMIF(BALANCE!$A$2:$A$70,"6047*",BALANCE!$F$2:$F$70)-SUMIF(BALANCE!$A$2:$A$70,"6047*",BALANCE!$G$2:$G$70)+SUMIF(BALANCE!$A$2:$A$70,"6055*",BALANCE!$F$2:$F$70)-SUMIF(BALANCE!$A$2:$A$70,"6055*",BALANCE!$G$2:$G$70)</f>
        <v/>
      </c>
      <c r="C29" s="2821">
        <f>SUMIF(BALANCE_N1!$A$2:$A$70,"6047*",BALANCE_N1!$F$2:$F$70)-SUMIF(BALANCE_N1!$A$2:$A$70,"6047*",BALANCE_N1!$G$2:$G$70)+SUMIF(BALANCE_N1!$A$2:$A$70,"6055*",BALANCE_N1!$F$2:$F$70)-SUMIF(BALANCE_N1!$A$2:$A$70,"6055*",BALANCE_N1!$G$2:$G$70)</f>
        <v/>
      </c>
      <c r="D29" s="2458">
        <f>(B29-C29)/C29</f>
        <v/>
      </c>
    </row>
    <row r="30" ht="20.15" customHeight="1" s="1354">
      <c r="A30" s="2099" t="inlineStr">
        <is>
          <t xml:space="preserve">Petit matériel et outillages </t>
        </is>
      </c>
      <c r="B30" s="2821">
        <f>SUMIF(BALANCE!$A$2:$A$70,"6056*",BALANCE!$F$2:$F$70)-SUMIF(BALANCE!$A$2:$A$70,"6056*",BALANCE!$G$2:$G$70)</f>
        <v/>
      </c>
      <c r="C30" s="2821">
        <f>SUMIF(BALANCE_N1!$A$2:$A$70,"6056*",BALANCE_N1!$F$2:$F$70)-SUMIF(BALANCE_N1!$A$2:$A$70,"6056*",BALANCE_N1!$G$2:$G$70)</f>
        <v/>
      </c>
      <c r="D30" s="2458">
        <f>(B30-C30)/C30</f>
        <v/>
      </c>
    </row>
    <row r="31" ht="26.25" customHeight="1" s="1354">
      <c r="A31" s="2099" t="inlineStr">
        <is>
          <t xml:space="preserve">Achats études, prestations de services, de travaux matériels et équipements </t>
        </is>
      </c>
      <c r="B31" s="2821">
        <f>SUMIF(BALANCE!$A$2:$A$70,"6057*",BALANCE!$F$2:$F$70)-SUMIF(BALANCE!$A$2:$A$70,"6057*",BALANCE!$G$2:$G$70)+SUMIF(BALANCE!$A$2:$A$70,"6058*",BALANCE!$F$2:$F$70)-SUMIF(BALANCE!$A$2:$A$70,"6058*",BALANCE!$G$2:$G$70)</f>
        <v/>
      </c>
      <c r="C31" s="2821">
        <f>SUMIF(BALANCE_N1!$A$2:$A$70,"6057*",BALANCE_N1!$F$2:$F$70)-SUMIF(BALANCE_N1!$A$2:$A$70,"6057*",BALANCE_N1!$G$2:$G$70)+SUMIF(BALANCE_N1!$A$2:$A$70,"6058*",BALANCE_N1!$F$2:$F$70)-SUMIF(BALANCE_N1!$A$2:$A$70,"6058*",BALANCE_N1!$G$2:$G$70)</f>
        <v/>
      </c>
      <c r="D31" s="2458">
        <f>(B31-C31)/C31</f>
        <v/>
      </c>
    </row>
    <row r="32" ht="20.15" customHeight="1" s="1354">
      <c r="A32" s="2099" t="inlineStr">
        <is>
          <t xml:space="preserve">Achats d'emballages </t>
        </is>
      </c>
      <c r="B32" s="2821">
        <f>SUMIF(BALANCE!$A$2:$A$70,"608*",BALANCE!$F$2:$F$70)-SUMIF(BALANCE!$A$2:$A$70,"608*",BALANCE!$G$2:$G$70)</f>
        <v/>
      </c>
      <c r="C32" s="2821">
        <f>SUMIF(BALANCE_N1!$A$2:$A$70,"608*",BALANCE_N1!$F$2:$F$70)-SUMIF(BALANCE_N1!$A$2:$A$70,"608*",BALANCE_N1!$G$2:$G$70)</f>
        <v/>
      </c>
      <c r="D32" s="2458" t="n"/>
    </row>
    <row r="33" ht="20.15" customHeight="1" s="1354">
      <c r="A33" s="2099" t="inlineStr">
        <is>
          <t xml:space="preserve">Frais sur achats </t>
        </is>
      </c>
      <c r="B33" s="2821">
        <f>SUMIF(BALANCE!$A$2:$A$70,"6045*",BALANCE!$F$2:$F$70)-SUMIF(BALANCE!$A$2:$A$70,"6045*",BALANCE!$G$2:$G$70)</f>
        <v/>
      </c>
      <c r="C33" s="2821">
        <f>SUMIF(BALANCE_N1!$A$2:$A$70,"6045*",BALANCE_N1!$F$2:$F$70)-SUMIF(BALANCE_N1!$A$2:$A$70,"6045*",BALANCE_N1!$G$2:$G$70)</f>
        <v/>
      </c>
      <c r="D33" s="2458" t="n"/>
    </row>
    <row r="34" ht="20.15" customHeight="1" s="1354">
      <c r="A34" s="2102" t="inlineStr">
        <is>
          <t xml:space="preserve">Remises rabais, remises et ristournes  </t>
        </is>
      </c>
      <c r="B34" s="2852">
        <f>SUMIF(BALANCE!$A$2:$A$70,"6059*",BALANCE!$F$2:$F$70)-SUMIF(BALANCE!$A$2:$A$70,"6059*",BALANCE!$G$2:$G$70)+SUMIF(BALANCE!$A$2:$A$70,"6049*",BALANCE!$F$2:$F$70)-SUMIF(BALANCE!$A$2:$A$70,"6049*",BALANCE!$G$2:$G$70)</f>
        <v/>
      </c>
      <c r="C34" s="2852">
        <f>SUMIF(BALANCE_N1!$A$2:$A$70,"6059*",BALANCE_N1!$F$2:$F$70)-SUMIF(BALANCE_N1!$A$2:$A$70,"6059*",BALANCE_N1!$G$2:$G$70)+SUMIF(BALANCE_N1!$A$2:$A$70,"6049*",BALANCE_N1!$F$2:$F$70)-SUMIF(BALANCE_N1!$A$2:$A$70,"6049*",BALANCE_N1!$G$2:$G$70)</f>
        <v/>
      </c>
      <c r="D34" s="2458" t="n"/>
    </row>
    <row r="35" ht="20.15" customHeight="1" s="1354">
      <c r="A35" s="2104" t="inlineStr">
        <is>
          <t xml:space="preserve">TOTAL : AUTRES ACHATS </t>
        </is>
      </c>
      <c r="B35" s="1897">
        <f>SUM(B21:B34)</f>
        <v/>
      </c>
      <c r="C35" s="1897">
        <f>SUM(C21:C34)</f>
        <v/>
      </c>
      <c r="D35" s="2198">
        <f>(B35-C35)/C35</f>
        <v/>
      </c>
    </row>
    <row r="36" ht="12" customHeight="1" s="1354">
      <c r="A36" s="2136" t="inlineStr">
        <is>
          <t> </t>
        </is>
      </c>
    </row>
    <row r="37" ht="12" customHeight="1" s="1354">
      <c r="A37" s="2090" t="inlineStr">
        <is>
          <t xml:space="preserve">Commentaire :  </t>
        </is>
      </c>
    </row>
    <row r="38" ht="12" customHeight="1" s="1354">
      <c r="A38" s="2086" t="inlineStr">
        <is>
          <t xml:space="preserve"> Commenter toute variation significative.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14"/>
    </sheetView>
  </sheetViews>
  <sheetFormatPr baseColWidth="8" defaultColWidth="10.8125" defaultRowHeight="12" zeroHeight="0" outlineLevelRow="0"/>
  <cols>
    <col width="50.44" customWidth="1" style="1583" min="1" max="1"/>
    <col width="10.81" customWidth="1" style="1583" min="2" max="2"/>
    <col width="11.72" customWidth="1" style="1583" min="3" max="3"/>
    <col width="10.81" customWidth="1" style="1583" min="4" max="257"/>
  </cols>
  <sheetData>
    <row r="1" ht="12" customHeight="1" s="1354">
      <c r="A1" s="2459" t="n"/>
    </row>
    <row r="2" ht="12" customHeight="1" s="1354">
      <c r="A2" s="2167" t="inlineStr">
        <is>
          <t> </t>
        </is>
      </c>
    </row>
    <row r="3" ht="12" customHeight="1" s="1354">
      <c r="A3" s="2167" t="n"/>
    </row>
    <row r="4" ht="13" customHeight="1" s="1354">
      <c r="A4" s="1748" t="inlineStr">
        <is>
          <t>Désignation entité : ENTREPRISE TEST SARL</t>
        </is>
      </c>
      <c r="C4" s="2460" t="inlineStr">
        <is>
          <t>Exercice clos le : 31/12/2025</t>
        </is>
      </c>
      <c r="D4" s="1578" t="n"/>
    </row>
    <row r="5" ht="13" customHeight="1" s="1354">
      <c r="A5" s="1749" t="inlineStr">
        <is>
          <t>Numéro d’identification : CD/KNG/RCCM/23-B-01234</t>
        </is>
      </c>
      <c r="C5" s="2460" t="inlineStr">
        <is>
          <t>Durée (en mois) : 12</t>
        </is>
      </c>
      <c r="D5" s="1582" t="n"/>
    </row>
    <row r="6" ht="12" customHeight="1" s="1354">
      <c r="A6" s="1822" t="inlineStr">
        <is>
          <t> </t>
        </is>
      </c>
    </row>
    <row r="7" ht="14" customHeight="1" s="1354">
      <c r="A7" s="2002" t="inlineStr">
        <is>
          <t xml:space="preserve"> NOTE 23 </t>
        </is>
      </c>
      <c r="E7" s="2002" t="n"/>
      <c r="F7" s="2002" t="n"/>
      <c r="G7" s="2002" t="n"/>
    </row>
    <row r="8" ht="14.5" customHeight="1" s="1354">
      <c r="A8" s="2170" t="inlineStr">
        <is>
          <t>TRANSPORTS</t>
        </is>
      </c>
      <c r="B8" s="1594" t="n"/>
      <c r="C8" s="1594" t="n"/>
      <c r="D8" s="1594" t="n"/>
      <c r="E8" s="1966" t="n"/>
      <c r="F8" s="1966" t="n"/>
      <c r="G8" s="1966" t="n"/>
    </row>
    <row r="9" ht="20.15" customHeight="1" s="1354">
      <c r="A9" s="2461" t="inlineStr">
        <is>
          <t xml:space="preserve"> Libellés </t>
        </is>
      </c>
      <c r="B9" s="2450" t="inlineStr">
        <is>
          <t xml:space="preserve">Année N </t>
        </is>
      </c>
      <c r="C9" s="2450" t="inlineStr">
        <is>
          <t xml:space="preserve">Année N-1 </t>
        </is>
      </c>
      <c r="D9" s="2451" t="inlineStr">
        <is>
          <t xml:space="preserve">Variation en % </t>
        </is>
      </c>
    </row>
    <row r="10" ht="20.15" customHeight="1" s="1354">
      <c r="A10" s="2099" t="inlineStr">
        <is>
          <t xml:space="preserve">Transports sur ventes </t>
        </is>
      </c>
      <c r="B10" s="2806">
        <f>SUMIF(BALANCE!$A$2:$A$70,"612*",BALANCE!$F$2:$F$70)-SUMIF(BALANCE!$A$2:$A$70,"612*",BALANCE!$G$2:$G$70)</f>
        <v/>
      </c>
      <c r="C10" s="2806">
        <f>SUMIF(BALANCE_N1!$A$2:$A$70,"612*",BALANCE_N1!$F$2:$F$70)-SUMIF(BALANCE_N1!$A$2:$A$70,"612*",BALANCE_N1!$G$2:$G$70)</f>
        <v/>
      </c>
      <c r="D10" s="2462" t="n"/>
    </row>
    <row r="11" ht="20.15" customHeight="1" s="1354">
      <c r="A11" s="2099" t="inlineStr">
        <is>
          <t xml:space="preserve">Transports pour le compte de tiers </t>
        </is>
      </c>
      <c r="B11" s="2806">
        <f>SUMIF(BALANCE!$A$2:$A$70,"613*",BALANCE!$F$2:$F$70)-SUMIF(BALANCE!$A$2:$A$70,"613*",BALANCE!$G$2:$G$70)</f>
        <v/>
      </c>
      <c r="C11" s="2806">
        <f>SUMIF(BALANCE_N1!$A$2:$A$70,"613*",BALANCE_N1!$F$2:$F$70)-SUMIF(BALANCE_N1!$A$2:$A$70,"613*",BALANCE_N1!$G$2:$G$70)</f>
        <v/>
      </c>
      <c r="D11" s="2462" t="n"/>
    </row>
    <row r="12" ht="20.15" customHeight="1" s="1354">
      <c r="A12" s="2099" t="inlineStr">
        <is>
          <t xml:space="preserve">Transport du personnel </t>
        </is>
      </c>
      <c r="B12" s="2806">
        <f>SUMIF(BALANCE!$A$2:$A$70,"614*",BALANCE!$F$2:$F$70)-SUMIF(BALANCE!$A$2:$A$70,"614*",BALANCE!$G$2:$G$70)</f>
        <v/>
      </c>
      <c r="C12" s="2806">
        <f>SUMIF(BALANCE_N1!$A$2:$A$70,"614*",BALANCE_N1!$F$2:$F$70)-SUMIF(BALANCE_N1!$A$2:$A$70,"614*",BALANCE_N1!$G$2:$G$70)</f>
        <v/>
      </c>
      <c r="D12" s="2463" t="n"/>
    </row>
    <row r="13" ht="20.15" customHeight="1" s="1354">
      <c r="A13" s="2099" t="inlineStr">
        <is>
          <t xml:space="preserve">Transports de plis </t>
        </is>
      </c>
      <c r="B13" s="2806">
        <f>SUMIF(BALANCE!$A$2:$A$70,"616*",BALANCE!$F$2:$F$70)-SUMIF(BALANCE!$A$2:$A$70,"616*",BALANCE!$G$2:$G$70)</f>
        <v/>
      </c>
      <c r="C13" s="2806">
        <f>SUMIF(BALANCE_N1!$A$2:$A$70,"616*",BALANCE_N1!$F$2:$F$70)-SUMIF(BALANCE_N1!$A$2:$A$70,"616*",BALANCE_N1!$G$2:$G$70)</f>
        <v/>
      </c>
      <c r="D13" s="2464" t="n"/>
    </row>
    <row r="14" ht="20.15" customHeight="1" s="1354">
      <c r="A14" s="2099" t="inlineStr">
        <is>
          <t xml:space="preserve">Autres transports </t>
        </is>
      </c>
      <c r="B14" s="2821">
        <f>SUMIF(BALANCE!$A$2:$A$70,"618*",BALANCE!$F$2:$F$70)-SUMIF(BALANCE!$A$2:$A$70,"618*",BALANCE!$G$2:$G$70)</f>
        <v/>
      </c>
      <c r="C14" s="2821">
        <f>SUMIF(BALANCE_N1!$A$2:$A$70,"618*",BALANCE_N1!$F$2:$F$70)-SUMIF(BALANCE_N1!$A$2:$A$70,"618*",BALANCE_N1!$G$2:$G$70)</f>
        <v/>
      </c>
      <c r="D14" s="2465">
        <f>(B14-C14)/C14</f>
        <v/>
      </c>
    </row>
    <row r="15" ht="20.15" customHeight="1" s="1354">
      <c r="A15" s="2104" t="inlineStr">
        <is>
          <t xml:space="preserve">TOTAL </t>
        </is>
      </c>
      <c r="B15" s="1897">
        <f>SUM(B10:B14)</f>
        <v/>
      </c>
      <c r="C15" s="1897">
        <f>SUM(C10:C14)</f>
        <v/>
      </c>
      <c r="D15" s="2466">
        <f>(B15-C15)/C15</f>
        <v/>
      </c>
    </row>
    <row r="16" ht="15" customHeight="1" s="1354">
      <c r="A16" s="2090" t="inlineStr">
        <is>
          <t xml:space="preserve">Commentaire :  </t>
        </is>
      </c>
    </row>
    <row r="17" ht="12" customHeight="1" s="1354">
      <c r="A17" s="2086" t="inlineStr">
        <is>
          <t xml:space="preserve"> Commenter toute variation significative. </t>
        </is>
      </c>
    </row>
    <row r="18" ht="12" customHeight="1" s="1354">
      <c r="A18" s="2167" t="inlineStr">
        <is>
          <t> </t>
        </is>
      </c>
    </row>
    <row r="19" ht="12" customHeight="1" s="1354">
      <c r="A19" s="2167" t="inlineStr">
        <is>
          <t> </t>
        </is>
      </c>
    </row>
    <row r="20" ht="12" customHeight="1" s="1354">
      <c r="A20" s="2167" t="inlineStr">
        <is>
          <t> </t>
        </is>
      </c>
    </row>
    <row r="21" ht="12" customHeight="1" s="1354">
      <c r="A21" s="2167" t="inlineStr">
        <is>
          <t> </t>
        </is>
      </c>
    </row>
    <row r="22" ht="12" customHeight="1" s="1354">
      <c r="A22" s="2167"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0" activeCellId="0" sqref="B10:D23"/>
    </sheetView>
  </sheetViews>
  <sheetFormatPr baseColWidth="8" defaultColWidth="10.8125" defaultRowHeight="12" zeroHeight="0" outlineLevelRow="0"/>
  <cols>
    <col width="53.44" customWidth="1" style="1583" min="1" max="1"/>
    <col width="13.99" customWidth="1" style="1583" min="2" max="2"/>
    <col width="12.44" customWidth="1" style="1583" min="3" max="3"/>
    <col width="13.26" customWidth="1" style="1583" min="4" max="4"/>
    <col width="10.81" customWidth="1" style="1583" min="5" max="257"/>
  </cols>
  <sheetData>
    <row r="1" ht="12" customHeight="1" s="1354">
      <c r="A1" s="2093" t="n"/>
    </row>
    <row r="2" ht="12" customHeight="1" s="1354">
      <c r="A2" s="2167" t="inlineStr">
        <is>
          <t> </t>
        </is>
      </c>
    </row>
    <row r="3" ht="12" customHeight="1" s="1354">
      <c r="A3" s="1822" t="n"/>
    </row>
    <row r="4" ht="13" customHeight="1" s="1354">
      <c r="A4" s="1748" t="inlineStr">
        <is>
          <t>Désignation entité : ENTREPRISE TEST SARL</t>
        </is>
      </c>
      <c r="C4" s="1591" t="inlineStr">
        <is>
          <t>Exercice clos le : 31/12/2025</t>
        </is>
      </c>
      <c r="D4" s="1578" t="n"/>
    </row>
    <row r="5" ht="13" customHeight="1" s="1354">
      <c r="A5" s="1749" t="inlineStr">
        <is>
          <t>Numéro d’identification : CD/KNG/RCCM/23-B-01234</t>
        </is>
      </c>
      <c r="C5" s="1591" t="inlineStr">
        <is>
          <t>Durée (en mois) : 12</t>
        </is>
      </c>
      <c r="D5" s="1582" t="n"/>
    </row>
    <row r="6" ht="12" customHeight="1" s="1354">
      <c r="A6" s="1822" t="inlineStr">
        <is>
          <t> </t>
        </is>
      </c>
    </row>
    <row r="7" ht="14" customHeight="1" s="1354">
      <c r="A7" s="2169" t="inlineStr">
        <is>
          <t xml:space="preserve"> NOTE 24 </t>
        </is>
      </c>
      <c r="E7" s="2467" t="n"/>
      <c r="F7" s="2467" t="n"/>
      <c r="G7" s="2467" t="n"/>
    </row>
    <row r="8" ht="14.5" customHeight="1" s="1354">
      <c r="A8" s="2170" t="inlineStr">
        <is>
          <t xml:space="preserve">SERVICES EXTERIEURS  </t>
        </is>
      </c>
      <c r="B8" s="1594" t="n"/>
      <c r="C8" s="1594" t="n"/>
      <c r="D8" s="1594" t="n"/>
      <c r="E8" s="2468" t="n"/>
      <c r="F8" s="2468" t="n"/>
      <c r="G8" s="2468" t="n"/>
    </row>
    <row r="9" ht="23.25" customHeight="1" s="1354">
      <c r="A9" s="2325" t="inlineStr">
        <is>
          <t xml:space="preserve">Libellés </t>
        </is>
      </c>
      <c r="B9" s="2450" t="inlineStr">
        <is>
          <t xml:space="preserve">Année N </t>
        </is>
      </c>
      <c r="C9" s="2450" t="inlineStr">
        <is>
          <t xml:space="preserve">Année N-1 </t>
        </is>
      </c>
      <c r="D9" s="2451" t="inlineStr">
        <is>
          <t xml:space="preserve">Variation en % </t>
        </is>
      </c>
    </row>
    <row r="10" ht="20.15" customHeight="1" s="1354">
      <c r="A10" s="2099" t="inlineStr">
        <is>
          <t xml:space="preserve">Sous-traitance générale </t>
        </is>
      </c>
      <c r="B10" s="2821">
        <f>SUMIF(BALANCE!$A$2:$A$70,"621*",BALANCE!$F$2:$F$70)-SUMIF(BALANCE!$A$2:$A$70,"621*",BALANCE!$G$2:$G$70)</f>
        <v/>
      </c>
      <c r="C10" s="2821">
        <f>SUMIF(BALANCE_N1!$A$2:$A$70,"621*",BALANCE_N1!$F$2:$F$70)-SUMIF(BALANCE_N1!$A$2:$A$70,"621*",BALANCE_N1!$G$2:$G$70)</f>
        <v/>
      </c>
      <c r="D10" s="2469" t="n"/>
    </row>
    <row r="11" ht="20.15" customHeight="1" s="1354">
      <c r="A11" s="2099" t="inlineStr">
        <is>
          <t xml:space="preserve">Locations et charges locatives </t>
        </is>
      </c>
      <c r="B11" s="2821">
        <f>SUMIF(BALANCE!$A$2:$A$70,"622*",BALANCE!$F$2:$F$70)-SUMIF(BALANCE!$A$2:$A$70,"622*",BALANCE!$G$2:$G$70)</f>
        <v/>
      </c>
      <c r="C11" s="2821">
        <f>SUMIF(BALANCE_N1!$A$2:$A$70,"622*",BALANCE_N1!$F$2:$F$70)-SUMIF(BALANCE_N1!$A$2:$A$70,"622*",BALANCE_N1!$G$2:$G$70)</f>
        <v/>
      </c>
      <c r="D11" s="2452">
        <f>(B11-C11)/C11</f>
        <v/>
      </c>
    </row>
    <row r="12" ht="20.15" customHeight="1" s="1354">
      <c r="A12" s="2099" t="inlineStr">
        <is>
          <t xml:space="preserve">Redevances de location acquisition </t>
        </is>
      </c>
      <c r="B12" s="2821">
        <f>SUMIF(BALANCE!$A$2:$A$70,"623*",BALANCE!$F$2:$F$70)-SUMIF(BALANCE!$A$2:$A$70,"623*",BALANCE!$G$2:$G$70)</f>
        <v/>
      </c>
      <c r="C12" s="2821">
        <f>SUMIF(BALANCE_N1!$A$2:$A$70,"623*",BALANCE_N1!$F$2:$F$70)-SUMIF(BALANCE_N1!$A$2:$A$70,"623*",BALANCE_N1!$G$2:$G$70)</f>
        <v/>
      </c>
      <c r="D12" s="2452" t="n"/>
    </row>
    <row r="13" ht="20.15" customHeight="1" s="1354">
      <c r="A13" s="2099" t="inlineStr">
        <is>
          <t xml:space="preserve">Entretien, réparations et maintenance </t>
        </is>
      </c>
      <c r="B13" s="2821">
        <f>SUMIF(BALANCE!$A$2:$A$70,"624*",BALANCE!$F$2:$F$70)-SUMIF(BALANCE!$A$2:$A$70,"624*",BALANCE!$G$2:$G$70)</f>
        <v/>
      </c>
      <c r="C13" s="2821">
        <f>SUMIF(BALANCE_N1!$A$2:$A$70,"624*",BALANCE_N1!$F$2:$F$70)-SUMIF(BALANCE_N1!$A$2:$A$70,"624*",BALANCE_N1!$G$2:$G$70)</f>
        <v/>
      </c>
      <c r="D13" s="2452">
        <f>(B13-C13)/C13</f>
        <v/>
      </c>
    </row>
    <row r="14" ht="20.15" customHeight="1" s="1354">
      <c r="A14" s="2099" t="inlineStr">
        <is>
          <t xml:space="preserve">Primes d'assurance </t>
        </is>
      </c>
      <c r="B14" s="2821">
        <f>SUMIF(BALANCE!$A$2:$A$70,"625*",BALANCE!$F$2:$F$70)-SUMIF(BALANCE!$A$2:$A$70,"625*",BALANCE!$G$2:$G$70)</f>
        <v/>
      </c>
      <c r="C14" s="2821">
        <f>SUMIF(BALANCE_N1!$A$2:$A$70,"625*",BALANCE_N1!$F$2:$F$70)-SUMIF(BALANCE_N1!$A$2:$A$70,"625*",BALANCE_N1!$G$2:$G$70)</f>
        <v/>
      </c>
      <c r="D14" s="2452">
        <f>(B14-C14)/C14</f>
        <v/>
      </c>
    </row>
    <row r="15" ht="20.15" customHeight="1" s="1354">
      <c r="A15" s="2099" t="inlineStr">
        <is>
          <t xml:space="preserve">Etudes, recherches et documentation </t>
        </is>
      </c>
      <c r="B15" s="2821">
        <f>SUMIF(BALANCE!$A$2:$A$70,"626*",BALANCE!$F$2:$F$70)-SUMIF(BALANCE!$A$2:$A$70,"626*",BALANCE!$G$2:$G$70)</f>
        <v/>
      </c>
      <c r="C15" s="2821">
        <f>SUMIF(BALANCE_N1!$A$2:$A$70,"626*",BALANCE_N1!$F$2:$F$70)-SUMIF(BALANCE_N1!$A$2:$A$70,"626*",BALANCE_N1!$G$2:$G$70)</f>
        <v/>
      </c>
      <c r="D15" s="2452" t="n"/>
    </row>
    <row r="16" ht="20.15" customHeight="1" s="1354">
      <c r="A16" s="2099" t="inlineStr">
        <is>
          <t xml:space="preserve">Publicité, publications, relations publiques </t>
        </is>
      </c>
      <c r="B16" s="2821">
        <f>SUMIF(BALANCE!$A$2:$A$70,"627*",BALANCE!$F$2:$F$70)-SUMIF(BALANCE!$A$2:$A$70,"627*",BALANCE!$G$2:$G$70)</f>
        <v/>
      </c>
      <c r="C16" s="2821">
        <f>SUMIF(BALANCE_N1!$A$2:$A$70,"627*",BALANCE_N1!$F$2:$F$70)-SUMIF(BALANCE_N1!$A$2:$A$70,"627*",BALANCE_N1!$G$2:$G$70)</f>
        <v/>
      </c>
      <c r="D16" s="2452" t="n"/>
    </row>
    <row r="17" ht="20.15" customHeight="1" s="1354">
      <c r="A17" s="2099" t="inlineStr">
        <is>
          <t xml:space="preserve">Frais de télécommunications </t>
        </is>
      </c>
      <c r="B17" s="2821">
        <f>SUMIF(BALANCE!$A$2:$A$70,"628*",BALANCE!$F$2:$F$70)-SUMIF(BALANCE!$A$2:$A$70,"628*",BALANCE!$G$2:$G$70)</f>
        <v/>
      </c>
      <c r="C17" s="2821">
        <f>SUMIF(BALANCE_N1!$A$2:$A$70,"628*",BALANCE_N1!$F$2:$F$70)-SUMIF(BALANCE_N1!$A$2:$A$70,"628*",BALANCE_N1!$G$2:$G$70)</f>
        <v/>
      </c>
      <c r="D17" s="2452">
        <f>(B17-C17)/C17</f>
        <v/>
      </c>
    </row>
    <row r="18" ht="20.15" customHeight="1" s="1354">
      <c r="A18" s="2099" t="inlineStr">
        <is>
          <t xml:space="preserve">Frais bancaires </t>
        </is>
      </c>
      <c r="B18" s="2821">
        <f>SUMIF(BALANCE!$A$2:$A$70,"631*",BALANCE!$F$2:$F$70)-SUMIF(BALANCE!$A$2:$A$70,"631*",BALANCE!$G$2:$G$70)</f>
        <v/>
      </c>
      <c r="C18" s="2821">
        <f>SUMIF(BALANCE_N1!$A$2:$A$70,"631*",BALANCE_N1!$F$2:$F$70)-SUMIF(BALANCE_N1!$A$2:$A$70,"631*",BALANCE_N1!$G$2:$G$70)</f>
        <v/>
      </c>
      <c r="D18" s="2452">
        <f>(B18-C18)/C18</f>
        <v/>
      </c>
    </row>
    <row r="19" ht="20.15" customHeight="1" s="1354">
      <c r="A19" s="2099" t="inlineStr">
        <is>
          <t xml:space="preserve">Rémunérations d'intermédiaires et de conseils </t>
        </is>
      </c>
      <c r="B19" s="2821">
        <f>SUMIF(BALANCE!$A$2:$A$70,"632*",BALANCE!$F$2:$F$70)-SUMIF(BALANCE!$A$2:$A$70,"632*",BALANCE!$G$2:$G$70)</f>
        <v/>
      </c>
      <c r="C19" s="2821">
        <f>SUMIF(BALANCE_N1!$A$2:$A$70,"632*",BALANCE_N1!$F$2:$F$70)-SUMIF(BALANCE_N1!$A$2:$A$70,"632*",BALANCE_N1!$G$2:$G$70)</f>
        <v/>
      </c>
      <c r="D19" s="2452">
        <f>(B19-C19)/C19</f>
        <v/>
      </c>
    </row>
    <row r="20" ht="20.15" customHeight="1" s="1354">
      <c r="A20" s="2099" t="inlineStr">
        <is>
          <t xml:space="preserve">Frais de formation du personnel </t>
        </is>
      </c>
      <c r="B20" s="2821">
        <f>SUMIF(BALANCE!$A$2:$A$70,"633*",BALANCE!$F$2:$F$70)-SUMIF(BALANCE!$A$2:$A$70,"633*",BALANCE!$G$2:$G$70)</f>
        <v/>
      </c>
      <c r="C20" s="2821">
        <f>SUMIF(BALANCE_N1!$A$2:$A$70,"633*",BALANCE_N1!$F$2:$F$70)-SUMIF(BALANCE_N1!$A$2:$A$70,"633*",BALANCE_N1!$G$2:$G$70)</f>
        <v/>
      </c>
      <c r="D20" s="2452" t="n"/>
    </row>
    <row r="21" ht="27" customHeight="1" s="1354">
      <c r="A21" s="2099" t="inlineStr">
        <is>
          <t xml:space="preserve">Redevances pour brevets, licences, logiciels, concession et droits similaires </t>
        </is>
      </c>
      <c r="B21" s="2821">
        <f>SUMIF(BALANCE!$A$2:$A$70,"634*",BALANCE!$F$2:$F$70)-SUMIF(BALANCE!$A$2:$A$70,"634*",BALANCE!$G$2:$G$70)</f>
        <v/>
      </c>
      <c r="C21" s="2821">
        <f>SUMIF(BALANCE_N1!$A$2:$A$70,"634*",BALANCE_N1!$F$2:$F$70)-SUMIF(BALANCE_N1!$A$2:$A$70,"634*",BALANCE_N1!$G$2:$G$70)</f>
        <v/>
      </c>
      <c r="D21" s="2452">
        <f>(B21-C21)/C21</f>
        <v/>
      </c>
    </row>
    <row r="22" ht="20.15" customHeight="1" s="1354">
      <c r="A22" s="2099" t="inlineStr">
        <is>
          <t xml:space="preserve">Cotisations </t>
        </is>
      </c>
      <c r="B22" s="2821">
        <f>SUMIF(BALANCE!$A$2:$A$70,"635*",BALANCE!$F$2:$F$70)-SUMIF(BALANCE!$A$2:$A$70,"635*",BALANCE!$G$2:$G$70)</f>
        <v/>
      </c>
      <c r="C22" s="2821">
        <f>SUMIF(BALANCE_N1!$A$2:$A$70,"635*",BALANCE_N1!$F$2:$F$70)-SUMIF(BALANCE_N1!$A$2:$A$70,"635*",BALANCE_N1!$G$2:$G$70)</f>
        <v/>
      </c>
      <c r="D22" s="2452">
        <f>(B22-C22)/C22</f>
        <v/>
      </c>
    </row>
    <row r="23" ht="20.15" customHeight="1" s="1354">
      <c r="A23" s="2099" t="inlineStr">
        <is>
          <t xml:space="preserve">Autres charges externes </t>
        </is>
      </c>
      <c r="B23" s="2821">
        <f>SUMIF(BALANCE!$A$2:$A$70,"637*",BALANCE!$F$2:$F$70)-SUMIF(BALANCE!$A$2:$A$70,"637*",BALANCE!$G$2:$G$70)+SUMIF(BALANCE!$A$2:$A$70,"638*",BALANCE!$F$2:$F$70)-SUMIF(BALANCE!$A$2:$A$70,"638*",BALANCE!$G$2:$G$70)</f>
        <v/>
      </c>
      <c r="C23" s="2821">
        <f>SUMIF(BALANCE_N1!$A$2:$A$70,"637*",BALANCE_N1!$F$2:$F$70)-SUMIF(BALANCE_N1!$A$2:$A$70,"637*",BALANCE_N1!$G$2:$G$70)+SUMIF(BALANCE_N1!$A$2:$A$70,"638*",BALANCE_N1!$F$2:$F$70)-SUMIF(BALANCE_N1!$A$2:$A$70,"638*",BALANCE_N1!$G$2:$G$70)</f>
        <v/>
      </c>
      <c r="D23" s="2452">
        <f>(B23-C23)/C23</f>
        <v/>
      </c>
    </row>
    <row r="24" ht="20.15" customHeight="1" s="1354">
      <c r="A24" s="2104" t="inlineStr">
        <is>
          <t xml:space="preserve">TOTAL </t>
        </is>
      </c>
      <c r="B24" s="1897">
        <f>SUM(B10:B23)</f>
        <v/>
      </c>
      <c r="C24" s="1897">
        <f>SUM(C10:C23)</f>
        <v/>
      </c>
      <c r="D24" s="2198">
        <f>(B24-C24)/C24</f>
        <v/>
      </c>
    </row>
    <row r="25" ht="12" customHeight="1" s="1354">
      <c r="A25" s="2090" t="inlineStr">
        <is>
          <t xml:space="preserve">Commentaire :  </t>
        </is>
      </c>
      <c r="C25" s="1840" t="n"/>
    </row>
    <row r="26" ht="12" customHeight="1" s="1354">
      <c r="A26" s="2086" t="inlineStr">
        <is>
          <t xml:space="preserve"> Commenter toute variation significative. </t>
        </is>
      </c>
    </row>
    <row r="27" ht="12" customHeight="1" s="1354">
      <c r="A27" s="2167" t="inlineStr">
        <is>
          <t> </t>
        </is>
      </c>
      <c r="B27" s="1840" t="n"/>
    </row>
    <row r="28" ht="12" customHeight="1" s="1354">
      <c r="A28" s="2167" t="inlineStr">
        <is>
          <t> </t>
        </is>
      </c>
    </row>
    <row r="29" ht="12" customHeight="1" s="1354">
      <c r="A29" s="2167" t="n"/>
    </row>
    <row r="30" ht="12" customHeight="1" s="1354">
      <c r="A30" s="2167" t="n"/>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G20"/>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E22" activeCellId="0" sqref="E22"/>
    </sheetView>
  </sheetViews>
  <sheetFormatPr baseColWidth="8" defaultColWidth="10.90234375" defaultRowHeight="14.5" zeroHeight="0" outlineLevelRow="0"/>
  <cols>
    <col width="54.17" customWidth="1" style="1572" min="1" max="1"/>
    <col width="13.99" customWidth="1" style="1572" min="2" max="2"/>
    <col width="11.81" customWidth="1" style="1572" min="3" max="3"/>
  </cols>
  <sheetData>
    <row r="1" ht="15" customHeight="1" s="1354">
      <c r="A1" s="2251" t="n"/>
    </row>
    <row r="2" ht="15" customHeight="1" s="1354">
      <c r="A2" s="2251" t="n"/>
    </row>
    <row r="3" ht="14.5" customHeight="1" s="1354">
      <c r="A3" s="2001" t="n"/>
    </row>
    <row r="4"/>
    <row r="5" ht="15" customHeight="1" s="1354">
      <c r="A5" s="1748" t="inlineStr">
        <is>
          <t>Désignation entité : ENTREPRISE TEST SARL</t>
        </is>
      </c>
      <c r="C5" s="1591" t="inlineStr">
        <is>
          <t>Exercice clos le : 31/12/2025</t>
        </is>
      </c>
      <c r="D5" s="1578" t="n"/>
    </row>
    <row r="6" ht="14.5" customHeight="1" s="1354">
      <c r="A6" s="1749" t="inlineStr">
        <is>
          <t>Numéro d’identification : CD/KNG/RCCM/23-B-01234</t>
        </is>
      </c>
      <c r="C6" s="1591" t="inlineStr">
        <is>
          <t>Durée (en mois) : 12</t>
        </is>
      </c>
      <c r="D6" s="1582" t="n"/>
    </row>
    <row r="7" ht="15" customHeight="1" s="1354">
      <c r="A7" s="2251" t="inlineStr">
        <is>
          <t> </t>
        </is>
      </c>
    </row>
    <row r="8" ht="15" customHeight="1" s="1354">
      <c r="A8" s="2470" t="inlineStr">
        <is>
          <t xml:space="preserve"> NOTE 25</t>
        </is>
      </c>
      <c r="E8" s="2470" t="n"/>
      <c r="F8" s="2470" t="n"/>
      <c r="G8" s="2470" t="n"/>
    </row>
    <row r="9" ht="15.5" customHeight="1" s="1354">
      <c r="A9" s="2471" t="inlineStr">
        <is>
          <t xml:space="preserve">IMPOTS ET TAXES  </t>
        </is>
      </c>
      <c r="B9" s="1594" t="n"/>
      <c r="C9" s="1594" t="n"/>
      <c r="D9" s="1594" t="n"/>
      <c r="E9" s="2472" t="n"/>
      <c r="F9" s="2472" t="n"/>
      <c r="G9" s="2472" t="n"/>
    </row>
    <row r="10" ht="23.5" customHeight="1" s="1354">
      <c r="A10" s="2003" t="inlineStr">
        <is>
          <t xml:space="preserve">Libellés </t>
        </is>
      </c>
      <c r="B10" s="2004" t="inlineStr">
        <is>
          <t xml:space="preserve">Année N </t>
        </is>
      </c>
      <c r="C10" s="2004" t="inlineStr">
        <is>
          <t xml:space="preserve">Année N-1 </t>
        </is>
      </c>
      <c r="D10" s="2006" t="inlineStr">
        <is>
          <t xml:space="preserve">Variation en % </t>
        </is>
      </c>
    </row>
    <row r="11" ht="14.5" customHeight="1" s="1354">
      <c r="A11" s="2096" t="inlineStr">
        <is>
          <t xml:space="preserve">Impôts et taxes directs </t>
        </is>
      </c>
      <c r="B11" s="2853">
        <f>SUMIF(BALANCE!$A$2:$A$70,"641*",BALANCE!$F$2:$F$70)-SUMIF(BALANCE!$A$2:$A$70,"641*",BALANCE!$G$2:$G$70)</f>
        <v/>
      </c>
      <c r="C11" s="2853">
        <f>SUMIF(BALANCE_N1!$A$2:$A$70,"641*",BALANCE_N1!$F$2:$F$70)-SUMIF(BALANCE_N1!$A$2:$A$70,"641*",BALANCE_N1!$G$2:$G$70)</f>
        <v/>
      </c>
      <c r="D11" s="2474" t="n"/>
    </row>
    <row r="12" ht="14.5" customHeight="1" s="1354">
      <c r="A12" s="2099" t="inlineStr">
        <is>
          <t xml:space="preserve">Impôts et taxes indirects </t>
        </is>
      </c>
      <c r="B12" s="2854">
        <f>SUMIF(BALANCE!$A$2:$A$70,"645*",BALANCE!$F$2:$F$70)-SUMIF(BALANCE!$A$2:$A$70,"645*",BALANCE!$G$2:$G$70)</f>
        <v/>
      </c>
      <c r="C12" s="2854">
        <f>SUMIF(BALANCE_N1!$A$2:$A$70,"645*",BALANCE_N1!$F$2:$F$70)-SUMIF(BALANCE_N1!$A$2:$A$70,"645*",BALANCE_N1!$G$2:$G$70)</f>
        <v/>
      </c>
      <c r="D12" s="2474" t="n"/>
    </row>
    <row r="13" ht="14.5" customHeight="1" s="1354">
      <c r="A13" s="2099" t="inlineStr">
        <is>
          <t xml:space="preserve">Droits d'enregistrement </t>
        </is>
      </c>
      <c r="B13" s="2854">
        <f>SUMIF(BALANCE!$A$2:$A$70,"646*",BALANCE!$F$2:$F$70)-SUMIF(BALANCE!$A$2:$A$70,"646*",BALANCE!$G$2:$G$70)</f>
        <v/>
      </c>
      <c r="C13" s="2854">
        <f>SUMIF(BALANCE_N1!$A$2:$A$70,"646*",BALANCE_N1!$F$2:$F$70)-SUMIF(BALANCE_N1!$A$2:$A$70,"646*",BALANCE_N1!$G$2:$G$70)</f>
        <v/>
      </c>
      <c r="D13" s="2476">
        <f>(B13-C13)/C13</f>
        <v/>
      </c>
    </row>
    <row r="14" ht="14.5" customHeight="1" s="1354">
      <c r="A14" s="2099" t="inlineStr">
        <is>
          <t xml:space="preserve">Pénalités et amendes fiscales </t>
        </is>
      </c>
      <c r="B14" s="2841">
        <f>SUMIF(BALANCE!$A$2:$A$70,"647*",BALANCE!$F$2:$F$70)-SUMIF(BALANCE!$A$2:$A$70,"647*",BALANCE!$G$2:$G$70)</f>
        <v/>
      </c>
      <c r="C14" s="2841">
        <f>SUMIF(BALANCE_N1!$A$2:$A$70,"647*",BALANCE_N1!$F$2:$F$70)-SUMIF(BALANCE_N1!$A$2:$A$70,"647*",BALANCE_N1!$G$2:$G$70)</f>
        <v/>
      </c>
      <c r="D14" s="2474" t="n"/>
    </row>
    <row r="15" ht="15" customHeight="1" s="1354">
      <c r="A15" s="2099" t="inlineStr">
        <is>
          <t xml:space="preserve">Autres impôts et taxes </t>
        </is>
      </c>
      <c r="B15" s="2841">
        <f>SUMIF(BALANCE!$A$2:$A$70,"648*",BALANCE!$F$2:$F$70)-SUMIF(BALANCE!$A$2:$A$70,"648*",BALANCE!$G$2:$G$70)</f>
        <v/>
      </c>
      <c r="C15" s="2841">
        <f>SUMIF(BALANCE_N1!$A$2:$A$70,"648*",BALANCE_N1!$F$2:$F$70)-SUMIF(BALANCE_N1!$A$2:$A$70,"648*",BALANCE_N1!$G$2:$G$70)</f>
        <v/>
      </c>
      <c r="D15" s="2476">
        <f>(B15-C15)/C15</f>
        <v/>
      </c>
    </row>
    <row r="16" ht="15" customHeight="1" s="1354">
      <c r="A16" s="2104" t="inlineStr">
        <is>
          <t xml:space="preserve">TOTAL </t>
        </is>
      </c>
      <c r="B16" s="2105">
        <f>SUM(B11:B15)</f>
        <v/>
      </c>
      <c r="C16" s="2105">
        <f>SUM(C11:C15)</f>
        <v/>
      </c>
      <c r="D16" s="2105">
        <f>(B16-C16)/C16</f>
        <v/>
      </c>
    </row>
    <row r="17" ht="14.5" customHeight="1" s="1354">
      <c r="A17" s="2090" t="inlineStr">
        <is>
          <t xml:space="preserve">Commentaires:  </t>
        </is>
      </c>
    </row>
    <row r="18" ht="14.5" customHeight="1" s="1354">
      <c r="A18" s="2138" t="inlineStr">
        <is>
          <t xml:space="preserve">•      Commenter toute variation significative. </t>
        </is>
      </c>
    </row>
    <row r="19" ht="14.5" customHeight="1" s="1354">
      <c r="A19" s="2138" t="inlineStr">
        <is>
          <t xml:space="preserve">•      Détailler les pénalités et amendes et indiquer la cause. </t>
        </is>
      </c>
    </row>
    <row r="20" ht="15" customHeight="1" s="1354">
      <c r="A20" s="2251" t="inlineStr">
        <is>
          <t>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B28" activeCellId="0" sqref="B28"/>
    </sheetView>
  </sheetViews>
  <sheetFormatPr baseColWidth="8" defaultColWidth="10.8125" defaultRowHeight="12" zeroHeight="0" outlineLevelRow="0"/>
  <cols>
    <col width="54.17" customWidth="1" style="1583" min="1" max="1"/>
    <col width="12.99" customWidth="1" style="1583" min="2" max="2"/>
    <col width="12.44" customWidth="1" style="1583" min="3" max="3"/>
    <col width="13.26" customWidth="1" style="1583" min="4" max="4"/>
    <col width="10.81" customWidth="1" style="1583" min="5" max="257"/>
  </cols>
  <sheetData>
    <row r="1" ht="12" customHeight="1" s="1354">
      <c r="A1" s="2477" t="n"/>
    </row>
    <row r="2" ht="12" customHeight="1" s="1354">
      <c r="A2" s="2167" t="inlineStr">
        <is>
          <t> </t>
        </is>
      </c>
    </row>
    <row r="3" ht="12" customHeight="1" s="1354">
      <c r="A3" s="2167" t="n"/>
    </row>
    <row r="4" ht="13" customHeight="1" s="1354">
      <c r="A4" s="1748" t="inlineStr">
        <is>
          <t>Désignation entité : ENTREPRISE TEST SARL</t>
        </is>
      </c>
      <c r="C4" s="1591" t="inlineStr">
        <is>
          <t>Exercice clos le : 31/12/2025</t>
        </is>
      </c>
      <c r="D4" s="1578" t="n"/>
    </row>
    <row r="5" ht="13" customHeight="1" s="1354">
      <c r="A5" s="1749" t="inlineStr">
        <is>
          <t>Numéro d’identification : CD/KNG/RCCM/23-B-01234</t>
        </is>
      </c>
      <c r="C5" s="1591" t="inlineStr">
        <is>
          <t>Durée (en mois) : 12</t>
        </is>
      </c>
      <c r="D5" s="1582" t="n"/>
    </row>
    <row r="6" ht="12" customHeight="1" s="1354">
      <c r="A6" s="2093" t="n"/>
    </row>
    <row r="7" ht="14.5" customHeight="1" s="1354">
      <c r="A7" s="2002" t="inlineStr">
        <is>
          <t xml:space="preserve">  NOTE 26 </t>
        </is>
      </c>
      <c r="E7" s="2478" t="n"/>
      <c r="F7" s="2478" t="n"/>
      <c r="G7" s="2478" t="n"/>
    </row>
    <row r="8" ht="14.5" customHeight="1" s="1354">
      <c r="A8" s="2170" t="inlineStr">
        <is>
          <t xml:space="preserve">AUTRES CHARGES  </t>
        </is>
      </c>
      <c r="B8" s="1594" t="n"/>
      <c r="C8" s="1594" t="n"/>
      <c r="D8" s="1594" t="n"/>
      <c r="E8" s="2468" t="n"/>
      <c r="F8" s="2468" t="n"/>
      <c r="G8" s="2468" t="n"/>
    </row>
    <row r="9" ht="22.5" customHeight="1" s="1354">
      <c r="A9" s="2003" t="inlineStr">
        <is>
          <t xml:space="preserve">Libellés </t>
        </is>
      </c>
      <c r="B9" s="2004" t="inlineStr">
        <is>
          <t xml:space="preserve">Année  N </t>
        </is>
      </c>
      <c r="C9" s="2004" t="inlineStr">
        <is>
          <t xml:space="preserve">Année N-1  </t>
        </is>
      </c>
      <c r="D9" s="2006" t="inlineStr">
        <is>
          <t xml:space="preserve">Variation en % </t>
        </is>
      </c>
    </row>
    <row r="10" ht="20.15" customHeight="1" s="1354">
      <c r="A10" s="2096" t="inlineStr">
        <is>
          <t xml:space="preserve">Pertes sur créances clients  </t>
        </is>
      </c>
      <c r="B10" s="2822">
        <f>SUMIF(BALANCE!$A$2:$A$70,"651*",BALANCE!$F$2:$F$70)-SUMIF(BALANCE!$A$2:$A$70,"651*",BALANCE!$G$2:$G$70)</f>
        <v/>
      </c>
      <c r="C10" s="2822">
        <f>SUMIF(BALANCE_N1!$A$2:$A$70,"651*",BALANCE_N1!$F$2:$F$70)-SUMIF(BALANCE_N1!$A$2:$A$70,"651*",BALANCE_N1!$G$2:$G$70)</f>
        <v/>
      </c>
      <c r="D10" s="2479" t="n"/>
    </row>
    <row r="11" ht="20.15" customHeight="1" s="1354">
      <c r="A11" s="2099" t="inlineStr">
        <is>
          <t xml:space="preserve">Pertes sur autres débiteurs </t>
        </is>
      </c>
      <c r="B11" s="2130" t="n"/>
      <c r="C11" s="2130" t="n"/>
      <c r="D11" s="2479" t="n"/>
    </row>
    <row r="12" ht="20.15" customHeight="1" s="1354">
      <c r="A12" s="2099" t="inlineStr">
        <is>
          <t xml:space="preserve">Quote-part de résultat sur opérations faites en commun </t>
        </is>
      </c>
      <c r="B12" s="2806">
        <f>SUMIF(BALANCE!$A$2:$A$70,"652*",BALANCE!$F$2:$F$70)-SUMIF(BALANCE!$A$2:$A$70,"652*",BALANCE!$G$2:$G$70)</f>
        <v/>
      </c>
      <c r="C12" s="2806">
        <f>SUMIF(BALANCE_N1!$A$2:$A$70,"652*",BALANCE_N1!$F$2:$F$70)-SUMIF(BALANCE_N1!$A$2:$A$70,"652*",BALANCE_N1!$G$2:$G$70)</f>
        <v/>
      </c>
      <c r="D12" s="2479" t="n"/>
    </row>
    <row r="13" ht="15.75" customHeight="1" s="1354">
      <c r="A13" s="2099" t="inlineStr">
        <is>
          <t xml:space="preserve">Valeur comptable des cessions courantes d'immobilisations </t>
        </is>
      </c>
      <c r="B13" s="2806">
        <f>SUMIF(BALANCE!$A$2:$A$70,"654*",BALANCE!$F$2:$F$70)-SUMIF(BALANCE!$A$2:$A$70,"654*",BALANCE!$G$2:$G$70)</f>
        <v/>
      </c>
      <c r="C13" s="2806">
        <f>SUMIF(BALANCE_N1!$A$2:$A$70,"654*",BALANCE_N1!$F$2:$F$70)-SUMIF(BALANCE_N1!$A$2:$A$70,"654*",BALANCE_N1!$G$2:$G$70)</f>
        <v/>
      </c>
      <c r="D13" s="2479" t="n"/>
    </row>
    <row r="14" ht="12" customHeight="1" s="1354">
      <c r="A14" s="2099" t="inlineStr">
        <is>
          <t xml:space="preserve">Indemnités de fonction et autres rémunérations d'administrateurs </t>
        </is>
      </c>
      <c r="B14" s="2821">
        <f>SUMIF(BALANCE!$A$2:$A$70,"6581*",BALANCE!$F$2:$F$70)-SUMIF(BALANCE!$A$2:$A$70,"6581*",BALANCE!$G$2:$G$70)</f>
        <v/>
      </c>
      <c r="C14" s="2821">
        <f>SUMIF(BALANCE_N1!$A$2:$A$70,"6581*",BALANCE_N1!$F$2:$F$70)-SUMIF(BALANCE_N1!$A$2:$A$70,"6581*",BALANCE_N1!$G$2:$G$70)</f>
        <v/>
      </c>
      <c r="D14" s="2480" t="n"/>
    </row>
    <row r="15" ht="20.15" customHeight="1" s="1354">
      <c r="A15" s="2099" t="inlineStr">
        <is>
          <t xml:space="preserve">Dons et mécénat </t>
        </is>
      </c>
      <c r="B15" s="2821">
        <f>SUMIF(BALANCE!$A$2:$A$70,"6583*",BALANCE!$F$2:$F$70)-SUMIF(BALANCE!$A$2:$A$70,"6583*",BALANCE!$G$2:$G$70)+SUMIF(BALANCE!$A$2:$A$70,"6582*",BALANCE!$F$2:$F$70)-SUMIF(BALANCE!$A$2:$A$70,"6582*",BALANCE!$G$2:$G$70)</f>
        <v/>
      </c>
      <c r="C15" s="2821">
        <f>SUMIF(BALANCE_N1!$A$2:$A$70,"6583*",BALANCE_N1!$F$2:$F$70)-SUMIF(BALANCE_N1!$A$2:$A$70,"6583*",BALANCE_N1!$G$2:$G$70)+SUMIF(BALANCE_N1!$A$2:$A$70,"6582*",BALANCE_N1!$F$2:$F$70)-SUMIF(BALANCE_N1!$A$2:$A$70,"6582*",BALANCE_N1!$G$2:$G$70)</f>
        <v/>
      </c>
      <c r="D15" s="2481">
        <f>(B15-C15)/C15</f>
        <v/>
      </c>
    </row>
    <row r="16" ht="20.15" customHeight="1" s="1354">
      <c r="A16" s="2099" t="inlineStr">
        <is>
          <t xml:space="preserve">Autres charges diverses </t>
        </is>
      </c>
      <c r="B16" s="2821">
        <f>SUMIF(BALANCE!$A$2:$A$70,"656*",BALANCE!$F$2:$F$70)-SUMIF(BALANCE!$A$2:$A$70,"656*",BALANCE!$G$2:$G$70)+SUMIF(BALANCE!$A$2:$A$70,"657*",BALANCE!$F$2:$F$70)-SUMIF(BALANCE!$A$2:$A$70,"657*",BALANCE!$G$2:$G$70)+SUMIF(BALANCE!$A$2:$A$70,"6588*",BALANCE!$F$2:$F$70)-SUMIF(BALANCE!$A$2:$A$70,"6588*",BALANCE!$G$2:$G$70)</f>
        <v/>
      </c>
      <c r="C16" s="2821">
        <f>SUMIF(BALANCE_N1!$A$2:$A$70,"656*",BALANCE_N1!$F$2:$F$70)-SUMIF(BALANCE_N1!$A$2:$A$70,"656*",BALANCE_N1!$G$2:$G$70)+SUMIF(BALANCE_N1!$A$2:$A$70,"657*",BALANCE_N1!$F$2:$F$70)-SUMIF(BALANCE_N1!$A$2:$A$70,"657*",BALANCE_N1!$G$2:$G$70)+SUMIF(BALANCE_N1!$A$2:$A$70,"6588*",BALANCE_N1!$F$2:$F$70)-SUMIF(BALANCE_N1!$A$2:$A$70,"6588*",BALANCE_N1!$G$2:$G$70)</f>
        <v/>
      </c>
      <c r="D16" s="2481">
        <f>(B16-C16)/C16</f>
        <v/>
      </c>
    </row>
    <row r="17" ht="25.5" customHeight="1" s="1354">
      <c r="A17" s="2099" t="inlineStr">
        <is>
          <t xml:space="preserve">Charges pour provisions et provisions pour risques à court terme d'exploitation (voir note 28) </t>
        </is>
      </c>
      <c r="B17" s="2806">
        <f>SUMIF(BALANCE!$A$2:$A$70,"659*",BALANCE!$F$2:$F$70)-SUMIF(BALANCE!$A$2:$A$70,"659*",BALANCE!$G$2:$G$70)</f>
        <v/>
      </c>
      <c r="C17" s="2806">
        <f>SUMIF(BALANCE_N1!$A$2:$A$70,"659*",BALANCE_N1!$F$2:$F$70)-SUMIF(BALANCE_N1!$A$2:$A$70,"659*",BALANCE_N1!$G$2:$G$70)</f>
        <v/>
      </c>
      <c r="D17" s="2479" t="n"/>
    </row>
    <row r="18" ht="20.15" customHeight="1" s="1354">
      <c r="A18" s="2102" t="inlineStr">
        <is>
          <t>  </t>
        </is>
      </c>
      <c r="B18" s="2133" t="n"/>
      <c r="C18" s="2133" t="n"/>
      <c r="D18" s="2479" t="n"/>
    </row>
    <row r="19" ht="20.15" customHeight="1" s="1354">
      <c r="A19" s="2104" t="inlineStr">
        <is>
          <t xml:space="preserve">TOTAL </t>
        </is>
      </c>
      <c r="B19" s="1897">
        <f>SUM(B10:B18)</f>
        <v/>
      </c>
      <c r="C19" s="1897">
        <f>SUM(C10:C18)</f>
        <v/>
      </c>
      <c r="D19" s="2198">
        <f>(B19-C19)/C19</f>
        <v/>
      </c>
    </row>
    <row r="20" ht="12" customHeight="1" s="1354">
      <c r="A20" s="2090" t="inlineStr">
        <is>
          <t xml:space="preserve">Commentaires :  </t>
        </is>
      </c>
    </row>
    <row r="21" ht="12" customHeight="1" s="1354">
      <c r="A21" s="2138" t="inlineStr">
        <is>
          <t xml:space="preserve">•      Commenter toute variation significative. </t>
        </is>
      </c>
    </row>
    <row r="22" ht="12" customHeight="1" s="1354">
      <c r="A22" s="2138" t="inlineStr">
        <is>
          <t xml:space="preserve">•      Indiquer la date du PV de l'AGO ou du CA qui fixe les rémunérations des administrateurs. </t>
        </is>
      </c>
    </row>
    <row r="23" ht="12" customHeight="1" s="1354">
      <c r="A23" s="2138" t="inlineStr">
        <is>
          <t xml:space="preserve">•      Indiquer les organismes bénéficiaires des dons. </t>
        </is>
      </c>
    </row>
    <row r="24" ht="12" customHeight="1" s="1354">
      <c r="A24" s="2167" t="inlineStr">
        <is>
          <t> </t>
        </is>
      </c>
    </row>
    <row r="25" ht="12" customHeight="1" s="1354">
      <c r="A25" s="2167" t="inlineStr">
        <is>
          <t> </t>
        </is>
      </c>
    </row>
    <row r="26" ht="12" customHeight="1" s="1354">
      <c r="A26" s="2167" t="inlineStr">
        <is>
          <t> </t>
        </is>
      </c>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G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28" activeCellId="0" sqref="B28"/>
    </sheetView>
  </sheetViews>
  <sheetFormatPr baseColWidth="8" defaultColWidth="10.8125" defaultRowHeight="11.5" zeroHeight="0" outlineLevelRow="0"/>
  <cols>
    <col width="55.81" customWidth="1" style="1577" min="1" max="1"/>
    <col width="14.99" customWidth="1" style="1577" min="2" max="2"/>
    <col width="12.44" customWidth="1" style="1577" min="3" max="4"/>
    <col width="10.81" customWidth="1" style="1577" min="5" max="257"/>
  </cols>
  <sheetData>
    <row r="1" ht="11.5" customHeight="1" s="1354">
      <c r="A1" s="2212" t="n"/>
    </row>
    <row r="2" ht="11.5" customHeight="1" s="1354">
      <c r="A2" s="2482" t="n"/>
    </row>
    <row r="3" ht="11.5" customHeight="1" s="1354">
      <c r="A3" s="2212" t="inlineStr">
        <is>
          <t>  </t>
        </is>
      </c>
    </row>
    <row r="4"/>
    <row r="5" ht="13" customHeight="1" s="1354">
      <c r="A5" s="1748" t="inlineStr">
        <is>
          <t>Désignation entité : ENTREPRISE TEST SARL</t>
        </is>
      </c>
      <c r="C5" s="1591" t="inlineStr">
        <is>
          <t>Exercice clos le : 31/12/2025</t>
        </is>
      </c>
      <c r="D5" s="1578" t="n"/>
    </row>
    <row r="6" ht="13" customHeight="1" s="1354">
      <c r="A6" s="1749" t="inlineStr">
        <is>
          <t>Numéro d’identification : CD/KNG/RCCM/23-B-01234</t>
        </is>
      </c>
      <c r="C6" s="1591" t="inlineStr">
        <is>
          <t>Durée (en mois) : 12</t>
        </is>
      </c>
      <c r="D6" s="1582" t="n"/>
    </row>
    <row r="7" ht="11.5" customHeight="1" s="1354">
      <c r="A7" s="2482" t="n"/>
    </row>
    <row r="8" ht="14" customHeight="1" s="1354">
      <c r="A8" s="2252" t="inlineStr">
        <is>
          <t xml:space="preserve"> NOTE 27A </t>
        </is>
      </c>
      <c r="E8" s="2252" t="n"/>
      <c r="F8" s="2252" t="n"/>
      <c r="G8" s="2252" t="n"/>
    </row>
    <row r="9" ht="14.5" customHeight="1" s="1354">
      <c r="A9" s="1812" t="inlineStr">
        <is>
          <t xml:space="preserve">CHARGES DE PERSONNEL  </t>
        </is>
      </c>
      <c r="B9" s="1594" t="n"/>
      <c r="C9" s="1594" t="n"/>
      <c r="D9" s="1594" t="n"/>
      <c r="E9" s="2067" t="n"/>
      <c r="F9" s="2067" t="n"/>
      <c r="G9" s="2067" t="n"/>
    </row>
    <row r="10" ht="22.5" customHeight="1" s="1354">
      <c r="A10" s="2003" t="inlineStr">
        <is>
          <t xml:space="preserve">Libellés </t>
        </is>
      </c>
      <c r="B10" s="2004" t="inlineStr">
        <is>
          <t xml:space="preserve">Année  N </t>
        </is>
      </c>
      <c r="C10" s="2004" t="inlineStr">
        <is>
          <t xml:space="preserve">Année  N-1 </t>
        </is>
      </c>
      <c r="D10" s="2006" t="inlineStr">
        <is>
          <t xml:space="preserve">Variation en % </t>
        </is>
      </c>
    </row>
    <row r="11" ht="20.15" customHeight="1" s="1354">
      <c r="A11" s="2096" t="inlineStr">
        <is>
          <t xml:space="preserve">Rémunérations directes versées au personnel </t>
        </is>
      </c>
      <c r="B11" s="2805">
        <f>SUMIF(BALANCE!$A$2:$A$70,"662*",BALANCE!$F$2:$F$70)-SUMIF(BALANCE!$A$2:$A$70,"662*",BALANCE!$G$2:$G$70)+SUMIF(BALANCE!$A$2:$A$70,"661*",BALANCE!$F$2:$F$70)-SUMIF(BALANCE!$A$2:$A$70,"661*",BALANCE!$G$2:$G$70)</f>
        <v/>
      </c>
      <c r="C11" s="2805">
        <f>SUMIF(BALANCE_N1!$A$2:$A$70,"662*",BALANCE_N1!$F$2:$F$70)-SUMIF(BALANCE_N1!$A$2:$A$70,"662*",BALANCE_N1!$G$2:$G$70)+SUMIF(BALANCE_N1!$A$2:$A$70,"661*",BALANCE_N1!$F$2:$F$70)-SUMIF(BALANCE_N1!$A$2:$A$70,"661*",BALANCE_N1!$G$2:$G$70)</f>
        <v/>
      </c>
      <c r="D11" s="2194">
        <f>(B11-C11)/C11</f>
        <v/>
      </c>
    </row>
    <row r="12" ht="20.15" customHeight="1" s="1354">
      <c r="A12" s="2099" t="inlineStr">
        <is>
          <t xml:space="preserve">Indemnités forfaitaires versées au personnel </t>
        </is>
      </c>
      <c r="B12" s="2821">
        <f>SUMIF(BALANCE!$A$2:$A$70,"663*",BALANCE!$F$2:$F$70)-SUMIF(BALANCE!$A$2:$A$70,"663*",BALANCE!$G$2:$G$70)</f>
        <v/>
      </c>
      <c r="C12" s="2821">
        <f>SUMIF(BALANCE_N1!$A$2:$A$70,"663*",BALANCE_N1!$F$2:$F$70)-SUMIF(BALANCE_N1!$A$2:$A$70,"663*",BALANCE_N1!$G$2:$G$70)</f>
        <v/>
      </c>
      <c r="D12" s="2194" t="n"/>
    </row>
    <row r="13" ht="20.15" customHeight="1" s="1354">
      <c r="A13" s="2099" t="inlineStr">
        <is>
          <t xml:space="preserve">Charges sociales </t>
        </is>
      </c>
      <c r="B13" s="2821">
        <f>SUMIF(BALANCE!$A$2:$A$70,"664*",BALANCE!$F$2:$F$70)-SUMIF(BALANCE!$A$2:$A$70,"664*",BALANCE!$G$2:$G$70)</f>
        <v/>
      </c>
      <c r="C13" s="2821">
        <f>SUMIF(BALANCE_N1!$A$2:$A$70,"664*",BALANCE_N1!$F$2:$F$70)-SUMIF(BALANCE_N1!$A$2:$A$70,"664*",BALANCE_N1!$G$2:$G$70)</f>
        <v/>
      </c>
      <c r="D13" s="2194">
        <f>(B13-C13)/C13</f>
        <v/>
      </c>
    </row>
    <row r="14" ht="20.15" customHeight="1" s="1354">
      <c r="A14" s="2099" t="inlineStr">
        <is>
          <t xml:space="preserve">Rémunérations et charges sociales de l'exploitant individuel </t>
        </is>
      </c>
      <c r="B14" s="2821">
        <f>SUMIF(BALANCE!$A$2:$A$70,"666*",BALANCE!$F$2:$F$70)-SUMIF(BALANCE!$A$2:$A$70,"666*",BALANCE!$G$2:$G$70)</f>
        <v/>
      </c>
      <c r="C14" s="2821">
        <f>SUMIF(BALANCE_N1!$A$2:$A$70,"666*",BALANCE_N1!$F$2:$F$70)-SUMIF(BALANCE_N1!$A$2:$A$70,"666*",BALANCE_N1!$G$2:$G$70)</f>
        <v/>
      </c>
      <c r="D14" s="2194" t="n"/>
    </row>
    <row r="15" ht="20.15" customHeight="1" s="1354">
      <c r="A15" s="2099" t="inlineStr">
        <is>
          <t xml:space="preserve">Rémunération transférée de personnel extérieur </t>
        </is>
      </c>
      <c r="B15" s="2821">
        <f>SUMIF(BALANCE!$A$2:$A$70,"667*",BALANCE!$F$2:$F$70)-SUMIF(BALANCE!$A$2:$A$70,"667*",BALANCE!$G$2:$G$70)</f>
        <v/>
      </c>
      <c r="C15" s="2821">
        <f>SUMIF(BALANCE_N1!$A$2:$A$70,"667*",BALANCE_N1!$F$2:$F$70)-SUMIF(BALANCE_N1!$A$2:$A$70,"667*",BALANCE_N1!$G$2:$G$70)</f>
        <v/>
      </c>
      <c r="D15" s="2194" t="n"/>
    </row>
    <row r="16" ht="20.15" customHeight="1" s="1354">
      <c r="A16" s="2099" t="inlineStr">
        <is>
          <t xml:space="preserve">Autres charges sociales </t>
        </is>
      </c>
      <c r="B16" s="2821">
        <f>SUMIF(BALANCE!$A$2:$A$70,"668*",BALANCE!$F$2:$F$70)-SUMIF(BALANCE!$A$2:$A$70,"668*",BALANCE!$G$2:$G$70)</f>
        <v/>
      </c>
      <c r="C16" s="2821">
        <f>SUMIF(BALANCE_N1!$A$2:$A$70,"668*",BALANCE_N1!$F$2:$F$70)-SUMIF(BALANCE_N1!$A$2:$A$70,"668*",BALANCE_N1!$G$2:$G$70)</f>
        <v/>
      </c>
      <c r="D16" s="2194">
        <f>(B16-C16)/C16</f>
        <v/>
      </c>
    </row>
    <row r="17" ht="20.15" customHeight="1" s="1354">
      <c r="A17" s="2102" t="inlineStr">
        <is>
          <t>  </t>
        </is>
      </c>
      <c r="B17" s="2443" t="n"/>
      <c r="C17" s="2443" t="n"/>
      <c r="D17" s="2194" t="n"/>
    </row>
    <row r="18" ht="20.15" customHeight="1" s="1354">
      <c r="A18" s="2104" t="inlineStr">
        <is>
          <t xml:space="preserve">TOTAL </t>
        </is>
      </c>
      <c r="B18" s="1897">
        <f>SUM(B11:B17)</f>
        <v/>
      </c>
      <c r="C18" s="1897">
        <f>SUM(C11:C17)</f>
        <v/>
      </c>
      <c r="D18" s="2135">
        <f>(B18-C18)/C18</f>
        <v/>
      </c>
    </row>
    <row r="19" ht="11.5" customHeight="1" s="1354">
      <c r="A19" s="2090" t="inlineStr">
        <is>
          <t xml:space="preserve">Commentaires :  </t>
        </is>
      </c>
    </row>
    <row r="20" ht="12" customHeight="1" s="1354">
      <c r="A20" s="2138" t="inlineStr">
        <is>
          <t xml:space="preserve">•      Commenter toute variation significative. </t>
        </is>
      </c>
    </row>
    <row r="21" ht="12" customHeight="1" s="1354">
      <c r="A21" s="2138" t="inlineStr">
        <is>
          <t xml:space="preserve">•      Indiquer la nature et la durée du contrat du personnel extérieur. </t>
        </is>
      </c>
    </row>
    <row r="22" ht="11.5" customHeight="1" s="1354">
      <c r="A22" s="2212" t="inlineStr">
        <is>
          <t> </t>
        </is>
      </c>
    </row>
  </sheetData>
  <mergeCells count="2">
    <mergeCell ref="A9:D9"/>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0"/>
  </sheetPr>
  <dimension ref="A1:P37"/>
  <sheetViews>
    <sheetView showFormulas="0" showGridLines="1" showRowColHeaders="1" showZeros="1" rightToLeft="0" tabSelected="0" showOutlineSymbols="1" defaultGridColor="1" view="normal" topLeftCell="A1" colorId="64" zoomScale="80" zoomScaleNormal="80" zoomScalePageLayoutView="100" workbookViewId="0">
      <selection pane="topLeft" activeCell="P19" activeCellId="0" sqref="P19"/>
    </sheetView>
  </sheetViews>
  <sheetFormatPr baseColWidth="8" defaultColWidth="10.90234375" defaultRowHeight="14.5" zeroHeight="0" outlineLevelRow="0"/>
  <cols>
    <col width="4.26" customWidth="1" style="1572" min="1" max="1"/>
    <col width="22.26" customWidth="1" style="1572" min="2" max="2"/>
    <col width="8.44" customWidth="1" style="1572" min="3" max="3"/>
    <col width="10.17" customWidth="1" style="1572" min="6" max="6"/>
    <col width="11.44" customWidth="1" style="1572" min="7" max="7"/>
    <col width="12.44" customWidth="1" style="1572" min="10" max="11"/>
    <col width="13.44" customWidth="1" style="1572" min="13" max="13"/>
  </cols>
  <sheetData>
    <row r="1"/>
    <row r="2"/>
    <row r="3" ht="13" customFormat="1" customHeight="1" s="1577">
      <c r="A3" s="1575" t="inlineStr">
        <is>
          <t>Désignation entité : ENTREPRISE TEST SARL</t>
        </is>
      </c>
      <c r="B3" s="2483" t="n"/>
      <c r="L3" s="1591" t="inlineStr">
        <is>
          <t>Exercice clos le : 31/12/2025</t>
        </is>
      </c>
      <c r="M3" s="1591" t="n"/>
      <c r="N3" s="1578" t="n"/>
    </row>
    <row r="4" ht="13" customFormat="1" customHeight="1" s="1577">
      <c r="A4" s="1579" t="inlineStr">
        <is>
          <t>Numéro d’identification : CD/KNG/RCCM/23-B-01234</t>
        </is>
      </c>
      <c r="B4" s="2483" t="n"/>
      <c r="L4" s="1591" t="inlineStr">
        <is>
          <t>Durée (en mois) : 12</t>
        </is>
      </c>
      <c r="M4" s="1591" t="n"/>
      <c r="N4" s="1582" t="n"/>
    </row>
    <row r="5" ht="14.5" customHeight="1" s="1354">
      <c r="A5" s="2484" t="inlineStr">
        <is>
          <t>NOTE 27B</t>
        </is>
      </c>
    </row>
    <row r="6" ht="15.5" customHeight="1" s="1354">
      <c r="A6" s="2485" t="inlineStr">
        <is>
          <t>EFFECTIFS, MASSE SALARIALE ET PERSONNEL EXTERIEUR</t>
        </is>
      </c>
    </row>
    <row r="7" ht="20.15" customHeight="1" s="1354">
      <c r="A7" s="2486" t="n"/>
      <c r="B7" s="2487" t="inlineStr">
        <is>
          <t xml:space="preserve"> EFFECTIF ET MASSE SALARIALE</t>
        </is>
      </c>
      <c r="C7" s="2488" t="inlineStr">
        <is>
          <t>EFFECTIFS</t>
        </is>
      </c>
      <c r="D7" s="1597" t="n"/>
      <c r="E7" s="1597" t="n"/>
      <c r="F7" s="1597" t="n"/>
      <c r="G7" s="1597" t="n"/>
      <c r="H7" s="2489" t="n"/>
      <c r="I7" s="2490" t="n"/>
      <c r="J7" s="2491" t="inlineStr">
        <is>
          <t>MASSE SALARIALE</t>
        </is>
      </c>
      <c r="K7" s="1597" t="n"/>
      <c r="L7" s="1597" t="n"/>
      <c r="M7" s="1597" t="n"/>
      <c r="N7" s="1597" t="n"/>
      <c r="O7" s="1597" t="n"/>
      <c r="P7" s="1598" t="n"/>
    </row>
    <row r="8" ht="20.15" customHeight="1" s="1354">
      <c r="B8" s="2492" t="inlineStr">
        <is>
          <t>                                     </t>
        </is>
      </c>
      <c r="C8" s="2125" t="n"/>
      <c r="H8" s="2493" t="n"/>
      <c r="I8" s="2124" t="n"/>
      <c r="J8" s="2125" t="n"/>
      <c r="P8" s="1816" t="n"/>
    </row>
    <row r="9" ht="20.15" customHeight="1" s="1354">
      <c r="B9" s="2494" t="n"/>
      <c r="C9" s="2495" t="n"/>
      <c r="D9" s="1602" t="n"/>
      <c r="E9" s="1602" t="n"/>
      <c r="F9" s="1602" t="n"/>
      <c r="G9" s="1602" t="n"/>
      <c r="H9" s="2496" t="n"/>
      <c r="I9" s="2360" t="n"/>
      <c r="J9" s="2495" t="n"/>
      <c r="K9" s="1602" t="n"/>
      <c r="L9" s="1602" t="n"/>
      <c r="M9" s="1602" t="n"/>
      <c r="N9" s="1602" t="n"/>
      <c r="O9" s="1602" t="n"/>
      <c r="P9" s="1603" t="n"/>
    </row>
    <row r="10" ht="20.15" customHeight="1" s="1354">
      <c r="A10" s="2486" t="n"/>
      <c r="B10" s="2497" t="n"/>
      <c r="C10" s="2498" t="inlineStr">
        <is>
          <t>Nationaux</t>
        </is>
      </c>
      <c r="D10" s="1570" t="n"/>
      <c r="E10" s="2499" t="inlineStr">
        <is>
          <t>Autres Etats de l’OHADA</t>
        </is>
      </c>
      <c r="F10" s="1570" t="n"/>
      <c r="G10" s="2499" t="inlineStr">
        <is>
          <t>Hors OHADA</t>
        </is>
      </c>
      <c r="H10" s="1570" t="n"/>
      <c r="I10" s="2499" t="inlineStr">
        <is>
          <t>TOTAL</t>
        </is>
      </c>
      <c r="J10" s="2499" t="inlineStr">
        <is>
          <t>Nationaux</t>
        </is>
      </c>
      <c r="K10" s="1570" t="n"/>
      <c r="L10" s="2499" t="inlineStr">
        <is>
          <t>Autres Etats de l’OHADA</t>
        </is>
      </c>
      <c r="M10" s="1570" t="n"/>
      <c r="N10" s="2499" t="inlineStr">
        <is>
          <t>Hors OHADA</t>
        </is>
      </c>
      <c r="O10" s="1570" t="n"/>
      <c r="P10" s="2500" t="inlineStr">
        <is>
          <t>TOTAL</t>
        </is>
      </c>
    </row>
    <row r="11" ht="20.15" customHeight="1" s="1354">
      <c r="A11" s="2501" t="n"/>
      <c r="B11" s="2502" t="inlineStr">
        <is>
          <t>QUALIFICATIONS</t>
        </is>
      </c>
      <c r="C11" s="2498" t="inlineStr">
        <is>
          <t>M</t>
        </is>
      </c>
      <c r="D11" s="2499" t="inlineStr">
        <is>
          <t>F</t>
        </is>
      </c>
      <c r="E11" s="2499" t="inlineStr">
        <is>
          <t>M</t>
        </is>
      </c>
      <c r="F11" s="2499" t="inlineStr">
        <is>
          <t>F</t>
        </is>
      </c>
      <c r="G11" s="2499" t="inlineStr">
        <is>
          <t>M</t>
        </is>
      </c>
      <c r="H11" s="2499" t="inlineStr">
        <is>
          <t>F</t>
        </is>
      </c>
      <c r="I11" s="2499" t="n"/>
      <c r="J11" s="2499" t="inlineStr">
        <is>
          <t>M</t>
        </is>
      </c>
      <c r="K11" s="2499" t="inlineStr">
        <is>
          <t>F</t>
        </is>
      </c>
      <c r="L11" s="2499" t="inlineStr">
        <is>
          <t>M</t>
        </is>
      </c>
      <c r="M11" s="2499" t="inlineStr">
        <is>
          <t>F</t>
        </is>
      </c>
      <c r="N11" s="2499" t="inlineStr">
        <is>
          <t>M</t>
        </is>
      </c>
      <c r="O11" s="2499" t="inlineStr">
        <is>
          <t>F</t>
        </is>
      </c>
      <c r="P11" s="2500" t="n"/>
    </row>
    <row r="12" ht="20.15" customHeight="1" s="1354">
      <c r="A12" s="2503" t="inlineStr">
        <is>
          <t>YA</t>
        </is>
      </c>
      <c r="B12" s="2014" t="inlineStr">
        <is>
          <t>1. Cadres supérieurs</t>
        </is>
      </c>
      <c r="C12" s="2504" t="n"/>
      <c r="D12" s="2504" t="n"/>
      <c r="E12" s="2504" t="n">
        <v>0</v>
      </c>
      <c r="F12" s="2504" t="n">
        <v>0</v>
      </c>
      <c r="G12" s="2504" t="n">
        <v>0</v>
      </c>
      <c r="H12" s="2504" t="n">
        <v>0</v>
      </c>
      <c r="I12" s="2504">
        <f>SUM(C12:H12)</f>
        <v/>
      </c>
      <c r="J12" s="2505" t="n"/>
      <c r="K12" s="2505" t="n">
        <v>0</v>
      </c>
      <c r="L12" s="2505" t="n"/>
      <c r="M12" s="2505" t="n"/>
      <c r="N12" s="2505" t="n"/>
      <c r="O12" s="2505" t="n"/>
      <c r="P12" s="2506">
        <f>SUM(J12:O12)</f>
        <v/>
      </c>
    </row>
    <row r="13" ht="20.5" customHeight="1" s="1354">
      <c r="A13" s="2503" t="inlineStr">
        <is>
          <t>YB</t>
        </is>
      </c>
      <c r="B13" s="2014" t="inlineStr">
        <is>
          <t>2. Techniciens supérieurs et cadres moyens</t>
        </is>
      </c>
      <c r="C13" s="2504" t="n"/>
      <c r="D13" s="2504" t="n"/>
      <c r="E13" s="2504" t="n">
        <v>0</v>
      </c>
      <c r="F13" s="2504" t="n">
        <v>0</v>
      </c>
      <c r="G13" s="2504" t="n">
        <v>0</v>
      </c>
      <c r="H13" s="2504" t="n">
        <v>0</v>
      </c>
      <c r="I13" s="2504">
        <f>SUM(C13:H13)</f>
        <v/>
      </c>
      <c r="J13" s="2505" t="n">
        <v>0</v>
      </c>
      <c r="K13" s="2505" t="n">
        <v>0</v>
      </c>
      <c r="L13" s="2505" t="n"/>
      <c r="M13" s="2505" t="n"/>
      <c r="N13" s="2505" t="n"/>
      <c r="O13" s="2505" t="n"/>
      <c r="P13" s="2506">
        <f>SUM(J13:O13)</f>
        <v/>
      </c>
    </row>
    <row r="14" ht="20.5" customHeight="1" s="1354">
      <c r="A14" s="2503" t="inlineStr">
        <is>
          <t>YC</t>
        </is>
      </c>
      <c r="B14" s="2014" t="inlineStr">
        <is>
          <t>3. Techniciens, agents de maîtrise et ouvriers qualifiés</t>
        </is>
      </c>
      <c r="C14" s="2504" t="n"/>
      <c r="D14" s="2504" t="n"/>
      <c r="E14" s="2504" t="n">
        <v>0</v>
      </c>
      <c r="F14" s="2504" t="n">
        <v>0</v>
      </c>
      <c r="G14" s="2504" t="n">
        <v>0</v>
      </c>
      <c r="H14" s="2504" t="n">
        <v>0</v>
      </c>
      <c r="I14" s="2504">
        <f>SUM(C14:H14)</f>
        <v/>
      </c>
      <c r="J14" s="2505" t="n">
        <v>0</v>
      </c>
      <c r="K14" s="2505" t="n">
        <v>0</v>
      </c>
      <c r="L14" s="2505" t="n"/>
      <c r="M14" s="2505" t="n"/>
      <c r="N14" s="2505" t="n"/>
      <c r="O14" s="2505" t="n"/>
      <c r="P14" s="2506">
        <f>SUM(J14:O14)</f>
        <v/>
      </c>
    </row>
    <row r="15" ht="20.5" customHeight="1" s="1354">
      <c r="A15" s="2507" t="inlineStr">
        <is>
          <t>YD</t>
        </is>
      </c>
      <c r="B15" s="2019" t="inlineStr">
        <is>
          <t>4. Employés, manœuvres, ouvriers et apprentis</t>
        </is>
      </c>
      <c r="C15" s="2508" t="n"/>
      <c r="D15" s="2508" t="n"/>
      <c r="E15" s="2508" t="n">
        <v>0</v>
      </c>
      <c r="F15" s="2508" t="n">
        <v>0</v>
      </c>
      <c r="G15" s="2508" t="n">
        <v>0</v>
      </c>
      <c r="H15" s="2508" t="n">
        <v>0</v>
      </c>
      <c r="I15" s="2504">
        <f>SUM(C15:H15)</f>
        <v/>
      </c>
      <c r="J15" s="2509">
        <f>1069724*C15</f>
        <v/>
      </c>
      <c r="K15" s="2509" t="n"/>
      <c r="L15" s="2509" t="n"/>
      <c r="M15" s="2509" t="n"/>
      <c r="N15" s="2509" t="n"/>
      <c r="O15" s="2509" t="n"/>
      <c r="P15" s="2506">
        <f>SUM(J15:O15)</f>
        <v/>
      </c>
    </row>
    <row r="16" ht="20.15" customHeight="1" s="1354">
      <c r="A16" s="2510" t="inlineStr">
        <is>
          <t>YE</t>
        </is>
      </c>
      <c r="B16" s="2511" t="inlineStr">
        <is>
          <t>TOTAL (1)</t>
        </is>
      </c>
      <c r="C16" s="2512">
        <f>SUM(C12:C15)</f>
        <v/>
      </c>
      <c r="D16" s="2512">
        <f>SUM(D12:D15)</f>
        <v/>
      </c>
      <c r="E16" s="2512">
        <f>SUM(E12:E15)</f>
        <v/>
      </c>
      <c r="F16" s="2512">
        <f>SUM(F12:F15)</f>
        <v/>
      </c>
      <c r="G16" s="2512">
        <f>SUM(G12:G15)</f>
        <v/>
      </c>
      <c r="H16" s="2512">
        <f>SUM(H12:H15)</f>
        <v/>
      </c>
      <c r="I16" s="2512">
        <f>SUM(I12:I15)</f>
        <v/>
      </c>
      <c r="J16" s="2513">
        <f>SUM(J12:J15)</f>
        <v/>
      </c>
      <c r="K16" s="2513">
        <f>SUM(K12:K15)</f>
        <v/>
      </c>
      <c r="L16" s="2513">
        <f>SUM(L12:L15)</f>
        <v/>
      </c>
      <c r="M16" s="2513">
        <f>SUM(M12:M15)</f>
        <v/>
      </c>
      <c r="N16" s="2513">
        <f>SUM(N12:N15)</f>
        <v/>
      </c>
      <c r="O16" s="2513">
        <f>SUM(O12:O15)</f>
        <v/>
      </c>
      <c r="P16" s="2513">
        <f>SUM(P12:P15)</f>
        <v/>
      </c>
    </row>
    <row r="17" ht="20.15" customHeight="1" s="1354">
      <c r="A17" s="2503" t="n"/>
      <c r="B17" s="2011" t="n"/>
      <c r="C17" s="2514" t="n"/>
      <c r="D17" s="2514" t="n"/>
      <c r="E17" s="2514" t="n"/>
      <c r="F17" s="2514" t="n"/>
      <c r="G17" s="2514" t="n"/>
      <c r="H17" s="2514" t="n"/>
      <c r="I17" s="2514" t="n"/>
      <c r="J17" s="2515" t="n"/>
      <c r="K17" s="2515" t="n"/>
      <c r="L17" s="2515" t="n"/>
      <c r="M17" s="2515" t="n"/>
      <c r="N17" s="2515" t="n"/>
      <c r="O17" s="2515" t="n"/>
      <c r="P17" s="2516" t="n"/>
    </row>
    <row r="18" ht="20.15" customHeight="1" s="1354">
      <c r="A18" s="2503" t="inlineStr">
        <is>
          <t>YF</t>
        </is>
      </c>
      <c r="B18" s="2014" t="inlineStr">
        <is>
          <t xml:space="preserve">Permanents </t>
        </is>
      </c>
      <c r="C18" s="2517">
        <f>C16</f>
        <v/>
      </c>
      <c r="D18" s="2517">
        <f>D16</f>
        <v/>
      </c>
      <c r="E18" s="2517">
        <f>E16</f>
        <v/>
      </c>
      <c r="F18" s="2517">
        <f>F16</f>
        <v/>
      </c>
      <c r="G18" s="2517">
        <f>G16</f>
        <v/>
      </c>
      <c r="H18" s="2517">
        <f>H16</f>
        <v/>
      </c>
      <c r="I18" s="2517">
        <f>I16</f>
        <v/>
      </c>
      <c r="J18" s="2518">
        <f>J16</f>
        <v/>
      </c>
      <c r="K18" s="2518">
        <f>K16</f>
        <v/>
      </c>
      <c r="L18" s="2518">
        <f>L16</f>
        <v/>
      </c>
      <c r="M18" s="2518">
        <f>M16</f>
        <v/>
      </c>
      <c r="N18" s="2518">
        <f>N16</f>
        <v/>
      </c>
      <c r="O18" s="2518">
        <f>O16</f>
        <v/>
      </c>
      <c r="P18" s="2518">
        <f>P16</f>
        <v/>
      </c>
    </row>
    <row r="19" ht="20.15" customHeight="1" s="1354">
      <c r="A19" s="2503" t="inlineStr">
        <is>
          <t>YG</t>
        </is>
      </c>
      <c r="B19" s="2519" t="inlineStr">
        <is>
          <t xml:space="preserve">Saisonniers </t>
        </is>
      </c>
      <c r="C19" s="2520" t="n">
        <v>0</v>
      </c>
      <c r="D19" s="2520" t="n">
        <v>0</v>
      </c>
      <c r="E19" s="2520" t="n">
        <v>0</v>
      </c>
      <c r="F19" s="2520" t="n">
        <v>0</v>
      </c>
      <c r="G19" s="2520" t="n">
        <v>0</v>
      </c>
      <c r="H19" s="2520" t="n">
        <v>0</v>
      </c>
      <c r="I19" s="2517">
        <f>I17</f>
        <v/>
      </c>
      <c r="J19" s="2521" t="n"/>
      <c r="K19" s="2521" t="n"/>
      <c r="L19" s="2521" t="n"/>
      <c r="M19" s="2521" t="n"/>
      <c r="N19" s="2521" t="n"/>
      <c r="O19" s="2521" t="n"/>
      <c r="P19" s="2522" t="n"/>
    </row>
    <row r="20" ht="20.15" customHeight="1" s="1354">
      <c r="A20" s="2486" t="n"/>
      <c r="B20" s="2486" t="n"/>
      <c r="C20" s="2486" t="n"/>
      <c r="D20" s="2486" t="n"/>
      <c r="E20" s="2486" t="n"/>
      <c r="F20" s="2486" t="n"/>
      <c r="G20" s="2486" t="n"/>
      <c r="H20" s="2486" t="n"/>
      <c r="I20" s="2486" t="n"/>
      <c r="J20" s="2501" t="n"/>
      <c r="K20" s="2501" t="n"/>
      <c r="L20" s="2486" t="n"/>
      <c r="M20" s="2486" t="n"/>
      <c r="N20" s="2486" t="n"/>
      <c r="O20" s="2486" t="n"/>
      <c r="P20" s="2486" t="n"/>
    </row>
    <row r="21" ht="20.15" customHeight="1" s="1354">
      <c r="A21" s="2486" t="n"/>
      <c r="B21" s="2486" t="n"/>
      <c r="C21" s="2486" t="n"/>
      <c r="D21" s="2486" t="n"/>
      <c r="E21" s="2486" t="n"/>
      <c r="F21" s="2486" t="n"/>
      <c r="G21" s="2486" t="n"/>
      <c r="H21" s="2486" t="n"/>
      <c r="I21" s="2523" t="n"/>
      <c r="J21" s="2524" t="inlineStr">
        <is>
          <t>Facturation à l’entité</t>
        </is>
      </c>
      <c r="K21" s="1598" t="n"/>
      <c r="L21" s="2486" t="n"/>
      <c r="M21" s="2486" t="n"/>
      <c r="N21" s="2486" t="n"/>
      <c r="O21" s="2486" t="n"/>
      <c r="P21" s="2486" t="n"/>
    </row>
    <row r="22" ht="20.15" customHeight="1" s="1354">
      <c r="A22" s="2486" t="n"/>
      <c r="B22" s="2525" t="inlineStr">
        <is>
          <t>2. Personnel extérieur</t>
        </is>
      </c>
      <c r="C22" s="2486" t="n"/>
      <c r="D22" s="2486" t="n"/>
      <c r="E22" s="2486" t="n"/>
      <c r="F22" s="2486" t="n"/>
      <c r="G22" s="2486" t="n"/>
      <c r="H22" s="2486" t="n"/>
      <c r="I22" s="2523" t="n"/>
      <c r="J22" s="1755" t="n"/>
      <c r="K22" s="1816" t="n"/>
      <c r="L22" s="2486" t="n"/>
      <c r="M22" s="2526" t="n"/>
      <c r="N22" s="2527" t="n"/>
      <c r="O22" s="2486" t="n"/>
      <c r="P22" s="2486" t="n"/>
    </row>
    <row r="23" ht="20.15" customHeight="1" s="1354">
      <c r="A23" s="2528" t="inlineStr">
        <is>
          <t>YH</t>
        </is>
      </c>
      <c r="B23" s="2529" t="inlineStr">
        <is>
          <t>1. Cadres supérieurs</t>
        </is>
      </c>
      <c r="C23" s="2530" t="n"/>
      <c r="D23" s="2530" t="n"/>
      <c r="E23" s="2530" t="n"/>
      <c r="F23" s="2530" t="n"/>
      <c r="G23" s="2530" t="n"/>
      <c r="H23" s="2530" t="n"/>
      <c r="I23" s="2530" t="n"/>
      <c r="J23" s="2531" t="n"/>
      <c r="K23" s="2532" t="n">
        <v>0</v>
      </c>
      <c r="L23" s="2486" t="n"/>
      <c r="M23" s="2486" t="n"/>
      <c r="N23" s="2527" t="n"/>
      <c r="O23" s="2486" t="n"/>
      <c r="P23" s="2486" t="n"/>
    </row>
    <row r="24" ht="20" customHeight="1" s="1354">
      <c r="A24" s="2533" t="inlineStr">
        <is>
          <t>YI</t>
        </is>
      </c>
      <c r="B24" s="2534" t="inlineStr">
        <is>
          <t>2. Techniciens supérieurs et cadres moyens</t>
        </is>
      </c>
      <c r="C24" s="2504" t="n"/>
      <c r="D24" s="2504" t="n"/>
      <c r="E24" s="2504" t="n"/>
      <c r="F24" s="2504" t="n"/>
      <c r="G24" s="2504" t="n"/>
      <c r="H24" s="2504" t="n"/>
      <c r="I24" s="2504" t="n"/>
      <c r="J24" s="2505" t="n"/>
      <c r="K24" s="2506" t="n">
        <v>0</v>
      </c>
      <c r="L24" s="2486" t="n"/>
      <c r="M24" s="2527" t="n"/>
      <c r="N24" s="2527" t="n"/>
      <c r="O24" s="2486" t="n"/>
      <c r="P24" s="2486" t="n"/>
    </row>
    <row r="25" ht="20" customHeight="1" s="1354">
      <c r="A25" s="2533" t="inlineStr">
        <is>
          <t>YJ</t>
        </is>
      </c>
      <c r="B25" s="2534" t="inlineStr">
        <is>
          <t>3. Techniciens, agents de maîtrise et ouvriers qualifiés</t>
        </is>
      </c>
      <c r="C25" s="2504" t="n"/>
      <c r="D25" s="2504" t="n"/>
      <c r="E25" s="2504" t="n"/>
      <c r="F25" s="2504" t="n"/>
      <c r="G25" s="2504" t="n"/>
      <c r="H25" s="2504" t="n"/>
      <c r="I25" s="2504" t="n"/>
      <c r="J25" s="2505" t="n"/>
      <c r="K25" s="2506" t="n">
        <v>0</v>
      </c>
      <c r="L25" s="2486" t="n"/>
      <c r="M25" s="2527" t="n"/>
      <c r="N25" s="2486" t="n"/>
      <c r="O25" s="2486" t="n"/>
      <c r="P25" s="2486" t="n"/>
    </row>
    <row r="26" ht="20" customHeight="1" s="1354">
      <c r="A26" s="2533" t="inlineStr">
        <is>
          <t>YK</t>
        </is>
      </c>
      <c r="B26" s="2534" t="inlineStr">
        <is>
          <t>4. Employés, manœuvres, ouvriers et apprentis</t>
        </is>
      </c>
      <c r="C26" s="2504" t="n"/>
      <c r="D26" s="2504" t="n"/>
      <c r="E26" s="2504" t="n"/>
      <c r="F26" s="2504" t="n"/>
      <c r="G26" s="2504" t="n"/>
      <c r="H26" s="2504" t="n"/>
      <c r="I26" s="2504" t="n"/>
      <c r="J26" s="2505" t="n"/>
      <c r="K26" s="2506" t="n"/>
      <c r="L26" s="2486" t="n"/>
      <c r="M26" s="2486" t="n"/>
      <c r="N26" s="2486" t="inlineStr">
        <is>
          <t xml:space="preserve">M : Masculin           </t>
        </is>
      </c>
      <c r="O26" s="2486" t="n">
        <v>53</v>
      </c>
      <c r="P26" s="2486" t="n"/>
    </row>
    <row r="27" ht="20.15" customHeight="1" s="1354">
      <c r="A27" s="2533" t="inlineStr">
        <is>
          <t>YL</t>
        </is>
      </c>
      <c r="B27" s="2535" t="inlineStr">
        <is>
          <t>TOTAL (2)</t>
        </is>
      </c>
      <c r="C27" s="2517" t="n"/>
      <c r="D27" s="2517">
        <f>SUM(D23:D26)</f>
        <v/>
      </c>
      <c r="E27" s="2517">
        <f>SUM(E23:E26)</f>
        <v/>
      </c>
      <c r="F27" s="2517">
        <f>SUM(F23:F26)</f>
        <v/>
      </c>
      <c r="G27" s="2517">
        <f>SUM(G23:G26)</f>
        <v/>
      </c>
      <c r="H27" s="2517">
        <f>SUM(H23:H26)</f>
        <v/>
      </c>
      <c r="I27" s="2517">
        <f>SUM(I23:I26)</f>
        <v/>
      </c>
      <c r="J27" s="2518">
        <f>SUM(J23:J26)</f>
        <v/>
      </c>
      <c r="K27" s="2518">
        <f>SUM(K23:K26)</f>
        <v/>
      </c>
      <c r="L27" s="2486" t="n"/>
      <c r="M27" s="2486" t="n"/>
      <c r="N27" s="2486" t="inlineStr">
        <is>
          <t>F: Féminin</t>
        </is>
      </c>
      <c r="O27" s="2486" t="n">
        <v>71</v>
      </c>
      <c r="P27" s="2486" t="n"/>
    </row>
    <row r="28" ht="20.15" customHeight="1" s="1354">
      <c r="A28" s="2533" t="n"/>
      <c r="B28" s="2534" t="n"/>
      <c r="C28" s="2534" t="n"/>
      <c r="D28" s="2534" t="n"/>
      <c r="E28" s="2534" t="n"/>
      <c r="F28" s="2534" t="n"/>
      <c r="G28" s="2534" t="n"/>
      <c r="H28" s="2534" t="n"/>
      <c r="I28" s="2534" t="n"/>
      <c r="J28" s="2015" t="n"/>
      <c r="K28" s="2016" t="n"/>
      <c r="L28" s="2486" t="n"/>
      <c r="M28" s="2486" t="n"/>
      <c r="N28" s="2486" t="n"/>
      <c r="O28" s="2486" t="n"/>
      <c r="P28" s="2486" t="n"/>
    </row>
    <row r="29" ht="20.15" customHeight="1" s="1354">
      <c r="A29" s="2533" t="inlineStr">
        <is>
          <t>YM</t>
        </is>
      </c>
      <c r="B29" s="2534" t="inlineStr">
        <is>
          <t xml:space="preserve">Permanents </t>
        </is>
      </c>
      <c r="C29" s="2504" t="n"/>
      <c r="D29" s="2504" t="n"/>
      <c r="E29" s="2504" t="n"/>
      <c r="F29" s="2504" t="n"/>
      <c r="G29" s="2504" t="n"/>
      <c r="H29" s="2504" t="n"/>
      <c r="I29" s="2504" t="n"/>
      <c r="J29" s="2505" t="n"/>
      <c r="K29" s="2506" t="n"/>
      <c r="L29" s="2486" t="n"/>
      <c r="M29" s="2486" t="n"/>
      <c r="N29" s="2486" t="n"/>
      <c r="O29" s="2486" t="n"/>
      <c r="P29" s="2486" t="n"/>
    </row>
    <row r="30" ht="20.15" customHeight="1" s="1354">
      <c r="A30" s="2533" t="inlineStr">
        <is>
          <t>YN</t>
        </is>
      </c>
      <c r="B30" s="2534" t="inlineStr">
        <is>
          <t xml:space="preserve">Saisonniers </t>
        </is>
      </c>
      <c r="C30" s="2504" t="n"/>
      <c r="D30" s="2504" t="n"/>
      <c r="E30" s="2504" t="n"/>
      <c r="F30" s="2504" t="n"/>
      <c r="G30" s="2504" t="n"/>
      <c r="H30" s="2504" t="n"/>
      <c r="I30" s="2504" t="n"/>
      <c r="J30" s="2505" t="n"/>
      <c r="K30" s="2506" t="n"/>
    </row>
    <row r="31" ht="20.15" customHeight="1" s="1354">
      <c r="A31" s="2536" t="n"/>
      <c r="B31" s="2537" t="n"/>
      <c r="C31" s="2537" t="n"/>
      <c r="D31" s="2537" t="n"/>
      <c r="E31" s="2537" t="n"/>
      <c r="F31" s="2537" t="n"/>
      <c r="G31" s="2537" t="n"/>
      <c r="H31" s="2537" t="n"/>
      <c r="I31" s="2537" t="n"/>
      <c r="J31" s="2538" t="n"/>
      <c r="K31" s="2539" t="n"/>
      <c r="L31" s="2486" t="n"/>
      <c r="M31" s="2486" t="n"/>
      <c r="N31" s="2486" t="n"/>
      <c r="O31" s="2486" t="n"/>
      <c r="P31" s="2486" t="n"/>
    </row>
    <row r="32" ht="20.15" customHeight="1" s="1354">
      <c r="A32" s="2540" t="inlineStr">
        <is>
          <t>YO</t>
        </is>
      </c>
      <c r="B32" s="2512" t="inlineStr">
        <is>
          <t>TOTAL (1 + 2)</t>
        </is>
      </c>
      <c r="C32" s="2512">
        <f>C16+C27</f>
        <v/>
      </c>
      <c r="D32" s="2512">
        <f>D16+D27</f>
        <v/>
      </c>
      <c r="E32" s="2512">
        <f>E16+E27</f>
        <v/>
      </c>
      <c r="F32" s="2512">
        <f>F16+F27</f>
        <v/>
      </c>
      <c r="G32" s="2512">
        <f>G16+G27</f>
        <v/>
      </c>
      <c r="H32" s="2512">
        <f>H16+H27</f>
        <v/>
      </c>
      <c r="I32" s="2512">
        <f>I16+I27</f>
        <v/>
      </c>
      <c r="J32" s="2541" t="n"/>
      <c r="K32" s="2542" t="n"/>
      <c r="L32" s="2486" t="n"/>
      <c r="M32" s="2486" t="n"/>
      <c r="N32" s="2486" t="n"/>
      <c r="O32" s="2486" t="n"/>
      <c r="P32" s="2486" t="n"/>
    </row>
    <row r="33" ht="14.5" customHeight="1" s="1354">
      <c r="A33" s="2543" t="n"/>
    </row>
    <row r="34" ht="14.5" customHeight="1" s="1354">
      <c r="A34" s="2544" t="inlineStr">
        <is>
          <t>Commentaire :</t>
        </is>
      </c>
    </row>
    <row r="35" ht="14.5" customHeight="1" s="1354">
      <c r="A35" s="2545" t="inlineStr">
        <is>
          <t>·         Faire un commentaire si nécessaire en cas de mouvement significatif du personnel.</t>
        </is>
      </c>
    </row>
    <row r="36"/>
    <row r="37" ht="14.5" customHeight="1" s="1354">
      <c r="A37" s="2546" t="n"/>
    </row>
  </sheetData>
  <mergeCells count="18">
    <mergeCell ref="A5:P5"/>
    <mergeCell ref="A7:A9"/>
    <mergeCell ref="J21:K22"/>
    <mergeCell ref="C10:D10"/>
    <mergeCell ref="I7:I9"/>
    <mergeCell ref="E10:F10"/>
    <mergeCell ref="M29:M30"/>
    <mergeCell ref="G10:H10"/>
    <mergeCell ref="L10:M10"/>
    <mergeCell ref="J10:K10"/>
    <mergeCell ref="O29:O30"/>
    <mergeCell ref="A6:P6"/>
    <mergeCell ref="N10:O10"/>
    <mergeCell ref="C7:H9"/>
    <mergeCell ref="J7:P9"/>
    <mergeCell ref="L29:L30"/>
    <mergeCell ref="P29:P30"/>
    <mergeCell ref="N29:N3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47.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0" showOutlineSymbols="1" defaultGridColor="1" view="normal" topLeftCell="A1" colorId="64" zoomScale="89" zoomScaleNormal="89" zoomScalePageLayoutView="100" workbookViewId="0">
      <selection pane="topLeft" activeCell="B16" activeCellId="0" sqref="B16:I27"/>
    </sheetView>
  </sheetViews>
  <sheetFormatPr baseColWidth="8" defaultColWidth="10.8125" defaultRowHeight="12" zeroHeight="0" outlineLevelRow="0"/>
  <cols>
    <col width="68.26000000000001" customWidth="1" style="1583" min="1" max="1"/>
    <col width="14.99" customWidth="1" style="1583" min="2" max="2"/>
    <col width="13.99" customWidth="1" style="1583" min="3" max="3"/>
    <col width="12.99" customWidth="1" style="1583" min="4" max="4"/>
    <col width="10.81" customWidth="1" style="1583" min="5" max="5"/>
    <col width="12.44" customWidth="1" style="1583" min="6" max="6"/>
    <col width="11.44" customWidth="1" style="1583" min="7" max="7"/>
    <col width="14.17" customWidth="1" style="1583" min="8" max="8"/>
    <col width="14.44" customWidth="1" style="1583" min="9" max="9"/>
    <col width="10.81" customWidth="1" style="1583" min="10" max="257"/>
  </cols>
  <sheetData>
    <row r="1" ht="12" customHeight="1" s="1354">
      <c r="A1" s="1958" t="n"/>
    </row>
    <row r="2" ht="12" customHeight="1" s="1354">
      <c r="A2" s="2547" t="n"/>
    </row>
    <row r="3" ht="5.25" customHeight="1" s="1354">
      <c r="A3" s="2547" t="n"/>
    </row>
    <row r="4" ht="13" customHeight="1" s="1354">
      <c r="A4" s="1748" t="inlineStr">
        <is>
          <t>Désignation entité : ENTREPRISE TEST SARL</t>
        </is>
      </c>
      <c r="F4" s="1591" t="inlineStr">
        <is>
          <t>Exercice clos le : 31/12/2025</t>
        </is>
      </c>
      <c r="G4" s="1591" t="n"/>
      <c r="H4" s="1578" t="n"/>
    </row>
    <row r="5" ht="13" customHeight="1" s="1354">
      <c r="A5" s="1749" t="inlineStr">
        <is>
          <t>Numéro d’identification : CD/KNG/RCCM/23-B-01234</t>
        </is>
      </c>
      <c r="F5" s="1591" t="inlineStr">
        <is>
          <t>Durée (en mois) : 12</t>
        </is>
      </c>
      <c r="G5" s="1591" t="n"/>
      <c r="H5" s="1582" t="n"/>
    </row>
    <row r="6" ht="12" customHeight="1" s="1354">
      <c r="A6" s="2548" t="n"/>
    </row>
    <row r="7" ht="14" customHeight="1" s="1354">
      <c r="A7" s="2214" t="inlineStr">
        <is>
          <t>NOTE 28</t>
        </is>
      </c>
    </row>
    <row r="8" ht="14.5" customHeight="1" s="1354">
      <c r="A8" s="1942" t="inlineStr">
        <is>
          <t>PROVISIONS ET DEPRECIATIONS INSCRITES AU BILAN</t>
        </is>
      </c>
    </row>
    <row r="9" ht="20.15" customHeight="1" s="1354">
      <c r="A9" s="2549" t="inlineStr">
        <is>
          <t xml:space="preserve">                                                                                                  SITUATION ET MOUVEMENTS                                                                                                                        </t>
        </is>
      </c>
      <c r="B9" s="2550" t="inlineStr">
        <is>
          <t>A</t>
        </is>
      </c>
      <c r="C9" s="2550" t="inlineStr">
        <is>
          <t>B</t>
        </is>
      </c>
      <c r="D9" s="1597" t="n"/>
      <c r="E9" s="1598" t="n"/>
      <c r="F9" s="2550" t="inlineStr">
        <is>
          <t>C</t>
        </is>
      </c>
      <c r="G9" s="1597" t="n"/>
      <c r="H9" s="1598" t="n"/>
      <c r="I9" s="2550" t="inlineStr">
        <is>
          <t>D = A + B - C</t>
        </is>
      </c>
    </row>
    <row r="10" ht="20.15" customHeight="1" s="1354">
      <c r="A10" s="1600" t="n"/>
      <c r="B10" s="2551" t="inlineStr">
        <is>
          <t>PROVISIONS A LOUVERTURE DE L’EXERCICE</t>
        </is>
      </c>
      <c r="C10" s="2551" t="inlineStr">
        <is>
          <t>AUGMENTATIONS DOTATIONS</t>
        </is>
      </c>
      <c r="D10" s="1753" t="n"/>
      <c r="E10" s="1754" t="n"/>
      <c r="F10" s="2551" t="inlineStr">
        <is>
          <t>DIMINUTIONS REPRISES</t>
        </is>
      </c>
      <c r="G10" s="1753" t="n"/>
      <c r="H10" s="1754" t="n"/>
      <c r="I10" s="2551" t="inlineStr">
        <is>
          <t>PROVISIONS LA CLOTURE DE L’EXERCICE</t>
        </is>
      </c>
    </row>
    <row r="11" ht="39.75" customHeight="1" s="1354">
      <c r="A11" s="1740" t="n"/>
      <c r="B11" s="1740" t="n"/>
      <c r="C11" s="2552" t="inlineStr">
        <is>
          <t>D’EXPLOITATION</t>
        </is>
      </c>
      <c r="D11" s="2552" t="inlineStr">
        <is>
          <t>FINANCIERES</t>
        </is>
      </c>
      <c r="E11" s="2552" t="inlineStr">
        <is>
          <t>HORS ACTIVITES ORDINAIRES</t>
        </is>
      </c>
      <c r="F11" s="2552" t="inlineStr">
        <is>
          <t>D’E L’EXPLOI-TATION</t>
        </is>
      </c>
      <c r="G11" s="2552" t="inlineStr">
        <is>
          <t>FINANCIERES</t>
        </is>
      </c>
      <c r="H11" s="2552" t="inlineStr">
        <is>
          <t>HORS ACTIVITES ORDINQIRES</t>
        </is>
      </c>
      <c r="I11" s="1740" t="n"/>
    </row>
    <row r="12" ht="20.15" customHeight="1" s="1354">
      <c r="A12" s="2553" t="inlineStr">
        <is>
          <t>1. Provisions réglementées</t>
        </is>
      </c>
      <c r="B12" s="2855">
        <f>SUMIF(BALANCE_N1!$A$2:$A$70,"15*",BALANCE_N1!$G$2:$G$70)-SUMIF(BALANCE_N1!$A$2:$A$70,"15*",BALANCE_N1!$F$2:$F$70)</f>
        <v/>
      </c>
      <c r="C12" s="2554" t="n"/>
      <c r="D12" s="2554" t="n"/>
      <c r="E12" s="2855">
        <f>MAX(0,(SUMIF(BALANCE!$A$2:$A$70,"15*",BALANCE!$G$2:$G$70)-SUMIF(BALANCE!$A$2:$A$70,"15*",BALANCE!$F$2:$F$70))-(SUMIF(BALANCE_N1!$A$2:$A$70,"15*",BALANCE_N1!$G$2:$G$70)-SUMIF(BALANCE_N1!$A$2:$A$70,"15*",BALANCE_N1!$F$2:$F$70)))</f>
        <v/>
      </c>
      <c r="F12" s="2554" t="n"/>
      <c r="G12" s="2554" t="n"/>
      <c r="H12" s="2855">
        <f>MAX(0,(SUMIF(BALANCE_N1!$A$2:$A$70,"15*",BALANCE_N1!$G$2:$G$70)-SUMIF(BALANCE_N1!$A$2:$A$70,"15*",BALANCE_N1!$F$2:$F$70))-(SUMIF(BALANCE!$A$2:$A$70,"15*",BALANCE!$G$2:$G$70)-SUMIF(BALANCE!$A$2:$A$70,"15*",BALANCE!$F$2:$F$70)))</f>
        <v/>
      </c>
      <c r="I12" s="2145">
        <f>B12+C12+D12+E12-F12-G12-H12</f>
        <v/>
      </c>
    </row>
    <row r="13" ht="18" customHeight="1" s="1354">
      <c r="A13" s="1950" t="inlineStr">
        <is>
          <t xml:space="preserve">2. Provisions financières pour risques et charges </t>
        </is>
      </c>
      <c r="B13" s="2810">
        <f>SUMIF(BALANCE_N1!$A$2:$A$70,"19*",BALANCE_N1!$G$2:$G$70)-SUMIF(BALANCE_N1!$A$2:$A$70,"19*",BALANCE_N1!$F$2:$F$70)</f>
        <v/>
      </c>
      <c r="C13" s="2145" t="n">
        <v>0</v>
      </c>
      <c r="D13" s="2810">
        <f>MAX(0,(SUMIF(BALANCE!$A$2:$A$70,"19*",BALANCE!$G$2:$G$70)-SUMIF(BALANCE!$A$2:$A$70,"19*",BALANCE!$F$2:$F$70))-(SUMIF(BALANCE_N1!$A$2:$A$70,"19*",BALANCE_N1!$G$2:$G$70)-SUMIF(BALANCE_N1!$A$2:$A$70,"19*",BALANCE_N1!$F$2:$F$70)))</f>
        <v/>
      </c>
      <c r="E13" s="2145" t="n">
        <v>0</v>
      </c>
      <c r="F13" s="2145" t="n">
        <v>0</v>
      </c>
      <c r="G13" s="2810">
        <f>MAX(0,(SUMIF(BALANCE_N1!$A$2:$A$70,"19*",BALANCE_N1!$G$2:$G$70)-SUMIF(BALANCE_N1!$A$2:$A$70,"19*",BALANCE_N1!$F$2:$F$70))-(SUMIF(BALANCE!$A$2:$A$70,"19*",BALANCE!$G$2:$G$70)-SUMIF(BALANCE!$A$2:$A$70,"19*",BALANCE!$F$2:$F$70)))</f>
        <v/>
      </c>
      <c r="H13" s="2145" t="n"/>
      <c r="I13" s="2145">
        <f>B13+C13+D13+E13-F13-G13-H13</f>
        <v/>
      </c>
    </row>
    <row r="14" ht="20.15" customHeight="1" s="1354">
      <c r="A14" s="1950" t="inlineStr">
        <is>
          <t>3. Dépréciation des immobilisations</t>
        </is>
      </c>
      <c r="B14" s="2810">
        <f>SUMIF(BALANCE_N1!$A$2:$A$70,"29*",BALANCE_N1!$G$2:$G$70)-SUMIF(BALANCE_N1!$A$2:$A$70,"29*",BALANCE_N1!$F$2:$F$70)</f>
        <v/>
      </c>
      <c r="C14" s="2810">
        <f>MAX(0,(SUMIF(BALANCE!$A$2:$A$70,"29*",BALANCE!$G$2:$G$70)-SUMIF(BALANCE!$A$2:$A$70,"29*",BALANCE!$F$2:$F$70))-(SUMIF(BALANCE_N1!$A$2:$A$70,"29*",BALANCE_N1!$G$2:$G$70)-SUMIF(BALANCE_N1!$A$2:$A$70,"29*",BALANCE_N1!$F$2:$F$70)))</f>
        <v/>
      </c>
      <c r="D14" s="2145" t="n"/>
      <c r="E14" s="2145" t="n"/>
      <c r="F14" s="2810">
        <f>MAX(0,(SUMIF(BALANCE_N1!$A$2:$A$70,"29*",BALANCE_N1!$G$2:$G$70)-SUMIF(BALANCE_N1!$A$2:$A$70,"29*",BALANCE_N1!$F$2:$F$70))-(SUMIF(BALANCE!$A$2:$A$70,"29*",BALANCE!$G$2:$G$70)-SUMIF(BALANCE!$A$2:$A$70,"29*",BALANCE!$F$2:$F$70)))</f>
        <v/>
      </c>
      <c r="G14" s="2145" t="n"/>
      <c r="H14" s="2145" t="n"/>
      <c r="I14" s="2145" t="n"/>
    </row>
    <row r="15" ht="20.15" customHeight="1" s="1354">
      <c r="A15" s="1951" t="inlineStr">
        <is>
          <t>TOTAL DOTATIONS</t>
        </is>
      </c>
      <c r="B15" s="2812">
        <f>SUM(B12:B14)</f>
        <v/>
      </c>
      <c r="C15" s="2856">
        <f>SUM(C12:C14)</f>
        <v/>
      </c>
      <c r="D15" s="1753" t="n"/>
      <c r="E15" s="1754" t="n"/>
      <c r="F15" s="2856">
        <f>SUM(F12:F14)</f>
        <v/>
      </c>
      <c r="G15" s="1753" t="n"/>
      <c r="H15" s="1754" t="n"/>
      <c r="I15" s="2812">
        <f>SUM(I12:I14)</f>
        <v/>
      </c>
    </row>
    <row r="16" ht="20.15" customHeight="1" s="1354">
      <c r="A16" s="1950" t="n"/>
      <c r="B16" s="2145" t="n"/>
      <c r="C16" s="2556" t="n"/>
      <c r="D16" s="1753" t="n"/>
      <c r="E16" s="1754" t="n"/>
      <c r="F16" s="2556" t="n"/>
      <c r="G16" s="1753" t="n"/>
      <c r="H16" s="1754" t="n"/>
      <c r="I16" s="2145" t="n"/>
    </row>
    <row r="17" ht="20.15" customHeight="1" s="1354">
      <c r="A17" s="1950" t="inlineStr">
        <is>
          <t>4. Dépréciations des stocks</t>
        </is>
      </c>
      <c r="B17" s="2810">
        <f>SUMIF(BALANCE_N1!$A$2:$A$70,"39*",BALANCE_N1!$G$2:$G$70)-SUMIF(BALANCE_N1!$A$2:$A$70,"39*",BALANCE_N1!$F$2:$F$70)</f>
        <v/>
      </c>
      <c r="C17" s="2857">
        <f>MAX(0,(SUMIF(BALANCE!$A$2:$A$70,"39*",BALANCE!$G$2:$G$70)-SUMIF(BALANCE!$A$2:$A$70,"39*",BALANCE!$F$2:$F$70))-(SUMIF(BALANCE_N1!$A$2:$A$70,"39*",BALANCE_N1!$G$2:$G$70)-SUMIF(BALANCE_N1!$A$2:$A$70,"39*",BALANCE_N1!$F$2:$F$70)))</f>
        <v/>
      </c>
      <c r="D17" s="1753" t="n"/>
      <c r="E17" s="1754" t="n"/>
      <c r="F17" s="2857">
        <f>MAX(0,(SUMIF(BALANCE_N1!$A$2:$A$70,"39*",BALANCE_N1!$G$2:$G$70)-SUMIF(BALANCE_N1!$A$2:$A$70,"39*",BALANCE_N1!$F$2:$F$70))-(SUMIF(BALANCE!$A$2:$A$70,"39*",BALANCE!$G$2:$G$70)-SUMIF(BALANCE!$A$2:$A$70,"39*",BALANCE!$F$2:$F$70)))</f>
        <v/>
      </c>
      <c r="G17" s="1753" t="n"/>
      <c r="H17" s="1754" t="n"/>
      <c r="I17" s="2145">
        <f>B17+C17-F17</f>
        <v/>
      </c>
    </row>
    <row r="18" ht="20.15" customHeight="1" s="1354">
      <c r="A18" s="1950" t="inlineStr">
        <is>
          <t>5. Dépréciations actif circulant HAO</t>
        </is>
      </c>
      <c r="B18" s="2810">
        <f>SUMIF(BALANCE_N1!$A$2:$A$70,"498*",BALANCE_N1!$G$2:$G$70)-SUMIF(BALANCE_N1!$A$2:$A$70,"498*",BALANCE_N1!$F$2:$F$70)</f>
        <v/>
      </c>
      <c r="C18" s="2857">
        <f>MAX(0,(SUMIF(BALANCE!$A$2:$A$70,"498*",BALANCE!$G$2:$G$70)-SUMIF(BALANCE!$A$2:$A$70,"498*",BALANCE!$F$2:$F$70))-(SUMIF(BALANCE_N1!$A$2:$A$70,"498*",BALANCE_N1!$G$2:$G$70)-SUMIF(BALANCE_N1!$A$2:$A$70,"498*",BALANCE_N1!$F$2:$F$70)))</f>
        <v/>
      </c>
      <c r="D18" s="1753" t="n"/>
      <c r="E18" s="1754" t="n"/>
      <c r="F18" s="2857">
        <f>MAX(0,(SUMIF(BALANCE_N1!$A$2:$A$70,"498*",BALANCE_N1!$G$2:$G$70)-SUMIF(BALANCE_N1!$A$2:$A$70,"498*",BALANCE_N1!$F$2:$F$70))-(SUMIF(BALANCE!$A$2:$A$70,"498*",BALANCE!$G$2:$G$70)-SUMIF(BALANCE!$A$2:$A$70,"498*",BALANCE!$F$2:$F$70)))</f>
        <v/>
      </c>
      <c r="G18" s="1753" t="n"/>
      <c r="H18" s="1754" t="n"/>
      <c r="I18" s="2145">
        <f>B18+C18-F18</f>
        <v/>
      </c>
    </row>
    <row r="19" ht="20.15" customHeight="1" s="1354">
      <c r="A19" s="1950" t="inlineStr">
        <is>
          <t>6. Dépréciations fournisseurs</t>
        </is>
      </c>
      <c r="B19" s="2810">
        <f>SUMIF(BALANCE_N1!$A$2:$A$70,"490*",BALANCE_N1!$G$2:$G$70)-SUMIF(BALANCE_N1!$A$2:$A$70,"490*",BALANCE_N1!$F$2:$F$70)</f>
        <v/>
      </c>
      <c r="C19" s="2857">
        <f>MAX(0,(SUMIF(BALANCE!$A$2:$A$70,"490*",BALANCE!$G$2:$G$70)-SUMIF(BALANCE!$A$2:$A$70,"490*",BALANCE!$F$2:$F$70))-(SUMIF(BALANCE_N1!$A$2:$A$70,"490*",BALANCE_N1!$G$2:$G$70)-SUMIF(BALANCE_N1!$A$2:$A$70,"490*",BALANCE_N1!$F$2:$F$70)))</f>
        <v/>
      </c>
      <c r="D19" s="1753" t="n"/>
      <c r="E19" s="1754" t="n"/>
      <c r="F19" s="2857">
        <f>MAX(0,(SUMIF(BALANCE_N1!$A$2:$A$70,"490*",BALANCE_N1!$G$2:$G$70)-SUMIF(BALANCE_N1!$A$2:$A$70,"490*",BALANCE_N1!$F$2:$F$70))-(SUMIF(BALANCE!$A$2:$A$70,"490*",BALANCE!$G$2:$G$70)-SUMIF(BALANCE!$A$2:$A$70,"490*",BALANCE!$F$2:$F$70)))</f>
        <v/>
      </c>
      <c r="G19" s="1753" t="n"/>
      <c r="H19" s="1754" t="n"/>
      <c r="I19" s="2145">
        <f>B19+C19-F19</f>
        <v/>
      </c>
    </row>
    <row r="20" ht="20.15" customHeight="1" s="1354">
      <c r="A20" s="1950" t="inlineStr">
        <is>
          <t>7. Dépréciations clients</t>
        </is>
      </c>
      <c r="B20" s="2810">
        <f>SUMIF(BALANCE_N1!$A$2:$A$70,"491*",BALANCE_N1!$G$2:$G$70)-SUMIF(BALANCE_N1!$A$2:$A$70,"491*",BALANCE_N1!$F$2:$F$70)</f>
        <v/>
      </c>
      <c r="C20" s="2857">
        <f>MAX(0,(SUMIF(BALANCE!$A$2:$A$70,"491*",BALANCE!$G$2:$G$70)-SUMIF(BALANCE!$A$2:$A$70,"491*",BALANCE!$F$2:$F$70))-(SUMIF(BALANCE_N1!$A$2:$A$70,"491*",BALANCE_N1!$G$2:$G$70)-SUMIF(BALANCE_N1!$A$2:$A$70,"491*",BALANCE_N1!$F$2:$F$70)))</f>
        <v/>
      </c>
      <c r="D20" s="1753" t="n"/>
      <c r="E20" s="1754" t="n"/>
      <c r="F20" s="2857">
        <f>MAX(0,(SUMIF(BALANCE_N1!$A$2:$A$70,"491*",BALANCE_N1!$G$2:$G$70)-SUMIF(BALANCE_N1!$A$2:$A$70,"491*",BALANCE_N1!$F$2:$F$70))-(SUMIF(BALANCE!$A$2:$A$70,"491*",BALANCE!$G$2:$G$70)-SUMIF(BALANCE!$A$2:$A$70,"491*",BALANCE!$F$2:$F$70)))</f>
        <v/>
      </c>
      <c r="G20" s="1753" t="n"/>
      <c r="H20" s="1754" t="n"/>
      <c r="I20" s="2145">
        <f>B20+C20-F20</f>
        <v/>
      </c>
    </row>
    <row r="21" ht="20.15" customHeight="1" s="1354">
      <c r="A21" s="1950" t="inlineStr">
        <is>
          <t>5. Dépréciations fournisseurs</t>
        </is>
      </c>
      <c r="B21" s="2145" t="n"/>
      <c r="C21" s="2556" t="n"/>
      <c r="D21" s="1753" t="n"/>
      <c r="E21" s="1754" t="n"/>
      <c r="F21" s="2556" t="n"/>
      <c r="G21" s="1753" t="n"/>
      <c r="H21" s="1754" t="n"/>
      <c r="I21" s="2145">
        <f>B21+C21-F21</f>
        <v/>
      </c>
    </row>
    <row r="22" ht="20.15" customHeight="1" s="1354">
      <c r="A22" s="1950" t="inlineStr">
        <is>
          <t>7. Dépréciations autres créances</t>
        </is>
      </c>
      <c r="B22" s="2810">
        <f>SUMIF(BALANCE_N1!$A$2:$A$70,"497*",BALANCE_N1!$G$2:$G$70)-SUMIF(BALANCE_N1!$A$2:$A$70,"497*",BALANCE_N1!$F$2:$F$70)+SUMIF(BALANCE_N1!$A$2:$A$70,"495*",BALANCE_N1!$G$2:$G$70)-SUMIF(BALANCE_N1!$A$2:$A$70,"495*",BALANCE_N1!$F$2:$F$70)+SUMIF(BALANCE_N1!$A$2:$A$70,"493*",BALANCE_N1!$G$2:$G$70)-SUMIF(BALANCE_N1!$A$2:$A$70,"493*",BALANCE_N1!$F$2:$F$70)+SUMIF(BALANCE_N1!$A$2:$A$70,"492*",BALANCE_N1!$G$2:$G$70)-SUMIF(BALANCE_N1!$A$2:$A$70,"492*",BALANCE_N1!$F$2:$F$70)+SUMIF(BALANCE_N1!$A$2:$A$70,"496*",BALANCE_N1!$G$2:$G$70)-SUMIF(BALANCE_N1!$A$2:$A$70,"496*",BALANCE_N1!$F$2:$F$70)+SUMIF(BALANCE_N1!$A$2:$A$70,"494*",BALANCE_N1!$G$2:$G$70)-SUMIF(BALANCE_N1!$A$2:$A$70,"494*",BALANCE_N1!$F$2:$F$70)</f>
        <v/>
      </c>
      <c r="C22" s="2858">
        <f>MAX(0,(SUMIF(BALANCE!$A$2:$A$70,"497*",BALANCE!$G$2:$G$70)-SUMIF(BALANCE!$A$2:$A$70,"497*",BALANCE!$F$2:$F$70)+SUMIF(BALANCE!$A$2:$A$70,"495*",BALANCE!$G$2:$G$70)-SUMIF(BALANCE!$A$2:$A$70,"495*",BALANCE!$F$2:$F$70)+SUMIF(BALANCE!$A$2:$A$70,"493*",BALANCE!$G$2:$G$70)-SUMIF(BALANCE!$A$2:$A$70,"493*",BALANCE!$F$2:$F$70)+SUMIF(BALANCE!$A$2:$A$70,"492*",BALANCE!$G$2:$G$70)-SUMIF(BALANCE!$A$2:$A$70,"492*",BALANCE!$F$2:$F$70)+SUMIF(BALANCE!$A$2:$A$70,"496*",BALANCE!$G$2:$G$70)-SUMIF(BALANCE!$A$2:$A$70,"496*",BALANCE!$F$2:$F$70)+SUMIF(BALANCE!$A$2:$A$70,"494*",BALANCE!$G$2:$G$70)-SUMIF(BALANCE!$A$2:$A$70,"494*",BALANCE!$F$2:$F$70))-(SUMIF(BALANCE_N1!$A$2:$A$70,"497*",BALANCE_N1!$G$2:$G$70)-SUMIF(BALANCE_N1!$A$2:$A$70,"497*",BALANCE_N1!$F$2:$F$70)+SUMIF(BALANCE_N1!$A$2:$A$70,"495*",BALANCE_N1!$G$2:$G$70)-SUMIF(BALANCE_N1!$A$2:$A$70,"495*",BALANCE_N1!$F$2:$F$70)+SUMIF(BALANCE_N1!$A$2:$A$70,"493*",BALANCE_N1!$G$2:$G$70)-SUMIF(BALANCE_N1!$A$2:$A$70,"493*",BALANCE_N1!$F$2:$F$70)+SUMIF(BALANCE_N1!$A$2:$A$70,"492*",BALANCE_N1!$G$2:$G$70)-SUMIF(BALANCE_N1!$A$2:$A$70,"492*",BALANCE_N1!$F$2:$F$70)+SUMIF(BALANCE_N1!$A$2:$A$70,"496*",BALANCE_N1!$G$2:$G$70)-SUMIF(BALANCE_N1!$A$2:$A$70,"496*",BALANCE_N1!$F$2:$F$70)+SUMIF(BALANCE_N1!$A$2:$A$70,"494*",BALANCE_N1!$G$2:$G$70)-SUMIF(BALANCE_N1!$A$2:$A$70,"494*",BALANCE_N1!$F$2:$F$70)))</f>
        <v/>
      </c>
      <c r="D22" s="2557" t="n"/>
      <c r="E22" s="2557" t="n"/>
      <c r="F22" s="2858">
        <f>MAX(0,(SUMIF(BALANCE_N1!$A$2:$A$70,"497*",BALANCE_N1!$G$2:$G$70)-SUMIF(BALANCE_N1!$A$2:$A$70,"497*",BALANCE_N1!$F$2:$F$70)+SUMIF(BALANCE_N1!$A$2:$A$70,"495*",BALANCE_N1!$G$2:$G$70)-SUMIF(BALANCE_N1!$A$2:$A$70,"495*",BALANCE_N1!$F$2:$F$70)+SUMIF(BALANCE_N1!$A$2:$A$70,"493*",BALANCE_N1!$G$2:$G$70)-SUMIF(BALANCE_N1!$A$2:$A$70,"493*",BALANCE_N1!$F$2:$F$70)+SUMIF(BALANCE_N1!$A$2:$A$70,"492*",BALANCE_N1!$G$2:$G$70)-SUMIF(BALANCE_N1!$A$2:$A$70,"492*",BALANCE_N1!$F$2:$F$70)+SUMIF(BALANCE_N1!$A$2:$A$70,"496*",BALANCE_N1!$G$2:$G$70)-SUMIF(BALANCE_N1!$A$2:$A$70,"496*",BALANCE_N1!$F$2:$F$70)+SUMIF(BALANCE_N1!$A$2:$A$70,"494*",BALANCE_N1!$G$2:$G$70)-SUMIF(BALANCE_N1!$A$2:$A$70,"494*",BALANCE_N1!$F$2:$F$70))-(SUMIF(BALANCE!$A$2:$A$70,"497*",BALANCE!$G$2:$G$70)-SUMIF(BALANCE!$A$2:$A$70,"497*",BALANCE!$F$2:$F$70)+SUMIF(BALANCE!$A$2:$A$70,"495*",BALANCE!$G$2:$G$70)-SUMIF(BALANCE!$A$2:$A$70,"495*",BALANCE!$F$2:$F$70)+SUMIF(BALANCE!$A$2:$A$70,"493*",BALANCE!$G$2:$G$70)-SUMIF(BALANCE!$A$2:$A$70,"493*",BALANCE!$F$2:$F$70)+SUMIF(BALANCE!$A$2:$A$70,"492*",BALANCE!$G$2:$G$70)-SUMIF(BALANCE!$A$2:$A$70,"492*",BALANCE!$F$2:$F$70)+SUMIF(BALANCE!$A$2:$A$70,"496*",BALANCE!$G$2:$G$70)-SUMIF(BALANCE!$A$2:$A$70,"496*",BALANCE!$F$2:$F$70)+SUMIF(BALANCE!$A$2:$A$70,"494*",BALANCE!$G$2:$G$70)-SUMIF(BALANCE!$A$2:$A$70,"494*",BALANCE!$F$2:$F$70)))</f>
        <v/>
      </c>
      <c r="G22" s="2557" t="n"/>
      <c r="H22" s="2557" t="n"/>
      <c r="I22" s="2557">
        <f>B22+C22+D22+E22-F22-G22-H22</f>
        <v/>
      </c>
    </row>
    <row r="23" ht="20.15" customHeight="1" s="1354">
      <c r="A23" s="1950" t="inlineStr">
        <is>
          <t>8. Dépréciations titres de placement</t>
        </is>
      </c>
      <c r="B23" s="2810">
        <f>SUMIF(BALANCE_N1!$A$2:$A$70,"590*",BALANCE_N1!$G$2:$G$70)-SUMIF(BALANCE_N1!$A$2:$A$70,"590*",BALANCE_N1!$F$2:$F$70)</f>
        <v/>
      </c>
      <c r="C23" s="2557" t="n"/>
      <c r="D23" s="2858">
        <f>MAX(0,(SUMIF(BALANCE!$A$2:$A$70,"590*",BALANCE!$G$2:$G$70)-SUMIF(BALANCE!$A$2:$A$70,"590*",BALANCE!$F$2:$F$70))-(SUMIF(BALANCE_N1!$A$2:$A$70,"590*",BALANCE_N1!$G$2:$G$70)-SUMIF(BALANCE_N1!$A$2:$A$70,"590*",BALANCE_N1!$F$2:$F$70)))</f>
        <v/>
      </c>
      <c r="E23" s="2557" t="n"/>
      <c r="F23" s="2557" t="n"/>
      <c r="G23" s="2858">
        <f>MAX(0,(SUMIF(BALANCE_N1!$A$2:$A$70,"590*",BALANCE_N1!$G$2:$G$70)-SUMIF(BALANCE_N1!$A$2:$A$70,"590*",BALANCE_N1!$F$2:$F$70))-(SUMIF(BALANCE!$A$2:$A$70,"590*",BALANCE!$G$2:$G$70)-SUMIF(BALANCE!$A$2:$A$70,"590*",BALANCE!$F$2:$F$70)))</f>
        <v/>
      </c>
      <c r="H23" s="2557" t="n"/>
      <c r="I23" s="2557" t="n"/>
    </row>
    <row r="24" ht="20.15" customHeight="1" s="1354">
      <c r="A24" s="1950" t="inlineStr">
        <is>
          <t>9. Dépréciations valeurs à encaisser</t>
        </is>
      </c>
      <c r="B24" s="2810">
        <f>SUMIF(BALANCE_N1!$A$2:$A$70,"591*",BALANCE_N1!$G$2:$G$70)-SUMIF(BALANCE_N1!$A$2:$A$70,"591*",BALANCE_N1!$F$2:$F$70)</f>
        <v/>
      </c>
      <c r="C24" s="2557" t="n"/>
      <c r="D24" s="2858">
        <f>MAX(0,(SUMIF(BALANCE!$A$2:$A$70,"591*",BALANCE!$G$2:$G$70)-SUMIF(BALANCE!$A$2:$A$70,"591*",BALANCE!$F$2:$F$70))-(SUMIF(BALANCE_N1!$A$2:$A$70,"591*",BALANCE_N1!$G$2:$G$70)-SUMIF(BALANCE_N1!$A$2:$A$70,"591*",BALANCE_N1!$F$2:$F$70)))</f>
        <v/>
      </c>
      <c r="E24" s="2557" t="n"/>
      <c r="F24" s="2557" t="n"/>
      <c r="G24" s="2858">
        <f>MAX(0,(SUMIF(BALANCE_N1!$A$2:$A$70,"591*",BALANCE_N1!$G$2:$G$70)-SUMIF(BALANCE_N1!$A$2:$A$70,"591*",BALANCE_N1!$F$2:$F$70))-(SUMIF(BALANCE!$A$2:$A$70,"591*",BALANCE!$G$2:$G$70)-SUMIF(BALANCE!$A$2:$A$70,"591*",BALANCE!$F$2:$F$70)))</f>
        <v/>
      </c>
      <c r="H24" s="2557" t="n"/>
      <c r="I24" s="2557" t="n"/>
    </row>
    <row r="25" ht="20.15" customHeight="1" s="1354">
      <c r="A25" s="1950" t="inlineStr">
        <is>
          <t xml:space="preserve">10. Dépréciations disponibilité </t>
        </is>
      </c>
      <c r="B25" s="2810">
        <f>SUMIF(BALANCE_N1!$A$2:$A$70,"592*",BALANCE_N1!$G$2:$G$70)-SUMIF(BALANCE_N1!$A$2:$A$70,"592*",BALANCE_N1!$F$2:$F$70)+SUMIF(BALANCE_N1!$A$2:$A$70,"594*",BALANCE_N1!$G$2:$G$70)-SUMIF(BALANCE_N1!$A$2:$A$70,"594*",BALANCE_N1!$F$2:$F$70)+SUMIF(BALANCE_N1!$A$2:$A$70,"593*",BALANCE_N1!$G$2:$G$70)-SUMIF(BALANCE_N1!$A$2:$A$70,"593*",BALANCE_N1!$F$2:$F$70)</f>
        <v/>
      </c>
      <c r="C25" s="2557" t="n"/>
      <c r="D25" s="2858">
        <f>MAX(0,(SUMIF(BALANCE!$A$2:$A$70,"592*",BALANCE!$G$2:$G$70)-SUMIF(BALANCE!$A$2:$A$70,"592*",BALANCE!$F$2:$F$70)+SUMIF(BALANCE!$A$2:$A$70,"594*",BALANCE!$G$2:$G$70)-SUMIF(BALANCE!$A$2:$A$70,"594*",BALANCE!$F$2:$F$70)+SUMIF(BALANCE!$A$2:$A$70,"593*",BALANCE!$G$2:$G$70)-SUMIF(BALANCE!$A$2:$A$70,"593*",BALANCE!$F$2:$F$70))-(SUMIF(BALANCE_N1!$A$2:$A$70,"592*",BALANCE_N1!$G$2:$G$70)-SUMIF(BALANCE_N1!$A$2:$A$70,"592*",BALANCE_N1!$F$2:$F$70)+SUMIF(BALANCE_N1!$A$2:$A$70,"594*",BALANCE_N1!$G$2:$G$70)-SUMIF(BALANCE_N1!$A$2:$A$70,"594*",BALANCE_N1!$F$2:$F$70)+SUMIF(BALANCE_N1!$A$2:$A$70,"593*",BALANCE_N1!$G$2:$G$70)-SUMIF(BALANCE_N1!$A$2:$A$70,"593*",BALANCE_N1!$F$2:$F$70)))</f>
        <v/>
      </c>
      <c r="E25" s="2557" t="n"/>
      <c r="F25" s="2557" t="n"/>
      <c r="G25" s="2858">
        <f>MAX(0,(SUMIF(BALANCE_N1!$A$2:$A$70,"592*",BALANCE_N1!$G$2:$G$70)-SUMIF(BALANCE_N1!$A$2:$A$70,"592*",BALANCE_N1!$F$2:$F$70)+SUMIF(BALANCE_N1!$A$2:$A$70,"594*",BALANCE_N1!$G$2:$G$70)-SUMIF(BALANCE_N1!$A$2:$A$70,"594*",BALANCE_N1!$F$2:$F$70)+SUMIF(BALANCE_N1!$A$2:$A$70,"593*",BALANCE_N1!$G$2:$G$70)-SUMIF(BALANCE_N1!$A$2:$A$70,"593*",BALANCE_N1!$F$2:$F$70))-(SUMIF(BALANCE!$A$2:$A$70,"592*",BALANCE!$G$2:$G$70)-SUMIF(BALANCE!$A$2:$A$70,"592*",BALANCE!$F$2:$F$70)+SUMIF(BALANCE!$A$2:$A$70,"594*",BALANCE!$G$2:$G$70)-SUMIF(BALANCE!$A$2:$A$70,"594*",BALANCE!$F$2:$F$70)+SUMIF(BALANCE!$A$2:$A$70,"593*",BALANCE!$G$2:$G$70)-SUMIF(BALANCE!$A$2:$A$70,"593*",BALANCE!$F$2:$F$70)))</f>
        <v/>
      </c>
      <c r="H25" s="2557" t="n"/>
      <c r="I25" s="2557" t="n"/>
    </row>
    <row r="26" ht="15" customHeight="1" s="1354">
      <c r="A26" s="1950" t="inlineStr">
        <is>
          <t xml:space="preserve">11. Dépréciations et provisions pour risques court termes d’exploitation </t>
        </is>
      </c>
      <c r="B26" s="2810">
        <f>SUMIF(BALANCE_N1!$A$2:$A$70,"499*",BALANCE_N1!$G$2:$G$70)-SUMIF(BALANCE_N1!$A$2:$A$70,"499*",BALANCE_N1!$F$2:$F$70)-SUMIF(BALANCE_N1!$A$2:$A$70,"4998*",BALANCE_N1!$G$2:$G$70)+SUMIF(BALANCE_N1!$A$2:$A$70,"4998*",BALANCE_N1!$F$2:$F$70)</f>
        <v/>
      </c>
      <c r="C26" s="2858">
        <f>MAX(0,(SUMIF(BALANCE!$A$2:$A$70,"499*",BALANCE!$G$2:$G$70)-SUMIF(BALANCE!$A$2:$A$70,"499*",BALANCE!$F$2:$F$70)-SUMIF(BALANCE!$A$2:$A$70,"4998*",BALANCE!$G$2:$G$70)+SUMIF(BALANCE!$A$2:$A$70,"4998*",BALANCE!$F$2:$F$70))-(SUMIF(BALANCE_N1!$A$2:$A$70,"499*",BALANCE_N1!$G$2:$G$70)-SUMIF(BALANCE_N1!$A$2:$A$70,"499*",BALANCE_N1!$F$2:$F$70)-SUMIF(BALANCE_N1!$A$2:$A$70,"4998*",BALANCE_N1!$G$2:$G$70)+SUMIF(BALANCE_N1!$A$2:$A$70,"4998*",BALANCE_N1!$F$2:$F$70)))</f>
        <v/>
      </c>
      <c r="D26" s="2557" t="n"/>
      <c r="E26" s="2557" t="n"/>
      <c r="F26" s="2858">
        <f>MAX(0,(SUMIF(BALANCE_N1!$A$2:$A$70,"499*",BALANCE_N1!$G$2:$G$70)-SUMIF(BALANCE_N1!$A$2:$A$70,"499*",BALANCE_N1!$F$2:$F$70)-SUMIF(BALANCE_N1!$A$2:$A$70,"4998*",BALANCE_N1!$G$2:$G$70)+SUMIF(BALANCE_N1!$A$2:$A$70,"4998*",BALANCE_N1!$F$2:$F$70))-(SUMIF(BALANCE!$A$2:$A$70,"499*",BALANCE!$G$2:$G$70)-SUMIF(BALANCE!$A$2:$A$70,"499*",BALANCE!$F$2:$F$70)-SUMIF(BALANCE!$A$2:$A$70,"4998*",BALANCE!$G$2:$G$70)+SUMIF(BALANCE!$A$2:$A$70,"4998*",BALANCE!$F$2:$F$70)))</f>
        <v/>
      </c>
      <c r="G26" s="2557" t="n"/>
      <c r="H26" s="2557" t="n"/>
      <c r="I26" s="2557" t="n"/>
    </row>
    <row r="27" ht="16.5" customHeight="1" s="1354">
      <c r="A27" s="1950" t="inlineStr">
        <is>
          <t>12. Dépréciations et provisions pour risques à court termes à caractère financiers</t>
        </is>
      </c>
      <c r="B27" s="2810">
        <f>SUMIF(BALANCE_N1!$A$2:$A$70,"599*",BALANCE_N1!$G$2:$G$70)-SUMIF(BALANCE_N1!$A$2:$A$70,"599*",BALANCE_N1!$F$2:$F$70)</f>
        <v/>
      </c>
      <c r="C27" s="2557" t="n"/>
      <c r="D27" s="2858">
        <f>MAX(0,(SUMIF(BALANCE!$A$2:$A$70,"599*",BALANCE!$G$2:$G$70)-SUMIF(BALANCE!$A$2:$A$70,"599*",BALANCE!$F$2:$F$70))-(SUMIF(BALANCE_N1!$A$2:$A$70,"599*",BALANCE_N1!$G$2:$G$70)-SUMIF(BALANCE_N1!$A$2:$A$70,"599*",BALANCE_N1!$F$2:$F$70)))</f>
        <v/>
      </c>
      <c r="E27" s="2557" t="n"/>
      <c r="F27" s="2557" t="n"/>
      <c r="G27" s="2858">
        <f>MAX(0,(SUMIF(BALANCE_N1!$A$2:$A$70,"599*",BALANCE_N1!$G$2:$G$70)-SUMIF(BALANCE_N1!$A$2:$A$70,"599*",BALANCE_N1!$F$2:$F$70))-(SUMIF(BALANCE!$A$2:$A$70,"599*",BALANCE!$G$2:$G$70)-SUMIF(BALANCE!$A$2:$A$70,"599*",BALANCE!$F$2:$F$70)))</f>
        <v/>
      </c>
      <c r="H27" s="2557" t="n"/>
      <c r="I27" s="2557" t="n"/>
    </row>
    <row r="28" ht="12.5" customHeight="1" s="1354">
      <c r="A28" s="1951" t="inlineStr">
        <is>
          <t>TOTAL : CHARGES POUR DEPRECIATIONS ET PROVISIONS A COURT TERME</t>
        </is>
      </c>
      <c r="B28" s="2812">
        <f>SUM(B17:B27)</f>
        <v/>
      </c>
      <c r="C28" s="2856">
        <f>SUM(C17:C27)</f>
        <v/>
      </c>
      <c r="D28" s="1753" t="n"/>
      <c r="E28" s="1754" t="n"/>
      <c r="F28" s="2856">
        <f>SUM(F17:F27)</f>
        <v/>
      </c>
      <c r="G28" s="1753" t="n"/>
      <c r="H28" s="1754" t="n"/>
      <c r="I28" s="2812">
        <f>SUM(I17:I27)</f>
        <v/>
      </c>
    </row>
    <row r="29" ht="10.5" customHeight="1" s="1354">
      <c r="A29" s="1950" t="n"/>
      <c r="B29" s="2558" t="n"/>
      <c r="C29" s="2559" t="n"/>
      <c r="D29" s="1753" t="n"/>
      <c r="E29" s="1754" t="n"/>
      <c r="F29" s="2559" t="n"/>
      <c r="G29" s="1753" t="n"/>
      <c r="H29" s="1754" t="n"/>
      <c r="I29" s="2558" t="n"/>
    </row>
    <row r="30" ht="12.5" customHeight="1" s="1354">
      <c r="A30" s="2560" t="inlineStr">
        <is>
          <t>TOTAL PROVISIONS ET DEPRECIATIONS</t>
        </is>
      </c>
      <c r="B30" s="2859">
        <f>B15+B28</f>
        <v/>
      </c>
      <c r="C30" s="2860">
        <f>C15+C28</f>
        <v/>
      </c>
      <c r="D30" s="1753" t="n"/>
      <c r="E30" s="1754" t="n"/>
      <c r="F30" s="2860">
        <f>F15+F28</f>
        <v/>
      </c>
      <c r="G30" s="1753" t="n"/>
      <c r="H30" s="1754" t="n"/>
      <c r="I30" s="2859">
        <f>I15+I28</f>
        <v/>
      </c>
    </row>
    <row r="31" ht="12" customHeight="1" s="1354">
      <c r="A31" s="1958" t="n"/>
    </row>
    <row r="32" ht="12" customHeight="1" s="1354">
      <c r="A32" s="1642" t="inlineStr">
        <is>
          <t>Commentaire :</t>
        </is>
      </c>
    </row>
    <row r="33" ht="12" customHeight="1" s="1354">
      <c r="A33" s="1577" t="inlineStr">
        <is>
          <t>Indiquer les événements et circonstances qui ont conduit à la constitution et à la reprise de la dépréciation et de la provision.</t>
        </is>
      </c>
    </row>
  </sheetData>
  <mergeCells count="29">
    <mergeCell ref="C16:E16"/>
    <mergeCell ref="A7:I7"/>
    <mergeCell ref="F20:H20"/>
    <mergeCell ref="C29:E29"/>
    <mergeCell ref="C20:E20"/>
    <mergeCell ref="F18:H18"/>
    <mergeCell ref="C9:E9"/>
    <mergeCell ref="F17:H17"/>
    <mergeCell ref="C21:E21"/>
    <mergeCell ref="F28:H28"/>
    <mergeCell ref="C17:E17"/>
    <mergeCell ref="A8:I8"/>
    <mergeCell ref="F9:H9"/>
    <mergeCell ref="B10:B11"/>
    <mergeCell ref="F15:H15"/>
    <mergeCell ref="A9:A11"/>
    <mergeCell ref="C28:E28"/>
    <mergeCell ref="C19:E19"/>
    <mergeCell ref="C18:E18"/>
    <mergeCell ref="C30:E30"/>
    <mergeCell ref="F29:H29"/>
    <mergeCell ref="C15:E15"/>
    <mergeCell ref="I10:I11"/>
    <mergeCell ref="F10:H10"/>
    <mergeCell ref="F16:H16"/>
    <mergeCell ref="F19:H19"/>
    <mergeCell ref="F30:H30"/>
    <mergeCell ref="F21:H21"/>
    <mergeCell ref="C10:E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F35"/>
  <sheetViews>
    <sheetView showFormulas="0" showGridLines="1" showRowColHeaders="1" showZeros="1" rightToLeft="0" tabSelected="0" showOutlineSymbols="1" defaultGridColor="1" view="normal" topLeftCell="A22" colorId="64" zoomScale="100" zoomScaleNormal="100" zoomScalePageLayoutView="100" workbookViewId="0">
      <selection pane="topLeft" activeCell="B35" activeCellId="0" sqref="B35"/>
    </sheetView>
  </sheetViews>
  <sheetFormatPr baseColWidth="8" defaultColWidth="10.90234375" defaultRowHeight="14.5" zeroHeight="0" outlineLevelRow="0"/>
  <cols>
    <col width="51.26" customWidth="1" style="1572" min="1" max="1"/>
    <col width="12.99" customWidth="1" style="1572" min="2" max="2"/>
    <col width="11.81" customWidth="1" style="1572" min="3" max="3"/>
  </cols>
  <sheetData>
    <row r="1"/>
    <row r="2"/>
    <row r="3"/>
    <row r="4" ht="14.5" customHeight="1" s="1354">
      <c r="A4" s="1748" t="inlineStr">
        <is>
          <t>Désignation entité : ENTREPRISE TEST SARL</t>
        </is>
      </c>
      <c r="C4" s="1591" t="inlineStr">
        <is>
          <t>Exercice clos le : 31/12/2025</t>
        </is>
      </c>
      <c r="D4" s="1578" t="n"/>
    </row>
    <row r="5" ht="14.5" customHeight="1" s="1354">
      <c r="A5" s="1749" t="inlineStr">
        <is>
          <t>Numéro d’identification : CD/KNG/RCCM/23-B-01234</t>
        </is>
      </c>
      <c r="C5" s="1591" t="inlineStr">
        <is>
          <t>Durée (en mois) : 12</t>
        </is>
      </c>
      <c r="D5" s="1582" t="n"/>
    </row>
    <row r="6" ht="14.5" customHeight="1" s="1354">
      <c r="A6" s="2563" t="inlineStr">
        <is>
          <t> </t>
        </is>
      </c>
    </row>
    <row r="7" ht="14.5" customHeight="1" s="1354">
      <c r="A7" s="2002" t="inlineStr">
        <is>
          <t xml:space="preserve"> NOTE 29 </t>
        </is>
      </c>
      <c r="E7" s="2478" t="n"/>
      <c r="F7" s="2478" t="n"/>
    </row>
    <row r="8" ht="14.5" customHeight="1" s="1354">
      <c r="A8" s="2564" t="inlineStr">
        <is>
          <t xml:space="preserve">CHARGES ET REVENUS FINANCIERS </t>
        </is>
      </c>
      <c r="B8" s="1602" t="n"/>
      <c r="C8" s="1602" t="n"/>
      <c r="D8" s="1602" t="n"/>
      <c r="E8" s="2468" t="n"/>
      <c r="F8" s="2468" t="n"/>
    </row>
    <row r="9" ht="20.15" customHeight="1" s="1354">
      <c r="A9" s="2565" t="inlineStr">
        <is>
          <t xml:space="preserve">Libellés </t>
        </is>
      </c>
      <c r="B9" s="2565" t="inlineStr">
        <is>
          <t xml:space="preserve">Année  N </t>
        </is>
      </c>
      <c r="C9" s="2565" t="inlineStr">
        <is>
          <t xml:space="preserve">Année  N-1 </t>
        </is>
      </c>
      <c r="D9" s="2565" t="inlineStr">
        <is>
          <t xml:space="preserve">Variation en % </t>
        </is>
      </c>
    </row>
    <row r="10" ht="20.15" customHeight="1" s="1354">
      <c r="A10" s="2226" t="inlineStr">
        <is>
          <t xml:space="preserve">Intérêts des emprunts </t>
        </is>
      </c>
      <c r="B10" s="2854">
        <f>SUMIF(BALANCE!$A$2:$A$70,"671*",BALANCE!$F$2:$F$70)-SUMIF(BALANCE!$A$2:$A$70,"671*",BALANCE!$G$2:$G$70)</f>
        <v/>
      </c>
      <c r="C10" s="2854">
        <f>SUMIF(BALANCE_N1!$A$2:$A$70,"671*",BALANCE_N1!$F$2:$F$70)-SUMIF(BALANCE_N1!$A$2:$A$70,"671*",BALANCE_N1!$G$2:$G$70)</f>
        <v/>
      </c>
      <c r="D10" s="2566" t="n"/>
    </row>
    <row r="11" ht="20.15" customHeight="1" s="1354">
      <c r="A11" s="2226" t="inlineStr">
        <is>
          <t xml:space="preserve">Intérêts dans loyers de locations acquisition </t>
        </is>
      </c>
      <c r="B11" s="2861">
        <f>SUMIF(BALANCE!$A$2:$A$70,"672*",BALANCE!$F$2:$F$70)-SUMIF(BALANCE!$A$2:$A$70,"672*",BALANCE!$G$2:$G$70)</f>
        <v/>
      </c>
      <c r="C11" s="2861">
        <f>SUMIF(BALANCE_N1!$A$2:$A$70,"672*",BALANCE_N1!$F$2:$F$70)-SUMIF(BALANCE_N1!$A$2:$A$70,"672*",BALANCE_N1!$G$2:$G$70)</f>
        <v/>
      </c>
      <c r="D11" s="2567" t="n"/>
    </row>
    <row r="12" ht="20.15" customHeight="1" s="1354">
      <c r="A12" s="2226" t="inlineStr">
        <is>
          <t xml:space="preserve">Escomptes accordés </t>
        </is>
      </c>
      <c r="B12" s="2861">
        <f>SUMIF(BALANCE!$A$2:$A$70,"673*",BALANCE!$F$2:$F$70)-SUMIF(BALANCE!$A$2:$A$70,"673*",BALANCE!$G$2:$G$70)</f>
        <v/>
      </c>
      <c r="C12" s="2861">
        <f>SUMIF(BALANCE_N1!$A$2:$A$70,"673*",BALANCE_N1!$F$2:$F$70)-SUMIF(BALANCE_N1!$A$2:$A$70,"673*",BALANCE_N1!$G$2:$G$70)</f>
        <v/>
      </c>
      <c r="D12" s="2567" t="n"/>
    </row>
    <row r="13" ht="20.15" customHeight="1" s="1354">
      <c r="A13" s="2226" t="inlineStr">
        <is>
          <t xml:space="preserve">Autres intérêts </t>
        </is>
      </c>
      <c r="B13" s="2802">
        <f>SUMIF(BALANCE!$A$2:$A$70,"674*",BALANCE!$F$2:$F$70)-SUMIF(BALANCE!$A$2:$A$70,"674*",BALANCE!$G$2:$G$70)</f>
        <v/>
      </c>
      <c r="C13" s="2802">
        <f>SUMIF(BALANCE_N1!$A$2:$A$70,"674*",BALANCE_N1!$F$2:$F$70)-SUMIF(BALANCE_N1!$A$2:$A$70,"674*",BALANCE_N1!$G$2:$G$70)</f>
        <v/>
      </c>
      <c r="D13" s="2390">
        <f>(B13-C13)/C13</f>
        <v/>
      </c>
    </row>
    <row r="14" ht="20.15" customHeight="1" s="1354">
      <c r="A14" s="2226" t="inlineStr">
        <is>
          <t xml:space="preserve">Escomptes des effets de commerce </t>
        </is>
      </c>
      <c r="B14" s="2802">
        <f>SUMIF(BALANCE!$A$2:$A$70,"675*",BALANCE!$F$2:$F$70)-SUMIF(BALANCE!$A$2:$A$70,"675*",BALANCE!$G$2:$G$70)</f>
        <v/>
      </c>
      <c r="C14" s="2802">
        <f>SUMIF(BALANCE_N1!$A$2:$A$70,"675*",BALANCE_N1!$F$2:$F$70)-SUMIF(BALANCE_N1!$A$2:$A$70,"675*",BALANCE_N1!$G$2:$G$70)</f>
        <v/>
      </c>
      <c r="D14" s="2390" t="n"/>
    </row>
    <row r="15" ht="20.15" customHeight="1" s="1354">
      <c r="A15" s="2226" t="inlineStr">
        <is>
          <t xml:space="preserve">Pertes de change </t>
        </is>
      </c>
      <c r="B15" s="2802">
        <f>SUMIF(BALANCE!$A$2:$A$70,"676*",BALANCE!$F$2:$F$70)-SUMIF(BALANCE!$A$2:$A$70,"676*",BALANCE!$G$2:$G$70)</f>
        <v/>
      </c>
      <c r="C15" s="2802">
        <f>SUMIF(BALANCE_N1!$A$2:$A$70,"676*",BALANCE_N1!$F$2:$F$70)-SUMIF(BALANCE_N1!$A$2:$A$70,"676*",BALANCE_N1!$G$2:$G$70)</f>
        <v/>
      </c>
      <c r="D15" s="2390" t="n"/>
    </row>
    <row r="16" ht="20.15" customHeight="1" s="1354">
      <c r="A16" s="2226" t="inlineStr">
        <is>
          <t xml:space="preserve">Pertes sur cessions de titres de placement </t>
        </is>
      </c>
      <c r="B16" s="2802">
        <f>SUMIF(BALANCE!$A$2:$A$70,"677*",BALANCE!$F$2:$F$70)-SUMIF(BALANCE!$A$2:$A$70,"677*",BALANCE!$G$2:$G$70)</f>
        <v/>
      </c>
      <c r="C16" s="2802">
        <f>SUMIF(BALANCE_N1!$A$2:$A$70,"677*",BALANCE_N1!$F$2:$F$70)-SUMIF(BALANCE_N1!$A$2:$A$70,"677*",BALANCE_N1!$G$2:$G$70)</f>
        <v/>
      </c>
      <c r="D16" s="2390" t="n"/>
    </row>
    <row r="17" ht="23" customHeight="1" s="1354">
      <c r="A17" s="2226" t="inlineStr">
        <is>
          <t xml:space="preserve">Malis provenant d’attribution gratuite d’actions au personnel salarié et aux dirigeants </t>
        </is>
      </c>
      <c r="B17" s="2100" t="n"/>
      <c r="C17" s="2100" t="n"/>
      <c r="D17" s="2390" t="n"/>
    </row>
    <row r="18" ht="20.15" customHeight="1" s="1354">
      <c r="A18" s="2226" t="inlineStr">
        <is>
          <t xml:space="preserve">Pertes sur risques financiers </t>
        </is>
      </c>
      <c r="B18" s="2802">
        <f>SUMIF(BALANCE!$A$2:$A$70,"678*",BALANCE!$F$2:$F$70)-SUMIF(BALANCE!$A$2:$A$70,"678*",BALANCE!$G$2:$G$70)</f>
        <v/>
      </c>
      <c r="C18" s="2802">
        <f>SUMIF(BALANCE_N1!$A$2:$A$70,"678*",BALANCE_N1!$F$2:$F$70)-SUMIF(BALANCE_N1!$A$2:$A$70,"678*",BALANCE_N1!$G$2:$G$70)</f>
        <v/>
      </c>
      <c r="D18" s="2390" t="n"/>
    </row>
    <row r="19" ht="23.5" customHeight="1" s="1354">
      <c r="A19" s="2376" t="inlineStr">
        <is>
          <t xml:space="preserve">Charges pour dépréciation et provisions à court terme à caractère financier (voir note 28) </t>
        </is>
      </c>
      <c r="B19" s="2803">
        <f>SUMIF(BALANCE!$A$2:$A$70,"679*",BALANCE!$F$2:$F$70)-SUMIF(BALANCE!$A$2:$A$70,"679*",BALANCE!$G$2:$G$70)</f>
        <v/>
      </c>
      <c r="C19" s="2803">
        <f>SUMIF(BALANCE_N1!$A$2:$A$70,"679*",BALANCE_N1!$F$2:$F$70)-SUMIF(BALANCE_N1!$A$2:$A$70,"679*",BALANCE_N1!$G$2:$G$70)</f>
        <v/>
      </c>
      <c r="D19" s="2568" t="n"/>
    </row>
    <row r="20" ht="20.15" customHeight="1" s="1354">
      <c r="A20" s="2104" t="inlineStr">
        <is>
          <t xml:space="preserve">SOUS TOTAL : FRAIS FINANCIERS </t>
        </is>
      </c>
      <c r="B20" s="2105">
        <f>SUM(B10:B19)</f>
        <v/>
      </c>
      <c r="C20" s="2105">
        <f>SUM(C10:C19)</f>
        <v/>
      </c>
      <c r="D20" s="2135">
        <f>SUM(D10:D19)</f>
        <v/>
      </c>
    </row>
    <row r="21" ht="20.15" customHeight="1" s="1354">
      <c r="A21" s="2224" t="inlineStr">
        <is>
          <t>  </t>
        </is>
      </c>
      <c r="B21" s="2238" t="n"/>
      <c r="C21" s="2238" t="n"/>
      <c r="D21" s="2238" t="n"/>
    </row>
    <row r="22" ht="20.15" customHeight="1" s="1354">
      <c r="A22" s="2226" t="inlineStr">
        <is>
          <t xml:space="preserve">Intérêts de prêts et créances diverses </t>
        </is>
      </c>
      <c r="B22" s="2802">
        <f>SUMIF(BALANCE!$A$2:$A$70,"775*",BALANCE!$G$2:$G$70)-SUMIF(BALANCE!$A$2:$A$70,"775*",BALANCE!$F$2:$F$70)+SUMIF(BALANCE!$A$2:$A$70,"771*",BALANCE!$G$2:$G$70)-SUMIF(BALANCE!$A$2:$A$70,"771*",BALANCE!$F$2:$F$70)</f>
        <v/>
      </c>
      <c r="C22" s="2802">
        <f>SUMIF(BALANCE_N1!$A$2:$A$70,"775*",BALANCE_N1!$G$2:$G$70)-SUMIF(BALANCE_N1!$A$2:$A$70,"775*",BALANCE_N1!$F$2:$F$70)+SUMIF(BALANCE_N1!$A$2:$A$70,"771*",BALANCE_N1!$G$2:$G$70)-SUMIF(BALANCE_N1!$A$2:$A$70,"771*",BALANCE_N1!$F$2:$F$70)</f>
        <v/>
      </c>
      <c r="D22" s="2100" t="n"/>
    </row>
    <row r="23" ht="20.15" customHeight="1" s="1354">
      <c r="A23" s="2226" t="inlineStr">
        <is>
          <t xml:space="preserve">Revenus de participations </t>
        </is>
      </c>
      <c r="B23" s="2802">
        <f>SUMIF(BALANCE!$A$2:$A$70,"772*",BALANCE!$G$2:$G$70)-SUMIF(BALANCE!$A$2:$A$70,"772*",BALANCE!$F$2:$F$70)</f>
        <v/>
      </c>
      <c r="C23" s="2802">
        <f>SUMIF(BALANCE_N1!$A$2:$A$70,"772*",BALANCE_N1!$G$2:$G$70)-SUMIF(BALANCE_N1!$A$2:$A$70,"772*",BALANCE_N1!$F$2:$F$70)</f>
        <v/>
      </c>
      <c r="D23" s="2100" t="n"/>
    </row>
    <row r="24" ht="20.15" customHeight="1" s="1354">
      <c r="A24" s="2226" t="inlineStr">
        <is>
          <t xml:space="preserve">Escomptes obtenus </t>
        </is>
      </c>
      <c r="B24" s="2802">
        <f>SUMIF(BALANCE!$A$2:$A$70,"773*",BALANCE!$G$2:$G$70)-SUMIF(BALANCE!$A$2:$A$70,"773*",BALANCE!$F$2:$F$70)</f>
        <v/>
      </c>
      <c r="C24" s="2802">
        <f>SUMIF(BALANCE_N1!$A$2:$A$70,"773*",BALANCE_N1!$G$2:$G$70)-SUMIF(BALANCE_N1!$A$2:$A$70,"773*",BALANCE_N1!$F$2:$F$70)</f>
        <v/>
      </c>
      <c r="D24" s="2100" t="n"/>
    </row>
    <row r="25" ht="20.15" customHeight="1" s="1354">
      <c r="A25" s="2226" t="inlineStr">
        <is>
          <t xml:space="preserve">Revenus de placement </t>
        </is>
      </c>
      <c r="B25" s="2802">
        <f>SUMIF(BALANCE!$A$2:$A$70,"774*",BALANCE!$G$2:$G$70)-SUMIF(BALANCE!$A$2:$A$70,"774*",BALANCE!$F$2:$F$70)</f>
        <v/>
      </c>
      <c r="C25" s="2802">
        <f>SUMIF(BALANCE_N1!$A$2:$A$70,"774*",BALANCE_N1!$G$2:$G$70)-SUMIF(BALANCE_N1!$A$2:$A$70,"774*",BALANCE_N1!$F$2:$F$70)</f>
        <v/>
      </c>
      <c r="D25" s="2100" t="n"/>
    </row>
    <row r="26" ht="20.15" customHeight="1" s="1354">
      <c r="A26" s="2226" t="inlineStr">
        <is>
          <t xml:space="preserve">Gains de change </t>
        </is>
      </c>
      <c r="B26" s="2802">
        <f>SUMIF(BALANCE!$A$2:$A$70,"776*",BALANCE!$G$2:$G$70)-SUMIF(BALANCE!$A$2:$A$70,"776*",BALANCE!$F$2:$F$70)</f>
        <v/>
      </c>
      <c r="C26" s="2802">
        <f>SUMIF(BALANCE_N1!$A$2:$A$70,"776*",BALANCE_N1!$G$2:$G$70)-SUMIF(BALANCE_N1!$A$2:$A$70,"776*",BALANCE_N1!$F$2:$F$70)</f>
        <v/>
      </c>
      <c r="D26" s="2100" t="n"/>
    </row>
    <row r="27" ht="20.15" customHeight="1" s="1354">
      <c r="A27" s="2226" t="inlineStr">
        <is>
          <t xml:space="preserve">Gains sur cessions de titres de placement </t>
        </is>
      </c>
      <c r="B27" s="2802">
        <f>SUMIF(BALANCE!$A$2:$A$70,"777*",BALANCE!$G$2:$G$70)-SUMIF(BALANCE!$A$2:$A$70,"777*",BALANCE!$F$2:$F$70)</f>
        <v/>
      </c>
      <c r="C27" s="2802">
        <f>SUMIF(BALANCE_N1!$A$2:$A$70,"777*",BALANCE_N1!$G$2:$G$70)-SUMIF(BALANCE_N1!$A$2:$A$70,"777*",BALANCE_N1!$F$2:$F$70)</f>
        <v/>
      </c>
      <c r="D27" s="2100" t="n"/>
    </row>
    <row r="28" ht="20.15" customHeight="1" s="1354">
      <c r="A28" s="2226" t="inlineStr">
        <is>
          <t xml:space="preserve">Gains sur risques financiers </t>
        </is>
      </c>
      <c r="B28" s="2802">
        <f>SUMIF(BALANCE!$A$2:$A$70,"778*",BALANCE!$G$2:$G$70)-SUMIF(BALANCE!$A$2:$A$70,"778*",BALANCE!$F$2:$F$70)</f>
        <v/>
      </c>
      <c r="C28" s="2802">
        <f>SUMIF(BALANCE_N1!$A$2:$A$70,"778*",BALANCE_N1!$G$2:$G$70)-SUMIF(BALANCE_N1!$A$2:$A$70,"778*",BALANCE_N1!$F$2:$F$70)</f>
        <v/>
      </c>
      <c r="D28" s="2100" t="n"/>
    </row>
    <row r="29" ht="23.5" customHeight="1" s="1354">
      <c r="A29" s="2376" t="inlineStr">
        <is>
          <t xml:space="preserve">Reprises de charges pour dépréciation et provisions à court terme à caractère financier (voir note 28) </t>
        </is>
      </c>
      <c r="B29" s="2803">
        <f>SUMIF(BALANCE!$A$2:$A$70,"779*",BALANCE!$G$2:$G$70)-SUMIF(BALANCE!$A$2:$A$70,"779*",BALANCE!$F$2:$F$70)</f>
        <v/>
      </c>
      <c r="C29" s="2803">
        <f>SUMIF(BALANCE_N1!$A$2:$A$70,"779*",BALANCE_N1!$G$2:$G$70)-SUMIF(BALANCE_N1!$A$2:$A$70,"779*",BALANCE_N1!$F$2:$F$70)</f>
        <v/>
      </c>
      <c r="D29" s="2103" t="n"/>
    </row>
    <row r="30" ht="20.15" customHeight="1" s="1354">
      <c r="A30" s="2104" t="inlineStr">
        <is>
          <t xml:space="preserve">SOUS TOTAL : REVENUS FINANCIERS </t>
        </is>
      </c>
      <c r="B30" s="2804">
        <f>SUM(B22:B29)</f>
        <v/>
      </c>
      <c r="C30" s="2804">
        <f>SUM(C22:C29)</f>
        <v/>
      </c>
      <c r="D30" s="2387" t="n"/>
    </row>
    <row r="31" ht="20.15" customHeight="1" s="1354">
      <c r="A31" s="2569" t="inlineStr">
        <is>
          <t>  </t>
        </is>
      </c>
      <c r="B31" s="2570" t="n"/>
      <c r="C31" s="2570" t="n"/>
      <c r="D31" s="2570" t="n"/>
    </row>
    <row r="32" ht="20.15" customHeight="1" s="1354">
      <c r="A32" s="2417" t="inlineStr">
        <is>
          <t xml:space="preserve">TOTAL </t>
        </is>
      </c>
      <c r="B32" s="1795">
        <f>B20-B30</f>
        <v/>
      </c>
      <c r="C32" s="1795">
        <f>C20-C30</f>
        <v/>
      </c>
      <c r="D32" s="2419">
        <f>D20-D30</f>
        <v/>
      </c>
    </row>
    <row r="33" ht="14.5" customHeight="1" s="1354">
      <c r="A33" s="1695" t="inlineStr">
        <is>
          <t xml:space="preserve">     Commentaires :  </t>
        </is>
      </c>
    </row>
    <row r="34" ht="14.5" customHeight="1" s="1354">
      <c r="A34" s="2353" t="inlineStr">
        <is>
          <t xml:space="preserve">•      Commenter toute variation significative </t>
        </is>
      </c>
    </row>
    <row r="35" ht="14.5" customHeight="1" s="1354">
      <c r="A35" s="2353" t="inlineStr">
        <is>
          <t xml:space="preserve">•      En cas de paiement à terme, indiquer le montant des intérêts non comptabilisés </t>
        </is>
      </c>
    </row>
  </sheetData>
  <mergeCells count="2">
    <mergeCell ref="A7:D7"/>
    <mergeCell ref="A8:D8"/>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9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IW36"/>
  <sheetViews>
    <sheetView showFormulas="0" showGridLines="1" showRowColHeaders="1" showZeros="1" rightToLeft="0" tabSelected="0" showOutlineSymbols="1" defaultGridColor="1" view="normal" topLeftCell="A10" colorId="64" zoomScale="100" zoomScaleNormal="100" zoomScalePageLayoutView="100" workbookViewId="0">
      <selection pane="topLeft" activeCell="F30" activeCellId="0" sqref="F30"/>
    </sheetView>
  </sheetViews>
  <sheetFormatPr baseColWidth="8" defaultColWidth="10.8125" defaultRowHeight="12" zeroHeight="0" outlineLevelRow="0"/>
  <cols>
    <col width="51.72" customWidth="1" style="1583" min="1" max="1"/>
    <col width="10.81" customWidth="1" style="1583" min="2" max="2"/>
    <col width="11.81" customWidth="1" style="1583" min="3" max="3"/>
    <col width="10.81" customWidth="1" style="1583" min="4" max="257"/>
  </cols>
  <sheetData>
    <row r="1" ht="14.5" customHeight="1" s="1354">
      <c r="A1" s="1572" t="n"/>
      <c r="B1" s="1572" t="n"/>
      <c r="C1" s="1572" t="n"/>
      <c r="D1" s="1572" t="n"/>
      <c r="E1" s="1572" t="n"/>
      <c r="F1" s="1572" t="n"/>
      <c r="G1" s="1572" t="n"/>
      <c r="H1" s="1572" t="n"/>
      <c r="I1" s="1572" t="n"/>
      <c r="J1" s="1572" t="n"/>
      <c r="K1" s="1572" t="n"/>
      <c r="L1" s="1572" t="n"/>
      <c r="M1" s="1572" t="n"/>
      <c r="N1" s="1572" t="n"/>
      <c r="O1" s="1572" t="n"/>
      <c r="P1" s="1572" t="n"/>
      <c r="Q1" s="1572" t="n"/>
      <c r="R1" s="1572" t="n"/>
      <c r="S1" s="1572" t="n"/>
      <c r="T1" s="1572" t="n"/>
      <c r="U1" s="1572" t="n"/>
      <c r="V1" s="1572" t="n"/>
      <c r="W1" s="1572" t="n"/>
      <c r="X1" s="1572" t="n"/>
      <c r="Y1" s="1572" t="n"/>
      <c r="Z1" s="1572" t="n"/>
      <c r="AA1" s="1572" t="n"/>
      <c r="AB1" s="1572" t="n"/>
      <c r="AC1" s="1572" t="n"/>
      <c r="AD1" s="1572" t="n"/>
      <c r="AE1" s="1572" t="n"/>
      <c r="AF1" s="1572" t="n"/>
      <c r="AG1" s="1572" t="n"/>
      <c r="AH1" s="1572" t="n"/>
      <c r="AI1" s="1572" t="n"/>
      <c r="AJ1" s="1572" t="n"/>
      <c r="AK1" s="1572" t="n"/>
      <c r="AL1" s="1572" t="n"/>
      <c r="AM1" s="1572" t="n"/>
      <c r="AN1" s="1572" t="n"/>
      <c r="AO1" s="1572" t="n"/>
      <c r="AP1" s="1572" t="n"/>
      <c r="AQ1" s="1572" t="n"/>
      <c r="AR1" s="1572" t="n"/>
      <c r="AS1" s="1572" t="n"/>
      <c r="AT1" s="1572" t="n"/>
      <c r="AU1" s="1572" t="n"/>
      <c r="AV1" s="1572" t="n"/>
      <c r="AW1" s="1572" t="n"/>
      <c r="AX1" s="1572" t="n"/>
      <c r="AY1" s="1572" t="n"/>
      <c r="AZ1" s="1572" t="n"/>
      <c r="BA1" s="1572" t="n"/>
      <c r="BB1" s="1572" t="n"/>
      <c r="BC1" s="1572" t="n"/>
      <c r="BD1" s="1572" t="n"/>
      <c r="BE1" s="1572" t="n"/>
      <c r="BF1" s="1572" t="n"/>
      <c r="BG1" s="1572" t="n"/>
      <c r="BH1" s="1572" t="n"/>
      <c r="BI1" s="1572" t="n"/>
      <c r="BJ1" s="1572" t="n"/>
      <c r="BK1" s="1572" t="n"/>
      <c r="BL1" s="1572" t="n"/>
      <c r="BM1" s="1572" t="n"/>
      <c r="BN1" s="1572" t="n"/>
      <c r="BO1" s="1572" t="n"/>
      <c r="BP1" s="1572" t="n"/>
      <c r="BQ1" s="1572" t="n"/>
      <c r="BR1" s="1572" t="n"/>
      <c r="BS1" s="1572" t="n"/>
      <c r="BT1" s="1572" t="n"/>
      <c r="BU1" s="1572" t="n"/>
      <c r="BV1" s="1572" t="n"/>
      <c r="BW1" s="1572" t="n"/>
      <c r="BX1" s="1572" t="n"/>
      <c r="BY1" s="1572" t="n"/>
      <c r="BZ1" s="1572" t="n"/>
      <c r="CA1" s="1572" t="n"/>
      <c r="CB1" s="1572" t="n"/>
      <c r="CC1" s="1572" t="n"/>
      <c r="CD1" s="1572" t="n"/>
      <c r="CE1" s="1572" t="n"/>
      <c r="CF1" s="1572" t="n"/>
      <c r="CG1" s="1572" t="n"/>
      <c r="CH1" s="1572" t="n"/>
      <c r="CI1" s="1572" t="n"/>
      <c r="CJ1" s="1572" t="n"/>
      <c r="CK1" s="1572" t="n"/>
      <c r="CL1" s="1572" t="n"/>
      <c r="CM1" s="1572" t="n"/>
      <c r="CN1" s="1572" t="n"/>
      <c r="CO1" s="1572" t="n"/>
      <c r="CP1" s="1572" t="n"/>
      <c r="CQ1" s="1572" t="n"/>
      <c r="CR1" s="1572" t="n"/>
      <c r="CS1" s="1572" t="n"/>
      <c r="CT1" s="1572" t="n"/>
      <c r="CU1" s="1572" t="n"/>
      <c r="CV1" s="1572" t="n"/>
      <c r="CW1" s="1572" t="n"/>
      <c r="CX1" s="1572" t="n"/>
      <c r="CY1" s="1572" t="n"/>
      <c r="CZ1" s="1572" t="n"/>
      <c r="DA1" s="1572" t="n"/>
      <c r="DB1" s="1572" t="n"/>
      <c r="DC1" s="1572" t="n"/>
      <c r="DD1" s="1572" t="n"/>
      <c r="DE1" s="1572" t="n"/>
      <c r="DF1" s="1572" t="n"/>
      <c r="DG1" s="1572" t="n"/>
      <c r="DH1" s="1572" t="n"/>
      <c r="DI1" s="1572" t="n"/>
      <c r="DJ1" s="1572" t="n"/>
      <c r="DK1" s="1572" t="n"/>
      <c r="DL1" s="1572" t="n"/>
      <c r="DM1" s="1572" t="n"/>
      <c r="DN1" s="1572" t="n"/>
      <c r="DO1" s="1572" t="n"/>
      <c r="DP1" s="1572" t="n"/>
      <c r="DQ1" s="1572" t="n"/>
      <c r="DR1" s="1572" t="n"/>
      <c r="DS1" s="1572" t="n"/>
      <c r="DT1" s="1572" t="n"/>
      <c r="DU1" s="1572" t="n"/>
      <c r="DV1" s="1572" t="n"/>
      <c r="DW1" s="1572" t="n"/>
      <c r="DX1" s="1572" t="n"/>
      <c r="DY1" s="1572" t="n"/>
      <c r="DZ1" s="1572" t="n"/>
      <c r="EA1" s="1572" t="n"/>
      <c r="EB1" s="1572" t="n"/>
      <c r="EC1" s="1572" t="n"/>
      <c r="ED1" s="1572" t="n"/>
      <c r="EE1" s="1572" t="n"/>
      <c r="EF1" s="1572" t="n"/>
      <c r="EG1" s="1572" t="n"/>
      <c r="EH1" s="1572" t="n"/>
      <c r="EI1" s="1572" t="n"/>
      <c r="EJ1" s="1572" t="n"/>
      <c r="EK1" s="1572" t="n"/>
      <c r="EL1" s="1572" t="n"/>
      <c r="EM1" s="1572" t="n"/>
      <c r="EN1" s="1572" t="n"/>
      <c r="EO1" s="1572" t="n"/>
      <c r="EP1" s="1572" t="n"/>
      <c r="EQ1" s="1572" t="n"/>
      <c r="ER1" s="1572" t="n"/>
      <c r="ES1" s="1572" t="n"/>
      <c r="ET1" s="1572" t="n"/>
      <c r="EU1" s="1572" t="n"/>
      <c r="EV1" s="1572" t="n"/>
      <c r="EW1" s="1572" t="n"/>
      <c r="EX1" s="1572" t="n"/>
      <c r="EY1" s="1572" t="n"/>
      <c r="EZ1" s="1572" t="n"/>
      <c r="FA1" s="1572" t="n"/>
      <c r="FB1" s="1572" t="n"/>
      <c r="FC1" s="1572" t="n"/>
      <c r="FD1" s="1572" t="n"/>
      <c r="FE1" s="1572" t="n"/>
      <c r="FF1" s="1572" t="n"/>
      <c r="FG1" s="1572" t="n"/>
      <c r="FH1" s="1572" t="n"/>
      <c r="FI1" s="1572" t="n"/>
      <c r="FJ1" s="1572" t="n"/>
      <c r="FK1" s="1572" t="n"/>
      <c r="FL1" s="1572" t="n"/>
      <c r="FM1" s="1572" t="n"/>
      <c r="FN1" s="1572" t="n"/>
      <c r="FO1" s="1572" t="n"/>
      <c r="FP1" s="1572" t="n"/>
      <c r="FQ1" s="1572" t="n"/>
      <c r="FR1" s="1572" t="n"/>
      <c r="FS1" s="1572" t="n"/>
      <c r="FT1" s="1572" t="n"/>
      <c r="FU1" s="1572" t="n"/>
      <c r="FV1" s="1572" t="n"/>
      <c r="FW1" s="1572" t="n"/>
      <c r="FX1" s="1572" t="n"/>
      <c r="FY1" s="1572" t="n"/>
      <c r="FZ1" s="1572" t="n"/>
      <c r="GA1" s="1572" t="n"/>
      <c r="GB1" s="1572" t="n"/>
      <c r="GC1" s="1572" t="n"/>
      <c r="GD1" s="1572" t="n"/>
      <c r="GE1" s="1572" t="n"/>
      <c r="GF1" s="1572" t="n"/>
      <c r="GG1" s="1572" t="n"/>
      <c r="GH1" s="1572" t="n"/>
      <c r="GI1" s="1572" t="n"/>
      <c r="GJ1" s="1572" t="n"/>
      <c r="GK1" s="1572" t="n"/>
      <c r="GL1" s="1572" t="n"/>
      <c r="GM1" s="1572" t="n"/>
      <c r="GN1" s="1572" t="n"/>
      <c r="GO1" s="1572" t="n"/>
      <c r="GP1" s="1572" t="n"/>
      <c r="GQ1" s="1572" t="n"/>
      <c r="GR1" s="1572" t="n"/>
      <c r="GS1" s="1572" t="n"/>
      <c r="GT1" s="1572" t="n"/>
      <c r="GU1" s="1572" t="n"/>
      <c r="GV1" s="1572" t="n"/>
      <c r="GW1" s="1572" t="n"/>
      <c r="GX1" s="1572" t="n"/>
      <c r="GY1" s="1572" t="n"/>
      <c r="GZ1" s="1572" t="n"/>
      <c r="HA1" s="1572" t="n"/>
      <c r="HB1" s="1572" t="n"/>
      <c r="HC1" s="1572" t="n"/>
      <c r="HD1" s="1572" t="n"/>
      <c r="HE1" s="1572" t="n"/>
      <c r="HF1" s="1572" t="n"/>
      <c r="HG1" s="1572" t="n"/>
      <c r="HH1" s="1572" t="n"/>
      <c r="HI1" s="1572" t="n"/>
      <c r="HJ1" s="1572" t="n"/>
      <c r="HK1" s="1572" t="n"/>
      <c r="HL1" s="1572" t="n"/>
      <c r="HM1" s="1572" t="n"/>
      <c r="HN1" s="1572" t="n"/>
      <c r="HO1" s="1572" t="n"/>
      <c r="HP1" s="1572" t="n"/>
      <c r="HQ1" s="1572" t="n"/>
      <c r="HR1" s="1572" t="n"/>
      <c r="HS1" s="1572" t="n"/>
      <c r="HT1" s="1572" t="n"/>
      <c r="HU1" s="1572" t="n"/>
      <c r="HV1" s="1572" t="n"/>
      <c r="HW1" s="1572" t="n"/>
      <c r="HX1" s="1572" t="n"/>
      <c r="HY1" s="1572" t="n"/>
      <c r="HZ1" s="1572" t="n"/>
      <c r="IA1" s="1572" t="n"/>
      <c r="IB1" s="1572" t="n"/>
      <c r="IC1" s="1572" t="n"/>
      <c r="ID1" s="1572" t="n"/>
      <c r="IE1" s="1572" t="n"/>
      <c r="IF1" s="1572" t="n"/>
      <c r="IG1" s="1572" t="n"/>
      <c r="IH1" s="1572" t="n"/>
      <c r="II1" s="1572" t="n"/>
      <c r="IJ1" s="1572" t="n"/>
      <c r="IK1" s="1572" t="n"/>
      <c r="IL1" s="1572" t="n"/>
      <c r="IM1" s="1572" t="n"/>
      <c r="IN1" s="1572" t="n"/>
      <c r="IO1" s="1572" t="n"/>
      <c r="IP1" s="1572" t="n"/>
      <c r="IQ1" s="1572" t="n"/>
      <c r="IR1" s="1572" t="n"/>
      <c r="IS1" s="1572" t="n"/>
      <c r="IT1" s="1572" t="n"/>
      <c r="IU1" s="1572" t="n"/>
      <c r="IV1" s="1572" t="n"/>
      <c r="IW1" s="1572" t="n"/>
    </row>
    <row r="2" ht="14.5" customHeight="1" s="1354">
      <c r="A2" s="1572" t="n"/>
      <c r="B2" s="1572" t="n"/>
      <c r="C2" s="1572" t="n"/>
      <c r="D2" s="1572" t="n"/>
      <c r="E2" s="1572" t="n"/>
      <c r="F2" s="1572" t="n"/>
      <c r="G2" s="1572" t="n"/>
      <c r="H2" s="1572" t="n"/>
      <c r="I2" s="1572" t="n"/>
      <c r="J2" s="1572" t="n"/>
      <c r="K2" s="1572" t="n"/>
      <c r="L2" s="1572" t="n"/>
      <c r="M2" s="1572" t="n"/>
      <c r="N2" s="1572" t="n"/>
      <c r="O2" s="1572" t="n"/>
      <c r="P2" s="1572" t="n"/>
      <c r="Q2" s="1572" t="n"/>
      <c r="R2" s="1572" t="n"/>
      <c r="S2" s="1572" t="n"/>
      <c r="T2" s="1572" t="n"/>
      <c r="U2" s="1572" t="n"/>
      <c r="V2" s="1572" t="n"/>
      <c r="W2" s="1572" t="n"/>
      <c r="X2" s="1572" t="n"/>
      <c r="Y2" s="1572" t="n"/>
      <c r="Z2" s="1572" t="n"/>
      <c r="AA2" s="1572" t="n"/>
      <c r="AB2" s="1572" t="n"/>
      <c r="AC2" s="1572" t="n"/>
      <c r="AD2" s="1572" t="n"/>
      <c r="AE2" s="1572" t="n"/>
      <c r="AF2" s="1572" t="n"/>
      <c r="AG2" s="1572" t="n"/>
      <c r="AH2" s="1572" t="n"/>
      <c r="AI2" s="1572" t="n"/>
      <c r="AJ2" s="1572" t="n"/>
      <c r="AK2" s="1572" t="n"/>
      <c r="AL2" s="1572" t="n"/>
      <c r="AM2" s="1572" t="n"/>
      <c r="AN2" s="1572" t="n"/>
      <c r="AO2" s="1572" t="n"/>
      <c r="AP2" s="1572" t="n"/>
      <c r="AQ2" s="1572" t="n"/>
      <c r="AR2" s="1572" t="n"/>
      <c r="AS2" s="1572" t="n"/>
      <c r="AT2" s="1572" t="n"/>
      <c r="AU2" s="1572" t="n"/>
      <c r="AV2" s="1572" t="n"/>
      <c r="AW2" s="1572" t="n"/>
      <c r="AX2" s="1572" t="n"/>
      <c r="AY2" s="1572" t="n"/>
      <c r="AZ2" s="1572" t="n"/>
      <c r="BA2" s="1572" t="n"/>
      <c r="BB2" s="1572" t="n"/>
      <c r="BC2" s="1572" t="n"/>
      <c r="BD2" s="1572" t="n"/>
      <c r="BE2" s="1572" t="n"/>
      <c r="BF2" s="1572" t="n"/>
      <c r="BG2" s="1572" t="n"/>
      <c r="BH2" s="1572" t="n"/>
      <c r="BI2" s="1572" t="n"/>
      <c r="BJ2" s="1572" t="n"/>
      <c r="BK2" s="1572" t="n"/>
      <c r="BL2" s="1572" t="n"/>
      <c r="BM2" s="1572" t="n"/>
      <c r="BN2" s="1572" t="n"/>
      <c r="BO2" s="1572" t="n"/>
      <c r="BP2" s="1572" t="n"/>
      <c r="BQ2" s="1572" t="n"/>
      <c r="BR2" s="1572" t="n"/>
      <c r="BS2" s="1572" t="n"/>
      <c r="BT2" s="1572" t="n"/>
      <c r="BU2" s="1572" t="n"/>
      <c r="BV2" s="1572" t="n"/>
      <c r="BW2" s="1572" t="n"/>
      <c r="BX2" s="1572" t="n"/>
      <c r="BY2" s="1572" t="n"/>
      <c r="BZ2" s="1572" t="n"/>
      <c r="CA2" s="1572" t="n"/>
      <c r="CB2" s="1572" t="n"/>
      <c r="CC2" s="1572" t="n"/>
      <c r="CD2" s="1572" t="n"/>
      <c r="CE2" s="1572" t="n"/>
      <c r="CF2" s="1572" t="n"/>
      <c r="CG2" s="1572" t="n"/>
      <c r="CH2" s="1572" t="n"/>
      <c r="CI2" s="1572" t="n"/>
      <c r="CJ2" s="1572" t="n"/>
      <c r="CK2" s="1572" t="n"/>
      <c r="CL2" s="1572" t="n"/>
      <c r="CM2" s="1572" t="n"/>
      <c r="CN2" s="1572" t="n"/>
      <c r="CO2" s="1572" t="n"/>
      <c r="CP2" s="1572" t="n"/>
      <c r="CQ2" s="1572" t="n"/>
      <c r="CR2" s="1572" t="n"/>
      <c r="CS2" s="1572" t="n"/>
      <c r="CT2" s="1572" t="n"/>
      <c r="CU2" s="1572" t="n"/>
      <c r="CV2" s="1572" t="n"/>
      <c r="CW2" s="1572" t="n"/>
      <c r="CX2" s="1572" t="n"/>
      <c r="CY2" s="1572" t="n"/>
      <c r="CZ2" s="1572" t="n"/>
      <c r="DA2" s="1572" t="n"/>
      <c r="DB2" s="1572" t="n"/>
      <c r="DC2" s="1572" t="n"/>
      <c r="DD2" s="1572" t="n"/>
      <c r="DE2" s="1572" t="n"/>
      <c r="DF2" s="1572" t="n"/>
      <c r="DG2" s="1572" t="n"/>
      <c r="DH2" s="1572" t="n"/>
      <c r="DI2" s="1572" t="n"/>
      <c r="DJ2" s="1572" t="n"/>
      <c r="DK2" s="1572" t="n"/>
      <c r="DL2" s="1572" t="n"/>
      <c r="DM2" s="1572" t="n"/>
      <c r="DN2" s="1572" t="n"/>
      <c r="DO2" s="1572" t="n"/>
      <c r="DP2" s="1572" t="n"/>
      <c r="DQ2" s="1572" t="n"/>
      <c r="DR2" s="1572" t="n"/>
      <c r="DS2" s="1572" t="n"/>
      <c r="DT2" s="1572" t="n"/>
      <c r="DU2" s="1572" t="n"/>
      <c r="DV2" s="1572" t="n"/>
      <c r="DW2" s="1572" t="n"/>
      <c r="DX2" s="1572" t="n"/>
      <c r="DY2" s="1572" t="n"/>
      <c r="DZ2" s="1572" t="n"/>
      <c r="EA2" s="1572" t="n"/>
      <c r="EB2" s="1572" t="n"/>
      <c r="EC2" s="1572" t="n"/>
      <c r="ED2" s="1572" t="n"/>
      <c r="EE2" s="1572" t="n"/>
      <c r="EF2" s="1572" t="n"/>
      <c r="EG2" s="1572" t="n"/>
      <c r="EH2" s="1572" t="n"/>
      <c r="EI2" s="1572" t="n"/>
      <c r="EJ2" s="1572" t="n"/>
      <c r="EK2" s="1572" t="n"/>
      <c r="EL2" s="1572" t="n"/>
      <c r="EM2" s="1572" t="n"/>
      <c r="EN2" s="1572" t="n"/>
      <c r="EO2" s="1572" t="n"/>
      <c r="EP2" s="1572" t="n"/>
      <c r="EQ2" s="1572" t="n"/>
      <c r="ER2" s="1572" t="n"/>
      <c r="ES2" s="1572" t="n"/>
      <c r="ET2" s="1572" t="n"/>
      <c r="EU2" s="1572" t="n"/>
      <c r="EV2" s="1572" t="n"/>
      <c r="EW2" s="1572" t="n"/>
      <c r="EX2" s="1572" t="n"/>
      <c r="EY2" s="1572" t="n"/>
      <c r="EZ2" s="1572" t="n"/>
      <c r="FA2" s="1572" t="n"/>
      <c r="FB2" s="1572" t="n"/>
      <c r="FC2" s="1572" t="n"/>
      <c r="FD2" s="1572" t="n"/>
      <c r="FE2" s="1572" t="n"/>
      <c r="FF2" s="1572" t="n"/>
      <c r="FG2" s="1572" t="n"/>
      <c r="FH2" s="1572" t="n"/>
      <c r="FI2" s="1572" t="n"/>
      <c r="FJ2" s="1572" t="n"/>
      <c r="FK2" s="1572" t="n"/>
      <c r="FL2" s="1572" t="n"/>
      <c r="FM2" s="1572" t="n"/>
      <c r="FN2" s="1572" t="n"/>
      <c r="FO2" s="1572" t="n"/>
      <c r="FP2" s="1572" t="n"/>
      <c r="FQ2" s="1572" t="n"/>
      <c r="FR2" s="1572" t="n"/>
      <c r="FS2" s="1572" t="n"/>
      <c r="FT2" s="1572" t="n"/>
      <c r="FU2" s="1572" t="n"/>
      <c r="FV2" s="1572" t="n"/>
      <c r="FW2" s="1572" t="n"/>
      <c r="FX2" s="1572" t="n"/>
      <c r="FY2" s="1572" t="n"/>
      <c r="FZ2" s="1572" t="n"/>
      <c r="GA2" s="1572" t="n"/>
      <c r="GB2" s="1572" t="n"/>
      <c r="GC2" s="1572" t="n"/>
      <c r="GD2" s="1572" t="n"/>
      <c r="GE2" s="1572" t="n"/>
      <c r="GF2" s="1572" t="n"/>
      <c r="GG2" s="1572" t="n"/>
      <c r="GH2" s="1572" t="n"/>
      <c r="GI2" s="1572" t="n"/>
      <c r="GJ2" s="1572" t="n"/>
      <c r="GK2" s="1572" t="n"/>
      <c r="GL2" s="1572" t="n"/>
      <c r="GM2" s="1572" t="n"/>
      <c r="GN2" s="1572" t="n"/>
      <c r="GO2" s="1572" t="n"/>
      <c r="GP2" s="1572" t="n"/>
      <c r="GQ2" s="1572" t="n"/>
      <c r="GR2" s="1572" t="n"/>
      <c r="GS2" s="1572" t="n"/>
      <c r="GT2" s="1572" t="n"/>
      <c r="GU2" s="1572" t="n"/>
      <c r="GV2" s="1572" t="n"/>
      <c r="GW2" s="1572" t="n"/>
      <c r="GX2" s="1572" t="n"/>
      <c r="GY2" s="1572" t="n"/>
      <c r="GZ2" s="1572" t="n"/>
      <c r="HA2" s="1572" t="n"/>
      <c r="HB2" s="1572" t="n"/>
      <c r="HC2" s="1572" t="n"/>
      <c r="HD2" s="1572" t="n"/>
      <c r="HE2" s="1572" t="n"/>
      <c r="HF2" s="1572" t="n"/>
      <c r="HG2" s="1572" t="n"/>
      <c r="HH2" s="1572" t="n"/>
      <c r="HI2" s="1572" t="n"/>
      <c r="HJ2" s="1572" t="n"/>
      <c r="HK2" s="1572" t="n"/>
      <c r="HL2" s="1572" t="n"/>
      <c r="HM2" s="1572" t="n"/>
      <c r="HN2" s="1572" t="n"/>
      <c r="HO2" s="1572" t="n"/>
      <c r="HP2" s="1572" t="n"/>
      <c r="HQ2" s="1572" t="n"/>
      <c r="HR2" s="1572" t="n"/>
      <c r="HS2" s="1572" t="n"/>
      <c r="HT2" s="1572" t="n"/>
      <c r="HU2" s="1572" t="n"/>
      <c r="HV2" s="1572" t="n"/>
      <c r="HW2" s="1572" t="n"/>
      <c r="HX2" s="1572" t="n"/>
      <c r="HY2" s="1572" t="n"/>
      <c r="HZ2" s="1572" t="n"/>
      <c r="IA2" s="1572" t="n"/>
      <c r="IB2" s="1572" t="n"/>
      <c r="IC2" s="1572" t="n"/>
      <c r="ID2" s="1572" t="n"/>
      <c r="IE2" s="1572" t="n"/>
      <c r="IF2" s="1572" t="n"/>
      <c r="IG2" s="1572" t="n"/>
      <c r="IH2" s="1572" t="n"/>
      <c r="II2" s="1572" t="n"/>
      <c r="IJ2" s="1572" t="n"/>
      <c r="IK2" s="1572" t="n"/>
      <c r="IL2" s="1572" t="n"/>
      <c r="IM2" s="1572" t="n"/>
      <c r="IN2" s="1572" t="n"/>
      <c r="IO2" s="1572" t="n"/>
      <c r="IP2" s="1572" t="n"/>
      <c r="IQ2" s="1572" t="n"/>
      <c r="IR2" s="1572" t="n"/>
      <c r="IS2" s="1572" t="n"/>
      <c r="IT2" s="1572" t="n"/>
      <c r="IU2" s="1572" t="n"/>
      <c r="IV2" s="1572" t="n"/>
      <c r="IW2" s="1572" t="n"/>
    </row>
    <row r="3" ht="14.5" customHeight="1" s="1354">
      <c r="A3" s="1572" t="n"/>
      <c r="B3" s="1572" t="n"/>
      <c r="C3" s="1572" t="n"/>
      <c r="D3" s="1572" t="n"/>
      <c r="E3" s="1572" t="n"/>
      <c r="F3" s="1572" t="n"/>
      <c r="G3" s="1572" t="n"/>
      <c r="H3" s="1572" t="n"/>
      <c r="I3" s="1572" t="n"/>
      <c r="J3" s="1572" t="n"/>
      <c r="K3" s="1572" t="n"/>
      <c r="L3" s="1572" t="n"/>
      <c r="M3" s="1572" t="n"/>
      <c r="N3" s="1572" t="n"/>
      <c r="O3" s="1572" t="n"/>
      <c r="P3" s="1572" t="n"/>
      <c r="Q3" s="1572" t="n"/>
      <c r="R3" s="1572" t="n"/>
      <c r="S3" s="1572" t="n"/>
      <c r="T3" s="1572" t="n"/>
      <c r="U3" s="1572" t="n"/>
      <c r="V3" s="1572" t="n"/>
      <c r="W3" s="1572" t="n"/>
      <c r="X3" s="1572" t="n"/>
      <c r="Y3" s="1572" t="n"/>
      <c r="Z3" s="1572" t="n"/>
      <c r="AA3" s="1572" t="n"/>
      <c r="AB3" s="1572" t="n"/>
      <c r="AC3" s="1572" t="n"/>
      <c r="AD3" s="1572" t="n"/>
      <c r="AE3" s="1572" t="n"/>
      <c r="AF3" s="1572" t="n"/>
      <c r="AG3" s="1572" t="n"/>
      <c r="AH3" s="1572" t="n"/>
      <c r="AI3" s="1572" t="n"/>
      <c r="AJ3" s="1572" t="n"/>
      <c r="AK3" s="1572" t="n"/>
      <c r="AL3" s="1572" t="n"/>
      <c r="AM3" s="1572" t="n"/>
      <c r="AN3" s="1572" t="n"/>
      <c r="AO3" s="1572" t="n"/>
      <c r="AP3" s="1572" t="n"/>
      <c r="AQ3" s="1572" t="n"/>
      <c r="AR3" s="1572" t="n"/>
      <c r="AS3" s="1572" t="n"/>
      <c r="AT3" s="1572" t="n"/>
      <c r="AU3" s="1572" t="n"/>
      <c r="AV3" s="1572" t="n"/>
      <c r="AW3" s="1572" t="n"/>
      <c r="AX3" s="1572" t="n"/>
      <c r="AY3" s="1572" t="n"/>
      <c r="AZ3" s="1572" t="n"/>
      <c r="BA3" s="1572" t="n"/>
      <c r="BB3" s="1572" t="n"/>
      <c r="BC3" s="1572" t="n"/>
      <c r="BD3" s="1572" t="n"/>
      <c r="BE3" s="1572" t="n"/>
      <c r="BF3" s="1572" t="n"/>
      <c r="BG3" s="1572" t="n"/>
      <c r="BH3" s="1572" t="n"/>
      <c r="BI3" s="1572" t="n"/>
      <c r="BJ3" s="1572" t="n"/>
      <c r="BK3" s="1572" t="n"/>
      <c r="BL3" s="1572" t="n"/>
      <c r="BM3" s="1572" t="n"/>
      <c r="BN3" s="1572" t="n"/>
      <c r="BO3" s="1572" t="n"/>
      <c r="BP3" s="1572" t="n"/>
      <c r="BQ3" s="1572" t="n"/>
      <c r="BR3" s="1572" t="n"/>
      <c r="BS3" s="1572" t="n"/>
      <c r="BT3" s="1572" t="n"/>
      <c r="BU3" s="1572" t="n"/>
      <c r="BV3" s="1572" t="n"/>
      <c r="BW3" s="1572" t="n"/>
      <c r="BX3" s="1572" t="n"/>
      <c r="BY3" s="1572" t="n"/>
      <c r="BZ3" s="1572" t="n"/>
      <c r="CA3" s="1572" t="n"/>
      <c r="CB3" s="1572" t="n"/>
      <c r="CC3" s="1572" t="n"/>
      <c r="CD3" s="1572" t="n"/>
      <c r="CE3" s="1572" t="n"/>
      <c r="CF3" s="1572" t="n"/>
      <c r="CG3" s="1572" t="n"/>
      <c r="CH3" s="1572" t="n"/>
      <c r="CI3" s="1572" t="n"/>
      <c r="CJ3" s="1572" t="n"/>
      <c r="CK3" s="1572" t="n"/>
      <c r="CL3" s="1572" t="n"/>
      <c r="CM3" s="1572" t="n"/>
      <c r="CN3" s="1572" t="n"/>
      <c r="CO3" s="1572" t="n"/>
      <c r="CP3" s="1572" t="n"/>
      <c r="CQ3" s="1572" t="n"/>
      <c r="CR3" s="1572" t="n"/>
      <c r="CS3" s="1572" t="n"/>
      <c r="CT3" s="1572" t="n"/>
      <c r="CU3" s="1572" t="n"/>
      <c r="CV3" s="1572" t="n"/>
      <c r="CW3" s="1572" t="n"/>
      <c r="CX3" s="1572" t="n"/>
      <c r="CY3" s="1572" t="n"/>
      <c r="CZ3" s="1572" t="n"/>
      <c r="DA3" s="1572" t="n"/>
      <c r="DB3" s="1572" t="n"/>
      <c r="DC3" s="1572" t="n"/>
      <c r="DD3" s="1572" t="n"/>
      <c r="DE3" s="1572" t="n"/>
      <c r="DF3" s="1572" t="n"/>
      <c r="DG3" s="1572" t="n"/>
      <c r="DH3" s="1572" t="n"/>
      <c r="DI3" s="1572" t="n"/>
      <c r="DJ3" s="1572" t="n"/>
      <c r="DK3" s="1572" t="n"/>
      <c r="DL3" s="1572" t="n"/>
      <c r="DM3" s="1572" t="n"/>
      <c r="DN3" s="1572" t="n"/>
      <c r="DO3" s="1572" t="n"/>
      <c r="DP3" s="1572" t="n"/>
      <c r="DQ3" s="1572" t="n"/>
      <c r="DR3" s="1572" t="n"/>
      <c r="DS3" s="1572" t="n"/>
      <c r="DT3" s="1572" t="n"/>
      <c r="DU3" s="1572" t="n"/>
      <c r="DV3" s="1572" t="n"/>
      <c r="DW3" s="1572" t="n"/>
      <c r="DX3" s="1572" t="n"/>
      <c r="DY3" s="1572" t="n"/>
      <c r="DZ3" s="1572" t="n"/>
      <c r="EA3" s="1572" t="n"/>
      <c r="EB3" s="1572" t="n"/>
      <c r="EC3" s="1572" t="n"/>
      <c r="ED3" s="1572" t="n"/>
      <c r="EE3" s="1572" t="n"/>
      <c r="EF3" s="1572" t="n"/>
      <c r="EG3" s="1572" t="n"/>
      <c r="EH3" s="1572" t="n"/>
      <c r="EI3" s="1572" t="n"/>
      <c r="EJ3" s="1572" t="n"/>
      <c r="EK3" s="1572" t="n"/>
      <c r="EL3" s="1572" t="n"/>
      <c r="EM3" s="1572" t="n"/>
      <c r="EN3" s="1572" t="n"/>
      <c r="EO3" s="1572" t="n"/>
      <c r="EP3" s="1572" t="n"/>
      <c r="EQ3" s="1572" t="n"/>
      <c r="ER3" s="1572" t="n"/>
      <c r="ES3" s="1572" t="n"/>
      <c r="ET3" s="1572" t="n"/>
      <c r="EU3" s="1572" t="n"/>
      <c r="EV3" s="1572" t="n"/>
      <c r="EW3" s="1572" t="n"/>
      <c r="EX3" s="1572" t="n"/>
      <c r="EY3" s="1572" t="n"/>
      <c r="EZ3" s="1572" t="n"/>
      <c r="FA3" s="1572" t="n"/>
      <c r="FB3" s="1572" t="n"/>
      <c r="FC3" s="1572" t="n"/>
      <c r="FD3" s="1572" t="n"/>
      <c r="FE3" s="1572" t="n"/>
      <c r="FF3" s="1572" t="n"/>
      <c r="FG3" s="1572" t="n"/>
      <c r="FH3" s="1572" t="n"/>
      <c r="FI3" s="1572" t="n"/>
      <c r="FJ3" s="1572" t="n"/>
      <c r="FK3" s="1572" t="n"/>
      <c r="FL3" s="1572" t="n"/>
      <c r="FM3" s="1572" t="n"/>
      <c r="FN3" s="1572" t="n"/>
      <c r="FO3" s="1572" t="n"/>
      <c r="FP3" s="1572" t="n"/>
      <c r="FQ3" s="1572" t="n"/>
      <c r="FR3" s="1572" t="n"/>
      <c r="FS3" s="1572" t="n"/>
      <c r="FT3" s="1572" t="n"/>
      <c r="FU3" s="1572" t="n"/>
      <c r="FV3" s="1572" t="n"/>
      <c r="FW3" s="1572" t="n"/>
      <c r="FX3" s="1572" t="n"/>
      <c r="FY3" s="1572" t="n"/>
      <c r="FZ3" s="1572" t="n"/>
      <c r="GA3" s="1572" t="n"/>
      <c r="GB3" s="1572" t="n"/>
      <c r="GC3" s="1572" t="n"/>
      <c r="GD3" s="1572" t="n"/>
      <c r="GE3" s="1572" t="n"/>
      <c r="GF3" s="1572" t="n"/>
      <c r="GG3" s="1572" t="n"/>
      <c r="GH3" s="1572" t="n"/>
      <c r="GI3" s="1572" t="n"/>
      <c r="GJ3" s="1572" t="n"/>
      <c r="GK3" s="1572" t="n"/>
      <c r="GL3" s="1572" t="n"/>
      <c r="GM3" s="1572" t="n"/>
      <c r="GN3" s="1572" t="n"/>
      <c r="GO3" s="1572" t="n"/>
      <c r="GP3" s="1572" t="n"/>
      <c r="GQ3" s="1572" t="n"/>
      <c r="GR3" s="1572" t="n"/>
      <c r="GS3" s="1572" t="n"/>
      <c r="GT3" s="1572" t="n"/>
      <c r="GU3" s="1572" t="n"/>
      <c r="GV3" s="1572" t="n"/>
      <c r="GW3" s="1572" t="n"/>
      <c r="GX3" s="1572" t="n"/>
      <c r="GY3" s="1572" t="n"/>
      <c r="GZ3" s="1572" t="n"/>
      <c r="HA3" s="1572" t="n"/>
      <c r="HB3" s="1572" t="n"/>
      <c r="HC3" s="1572" t="n"/>
      <c r="HD3" s="1572" t="n"/>
      <c r="HE3" s="1572" t="n"/>
      <c r="HF3" s="1572" t="n"/>
      <c r="HG3" s="1572" t="n"/>
      <c r="HH3" s="1572" t="n"/>
      <c r="HI3" s="1572" t="n"/>
      <c r="HJ3" s="1572" t="n"/>
      <c r="HK3" s="1572" t="n"/>
      <c r="HL3" s="1572" t="n"/>
      <c r="HM3" s="1572" t="n"/>
      <c r="HN3" s="1572" t="n"/>
      <c r="HO3" s="1572" t="n"/>
      <c r="HP3" s="1572" t="n"/>
      <c r="HQ3" s="1572" t="n"/>
      <c r="HR3" s="1572" t="n"/>
      <c r="HS3" s="1572" t="n"/>
      <c r="HT3" s="1572" t="n"/>
      <c r="HU3" s="1572" t="n"/>
      <c r="HV3" s="1572" t="n"/>
      <c r="HW3" s="1572" t="n"/>
      <c r="HX3" s="1572" t="n"/>
      <c r="HY3" s="1572" t="n"/>
      <c r="HZ3" s="1572" t="n"/>
      <c r="IA3" s="1572" t="n"/>
      <c r="IB3" s="1572" t="n"/>
      <c r="IC3" s="1572" t="n"/>
      <c r="ID3" s="1572" t="n"/>
      <c r="IE3" s="1572" t="n"/>
      <c r="IF3" s="1572" t="n"/>
      <c r="IG3" s="1572" t="n"/>
      <c r="IH3" s="1572" t="n"/>
      <c r="II3" s="1572" t="n"/>
      <c r="IJ3" s="1572" t="n"/>
      <c r="IK3" s="1572" t="n"/>
      <c r="IL3" s="1572" t="n"/>
      <c r="IM3" s="1572" t="n"/>
      <c r="IN3" s="1572" t="n"/>
      <c r="IO3" s="1572" t="n"/>
      <c r="IP3" s="1572" t="n"/>
      <c r="IQ3" s="1572" t="n"/>
      <c r="IR3" s="1572" t="n"/>
      <c r="IS3" s="1572" t="n"/>
      <c r="IT3" s="1572" t="n"/>
      <c r="IU3" s="1572" t="n"/>
      <c r="IV3" s="1572" t="n"/>
      <c r="IW3" s="1572" t="n"/>
    </row>
    <row r="4" ht="14.5" customHeight="1" s="1354">
      <c r="A4" s="1748" t="inlineStr">
        <is>
          <t>Désignation entité : ENTREPRISE TEST SARL</t>
        </is>
      </c>
      <c r="C4" s="1591" t="inlineStr">
        <is>
          <t>Exercice clos le : 31/12/2025</t>
        </is>
      </c>
      <c r="D4" s="1578" t="n"/>
      <c r="E4" s="1572" t="n"/>
      <c r="F4" s="1572" t="n"/>
      <c r="G4" s="1572" t="n"/>
      <c r="H4" s="1572" t="n"/>
      <c r="I4" s="1572" t="n"/>
      <c r="J4" s="1572" t="n"/>
      <c r="K4" s="1572" t="n"/>
      <c r="L4" s="1572" t="n"/>
      <c r="M4" s="1572" t="n"/>
      <c r="N4" s="1572" t="n"/>
      <c r="O4" s="1572" t="n"/>
      <c r="P4" s="1572" t="n"/>
      <c r="Q4" s="1572" t="n"/>
      <c r="R4" s="1572" t="n"/>
      <c r="S4" s="1572" t="n"/>
      <c r="T4" s="1572" t="n"/>
      <c r="U4" s="1572" t="n"/>
      <c r="V4" s="1572" t="n"/>
      <c r="W4" s="1572" t="n"/>
      <c r="X4" s="1572" t="n"/>
      <c r="Y4" s="1572" t="n"/>
      <c r="Z4" s="1572" t="n"/>
      <c r="AA4" s="1572" t="n"/>
      <c r="AB4" s="1572" t="n"/>
      <c r="AC4" s="1572" t="n"/>
      <c r="AD4" s="1572" t="n"/>
      <c r="AE4" s="1572" t="n"/>
      <c r="AF4" s="1572" t="n"/>
      <c r="AG4" s="1572" t="n"/>
      <c r="AH4" s="1572" t="n"/>
      <c r="AI4" s="1572" t="n"/>
      <c r="AJ4" s="1572" t="n"/>
      <c r="AK4" s="1572" t="n"/>
      <c r="AL4" s="1572" t="n"/>
      <c r="AM4" s="1572" t="n"/>
      <c r="AN4" s="1572" t="n"/>
      <c r="AO4" s="1572" t="n"/>
      <c r="AP4" s="1572" t="n"/>
      <c r="AQ4" s="1572" t="n"/>
      <c r="AR4" s="1572" t="n"/>
      <c r="AS4" s="1572" t="n"/>
      <c r="AT4" s="1572" t="n"/>
      <c r="AU4" s="1572" t="n"/>
      <c r="AV4" s="1572" t="n"/>
      <c r="AW4" s="1572" t="n"/>
      <c r="AX4" s="1572" t="n"/>
      <c r="AY4" s="1572" t="n"/>
      <c r="AZ4" s="1572" t="n"/>
      <c r="BA4" s="1572" t="n"/>
      <c r="BB4" s="1572" t="n"/>
      <c r="BC4" s="1572" t="n"/>
      <c r="BD4" s="1572" t="n"/>
      <c r="BE4" s="1572" t="n"/>
      <c r="BF4" s="1572" t="n"/>
      <c r="BG4" s="1572" t="n"/>
      <c r="BH4" s="1572" t="n"/>
      <c r="BI4" s="1572" t="n"/>
      <c r="BJ4" s="1572" t="n"/>
      <c r="BK4" s="1572" t="n"/>
      <c r="BL4" s="1572" t="n"/>
      <c r="BM4" s="1572" t="n"/>
      <c r="BN4" s="1572" t="n"/>
      <c r="BO4" s="1572" t="n"/>
      <c r="BP4" s="1572" t="n"/>
      <c r="BQ4" s="1572" t="n"/>
      <c r="BR4" s="1572" t="n"/>
      <c r="BS4" s="1572" t="n"/>
      <c r="BT4" s="1572" t="n"/>
      <c r="BU4" s="1572" t="n"/>
      <c r="BV4" s="1572" t="n"/>
      <c r="BW4" s="1572" t="n"/>
      <c r="BX4" s="1572" t="n"/>
      <c r="BY4" s="1572" t="n"/>
      <c r="BZ4" s="1572" t="n"/>
      <c r="CA4" s="1572" t="n"/>
      <c r="CB4" s="1572" t="n"/>
      <c r="CC4" s="1572" t="n"/>
      <c r="CD4" s="1572" t="n"/>
      <c r="CE4" s="1572" t="n"/>
      <c r="CF4" s="1572" t="n"/>
      <c r="CG4" s="1572" t="n"/>
      <c r="CH4" s="1572" t="n"/>
      <c r="CI4" s="1572" t="n"/>
      <c r="CJ4" s="1572" t="n"/>
      <c r="CK4" s="1572" t="n"/>
      <c r="CL4" s="1572" t="n"/>
      <c r="CM4" s="1572" t="n"/>
      <c r="CN4" s="1572" t="n"/>
      <c r="CO4" s="1572" t="n"/>
      <c r="CP4" s="1572" t="n"/>
      <c r="CQ4" s="1572" t="n"/>
      <c r="CR4" s="1572" t="n"/>
      <c r="CS4" s="1572" t="n"/>
      <c r="CT4" s="1572" t="n"/>
      <c r="CU4" s="1572" t="n"/>
      <c r="CV4" s="1572" t="n"/>
      <c r="CW4" s="1572" t="n"/>
      <c r="CX4" s="1572" t="n"/>
      <c r="CY4" s="1572" t="n"/>
      <c r="CZ4" s="1572" t="n"/>
      <c r="DA4" s="1572" t="n"/>
      <c r="DB4" s="1572" t="n"/>
      <c r="DC4" s="1572" t="n"/>
      <c r="DD4" s="1572" t="n"/>
      <c r="DE4" s="1572" t="n"/>
      <c r="DF4" s="1572" t="n"/>
      <c r="DG4" s="1572" t="n"/>
      <c r="DH4" s="1572" t="n"/>
      <c r="DI4" s="1572" t="n"/>
      <c r="DJ4" s="1572" t="n"/>
      <c r="DK4" s="1572" t="n"/>
      <c r="DL4" s="1572" t="n"/>
      <c r="DM4" s="1572" t="n"/>
      <c r="DN4" s="1572" t="n"/>
      <c r="DO4" s="1572" t="n"/>
      <c r="DP4" s="1572" t="n"/>
      <c r="DQ4" s="1572" t="n"/>
      <c r="DR4" s="1572" t="n"/>
      <c r="DS4" s="1572" t="n"/>
      <c r="DT4" s="1572" t="n"/>
      <c r="DU4" s="1572" t="n"/>
      <c r="DV4" s="1572" t="n"/>
      <c r="DW4" s="1572" t="n"/>
      <c r="DX4" s="1572" t="n"/>
      <c r="DY4" s="1572" t="n"/>
      <c r="DZ4" s="1572" t="n"/>
      <c r="EA4" s="1572" t="n"/>
      <c r="EB4" s="1572" t="n"/>
      <c r="EC4" s="1572" t="n"/>
      <c r="ED4" s="1572" t="n"/>
      <c r="EE4" s="1572" t="n"/>
      <c r="EF4" s="1572" t="n"/>
      <c r="EG4" s="1572" t="n"/>
      <c r="EH4" s="1572" t="n"/>
      <c r="EI4" s="1572" t="n"/>
      <c r="EJ4" s="1572" t="n"/>
      <c r="EK4" s="1572" t="n"/>
      <c r="EL4" s="1572" t="n"/>
      <c r="EM4" s="1572" t="n"/>
      <c r="EN4" s="1572" t="n"/>
      <c r="EO4" s="1572" t="n"/>
      <c r="EP4" s="1572" t="n"/>
      <c r="EQ4" s="1572" t="n"/>
      <c r="ER4" s="1572" t="n"/>
      <c r="ES4" s="1572" t="n"/>
      <c r="ET4" s="1572" t="n"/>
      <c r="EU4" s="1572" t="n"/>
      <c r="EV4" s="1572" t="n"/>
      <c r="EW4" s="1572" t="n"/>
      <c r="EX4" s="1572" t="n"/>
      <c r="EY4" s="1572" t="n"/>
      <c r="EZ4" s="1572" t="n"/>
      <c r="FA4" s="1572" t="n"/>
      <c r="FB4" s="1572" t="n"/>
      <c r="FC4" s="1572" t="n"/>
      <c r="FD4" s="1572" t="n"/>
      <c r="FE4" s="1572" t="n"/>
      <c r="FF4" s="1572" t="n"/>
      <c r="FG4" s="1572" t="n"/>
      <c r="FH4" s="1572" t="n"/>
      <c r="FI4" s="1572" t="n"/>
      <c r="FJ4" s="1572" t="n"/>
      <c r="FK4" s="1572" t="n"/>
      <c r="FL4" s="1572" t="n"/>
      <c r="FM4" s="1572" t="n"/>
      <c r="FN4" s="1572" t="n"/>
      <c r="FO4" s="1572" t="n"/>
      <c r="FP4" s="1572" t="n"/>
      <c r="FQ4" s="1572" t="n"/>
      <c r="FR4" s="1572" t="n"/>
      <c r="FS4" s="1572" t="n"/>
      <c r="FT4" s="1572" t="n"/>
      <c r="FU4" s="1572" t="n"/>
      <c r="FV4" s="1572" t="n"/>
      <c r="FW4" s="1572" t="n"/>
      <c r="FX4" s="1572" t="n"/>
      <c r="FY4" s="1572" t="n"/>
      <c r="FZ4" s="1572" t="n"/>
      <c r="GA4" s="1572" t="n"/>
      <c r="GB4" s="1572" t="n"/>
      <c r="GC4" s="1572" t="n"/>
      <c r="GD4" s="1572" t="n"/>
      <c r="GE4" s="1572" t="n"/>
      <c r="GF4" s="1572" t="n"/>
      <c r="GG4" s="1572" t="n"/>
      <c r="GH4" s="1572" t="n"/>
      <c r="GI4" s="1572" t="n"/>
      <c r="GJ4" s="1572" t="n"/>
      <c r="GK4" s="1572" t="n"/>
      <c r="GL4" s="1572" t="n"/>
      <c r="GM4" s="1572" t="n"/>
      <c r="GN4" s="1572" t="n"/>
      <c r="GO4" s="1572" t="n"/>
      <c r="GP4" s="1572" t="n"/>
      <c r="GQ4" s="1572" t="n"/>
      <c r="GR4" s="1572" t="n"/>
      <c r="GS4" s="1572" t="n"/>
      <c r="GT4" s="1572" t="n"/>
      <c r="GU4" s="1572" t="n"/>
      <c r="GV4" s="1572" t="n"/>
      <c r="GW4" s="1572" t="n"/>
      <c r="GX4" s="1572" t="n"/>
      <c r="GY4" s="1572" t="n"/>
      <c r="GZ4" s="1572" t="n"/>
      <c r="HA4" s="1572" t="n"/>
      <c r="HB4" s="1572" t="n"/>
      <c r="HC4" s="1572" t="n"/>
      <c r="HD4" s="1572" t="n"/>
      <c r="HE4" s="1572" t="n"/>
      <c r="HF4" s="1572" t="n"/>
      <c r="HG4" s="1572" t="n"/>
      <c r="HH4" s="1572" t="n"/>
      <c r="HI4" s="1572" t="n"/>
      <c r="HJ4" s="1572" t="n"/>
      <c r="HK4" s="1572" t="n"/>
      <c r="HL4" s="1572" t="n"/>
      <c r="HM4" s="1572" t="n"/>
      <c r="HN4" s="1572" t="n"/>
      <c r="HO4" s="1572" t="n"/>
      <c r="HP4" s="1572" t="n"/>
      <c r="HQ4" s="1572" t="n"/>
      <c r="HR4" s="1572" t="n"/>
      <c r="HS4" s="1572" t="n"/>
      <c r="HT4" s="1572" t="n"/>
      <c r="HU4" s="1572" t="n"/>
      <c r="HV4" s="1572" t="n"/>
      <c r="HW4" s="1572" t="n"/>
      <c r="HX4" s="1572" t="n"/>
      <c r="HY4" s="1572" t="n"/>
      <c r="HZ4" s="1572" t="n"/>
      <c r="IA4" s="1572" t="n"/>
      <c r="IB4" s="1572" t="n"/>
      <c r="IC4" s="1572" t="n"/>
      <c r="ID4" s="1572" t="n"/>
      <c r="IE4" s="1572" t="n"/>
      <c r="IF4" s="1572" t="n"/>
      <c r="IG4" s="1572" t="n"/>
      <c r="IH4" s="1572" t="n"/>
      <c r="II4" s="1572" t="n"/>
      <c r="IJ4" s="1572" t="n"/>
      <c r="IK4" s="1572" t="n"/>
      <c r="IL4" s="1572" t="n"/>
      <c r="IM4" s="1572" t="n"/>
      <c r="IN4" s="1572" t="n"/>
      <c r="IO4" s="1572" t="n"/>
      <c r="IP4" s="1572" t="n"/>
      <c r="IQ4" s="1572" t="n"/>
      <c r="IR4" s="1572" t="n"/>
      <c r="IS4" s="1572" t="n"/>
      <c r="IT4" s="1572" t="n"/>
      <c r="IU4" s="1572" t="n"/>
      <c r="IV4" s="1572" t="n"/>
      <c r="IW4" s="1572" t="n"/>
    </row>
    <row r="5" ht="14.5" customHeight="1" s="1354">
      <c r="A5" s="1749" t="inlineStr">
        <is>
          <t>Numéro d’identification : CD/KNG/RCCM/23-B-01234</t>
        </is>
      </c>
      <c r="C5" s="1591" t="inlineStr">
        <is>
          <t>Durée (en mois) : 12</t>
        </is>
      </c>
      <c r="D5" s="1582" t="n"/>
      <c r="E5" s="1572" t="n"/>
      <c r="F5" s="1572" t="n"/>
      <c r="G5" s="1572" t="n"/>
      <c r="H5" s="1572" t="n"/>
      <c r="I5" s="1572" t="n"/>
      <c r="J5" s="1572" t="n"/>
      <c r="K5" s="1572" t="n"/>
      <c r="L5" s="1572" t="n"/>
      <c r="M5" s="1572" t="n"/>
      <c r="N5" s="1572" t="n"/>
      <c r="O5" s="1572" t="n"/>
      <c r="P5" s="1572" t="n"/>
      <c r="Q5" s="1572" t="n"/>
      <c r="R5" s="1572" t="n"/>
      <c r="S5" s="1572" t="n"/>
      <c r="T5" s="1572" t="n"/>
      <c r="U5" s="1572" t="n"/>
      <c r="V5" s="1572" t="n"/>
      <c r="W5" s="1572" t="n"/>
      <c r="X5" s="1572" t="n"/>
      <c r="Y5" s="1572" t="n"/>
      <c r="Z5" s="1572" t="n"/>
      <c r="AA5" s="1572" t="n"/>
      <c r="AB5" s="1572" t="n"/>
      <c r="AC5" s="1572" t="n"/>
      <c r="AD5" s="1572" t="n"/>
      <c r="AE5" s="1572" t="n"/>
      <c r="AF5" s="1572" t="n"/>
      <c r="AG5" s="1572" t="n"/>
      <c r="AH5" s="1572" t="n"/>
      <c r="AI5" s="1572" t="n"/>
      <c r="AJ5" s="1572" t="n"/>
      <c r="AK5" s="1572" t="n"/>
      <c r="AL5" s="1572" t="n"/>
      <c r="AM5" s="1572" t="n"/>
      <c r="AN5" s="1572" t="n"/>
      <c r="AO5" s="1572" t="n"/>
      <c r="AP5" s="1572" t="n"/>
      <c r="AQ5" s="1572" t="n"/>
      <c r="AR5" s="1572" t="n"/>
      <c r="AS5" s="1572" t="n"/>
      <c r="AT5" s="1572" t="n"/>
      <c r="AU5" s="1572" t="n"/>
      <c r="AV5" s="1572" t="n"/>
      <c r="AW5" s="1572" t="n"/>
      <c r="AX5" s="1572" t="n"/>
      <c r="AY5" s="1572" t="n"/>
      <c r="AZ5" s="1572" t="n"/>
      <c r="BA5" s="1572" t="n"/>
      <c r="BB5" s="1572" t="n"/>
      <c r="BC5" s="1572" t="n"/>
      <c r="BD5" s="1572" t="n"/>
      <c r="BE5" s="1572" t="n"/>
      <c r="BF5" s="1572" t="n"/>
      <c r="BG5" s="1572" t="n"/>
      <c r="BH5" s="1572" t="n"/>
      <c r="BI5" s="1572" t="n"/>
      <c r="BJ5" s="1572" t="n"/>
      <c r="BK5" s="1572" t="n"/>
      <c r="BL5" s="1572" t="n"/>
      <c r="BM5" s="1572" t="n"/>
      <c r="BN5" s="1572" t="n"/>
      <c r="BO5" s="1572" t="n"/>
      <c r="BP5" s="1572" t="n"/>
      <c r="BQ5" s="1572" t="n"/>
      <c r="BR5" s="1572" t="n"/>
      <c r="BS5" s="1572" t="n"/>
      <c r="BT5" s="1572" t="n"/>
      <c r="BU5" s="1572" t="n"/>
      <c r="BV5" s="1572" t="n"/>
      <c r="BW5" s="1572" t="n"/>
      <c r="BX5" s="1572" t="n"/>
      <c r="BY5" s="1572" t="n"/>
      <c r="BZ5" s="1572" t="n"/>
      <c r="CA5" s="1572" t="n"/>
      <c r="CB5" s="1572" t="n"/>
      <c r="CC5" s="1572" t="n"/>
      <c r="CD5" s="1572" t="n"/>
      <c r="CE5" s="1572" t="n"/>
      <c r="CF5" s="1572" t="n"/>
      <c r="CG5" s="1572" t="n"/>
      <c r="CH5" s="1572" t="n"/>
      <c r="CI5" s="1572" t="n"/>
      <c r="CJ5" s="1572" t="n"/>
      <c r="CK5" s="1572" t="n"/>
      <c r="CL5" s="1572" t="n"/>
      <c r="CM5" s="1572" t="n"/>
      <c r="CN5" s="1572" t="n"/>
      <c r="CO5" s="1572" t="n"/>
      <c r="CP5" s="1572" t="n"/>
      <c r="CQ5" s="1572" t="n"/>
      <c r="CR5" s="1572" t="n"/>
      <c r="CS5" s="1572" t="n"/>
      <c r="CT5" s="1572" t="n"/>
      <c r="CU5" s="1572" t="n"/>
      <c r="CV5" s="1572" t="n"/>
      <c r="CW5" s="1572" t="n"/>
      <c r="CX5" s="1572" t="n"/>
      <c r="CY5" s="1572" t="n"/>
      <c r="CZ5" s="1572" t="n"/>
      <c r="DA5" s="1572" t="n"/>
      <c r="DB5" s="1572" t="n"/>
      <c r="DC5" s="1572" t="n"/>
      <c r="DD5" s="1572" t="n"/>
      <c r="DE5" s="1572" t="n"/>
      <c r="DF5" s="1572" t="n"/>
      <c r="DG5" s="1572" t="n"/>
      <c r="DH5" s="1572" t="n"/>
      <c r="DI5" s="1572" t="n"/>
      <c r="DJ5" s="1572" t="n"/>
      <c r="DK5" s="1572" t="n"/>
      <c r="DL5" s="1572" t="n"/>
      <c r="DM5" s="1572" t="n"/>
      <c r="DN5" s="1572" t="n"/>
      <c r="DO5" s="1572" t="n"/>
      <c r="DP5" s="1572" t="n"/>
      <c r="DQ5" s="1572" t="n"/>
      <c r="DR5" s="1572" t="n"/>
      <c r="DS5" s="1572" t="n"/>
      <c r="DT5" s="1572" t="n"/>
      <c r="DU5" s="1572" t="n"/>
      <c r="DV5" s="1572" t="n"/>
      <c r="DW5" s="1572" t="n"/>
      <c r="DX5" s="1572" t="n"/>
      <c r="DY5" s="1572" t="n"/>
      <c r="DZ5" s="1572" t="n"/>
      <c r="EA5" s="1572" t="n"/>
      <c r="EB5" s="1572" t="n"/>
      <c r="EC5" s="1572" t="n"/>
      <c r="ED5" s="1572" t="n"/>
      <c r="EE5" s="1572" t="n"/>
      <c r="EF5" s="1572" t="n"/>
      <c r="EG5" s="1572" t="n"/>
      <c r="EH5" s="1572" t="n"/>
      <c r="EI5" s="1572" t="n"/>
      <c r="EJ5" s="1572" t="n"/>
      <c r="EK5" s="1572" t="n"/>
      <c r="EL5" s="1572" t="n"/>
      <c r="EM5" s="1572" t="n"/>
      <c r="EN5" s="1572" t="n"/>
      <c r="EO5" s="1572" t="n"/>
      <c r="EP5" s="1572" t="n"/>
      <c r="EQ5" s="1572" t="n"/>
      <c r="ER5" s="1572" t="n"/>
      <c r="ES5" s="1572" t="n"/>
      <c r="ET5" s="1572" t="n"/>
      <c r="EU5" s="1572" t="n"/>
      <c r="EV5" s="1572" t="n"/>
      <c r="EW5" s="1572" t="n"/>
      <c r="EX5" s="1572" t="n"/>
      <c r="EY5" s="1572" t="n"/>
      <c r="EZ5" s="1572" t="n"/>
      <c r="FA5" s="1572" t="n"/>
      <c r="FB5" s="1572" t="n"/>
      <c r="FC5" s="1572" t="n"/>
      <c r="FD5" s="1572" t="n"/>
      <c r="FE5" s="1572" t="n"/>
      <c r="FF5" s="1572" t="n"/>
      <c r="FG5" s="1572" t="n"/>
      <c r="FH5" s="1572" t="n"/>
      <c r="FI5" s="1572" t="n"/>
      <c r="FJ5" s="1572" t="n"/>
      <c r="FK5" s="1572" t="n"/>
      <c r="FL5" s="1572" t="n"/>
      <c r="FM5" s="1572" t="n"/>
      <c r="FN5" s="1572" t="n"/>
      <c r="FO5" s="1572" t="n"/>
      <c r="FP5" s="1572" t="n"/>
      <c r="FQ5" s="1572" t="n"/>
      <c r="FR5" s="1572" t="n"/>
      <c r="FS5" s="1572" t="n"/>
      <c r="FT5" s="1572" t="n"/>
      <c r="FU5" s="1572" t="n"/>
      <c r="FV5" s="1572" t="n"/>
      <c r="FW5" s="1572" t="n"/>
      <c r="FX5" s="1572" t="n"/>
      <c r="FY5" s="1572" t="n"/>
      <c r="FZ5" s="1572" t="n"/>
      <c r="GA5" s="1572" t="n"/>
      <c r="GB5" s="1572" t="n"/>
      <c r="GC5" s="1572" t="n"/>
      <c r="GD5" s="1572" t="n"/>
      <c r="GE5" s="1572" t="n"/>
      <c r="GF5" s="1572" t="n"/>
      <c r="GG5" s="1572" t="n"/>
      <c r="GH5" s="1572" t="n"/>
      <c r="GI5" s="1572" t="n"/>
      <c r="GJ5" s="1572" t="n"/>
      <c r="GK5" s="1572" t="n"/>
      <c r="GL5" s="1572" t="n"/>
      <c r="GM5" s="1572" t="n"/>
      <c r="GN5" s="1572" t="n"/>
      <c r="GO5" s="1572" t="n"/>
      <c r="GP5" s="1572" t="n"/>
      <c r="GQ5" s="1572" t="n"/>
      <c r="GR5" s="1572" t="n"/>
      <c r="GS5" s="1572" t="n"/>
      <c r="GT5" s="1572" t="n"/>
      <c r="GU5" s="1572" t="n"/>
      <c r="GV5" s="1572" t="n"/>
      <c r="GW5" s="1572" t="n"/>
      <c r="GX5" s="1572" t="n"/>
      <c r="GY5" s="1572" t="n"/>
      <c r="GZ5" s="1572" t="n"/>
      <c r="HA5" s="1572" t="n"/>
      <c r="HB5" s="1572" t="n"/>
      <c r="HC5" s="1572" t="n"/>
      <c r="HD5" s="1572" t="n"/>
      <c r="HE5" s="1572" t="n"/>
      <c r="HF5" s="1572" t="n"/>
      <c r="HG5" s="1572" t="n"/>
      <c r="HH5" s="1572" t="n"/>
      <c r="HI5" s="1572" t="n"/>
      <c r="HJ5" s="1572" t="n"/>
      <c r="HK5" s="1572" t="n"/>
      <c r="HL5" s="1572" t="n"/>
      <c r="HM5" s="1572" t="n"/>
      <c r="HN5" s="1572" t="n"/>
      <c r="HO5" s="1572" t="n"/>
      <c r="HP5" s="1572" t="n"/>
      <c r="HQ5" s="1572" t="n"/>
      <c r="HR5" s="1572" t="n"/>
      <c r="HS5" s="1572" t="n"/>
      <c r="HT5" s="1572" t="n"/>
      <c r="HU5" s="1572" t="n"/>
      <c r="HV5" s="1572" t="n"/>
      <c r="HW5" s="1572" t="n"/>
      <c r="HX5" s="1572" t="n"/>
      <c r="HY5" s="1572" t="n"/>
      <c r="HZ5" s="1572" t="n"/>
      <c r="IA5" s="1572" t="n"/>
      <c r="IB5" s="1572" t="n"/>
      <c r="IC5" s="1572" t="n"/>
      <c r="ID5" s="1572" t="n"/>
      <c r="IE5" s="1572" t="n"/>
      <c r="IF5" s="1572" t="n"/>
      <c r="IG5" s="1572" t="n"/>
      <c r="IH5" s="1572" t="n"/>
      <c r="II5" s="1572" t="n"/>
      <c r="IJ5" s="1572" t="n"/>
      <c r="IK5" s="1572" t="n"/>
      <c r="IL5" s="1572" t="n"/>
      <c r="IM5" s="1572" t="n"/>
      <c r="IN5" s="1572" t="n"/>
      <c r="IO5" s="1572" t="n"/>
      <c r="IP5" s="1572" t="n"/>
      <c r="IQ5" s="1572" t="n"/>
      <c r="IR5" s="1572" t="n"/>
      <c r="IS5" s="1572" t="n"/>
      <c r="IT5" s="1572" t="n"/>
      <c r="IU5" s="1572" t="n"/>
      <c r="IV5" s="1572" t="n"/>
      <c r="IW5" s="1572" t="n"/>
    </row>
    <row r="6" ht="13" customHeight="1" s="1354">
      <c r="A6" s="2571" t="inlineStr">
        <is>
          <t> </t>
        </is>
      </c>
      <c r="C6" s="1820" t="n"/>
      <c r="D6" s="1820" t="n"/>
    </row>
    <row r="7" ht="12" customHeight="1" s="1354">
      <c r="A7" s="1822" t="inlineStr">
        <is>
          <t xml:space="preserve">       NOTE 30 </t>
        </is>
      </c>
    </row>
    <row r="8" ht="12.5" customHeight="1" s="1354">
      <c r="A8" s="2422" t="inlineStr">
        <is>
          <t xml:space="preserve">AUTRES  CHARGES ET PRODUITS HAO  </t>
        </is>
      </c>
      <c r="B8" s="1594" t="n"/>
      <c r="C8" s="1594" t="n"/>
      <c r="D8" s="1594" t="n"/>
    </row>
    <row r="9" ht="23.5" customHeight="1" s="1354">
      <c r="A9" s="2003" t="inlineStr">
        <is>
          <t xml:space="preserve">Libellés </t>
        </is>
      </c>
      <c r="B9" s="2004" t="inlineStr">
        <is>
          <t xml:space="preserve">Année  N </t>
        </is>
      </c>
      <c r="C9" s="2004" t="inlineStr">
        <is>
          <t xml:space="preserve">Année N-1 </t>
        </is>
      </c>
      <c r="D9" s="2006" t="inlineStr">
        <is>
          <t xml:space="preserve">Variation en % </t>
        </is>
      </c>
    </row>
    <row r="10" ht="12" customHeight="1" s="1354">
      <c r="A10" s="2096" t="inlineStr">
        <is>
          <t xml:space="preserve">Charges HAO constatées (1) à détailler </t>
        </is>
      </c>
      <c r="B10" s="2834">
        <f>SUMIF(BALANCE!$A$2:$A$70,"837*",BALANCE!$F$2:$F$70)-SUMIF(BALANCE!$A$2:$A$70,"837*",BALANCE!$G$2:$G$70)+SUMIF(BALANCE!$A$2:$A$70,"833*",BALANCE!$F$2:$F$70)-SUMIF(BALANCE!$A$2:$A$70,"833*",BALANCE!$G$2:$G$70)+SUMIF(BALANCE!$A$2:$A$70,"831*",BALANCE!$F$2:$F$70)-SUMIF(BALANCE!$A$2:$A$70,"831*",BALANCE!$G$2:$G$70)</f>
        <v/>
      </c>
      <c r="C10" s="2834">
        <f>SUMIF(BALANCE_N1!$A$2:$A$70,"837*",BALANCE_N1!$F$2:$F$70)-SUMIF(BALANCE_N1!$A$2:$A$70,"837*",BALANCE_N1!$G$2:$G$70)+SUMIF(BALANCE_N1!$A$2:$A$70,"833*",BALANCE_N1!$F$2:$F$70)-SUMIF(BALANCE_N1!$A$2:$A$70,"833*",BALANCE_N1!$G$2:$G$70)+SUMIF(BALANCE_N1!$A$2:$A$70,"831*",BALANCE_N1!$F$2:$F$70)-SUMIF(BALANCE_N1!$A$2:$A$70,"831*",BALANCE_N1!$G$2:$G$70)</f>
        <v/>
      </c>
      <c r="D10" s="2572" t="n"/>
    </row>
    <row r="11" ht="12" customHeight="1" s="1354">
      <c r="A11" s="2099" t="inlineStr">
        <is>
          <t xml:space="preserve">(1).................. </t>
        </is>
      </c>
      <c r="B11" s="2344" t="n"/>
      <c r="C11" s="2344" t="n"/>
      <c r="D11" s="2345" t="n"/>
    </row>
    <row r="12" ht="12" customHeight="1" s="1354">
      <c r="A12" s="2099" t="inlineStr">
        <is>
          <t xml:space="preserve">(1).................. </t>
        </is>
      </c>
      <c r="B12" s="2344" t="n"/>
      <c r="C12" s="2344" t="n"/>
      <c r="D12" s="2345" t="n"/>
    </row>
    <row r="13" ht="12" customHeight="1" s="1354">
      <c r="A13" s="2099" t="inlineStr">
        <is>
          <t xml:space="preserve">Pertes sur créances HAO </t>
        </is>
      </c>
      <c r="B13" s="2862">
        <f>SUMIF(BALANCE!$A$2:$A$70,"834*",BALANCE!$F$2:$F$70)-SUMIF(BALANCE!$A$2:$A$70,"834*",BALANCE!$G$2:$G$70)</f>
        <v/>
      </c>
      <c r="C13" s="2862">
        <f>SUMIF(BALANCE_N1!$A$2:$A$70,"834*",BALANCE_N1!$F$2:$F$70)-SUMIF(BALANCE_N1!$A$2:$A$70,"834*",BALANCE_N1!$G$2:$G$70)</f>
        <v/>
      </c>
      <c r="D13" s="2345" t="n"/>
    </row>
    <row r="14" ht="12" customHeight="1" s="1354">
      <c r="A14" s="2099" t="inlineStr">
        <is>
          <t xml:space="preserve">Dons et libéralités accordés </t>
        </is>
      </c>
      <c r="B14" s="2862">
        <f>SUMIF(BALANCE!$A$2:$A$70,"835*",BALANCE!$F$2:$F$70)-SUMIF(BALANCE!$A$2:$A$70,"835*",BALANCE!$G$2:$G$70)</f>
        <v/>
      </c>
      <c r="C14" s="2862">
        <f>SUMIF(BALANCE_N1!$A$2:$A$70,"835*",BALANCE_N1!$F$2:$F$70)-SUMIF(BALANCE_N1!$A$2:$A$70,"835*",BALANCE_N1!$G$2:$G$70)</f>
        <v/>
      </c>
      <c r="D14" s="2345" t="n"/>
    </row>
    <row r="15" ht="12" customHeight="1" s="1354">
      <c r="A15" s="2099" t="inlineStr">
        <is>
          <t xml:space="preserve">Abandons de créances consentis </t>
        </is>
      </c>
      <c r="B15" s="2836">
        <f>SUMIF(BALANCE!$A$2:$A$70,"836*",BALANCE!$F$2:$F$70)-SUMIF(BALANCE!$A$2:$A$70,"836*",BALANCE!$G$2:$G$70)</f>
        <v/>
      </c>
      <c r="C15" s="2836">
        <f>SUMIF(BALANCE_N1!$A$2:$A$70,"836*",BALANCE_N1!$F$2:$F$70)-SUMIF(BALANCE_N1!$A$2:$A$70,"836*",BALANCE_N1!$G$2:$G$70)</f>
        <v/>
      </c>
      <c r="D15" s="2334" t="n"/>
    </row>
    <row r="16" ht="12" customHeight="1" s="1354">
      <c r="A16" s="2099" t="inlineStr">
        <is>
          <t xml:space="preserve">Charges provisionnées HAO </t>
        </is>
      </c>
      <c r="B16" s="2836">
        <f>SUMIF(BALANCE!$A$2:$A$70,"839*",BALANCE!$F$2:$F$70)-SUMIF(BALANCE!$A$2:$A$70,"839*",BALANCE!$G$2:$G$70)</f>
        <v/>
      </c>
      <c r="C16" s="2836">
        <f>SUMIF(BALANCE_N1!$A$2:$A$70,"839*",BALANCE_N1!$F$2:$F$70)-SUMIF(BALANCE_N1!$A$2:$A$70,"839*",BALANCE_N1!$G$2:$G$70)</f>
        <v/>
      </c>
      <c r="D16" s="2334" t="n"/>
    </row>
    <row r="17" ht="12" customHeight="1" s="1354">
      <c r="A17" s="2099" t="inlineStr">
        <is>
          <t xml:space="preserve">Dotations hors activités ordinaires </t>
        </is>
      </c>
      <c r="B17" s="2836">
        <f>SUMIF(BALANCE!$A$2:$A$70,"85*",BALANCE!$F$2:$F$70)-SUMIF(BALANCE!$A$2:$A$70,"85*",BALANCE!$G$2:$G$70)</f>
        <v/>
      </c>
      <c r="C17" s="2836">
        <f>SUMIF(BALANCE_N1!$A$2:$A$70,"85*",BALANCE_N1!$F$2:$F$70)-SUMIF(BALANCE_N1!$A$2:$A$70,"85*",BALANCE_N1!$G$2:$G$70)</f>
        <v/>
      </c>
      <c r="D17" s="2334" t="n"/>
    </row>
    <row r="18" ht="12" customHeight="1" s="1354">
      <c r="A18" s="2099" t="inlineStr">
        <is>
          <t xml:space="preserve">Participation des travailleurs </t>
        </is>
      </c>
      <c r="B18" s="2836">
        <f>SUMIF(BALANCE!$A$2:$A$70,"87*",BALANCE!$F$2:$F$70)-SUMIF(BALANCE!$A$2:$A$70,"87*",BALANCE!$G$2:$G$70)</f>
        <v/>
      </c>
      <c r="C18" s="2836">
        <f>SUMIF(BALANCE_N1!$A$2:$A$70,"87*",BALANCE_N1!$F$2:$F$70)-SUMIF(BALANCE_N1!$A$2:$A$70,"87*",BALANCE_N1!$G$2:$G$70)</f>
        <v/>
      </c>
      <c r="D18" s="2334" t="n"/>
    </row>
    <row r="19" ht="12.5" customHeight="1" s="1354">
      <c r="A19" s="2102" t="inlineStr">
        <is>
          <t xml:space="preserve">Subventions d'équilibre </t>
        </is>
      </c>
      <c r="B19" s="2407" t="n"/>
      <c r="C19" s="2407" t="n"/>
      <c r="D19" s="2573" t="n"/>
    </row>
    <row r="20" ht="12.5" customHeight="1" s="1354">
      <c r="A20" s="2104" t="inlineStr">
        <is>
          <t xml:space="preserve">SOUS TOTAL : AUTRES CHARGES HAO </t>
        </is>
      </c>
      <c r="B20" s="2839">
        <f>SUM(B10:B19)</f>
        <v/>
      </c>
      <c r="C20" s="2839">
        <f>SUM(C10:C19)</f>
        <v/>
      </c>
      <c r="D20" s="2409" t="n"/>
    </row>
    <row r="21" ht="12" customHeight="1" s="1354">
      <c r="A21" s="2096" t="inlineStr">
        <is>
          <t>  </t>
        </is>
      </c>
      <c r="B21" s="2331" t="n"/>
      <c r="C21" s="2331" t="n"/>
      <c r="D21" s="2332" t="n"/>
    </row>
    <row r="22" ht="12" customHeight="1" s="1354">
      <c r="A22" s="2099" t="inlineStr">
        <is>
          <t xml:space="preserve">Produits HAO constatés (1) à détailler </t>
        </is>
      </c>
      <c r="B22" s="2836">
        <f>SUMIF(BALANCE!$A$2:$A$70,"844*",BALANCE!$G$2:$G$70)-SUMIF(BALANCE!$A$2:$A$70,"844*",BALANCE!$F$2:$F$70)+SUMIF(BALANCE!$A$2:$A$70,"841*",BALANCE!$G$2:$G$70)-SUMIF(BALANCE!$A$2:$A$70,"841*",BALANCE!$F$2:$F$70)+SUMIF(BALANCE!$A$2:$A$70,"843*",BALANCE!$G$2:$G$70)-SUMIF(BALANCE!$A$2:$A$70,"843*",BALANCE!$F$2:$F$70)+SUMIF(BALANCE!$A$2:$A$70,"847*",BALANCE!$G$2:$G$70)-SUMIF(BALANCE!$A$2:$A$70,"847*",BALANCE!$F$2:$F$70)</f>
        <v/>
      </c>
      <c r="C22" s="2836">
        <f>SUMIF(BALANCE_N1!$A$2:$A$70,"844*",BALANCE_N1!$G$2:$G$70)-SUMIF(BALANCE_N1!$A$2:$A$70,"844*",BALANCE_N1!$F$2:$F$70)+SUMIF(BALANCE_N1!$A$2:$A$70,"841*",BALANCE_N1!$G$2:$G$70)-SUMIF(BALANCE_N1!$A$2:$A$70,"841*",BALANCE_N1!$F$2:$F$70)+SUMIF(BALANCE_N1!$A$2:$A$70,"843*",BALANCE_N1!$G$2:$G$70)-SUMIF(BALANCE_N1!$A$2:$A$70,"843*",BALANCE_N1!$F$2:$F$70)+SUMIF(BALANCE_N1!$A$2:$A$70,"847*",BALANCE_N1!$G$2:$G$70)-SUMIF(BALANCE_N1!$A$2:$A$70,"847*",BALANCE_N1!$F$2:$F$70)</f>
        <v/>
      </c>
      <c r="D22" s="2334" t="n"/>
    </row>
    <row r="23" ht="12" customHeight="1" s="1354">
      <c r="A23" s="2099" t="inlineStr">
        <is>
          <t xml:space="preserve">(1).................. </t>
        </is>
      </c>
      <c r="B23" s="2333" t="n"/>
      <c r="C23" s="2333" t="n"/>
      <c r="D23" s="2334" t="n"/>
    </row>
    <row r="24" ht="12" customHeight="1" s="1354">
      <c r="A24" s="2099" t="inlineStr">
        <is>
          <t xml:space="preserve">(1).................. </t>
        </is>
      </c>
      <c r="B24" s="2333" t="n"/>
      <c r="C24" s="2333" t="n"/>
      <c r="D24" s="2334" t="n"/>
    </row>
    <row r="25" ht="12" customHeight="1" s="1354">
      <c r="A25" s="2099" t="inlineStr">
        <is>
          <t xml:space="preserve">Dons et libéralités obtenus </t>
        </is>
      </c>
      <c r="B25" s="2836">
        <f>SUMIF(BALANCE!$A$2:$A$70,"845*",BALANCE!$G$2:$G$70)-SUMIF(BALANCE!$A$2:$A$70,"845*",BALANCE!$F$2:$F$70)</f>
        <v/>
      </c>
      <c r="C25" s="2836">
        <f>SUMIF(BALANCE_N1!$A$2:$A$70,"845*",BALANCE_N1!$G$2:$G$70)-SUMIF(BALANCE_N1!$A$2:$A$70,"845*",BALANCE_N1!$F$2:$F$70)</f>
        <v/>
      </c>
      <c r="D25" s="2334" t="n"/>
    </row>
    <row r="26" ht="12" customHeight="1" s="1354">
      <c r="A26" s="2099" t="inlineStr">
        <is>
          <t xml:space="preserve">Abandons de créances obtenus </t>
        </is>
      </c>
      <c r="B26" s="2836">
        <f>SUMIF(BALANCE!$A$2:$A$70,"846*",BALANCE!$G$2:$G$70)-SUMIF(BALANCE!$A$2:$A$70,"846*",BALANCE!$F$2:$F$70)</f>
        <v/>
      </c>
      <c r="C26" s="2836">
        <f>SUMIF(BALANCE_N1!$A$2:$A$70,"846*",BALANCE_N1!$G$2:$G$70)-SUMIF(BALANCE_N1!$A$2:$A$70,"846*",BALANCE_N1!$F$2:$F$70)</f>
        <v/>
      </c>
      <c r="D26" s="2334" t="n"/>
    </row>
    <row r="27" ht="12" customHeight="1" s="1354">
      <c r="A27" s="2099" t="inlineStr">
        <is>
          <t xml:space="preserve">Transferts de charges HAO </t>
        </is>
      </c>
      <c r="B27" s="2836">
        <f>SUMIF(BALANCE!$A$2:$A$70,"848*",BALANCE!$G$2:$G$70)-SUMIF(BALANCE!$A$2:$A$70,"848*",BALANCE!$F$2:$F$70)</f>
        <v/>
      </c>
      <c r="C27" s="2836">
        <f>SUMIF(BALANCE_N1!$A$2:$A$70,"848*",BALANCE_N1!$G$2:$G$70)-SUMIF(BALANCE_N1!$A$2:$A$70,"848*",BALANCE_N1!$F$2:$F$70)</f>
        <v/>
      </c>
      <c r="D27" s="2334" t="n"/>
    </row>
    <row r="28" ht="23" customHeight="1" s="1354">
      <c r="A28" s="2099" t="inlineStr">
        <is>
          <t xml:space="preserve">Reprises des charges pour dépréciations et provisions à court terme HAO  </t>
        </is>
      </c>
      <c r="B28" s="2836">
        <f>SUMIF(BALANCE!$A$2:$A$70,"849*",BALANCE!$G$2:$G$70)-SUMIF(BALANCE!$A$2:$A$70,"849*",BALANCE!$F$2:$F$70)</f>
        <v/>
      </c>
      <c r="C28" s="2836">
        <f>SUMIF(BALANCE_N1!$A$2:$A$70,"849*",BALANCE_N1!$G$2:$G$70)-SUMIF(BALANCE_N1!$A$2:$A$70,"849*",BALANCE_N1!$F$2:$F$70)</f>
        <v/>
      </c>
      <c r="D28" s="2334" t="n"/>
    </row>
    <row r="29" ht="12" customHeight="1" s="1354">
      <c r="A29" s="2102" t="inlineStr">
        <is>
          <t xml:space="preserve">Reprises hors activités ordinaires </t>
        </is>
      </c>
      <c r="B29" s="2838">
        <f>SUMIF(BALANCE!$A$2:$A$70,"86*",BALANCE!$G$2:$G$70)-SUMIF(BALANCE!$A$2:$A$70,"86*",BALANCE!$F$2:$F$70)</f>
        <v/>
      </c>
      <c r="C29" s="2838">
        <f>SUMIF(BALANCE_N1!$A$2:$A$70,"86*",BALANCE_N1!$G$2:$G$70)-SUMIF(BALANCE_N1!$A$2:$A$70,"86*",BALANCE_N1!$F$2:$F$70)</f>
        <v/>
      </c>
      <c r="D29" s="2573" t="n"/>
    </row>
    <row r="30" ht="12.5" customHeight="1" s="1354">
      <c r="A30" s="2102" t="inlineStr">
        <is>
          <t xml:space="preserve">Subventions d'équilibre </t>
        </is>
      </c>
      <c r="B30" s="2838">
        <f>SUMIF(BALANCE!$A$2:$A$70,"88*",BALANCE!$G$2:$G$70)-SUMIF(BALANCE!$A$2:$A$70,"88*",BALANCE!$F$2:$F$70)</f>
        <v/>
      </c>
      <c r="C30" s="2838">
        <f>SUMIF(BALANCE_N1!$A$2:$A$70,"88*",BALANCE_N1!$G$2:$G$70)-SUMIF(BALANCE_N1!$A$2:$A$70,"88*",BALANCE_N1!$F$2:$F$70)</f>
        <v/>
      </c>
      <c r="D30" s="2573" t="n"/>
    </row>
    <row r="31" ht="12.5" customHeight="1" s="1354">
      <c r="A31" s="2104" t="inlineStr">
        <is>
          <t xml:space="preserve">SOUS TOTAL : AUTRES PRODUITS HAO </t>
        </is>
      </c>
      <c r="B31" s="2839">
        <f>SUM(B22:B30)</f>
        <v/>
      </c>
      <c r="C31" s="2839">
        <f>SUM(C22:C30)</f>
        <v/>
      </c>
      <c r="D31" s="2409" t="n"/>
    </row>
    <row r="32" ht="12.5" customHeight="1" s="1354">
      <c r="A32" s="2447" t="inlineStr">
        <is>
          <t>  </t>
        </is>
      </c>
      <c r="B32" s="2569" t="n"/>
      <c r="C32" s="2569" t="n"/>
      <c r="D32" s="2574" t="n"/>
    </row>
    <row r="33" ht="12.5" customHeight="1" s="1354">
      <c r="A33" s="2417" t="inlineStr">
        <is>
          <t xml:space="preserve">TOTAL </t>
        </is>
      </c>
      <c r="B33" s="2863">
        <f>B31-B20</f>
        <v/>
      </c>
      <c r="C33" s="2863">
        <f>C31-C20</f>
        <v/>
      </c>
      <c r="D33" s="2421" t="n"/>
    </row>
    <row r="34" ht="19.5" customHeight="1" s="1354">
      <c r="A34" s="1695" t="inlineStr">
        <is>
          <t xml:space="preserve">      Commentaire :  </t>
        </is>
      </c>
    </row>
    <row r="35" ht="12" customHeight="1" s="1354">
      <c r="A35" s="2138" t="inlineStr">
        <is>
          <t xml:space="preserve"> Commenter toute variation significative. </t>
        </is>
      </c>
    </row>
    <row r="36" ht="12" customHeight="1" s="1354">
      <c r="A36" s="2571" t="inlineStr">
        <is>
          <t> </t>
        </is>
      </c>
    </row>
  </sheetData>
  <mergeCells count="2">
    <mergeCell ref="A7:D7"/>
    <mergeCell ref="A8:D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0"/>
  </sheetPr>
  <dimension ref="A1:I40"/>
  <sheetViews>
    <sheetView showFormulas="0" showGridLines="1" showRowColHeaders="1" showZeros="1" rightToLeft="0" tabSelected="0" showOutlineSymbols="1" defaultGridColor="1" view="normal" topLeftCell="A20" colorId="64" zoomScale="80" zoomScaleNormal="80" zoomScalePageLayoutView="100" workbookViewId="0">
      <selection pane="topLeft" activeCell="D19" activeCellId="0" sqref="D19"/>
    </sheetView>
  </sheetViews>
  <sheetFormatPr baseColWidth="8" defaultColWidth="10.90234375" defaultRowHeight="14.5" zeroHeight="0" outlineLevelRow="0"/>
  <cols>
    <col width="91.98999999999999" customWidth="1" style="1572" min="1" max="1"/>
    <col width="19.44" customWidth="1" style="1572" min="2" max="2"/>
    <col width="20.44" customWidth="1" style="1572" min="3" max="3"/>
    <col width="17.81" customWidth="1" style="1572" min="4" max="4"/>
    <col width="17.26" customWidth="1" style="1572" min="5" max="5"/>
    <col width="17.44" customWidth="1" style="1572" min="6" max="6"/>
  </cols>
  <sheetData>
    <row r="1"/>
    <row r="2"/>
    <row r="3"/>
    <row r="4" ht="14.5" customHeight="1" s="1354">
      <c r="A4" s="1748" t="inlineStr">
        <is>
          <t>Désignation entité : ENTREPRISE TEST SARL</t>
        </is>
      </c>
      <c r="D4" s="1591" t="inlineStr">
        <is>
          <t>Exercice clos le : 31/12/2025</t>
        </is>
      </c>
      <c r="E4" s="1578" t="n"/>
    </row>
    <row r="5" ht="14.5" customHeight="1" s="1354">
      <c r="A5" s="1749" t="inlineStr">
        <is>
          <t>Numéro d’identification : CD/KNG/RCCM/23-B-01234</t>
        </is>
      </c>
      <c r="D5" s="1591" t="inlineStr">
        <is>
          <t>Durée (en mois) : 12</t>
        </is>
      </c>
      <c r="E5" s="1582" t="n"/>
    </row>
    <row r="6" ht="14.5" customHeight="1" s="1354">
      <c r="A6" s="2214" t="inlineStr">
        <is>
          <t>NOTE 31</t>
        </is>
      </c>
      <c r="G6" s="2214" t="n"/>
      <c r="H6" s="2214" t="n"/>
      <c r="I6" s="2214" t="n"/>
    </row>
    <row r="7" ht="27" customHeight="1" s="1354">
      <c r="A7" s="2575" t="inlineStr">
        <is>
          <t>REPARATION DU RESULTAT ET AUTRES ELEMENTS CARACTERISTIQUES DES CINQ DERNIERS EXERCICES</t>
        </is>
      </c>
      <c r="B7" s="1594" t="n"/>
      <c r="C7" s="1594" t="n"/>
      <c r="D7" s="1594" t="n"/>
      <c r="E7" s="1594" t="n"/>
      <c r="F7" s="1594" t="n"/>
      <c r="G7" s="2485" t="n"/>
      <c r="H7" s="2485" t="n"/>
      <c r="I7" s="2485" t="n"/>
    </row>
    <row r="8" ht="33.75" customHeight="1" s="1354">
      <c r="A8" s="2576" t="inlineStr">
        <is>
          <t xml:space="preserve">                                                                                                     EXERCICES CONCERNES (1)</t>
        </is>
      </c>
      <c r="B8" s="2577" t="inlineStr">
        <is>
          <t>N</t>
        </is>
      </c>
      <c r="C8" s="2577" t="inlineStr">
        <is>
          <t>N-1</t>
        </is>
      </c>
      <c r="D8" s="2577" t="inlineStr">
        <is>
          <t>N-2</t>
        </is>
      </c>
      <c r="E8" s="2577" t="inlineStr">
        <is>
          <t>N-3</t>
        </is>
      </c>
      <c r="F8" s="2578" t="inlineStr">
        <is>
          <t>N-4</t>
        </is>
      </c>
      <c r="H8" s="2579" t="n"/>
    </row>
    <row r="9" ht="20.15" customHeight="1" s="1354">
      <c r="A9" s="2007" t="n"/>
      <c r="B9" s="2008" t="n"/>
      <c r="C9" s="2008" t="n"/>
      <c r="D9" s="2008" t="n"/>
      <c r="E9" s="2008" t="n"/>
      <c r="F9" s="2010" t="n"/>
    </row>
    <row r="10" ht="18" customHeight="1" s="1354">
      <c r="A10" s="2272" t="inlineStr">
        <is>
          <t>STRUCTURE DU CAPITAL A LA CLOTURE DE L’EXERCICE(2)</t>
        </is>
      </c>
      <c r="B10" s="2580">
        <f>B11</f>
        <v/>
      </c>
      <c r="C10" s="2580">
        <f>C11</f>
        <v/>
      </c>
      <c r="D10" s="2580">
        <f>D11</f>
        <v/>
      </c>
      <c r="E10" s="2580">
        <f>E11</f>
        <v/>
      </c>
      <c r="F10" s="2581">
        <f>F11</f>
        <v/>
      </c>
    </row>
    <row r="11" ht="18" customHeight="1" s="1354">
      <c r="A11" s="2257" t="inlineStr">
        <is>
          <t>Capital social</t>
        </is>
      </c>
      <c r="B11" s="2582" t="n">
        <v>0</v>
      </c>
      <c r="C11" s="2582" t="n">
        <v>0</v>
      </c>
      <c r="D11" s="2582" t="n">
        <v>0</v>
      </c>
      <c r="E11" s="2582" t="n">
        <v>0</v>
      </c>
      <c r="F11" s="2582" t="n">
        <v>0</v>
      </c>
    </row>
    <row r="12" ht="18" customHeight="1" s="1354">
      <c r="A12" s="2262" t="inlineStr">
        <is>
          <t>Actions ordinaires</t>
        </is>
      </c>
      <c r="B12" s="2583" t="n"/>
      <c r="C12" s="2583" t="n"/>
      <c r="D12" s="2583" t="n"/>
      <c r="E12" s="2583" t="n"/>
      <c r="F12" s="2584" t="n"/>
    </row>
    <row r="13" ht="18" customHeight="1" s="1354">
      <c r="A13" s="2262" t="inlineStr">
        <is>
          <t>Actions à dividendes prioritaires (A.D.P) sans droit de vote</t>
        </is>
      </c>
      <c r="B13" s="2583" t="n"/>
      <c r="C13" s="2583" t="n"/>
      <c r="D13" s="2583" t="n"/>
      <c r="E13" s="2583" t="n"/>
      <c r="F13" s="2584" t="n"/>
    </row>
    <row r="14" ht="18" customHeight="1" s="1354">
      <c r="A14" s="2262" t="inlineStr">
        <is>
          <t>Actions nouvelles à mettre :</t>
        </is>
      </c>
      <c r="B14" s="2583" t="n"/>
      <c r="C14" s="2583" t="n"/>
      <c r="D14" s="2583" t="n"/>
      <c r="E14" s="2583" t="n"/>
      <c r="F14" s="2584" t="n"/>
    </row>
    <row r="15" ht="18" customHeight="1" s="1354">
      <c r="A15" s="2585" t="inlineStr">
        <is>
          <t>-          Par conversion d’obligations</t>
        </is>
      </c>
      <c r="B15" s="2586" t="n"/>
      <c r="C15" s="2586" t="n"/>
      <c r="D15" s="2586" t="n"/>
      <c r="E15" s="2586" t="n"/>
      <c r="F15" s="2587" t="n"/>
    </row>
    <row r="16" ht="18" customHeight="1" s="1354">
      <c r="A16" s="2588" t="inlineStr">
        <is>
          <t>-          Par exercice de droits de souscription</t>
        </is>
      </c>
      <c r="B16" s="2589" t="n"/>
      <c r="C16" s="2589" t="n"/>
      <c r="D16" s="2589" t="n"/>
      <c r="E16" s="2589" t="n"/>
      <c r="F16" s="2590" t="n"/>
    </row>
    <row r="17" ht="18" customHeight="1" s="1354">
      <c r="A17" s="2272" t="inlineStr">
        <is>
          <t>OPERATION ET RESULTATS DE L’EXERCICE (3)</t>
        </is>
      </c>
      <c r="B17" s="2591" t="n"/>
      <c r="C17" s="2591" t="n"/>
      <c r="D17" s="2591" t="n"/>
      <c r="E17" s="2591" t="n"/>
      <c r="F17" s="2592" t="n"/>
    </row>
    <row r="18" ht="18" customHeight="1" s="1354">
      <c r="A18" s="2257" t="inlineStr">
        <is>
          <t>Chiffres d’affaire hors taxes</t>
        </is>
      </c>
      <c r="B18" s="2593" t="n">
        <v>0</v>
      </c>
      <c r="C18" s="2593" t="n">
        <v>0</v>
      </c>
      <c r="D18" s="2593" t="n">
        <v>0</v>
      </c>
      <c r="E18" s="2593" t="n">
        <v>0</v>
      </c>
      <c r="F18" s="2594" t="n">
        <v>0</v>
      </c>
    </row>
    <row r="19" ht="18" customHeight="1" s="1354">
      <c r="A19" s="2262" t="inlineStr">
        <is>
          <t>Résultats des  activités ordinaires (R.A.O) hors dotation et reprises (exploitation et financières)</t>
        </is>
      </c>
      <c r="B19" s="2583" t="n">
        <v>0</v>
      </c>
      <c r="C19" s="2583" t="n">
        <v>0</v>
      </c>
      <c r="D19" s="2583" t="n">
        <v>0</v>
      </c>
      <c r="E19" s="2583" t="n">
        <v>0</v>
      </c>
      <c r="F19" s="2584" t="n">
        <v>0</v>
      </c>
    </row>
    <row r="20" ht="18" customHeight="1" s="1354">
      <c r="A20" s="2262" t="inlineStr">
        <is>
          <t>Participation des travailleurs aux bénéfices</t>
        </is>
      </c>
      <c r="B20" s="2583" t="n"/>
      <c r="C20" s="2583" t="n"/>
      <c r="D20" s="2583" t="n"/>
      <c r="E20" s="2583" t="n"/>
      <c r="F20" s="2584" t="n"/>
    </row>
    <row r="21" ht="18" customHeight="1" s="1354">
      <c r="A21" s="2262" t="inlineStr">
        <is>
          <t>Impôt sur le résultat</t>
        </is>
      </c>
      <c r="B21" s="2583" t="n">
        <v>0</v>
      </c>
      <c r="C21" s="2583" t="n">
        <v>0</v>
      </c>
      <c r="D21" s="2583" t="n">
        <v>0</v>
      </c>
      <c r="E21" s="2583" t="n">
        <v>0</v>
      </c>
      <c r="F21" s="2584" t="n">
        <v>0</v>
      </c>
    </row>
    <row r="22" ht="18" customHeight="1" s="1354">
      <c r="A22" s="2267" t="inlineStr">
        <is>
          <t>Résultat net(4)</t>
        </is>
      </c>
      <c r="B22" s="2595" t="n">
        <v>0</v>
      </c>
      <c r="C22" s="2595" t="n">
        <v>0</v>
      </c>
      <c r="D22" s="2595" t="n">
        <v>0</v>
      </c>
      <c r="E22" s="2595" t="n">
        <v>0</v>
      </c>
      <c r="F22" s="2596" t="n">
        <v>0</v>
      </c>
    </row>
    <row r="23" ht="18" customHeight="1" s="1354">
      <c r="A23" s="2272" t="inlineStr">
        <is>
          <t>RESULTAT ET DIVIDENDE DISTRIBUES</t>
        </is>
      </c>
      <c r="B23" s="2597" t="n"/>
      <c r="C23" s="2597" t="n"/>
      <c r="D23" s="2597" t="n"/>
      <c r="E23" s="2597" t="n"/>
      <c r="F23" s="2598" t="n"/>
    </row>
    <row r="24" ht="18" customHeight="1" s="1354">
      <c r="A24" s="2257" t="inlineStr">
        <is>
          <t>Résultat distribué (5)</t>
        </is>
      </c>
      <c r="B24" s="2593" t="n"/>
      <c r="C24" s="2593" t="n"/>
      <c r="D24" s="2593" t="n"/>
      <c r="E24" s="2593" t="n"/>
      <c r="F24" s="2594" t="n"/>
    </row>
    <row r="25" ht="18" customHeight="1" s="1354">
      <c r="A25" s="2267" t="inlineStr">
        <is>
          <t>Dividende attribué à chaque action</t>
        </is>
      </c>
      <c r="B25" s="2595" t="n"/>
      <c r="C25" s="2595" t="n"/>
      <c r="D25" s="2595" t="n"/>
      <c r="E25" s="2595" t="n"/>
      <c r="F25" s="2596" t="n"/>
    </row>
    <row r="26" ht="18" customHeight="1" s="1354">
      <c r="A26" s="2272" t="inlineStr">
        <is>
          <t>PERSONNEL ET POLITIQUE SALARIALE</t>
        </is>
      </c>
      <c r="B26" s="2591" t="n"/>
      <c r="C26" s="2591" t="n"/>
      <c r="D26" s="2591" t="n"/>
      <c r="E26" s="2591" t="n"/>
      <c r="F26" s="2592" t="n"/>
    </row>
    <row r="27" ht="18" customHeight="1" s="1354">
      <c r="A27" s="2257" t="inlineStr">
        <is>
          <t>Effectif moyen des travailleurs au cours de l’exercice (6)</t>
        </is>
      </c>
      <c r="B27" s="2593" t="n">
        <v>0</v>
      </c>
      <c r="C27" s="2593" t="n">
        <v>0</v>
      </c>
      <c r="D27" s="2593" t="n">
        <v>0</v>
      </c>
      <c r="E27" s="2593" t="n">
        <v>0</v>
      </c>
      <c r="F27" s="2594" t="n">
        <v>0</v>
      </c>
    </row>
    <row r="28" ht="18" customHeight="1" s="1354">
      <c r="A28" s="2262" t="inlineStr">
        <is>
          <t>Effectif moyen de personnel extérieur</t>
        </is>
      </c>
      <c r="B28" s="2583" t="n">
        <v>0</v>
      </c>
      <c r="C28" s="2583" t="n">
        <v>0</v>
      </c>
      <c r="D28" s="2583" t="n"/>
      <c r="E28" s="2583" t="n"/>
      <c r="F28" s="2584" t="n"/>
    </row>
    <row r="29" ht="18" customHeight="1" s="1354">
      <c r="A29" s="2262" t="inlineStr">
        <is>
          <t>Masse salariale distribuée au cours de l’exercice (7)</t>
        </is>
      </c>
      <c r="B29" s="2583" t="n">
        <v>0</v>
      </c>
      <c r="C29" s="2583" t="n">
        <v>0</v>
      </c>
      <c r="D29" s="2583" t="n">
        <v>0</v>
      </c>
      <c r="E29" s="2583" t="n">
        <v>0</v>
      </c>
      <c r="F29" s="2584" t="n">
        <v>0</v>
      </c>
    </row>
    <row r="30" ht="18" customHeight="1" s="1354">
      <c r="A30" s="2262" t="inlineStr">
        <is>
          <t>Avantages sociaux versés au cours de l’exercice (8)  [Sécurité sociale, œuvres sociales]</t>
        </is>
      </c>
      <c r="B30" s="2583">
        <f>B29*0.194</f>
        <v/>
      </c>
      <c r="C30" s="2583">
        <f>C29*0.194</f>
        <v/>
      </c>
      <c r="D30" s="2583">
        <f>D29*0.194</f>
        <v/>
      </c>
      <c r="E30" s="2583">
        <f>E29*0.194</f>
        <v/>
      </c>
      <c r="F30" s="2583" t="n">
        <v>0</v>
      </c>
    </row>
    <row r="31" ht="18" customHeight="1" s="1354">
      <c r="A31" s="2599" t="inlineStr">
        <is>
          <t>Personnel extérieur facturé à l’entité (9)</t>
        </is>
      </c>
      <c r="B31" s="2600" t="n">
        <v>0</v>
      </c>
      <c r="C31" s="2600" t="n">
        <v>0</v>
      </c>
      <c r="D31" s="2600" t="n">
        <v>0</v>
      </c>
      <c r="E31" s="2600" t="n"/>
      <c r="F31" s="2601" t="n"/>
    </row>
    <row r="32" ht="10.5" customHeight="1" s="1354">
      <c r="A32" s="2602" t="n"/>
      <c r="B32" s="1753" t="n"/>
      <c r="C32" s="1753" t="n"/>
      <c r="D32" s="1753" t="n"/>
      <c r="E32" s="1753" t="n"/>
      <c r="F32" s="1753" t="n"/>
    </row>
    <row r="33" ht="14.5" customHeight="1" s="1354">
      <c r="A33" s="2603" t="inlineStr">
        <is>
          <t>(1)   Y compris l’exercice dont les états financiers sont soumis à l’approbation de l’Assemblée</t>
        </is>
      </c>
      <c r="B33" s="2604" t="inlineStr">
        <is>
          <t>(6) Personnel propre</t>
        </is>
      </c>
      <c r="C33" s="1797" t="n"/>
      <c r="D33" s="1797" t="n"/>
      <c r="E33" s="1797" t="n"/>
      <c r="F33" s="1798" t="n"/>
    </row>
    <row r="34" ht="17.25" customHeight="1" s="1354">
      <c r="A34" s="2014" t="inlineStr">
        <is>
          <t>(2)   Indication, en cas de libération partielle du capital, du montant du capital non appelé</t>
        </is>
      </c>
      <c r="B34" s="2605" t="inlineStr">
        <is>
          <t>(7) Total des comptes 661, 662, 663</t>
        </is>
      </c>
      <c r="C34" s="1709" t="n"/>
      <c r="D34" s="1709" t="n"/>
      <c r="E34" s="1709" t="n"/>
      <c r="F34" s="1710" t="n"/>
    </row>
    <row r="35" ht="16.5" customHeight="1" s="1354">
      <c r="A35" s="2014" t="inlineStr">
        <is>
          <t>(3)   Les éléments de cette rubrique sont ceux figurant au compte de résultat</t>
        </is>
      </c>
      <c r="B35" s="2605" t="inlineStr">
        <is>
          <t>(8) Total des comptes 664,668</t>
        </is>
      </c>
      <c r="C35" s="1709" t="n"/>
      <c r="D35" s="1709" t="n"/>
      <c r="E35" s="1709" t="n"/>
      <c r="F35" s="1710" t="n"/>
    </row>
    <row r="36" ht="14.5" customHeight="1" s="1354">
      <c r="A36" s="2014" t="inlineStr">
        <is>
          <t>(4)   Le résultat, lorsqu’il est  négatif, doit être mis entre parenthèses</t>
        </is>
      </c>
      <c r="B36" s="2605" t="inlineStr">
        <is>
          <t>(9) Compte 667</t>
        </is>
      </c>
      <c r="C36" s="1709" t="n"/>
      <c r="D36" s="1709" t="n"/>
      <c r="E36" s="1709" t="n"/>
      <c r="F36" s="1710" t="n"/>
    </row>
    <row r="37" ht="15" customHeight="1" s="1354">
      <c r="A37" s="2519" t="inlineStr">
        <is>
          <t>(5)   L’exercice N correspond au dividende proposé du dernier exercice</t>
        </is>
      </c>
      <c r="B37" s="2606" t="n"/>
      <c r="C37" s="1742" t="n"/>
      <c r="D37" s="1742" t="n"/>
      <c r="E37" s="1742" t="n"/>
      <c r="F37" s="1743" t="n"/>
    </row>
    <row r="38" ht="14.5" customHeight="1" s="1354">
      <c r="A38" s="2546" t="n"/>
    </row>
    <row r="39"/>
    <row r="40" ht="14.5" customHeight="1" s="1354">
      <c r="A40" s="2543" t="n"/>
    </row>
  </sheetData>
  <mergeCells count="14">
    <mergeCell ref="A8:A9"/>
    <mergeCell ref="E8:E9"/>
    <mergeCell ref="C8:C9"/>
    <mergeCell ref="B34:F34"/>
    <mergeCell ref="F8:F9"/>
    <mergeCell ref="B33:F33"/>
    <mergeCell ref="A32:F32"/>
    <mergeCell ref="B37:F37"/>
    <mergeCell ref="D8:D9"/>
    <mergeCell ref="A6:F6"/>
    <mergeCell ref="B8:B9"/>
    <mergeCell ref="B36:F36"/>
    <mergeCell ref="A7:F7"/>
    <mergeCell ref="B35:F3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0" fitToHeight="1" fitToWidth="1" pageOrder="downThenOver" blackAndWhite="0" draft="0" horizontalDpi="300" verticalDpi="300" copies="1"/>
</worksheet>
</file>

<file path=xl/worksheets/sheet51.xml><?xml version="1.0" encoding="utf-8"?>
<worksheet xmlns="http://schemas.openxmlformats.org/spreadsheetml/2006/main">
  <sheetPr filterMode="0">
    <outlinePr summaryBelow="1" summaryRight="1"/>
    <pageSetUpPr fitToPage="0"/>
  </sheetPr>
  <dimension ref="A1:N26"/>
  <sheetViews>
    <sheetView showFormulas="0" showGridLines="1" showRowColHeaders="1" showZeros="1" rightToLeft="0" tabSelected="0" showOutlineSymbols="1" defaultGridColor="1" view="normal" topLeftCell="A28" colorId="64" zoomScale="100" zoomScaleNormal="100" zoomScalePageLayoutView="100" workbookViewId="0">
      <selection pane="topLeft" activeCell="M4" activeCellId="0" sqref="M4:M5"/>
    </sheetView>
  </sheetViews>
  <sheetFormatPr baseColWidth="8" defaultColWidth="10.8125" defaultRowHeight="12" zeroHeight="0" outlineLevelRow="0"/>
  <cols>
    <col width="24.99" customWidth="1" style="1583" min="1" max="1"/>
    <col width="10.81" customWidth="1" style="1583" min="2" max="257"/>
  </cols>
  <sheetData>
    <row r="1" ht="12" customHeight="1" s="1354">
      <c r="A1" s="1958" t="n"/>
    </row>
    <row r="2" ht="12" customHeight="1" s="1354">
      <c r="A2" s="2547" t="n"/>
    </row>
    <row r="3" ht="12" customHeight="1" s="1354">
      <c r="A3" s="1940" t="n"/>
      <c r="D3" s="1940" t="n"/>
    </row>
    <row r="4" ht="14.5" customHeight="1" s="1354">
      <c r="A4" s="1748" t="inlineStr">
        <is>
          <t>Désignation entité : ENTREPRISE TEST SARL</t>
        </is>
      </c>
      <c r="B4" s="1572" t="n"/>
      <c r="C4" s="1572" t="n"/>
      <c r="K4" s="1591" t="inlineStr">
        <is>
          <t>Exercice clos le : 31/12/2025</t>
        </is>
      </c>
      <c r="L4" s="1820" t="n"/>
      <c r="M4" s="1578" t="n"/>
    </row>
    <row r="5" ht="14.5" customHeight="1" s="1354">
      <c r="A5" s="1749" t="inlineStr">
        <is>
          <t>Numéro d’identification : CD/KNG/RCCM/23-B-01234</t>
        </is>
      </c>
      <c r="B5" s="1572" t="n"/>
      <c r="C5" s="1572" t="n"/>
      <c r="K5" s="1591" t="inlineStr">
        <is>
          <t>Durée (en mois) : 12</t>
        </is>
      </c>
      <c r="L5" s="1820" t="n"/>
      <c r="M5" s="1582" t="n"/>
    </row>
    <row r="6" ht="14" customHeight="1" s="1354">
      <c r="A6" s="2214" t="inlineStr">
        <is>
          <t>NOTE 32</t>
        </is>
      </c>
    </row>
    <row r="7" ht="15" customHeight="1" s="1354">
      <c r="A7" s="1942" t="inlineStr">
        <is>
          <t>PRODUCTION DE L’EXERCICE</t>
        </is>
      </c>
    </row>
    <row r="8" ht="12.5" customHeight="1" s="1354">
      <c r="A8" s="1940" t="n"/>
    </row>
    <row r="9" ht="24" customHeight="1" s="1354">
      <c r="A9" s="2607" t="inlineStr">
        <is>
          <t>DESIGNATION DU PRODUIT</t>
        </is>
      </c>
      <c r="B9" s="2607" t="inlineStr">
        <is>
          <t>UNITE DE QUANTITE CHOISIE</t>
        </is>
      </c>
      <c r="C9" s="2608" t="inlineStr">
        <is>
          <t>PRODUCTION VENDUE DANS LE PAYS</t>
        </is>
      </c>
      <c r="D9" s="1598" t="n"/>
      <c r="E9" s="2608" t="inlineStr">
        <is>
          <t xml:space="preserve">PRODUCTION VENDUE DANS LES AUTRES PAYS DE L’OHADA </t>
        </is>
      </c>
      <c r="F9" s="1598" t="n"/>
      <c r="G9" s="2608" t="inlineStr">
        <is>
          <t>PRODUCTION VENDUE HORS OHADA</t>
        </is>
      </c>
      <c r="H9" s="1598" t="n"/>
      <c r="I9" s="2608" t="inlineStr">
        <is>
          <t xml:space="preserve">PRODUCTION           IMMOBILISEE        </t>
        </is>
      </c>
      <c r="J9" s="1598" t="n"/>
      <c r="K9" s="2608" t="inlineStr">
        <is>
          <t xml:space="preserve">STOCK OUVERTURE DE L’EXERCICE </t>
        </is>
      </c>
      <c r="L9" s="1598" t="n"/>
      <c r="M9" s="2609" t="inlineStr">
        <is>
          <t>STOCK CLOTURE  DE L’EXERCICE</t>
        </is>
      </c>
      <c r="N9" s="1598" t="n"/>
    </row>
    <row r="10" ht="15" customHeight="1" s="1354">
      <c r="A10" s="1600" t="n"/>
      <c r="B10" s="1600" t="n"/>
      <c r="C10" s="1601" t="n"/>
      <c r="D10" s="1603" t="n"/>
      <c r="E10" s="1601" t="n"/>
      <c r="F10" s="1603" t="n"/>
      <c r="G10" s="1601" t="n"/>
      <c r="H10" s="1603" t="n"/>
      <c r="I10" s="1601" t="n"/>
      <c r="J10" s="1603" t="n"/>
      <c r="K10" s="1601" t="n"/>
      <c r="L10" s="1603" t="n"/>
      <c r="M10" s="1602" t="n"/>
      <c r="N10" s="1603" t="n"/>
    </row>
    <row r="11" ht="15.75" customHeight="1" s="1354">
      <c r="A11" s="1740" t="n"/>
      <c r="B11" s="1740" t="n"/>
      <c r="C11" s="2610" t="inlineStr">
        <is>
          <t>Quantité</t>
        </is>
      </c>
      <c r="D11" s="2611" t="inlineStr">
        <is>
          <t>Valeur</t>
        </is>
      </c>
      <c r="E11" s="2610" t="inlineStr">
        <is>
          <t>Quantité</t>
        </is>
      </c>
      <c r="F11" s="2612" t="inlineStr">
        <is>
          <t>Valeur</t>
        </is>
      </c>
      <c r="G11" s="2610" t="inlineStr">
        <is>
          <t>Quantité</t>
        </is>
      </c>
      <c r="H11" s="2612" t="inlineStr">
        <is>
          <t>Valeur</t>
        </is>
      </c>
      <c r="I11" s="2610" t="inlineStr">
        <is>
          <t>Quantité</t>
        </is>
      </c>
      <c r="J11" s="2612" t="inlineStr">
        <is>
          <t>Valeur</t>
        </is>
      </c>
      <c r="K11" s="2610" t="inlineStr">
        <is>
          <t>Quantité</t>
        </is>
      </c>
      <c r="L11" s="2612" t="inlineStr">
        <is>
          <t>Valeur</t>
        </is>
      </c>
      <c r="M11" s="2613" t="inlineStr">
        <is>
          <t>Quantité</t>
        </is>
      </c>
      <c r="N11" s="2612" t="inlineStr">
        <is>
          <t>Valeur</t>
        </is>
      </c>
    </row>
    <row r="12" ht="20.15" customHeight="1" s="1354">
      <c r="A12" s="1785" t="n"/>
      <c r="B12" s="2614" t="n"/>
      <c r="C12" s="2615" t="n"/>
      <c r="D12" s="2616" t="n"/>
      <c r="E12" s="2615" t="n"/>
      <c r="F12" s="2617" t="n"/>
      <c r="G12" s="2615" t="n"/>
      <c r="H12" s="2617" t="n"/>
      <c r="I12" s="2615" t="n"/>
      <c r="J12" s="2617" t="n"/>
      <c r="K12" s="2615" t="n"/>
      <c r="L12" s="2617" t="n"/>
      <c r="M12" s="2618" t="n"/>
      <c r="N12" s="2617" t="n"/>
    </row>
    <row r="13" ht="20.15" customHeight="1" s="1354">
      <c r="A13" s="2619" t="n"/>
      <c r="B13" s="1612" t="n"/>
      <c r="C13" s="2620" t="n"/>
      <c r="D13" s="2621" t="n"/>
      <c r="E13" s="2620" t="n"/>
      <c r="F13" s="2622" t="n"/>
      <c r="G13" s="2620" t="n"/>
      <c r="H13" s="2622" t="n"/>
      <c r="I13" s="2620" t="n"/>
      <c r="J13" s="2622" t="n"/>
      <c r="K13" s="2620" t="n"/>
      <c r="L13" s="2622" t="n"/>
      <c r="M13" s="2623" t="n"/>
      <c r="N13" s="2622" t="n"/>
    </row>
    <row r="14" ht="20.15" customHeight="1" s="1354">
      <c r="A14" s="2619" t="n"/>
      <c r="B14" s="1612" t="n"/>
      <c r="C14" s="2620" t="n"/>
      <c r="D14" s="2621" t="n"/>
      <c r="E14" s="2620" t="n"/>
      <c r="F14" s="2622" t="n"/>
      <c r="G14" s="2620" t="n"/>
      <c r="H14" s="2622" t="n"/>
      <c r="I14" s="2620" t="n"/>
      <c r="J14" s="2622" t="n"/>
      <c r="K14" s="2620" t="n"/>
      <c r="L14" s="2622" t="n"/>
      <c r="M14" s="2623" t="n"/>
      <c r="N14" s="2622" t="n"/>
    </row>
    <row r="15" ht="20.15" customHeight="1" s="1354">
      <c r="A15" s="2619" t="n"/>
      <c r="B15" s="1612" t="n"/>
      <c r="C15" s="2620" t="n"/>
      <c r="D15" s="2621" t="n"/>
      <c r="E15" s="2620" t="n"/>
      <c r="F15" s="2622" t="n"/>
      <c r="G15" s="2620" t="n"/>
      <c r="H15" s="2622" t="n"/>
      <c r="I15" s="2620" t="n"/>
      <c r="J15" s="2622" t="n"/>
      <c r="K15" s="2620" t="n"/>
      <c r="L15" s="2622" t="n"/>
      <c r="M15" s="2623" t="n"/>
      <c r="N15" s="2622" t="n"/>
    </row>
    <row r="16" ht="20.15" customHeight="1" s="1354">
      <c r="A16" s="2619" t="n"/>
      <c r="B16" s="1612" t="n"/>
      <c r="C16" s="2620" t="n"/>
      <c r="D16" s="2621" t="n"/>
      <c r="E16" s="2620" t="n"/>
      <c r="F16" s="2622" t="n"/>
      <c r="G16" s="2620" t="n"/>
      <c r="H16" s="2622" t="n"/>
      <c r="I16" s="2620" t="n"/>
      <c r="J16" s="2622" t="n"/>
      <c r="K16" s="2620" t="n"/>
      <c r="L16" s="2622" t="n"/>
      <c r="M16" s="2623" t="n"/>
      <c r="N16" s="2622" t="n"/>
    </row>
    <row r="17" ht="20.15" customHeight="1" s="1354">
      <c r="A17" s="2619" t="n"/>
      <c r="B17" s="1612" t="n"/>
      <c r="C17" s="2620" t="n"/>
      <c r="D17" s="2621" t="n"/>
      <c r="E17" s="2620" t="n"/>
      <c r="F17" s="2622" t="n"/>
      <c r="G17" s="2620" t="n"/>
      <c r="H17" s="2622" t="n"/>
      <c r="I17" s="2620" t="n"/>
      <c r="J17" s="2622" t="n"/>
      <c r="K17" s="2620" t="n"/>
      <c r="L17" s="2622" t="n"/>
      <c r="M17" s="2623" t="n"/>
      <c r="N17" s="2622" t="n"/>
    </row>
    <row r="18" ht="20.15" customHeight="1" s="1354">
      <c r="A18" s="2619" t="n"/>
      <c r="B18" s="1612" t="n"/>
      <c r="C18" s="2620" t="n"/>
      <c r="D18" s="2621" t="n"/>
      <c r="E18" s="2620" t="n"/>
      <c r="F18" s="2622" t="n"/>
      <c r="G18" s="2620" t="n"/>
      <c r="H18" s="2622" t="n"/>
      <c r="I18" s="2620" t="n"/>
      <c r="J18" s="2622" t="n"/>
      <c r="K18" s="2620" t="n"/>
      <c r="L18" s="2622" t="n"/>
      <c r="M18" s="2623" t="n"/>
      <c r="N18" s="2622" t="n"/>
    </row>
    <row r="19" ht="20.15" customHeight="1" s="1354">
      <c r="A19" s="2619" t="n"/>
      <c r="B19" s="1612" t="n"/>
      <c r="C19" s="2620" t="n"/>
      <c r="D19" s="2621" t="n"/>
      <c r="E19" s="2620" t="n"/>
      <c r="F19" s="2622" t="n"/>
      <c r="G19" s="2620" t="n"/>
      <c r="H19" s="2622" t="n"/>
      <c r="I19" s="2620" t="n"/>
      <c r="J19" s="2622" t="n"/>
      <c r="K19" s="2620" t="n"/>
      <c r="L19" s="2622" t="n"/>
      <c r="M19" s="2623" t="n"/>
      <c r="N19" s="2622" t="n"/>
    </row>
    <row r="20" ht="20.15" customHeight="1" s="1354">
      <c r="A20" s="2624" t="inlineStr">
        <is>
          <t>NON VENTILE</t>
        </is>
      </c>
      <c r="B20" s="2625" t="n"/>
      <c r="C20" s="2620" t="n"/>
      <c r="D20" s="2621" t="n"/>
      <c r="E20" s="2620" t="n"/>
      <c r="F20" s="2622" t="n"/>
      <c r="G20" s="2620" t="n"/>
      <c r="H20" s="2622" t="n"/>
      <c r="I20" s="2620" t="n"/>
      <c r="J20" s="2622" t="n"/>
      <c r="K20" s="2620" t="n"/>
      <c r="L20" s="2622" t="n"/>
      <c r="M20" s="2623" t="n"/>
      <c r="N20" s="2622" t="n"/>
    </row>
    <row r="21" ht="20.15" customHeight="1" s="1354">
      <c r="A21" s="1755" t="n"/>
      <c r="B21" s="1600" t="n"/>
      <c r="C21" s="2626" t="n"/>
      <c r="D21" s="2627" t="n"/>
      <c r="E21" s="2626" t="n"/>
      <c r="F21" s="2628" t="n"/>
      <c r="G21" s="2626" t="n"/>
      <c r="H21" s="2628" t="n"/>
      <c r="I21" s="2626" t="n"/>
      <c r="J21" s="2628" t="n"/>
      <c r="K21" s="2626" t="n"/>
      <c r="L21" s="2628" t="n"/>
      <c r="M21" s="2629" t="n"/>
      <c r="N21" s="2628" t="n"/>
    </row>
    <row r="22" ht="20.15" customHeight="1" s="1354">
      <c r="A22" s="2630" t="inlineStr">
        <is>
          <t>TOTAL</t>
        </is>
      </c>
      <c r="B22" s="2631" t="n"/>
      <c r="C22" s="2632" t="n"/>
      <c r="D22" s="2633" t="n"/>
      <c r="E22" s="2632" t="n"/>
      <c r="F22" s="2634" t="n"/>
      <c r="G22" s="2632" t="n"/>
      <c r="H22" s="2634" t="n"/>
      <c r="I22" s="2632" t="n"/>
      <c r="J22" s="2634" t="n"/>
      <c r="K22" s="2632" t="n"/>
      <c r="L22" s="2634" t="n"/>
      <c r="M22" s="2635" t="n"/>
      <c r="N22" s="2634" t="n"/>
    </row>
    <row r="23" ht="20.15" customHeight="1" s="1354">
      <c r="A23" s="2037" t="n"/>
      <c r="B23" s="1740" t="n"/>
      <c r="C23" s="2636" t="n"/>
      <c r="D23" s="2637" t="n"/>
      <c r="E23" s="2636" t="n"/>
      <c r="F23" s="2638" t="n"/>
      <c r="G23" s="2636" t="n"/>
      <c r="H23" s="2638" t="n"/>
      <c r="I23" s="2636" t="n"/>
      <c r="J23" s="2638" t="n"/>
      <c r="K23" s="2636" t="n"/>
      <c r="L23" s="2638" t="n"/>
      <c r="M23" s="2639" t="n"/>
      <c r="N23" s="2638" t="n"/>
    </row>
    <row r="24" ht="12" customHeight="1" s="1354">
      <c r="A24" s="1958" t="n"/>
    </row>
    <row r="25" ht="12" customHeight="1" s="1354">
      <c r="A25" s="1958" t="n"/>
    </row>
    <row r="26" ht="12" customHeight="1" s="1354">
      <c r="A26" s="1958" t="n"/>
    </row>
  </sheetData>
  <mergeCells count="14">
    <mergeCell ref="K9:L10"/>
    <mergeCell ref="M9:N10"/>
    <mergeCell ref="A6:N6"/>
    <mergeCell ref="A22:A23"/>
    <mergeCell ref="B22:B23"/>
    <mergeCell ref="A9:A11"/>
    <mergeCell ref="A7:N7"/>
    <mergeCell ref="B9:B11"/>
    <mergeCell ref="A20:A21"/>
    <mergeCell ref="B20:B21"/>
    <mergeCell ref="C9:D10"/>
    <mergeCell ref="G9:H10"/>
    <mergeCell ref="E9:F10"/>
    <mergeCell ref="I9:J10"/>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75" fitToHeight="1" fitToWidth="1" pageOrder="downThenOver" blackAndWhite="0" draft="0" horizontalDpi="300" verticalDpi="300" copies="1"/>
</worksheet>
</file>

<file path=xl/worksheets/sheet52.xml><?xml version="1.0" encoding="utf-8"?>
<worksheet xmlns="http://schemas.openxmlformats.org/spreadsheetml/2006/main">
  <sheetPr filterMode="0">
    <outlinePr summaryBelow="1" summaryRight="1"/>
    <pageSetUpPr fitToPage="0"/>
  </sheetPr>
  <dimension ref="A1:I25"/>
  <sheetViews>
    <sheetView showFormulas="0" showGridLines="1" showRowColHeaders="1" showZeros="1" rightToLeft="0" tabSelected="0" showOutlineSymbols="1" defaultGridColor="1" view="normal" topLeftCell="A16" colorId="64" zoomScale="100" zoomScaleNormal="100" zoomScalePageLayoutView="100" workbookViewId="0">
      <selection pane="topLeft" activeCell="H4" activeCellId="0" sqref="H4:H5"/>
    </sheetView>
  </sheetViews>
  <sheetFormatPr baseColWidth="8" defaultColWidth="10.8125" defaultRowHeight="12" zeroHeight="0" outlineLevelRow="0"/>
  <cols>
    <col width="44.44" customWidth="1" style="1583" min="1" max="1"/>
    <col width="10.81" customWidth="1" style="1583" min="2" max="257"/>
  </cols>
  <sheetData>
    <row r="1" ht="12" customHeight="1" s="1354">
      <c r="A1" s="1958" t="n"/>
    </row>
    <row r="2" ht="12" customHeight="1" s="1354">
      <c r="A2" s="1958" t="n"/>
    </row>
    <row r="3" ht="12" customHeight="1" s="1354">
      <c r="A3" s="1940" t="n"/>
      <c r="C3" s="1940" t="n"/>
    </row>
    <row r="4" ht="14.5" customHeight="1" s="1354">
      <c r="A4" s="1748" t="inlineStr">
        <is>
          <t>Désignation entité : ENTREPRISE TEST SARL</t>
        </is>
      </c>
      <c r="B4" s="1572" t="n"/>
      <c r="C4" s="1572" t="n"/>
      <c r="F4" s="1591" t="inlineStr">
        <is>
          <t>Exercice clos le : 31/12/2025</t>
        </is>
      </c>
      <c r="G4" s="1820" t="n"/>
      <c r="H4" s="1578" t="n"/>
    </row>
    <row r="5" ht="14.5" customHeight="1" s="1354">
      <c r="A5" s="1749" t="inlineStr">
        <is>
          <t>Numéro d’identification : CD/KNG/RCCM/23-B-01234</t>
        </is>
      </c>
      <c r="B5" s="1572" t="n"/>
      <c r="C5" s="1572" t="n"/>
      <c r="F5" s="1591" t="inlineStr">
        <is>
          <t>Durée (en mois) : 12</t>
        </is>
      </c>
      <c r="G5" s="1820" t="n"/>
      <c r="H5" s="1582" t="n"/>
    </row>
    <row r="6" ht="15" customHeight="1" s="1354">
      <c r="A6" s="2214" t="inlineStr">
        <is>
          <t>NOTE 33</t>
        </is>
      </c>
    </row>
    <row r="7" ht="14" customHeight="1" s="1354">
      <c r="A7" s="2640" t="inlineStr">
        <is>
          <t xml:space="preserve">                      ACHATS DESTINES A LA PRODUCTION</t>
        </is>
      </c>
    </row>
    <row r="8" ht="12.5" customHeight="1" s="1354">
      <c r="A8" s="1940" t="n"/>
    </row>
    <row r="9" ht="17.25" customHeight="1" s="1354">
      <c r="A9" s="2607" t="inlineStr">
        <is>
          <t>DESIGNATION DES MATIERES ET PRODUITS</t>
        </is>
      </c>
      <c r="B9" s="2641" t="inlineStr">
        <is>
          <t>UNITE DE QUANTITE CHOISIE</t>
        </is>
      </c>
      <c r="C9" s="2608" t="inlineStr">
        <is>
          <t>ACHATS EFFECTUES AU COURS DE L’EXERCICE</t>
        </is>
      </c>
      <c r="D9" s="1797" t="n"/>
      <c r="E9" s="1797" t="n"/>
      <c r="F9" s="1797" t="n"/>
      <c r="G9" s="1797" t="n"/>
      <c r="H9" s="1798" t="n"/>
      <c r="I9" s="2609" t="n"/>
    </row>
    <row r="10" ht="26.25" customHeight="1" s="1354">
      <c r="A10" s="1600" t="n"/>
      <c r="C10" s="2642" t="inlineStr">
        <is>
          <t>PRODUITS DE L’ETAT</t>
        </is>
      </c>
      <c r="D10" s="2643" t="n"/>
      <c r="E10" s="2644" t="inlineStr">
        <is>
          <t>PRODUITS IMPORTES</t>
        </is>
      </c>
      <c r="F10" s="1709" t="n"/>
      <c r="G10" s="1709" t="n"/>
      <c r="H10" s="1710" t="n"/>
      <c r="I10" s="2645" t="inlineStr">
        <is>
          <t>VARIATION DES STOCKS</t>
        </is>
      </c>
    </row>
    <row r="11" ht="18.75" customHeight="1" s="1354">
      <c r="A11" s="1600" t="n"/>
      <c r="C11" s="1601" t="n"/>
      <c r="D11" s="2496" t="n"/>
      <c r="E11" s="2646" t="inlineStr">
        <is>
          <t>ACHETES DANS L’ETAT</t>
        </is>
      </c>
      <c r="F11" s="1570" t="n"/>
      <c r="G11" s="2644" t="inlineStr">
        <is>
          <t>ACHETES HORS DE L’ETAT</t>
        </is>
      </c>
      <c r="H11" s="1710" t="n"/>
      <c r="I11" s="2647" t="n"/>
    </row>
    <row r="12" ht="12.5" customHeight="1" s="1354">
      <c r="A12" s="1740" t="n"/>
      <c r="B12" s="1594" t="n"/>
      <c r="C12" s="2648" t="inlineStr">
        <is>
          <t>Quantité</t>
        </is>
      </c>
      <c r="D12" s="2649" t="inlineStr">
        <is>
          <t>Valeur</t>
        </is>
      </c>
      <c r="E12" s="2649" t="inlineStr">
        <is>
          <t>Quantité</t>
        </is>
      </c>
      <c r="F12" s="2649" t="inlineStr">
        <is>
          <t>Valeur</t>
        </is>
      </c>
      <c r="G12" s="2649" t="inlineStr">
        <is>
          <t>Quantité</t>
        </is>
      </c>
      <c r="H12" s="2650" t="inlineStr">
        <is>
          <t>Valeur</t>
        </is>
      </c>
      <c r="I12" s="2651" t="inlineStr">
        <is>
          <t>(en valeur)</t>
        </is>
      </c>
    </row>
    <row r="13" ht="20.15" customHeight="1" s="1354">
      <c r="A13" s="1765" t="n"/>
      <c r="B13" s="2652" t="n"/>
      <c r="C13" s="2096" t="n"/>
      <c r="D13" s="2224" t="n"/>
      <c r="E13" s="2224" t="n"/>
      <c r="F13" s="2224" t="n"/>
      <c r="G13" s="2224" t="n"/>
      <c r="H13" s="2316" t="n"/>
      <c r="I13" s="2653" t="n"/>
    </row>
    <row r="14" ht="20.15" customHeight="1" s="1354">
      <c r="A14" s="1675" t="n"/>
      <c r="B14" s="2654" t="n"/>
      <c r="C14" s="2099" t="n"/>
      <c r="D14" s="2226" t="n"/>
      <c r="E14" s="2226" t="n"/>
      <c r="F14" s="2226" t="n"/>
      <c r="G14" s="2226" t="n"/>
      <c r="H14" s="2375" t="n"/>
      <c r="I14" s="1613" t="n"/>
    </row>
    <row r="15" ht="20.15" customHeight="1" s="1354">
      <c r="A15" s="1675" t="n"/>
      <c r="B15" s="2654" t="n"/>
      <c r="C15" s="2099" t="n"/>
      <c r="D15" s="2226" t="n"/>
      <c r="E15" s="2226" t="n"/>
      <c r="F15" s="2226" t="n"/>
      <c r="G15" s="2226" t="n"/>
      <c r="H15" s="2375" t="n"/>
      <c r="I15" s="1613" t="n"/>
    </row>
    <row r="16" ht="20.15" customHeight="1" s="1354">
      <c r="A16" s="1675" t="n"/>
      <c r="B16" s="2654" t="n"/>
      <c r="C16" s="2099" t="n"/>
      <c r="D16" s="2226" t="n"/>
      <c r="E16" s="2226" t="n"/>
      <c r="F16" s="2226" t="n"/>
      <c r="G16" s="2226" t="n"/>
      <c r="H16" s="2375" t="n"/>
      <c r="I16" s="1613" t="n"/>
    </row>
    <row r="17" ht="20.15" customHeight="1" s="1354">
      <c r="A17" s="1675" t="n"/>
      <c r="B17" s="2654" t="n"/>
      <c r="C17" s="2099" t="n"/>
      <c r="D17" s="2226" t="n"/>
      <c r="E17" s="2226" t="n"/>
      <c r="F17" s="2226" t="n"/>
      <c r="G17" s="2226" t="n"/>
      <c r="H17" s="2375" t="n"/>
      <c r="I17" s="1613" t="n"/>
    </row>
    <row r="18" ht="20.15" customHeight="1" s="1354">
      <c r="A18" s="1675" t="n"/>
      <c r="B18" s="2654" t="n"/>
      <c r="C18" s="2099" t="n"/>
      <c r="D18" s="2226" t="n"/>
      <c r="E18" s="2226" t="n"/>
      <c r="F18" s="2226" t="n"/>
      <c r="G18" s="2226" t="n"/>
      <c r="H18" s="2375" t="n"/>
      <c r="I18" s="1613" t="n"/>
    </row>
    <row r="19" ht="20.15" customHeight="1" s="1354">
      <c r="A19" s="1675" t="n"/>
      <c r="B19" s="2654" t="n"/>
      <c r="C19" s="2099" t="n"/>
      <c r="D19" s="2226" t="n"/>
      <c r="E19" s="2226" t="n"/>
      <c r="F19" s="2226" t="n"/>
      <c r="G19" s="2226" t="n"/>
      <c r="H19" s="2375" t="n"/>
      <c r="I19" s="1613" t="n"/>
    </row>
    <row r="20" ht="20.15" customHeight="1" s="1354">
      <c r="A20" s="1675" t="n"/>
      <c r="B20" s="2654" t="n"/>
      <c r="C20" s="2099" t="n"/>
      <c r="D20" s="2226" t="n"/>
      <c r="E20" s="2226" t="n"/>
      <c r="F20" s="2226" t="n"/>
      <c r="G20" s="2226" t="n"/>
      <c r="H20" s="2375" t="n"/>
      <c r="I20" s="1613" t="n"/>
    </row>
    <row r="21" ht="20.15" customHeight="1" s="1354">
      <c r="A21" s="1675" t="n"/>
      <c r="B21" s="2654" t="n"/>
      <c r="C21" s="2099" t="n"/>
      <c r="D21" s="2226" t="n"/>
      <c r="E21" s="2226" t="n"/>
      <c r="F21" s="2226" t="n"/>
      <c r="G21" s="2226" t="n"/>
      <c r="H21" s="2375" t="n"/>
      <c r="I21" s="1613" t="n"/>
    </row>
    <row r="22" ht="20.15" customHeight="1" s="1354">
      <c r="A22" s="2655" t="inlineStr">
        <is>
          <t>NON VENTILES</t>
        </is>
      </c>
      <c r="B22" s="2656" t="n"/>
      <c r="C22" s="2099" t="n"/>
      <c r="D22" s="2226" t="n"/>
      <c r="E22" s="2226" t="n"/>
      <c r="F22" s="2226" t="n"/>
      <c r="G22" s="2226" t="n"/>
      <c r="H22" s="2375" t="n"/>
      <c r="I22" s="1613" t="n"/>
    </row>
    <row r="23" ht="20.15" customHeight="1" s="1354">
      <c r="A23" s="1600" t="n"/>
      <c r="C23" s="2102" t="n"/>
      <c r="D23" s="2376" t="n"/>
      <c r="E23" s="2376" t="n"/>
      <c r="F23" s="2376" t="n"/>
      <c r="G23" s="2376" t="n"/>
      <c r="H23" s="2377" t="n"/>
      <c r="I23" s="2184" t="n"/>
    </row>
    <row r="24" ht="20.15" customHeight="1" s="1354">
      <c r="A24" s="2657" t="inlineStr">
        <is>
          <t>TOTAL</t>
        </is>
      </c>
      <c r="B24" s="2658" t="n"/>
      <c r="C24" s="2659" t="n"/>
      <c r="D24" s="2660" t="n"/>
      <c r="E24" s="2660" t="n"/>
      <c r="F24" s="2660" t="n"/>
      <c r="G24" s="2660" t="n"/>
      <c r="H24" s="2661" t="n"/>
      <c r="I24" s="2662" t="n"/>
    </row>
    <row r="25" ht="20.15" customHeight="1" s="1354">
      <c r="A25" s="1740" t="n"/>
      <c r="B25" s="1594" t="n"/>
      <c r="C25" s="2636" t="n"/>
      <c r="D25" s="2663" t="n"/>
      <c r="E25" s="2663" t="n"/>
      <c r="F25" s="2663" t="n"/>
      <c r="G25" s="2663" t="n"/>
      <c r="H25" s="2638" t="n"/>
      <c r="I25" s="2664" t="n"/>
    </row>
  </sheetData>
  <mergeCells count="13">
    <mergeCell ref="A7:I7"/>
    <mergeCell ref="A24:A25"/>
    <mergeCell ref="A9:A12"/>
    <mergeCell ref="B9:B12"/>
    <mergeCell ref="C10:D11"/>
    <mergeCell ref="A22:A23"/>
    <mergeCell ref="B22:B23"/>
    <mergeCell ref="E10:H10"/>
    <mergeCell ref="C9:H9"/>
    <mergeCell ref="E11:F11"/>
    <mergeCell ref="G11:H11"/>
    <mergeCell ref="A6:I6"/>
    <mergeCell ref="B24:B25"/>
  </mergeCells>
  <printOptions horizontalCentered="0" verticalCentered="0" headings="0" gridLines="0" gridLinesSet="1"/>
  <pageMargins left="0.708333333333333" right="0.708333333333333" top="0.747916666666667" bottom="0.747916666666667" header="0.511811023622047" footer="0.511811023622047"/>
  <pageSetup orientation="landscape" paperSize="9" scale="95" fitToHeight="1" fitToWidth="1" pageOrder="downThenOver" blackAndWhite="0" draft="0" horizontalDpi="300" verticalDpi="300" copies="1"/>
</worksheet>
</file>

<file path=xl/worksheets/sheet53.xml><?xml version="1.0" encoding="utf-8"?>
<worksheet xmlns="http://schemas.openxmlformats.org/spreadsheetml/2006/main">
  <sheetPr filterMode="0">
    <outlinePr summaryBelow="1" summaryRight="1"/>
    <pageSetUpPr fitToPage="0"/>
  </sheetPr>
  <dimension ref="A1:G66"/>
  <sheetViews>
    <sheetView showFormulas="0" showGridLines="1" showRowColHeaders="1" showZeros="1" rightToLeft="0" tabSelected="0" showOutlineSymbols="1" defaultGridColor="1" view="normal" topLeftCell="A55" colorId="64" zoomScale="100" zoomScaleNormal="100" zoomScalePageLayoutView="100" workbookViewId="0">
      <selection pane="topLeft" activeCell="D74" activeCellId="0" sqref="D74"/>
    </sheetView>
  </sheetViews>
  <sheetFormatPr baseColWidth="8" defaultColWidth="10.90234375" defaultRowHeight="14.5" zeroHeight="0" outlineLevelRow="0"/>
  <cols>
    <col width="21.44" customWidth="1" style="1572" min="1" max="1"/>
    <col width="52.44" customWidth="1" style="1572" min="2" max="2"/>
    <col width="14.26" customWidth="1" style="1572" min="3" max="3"/>
    <col width="13.81" customWidth="1" style="1572" min="4" max="4"/>
    <col width="13.72" customWidth="1" style="1572" min="5" max="5"/>
    <col width="12.72" customWidth="1" style="1572" min="7" max="7"/>
  </cols>
  <sheetData>
    <row r="1" ht="25" customHeight="1" s="1354">
      <c r="A1" s="2665" t="inlineStr">
        <is>
          <t> </t>
        </is>
      </c>
      <c r="B1" s="2666" t="inlineStr">
        <is>
          <t xml:space="preserve">NOTE 34 : FICHE DE SYNTHESE DES PRINCIPAUX INDICATEURS FINANCIERS </t>
        </is>
      </c>
    </row>
    <row r="2" ht="21" customHeight="1" s="1354">
      <c r="A2" s="1575" t="inlineStr">
        <is>
          <t>Désignation entité : ENTREPRISE TEST SARL</t>
        </is>
      </c>
      <c r="B2" s="1646" t="n"/>
      <c r="C2" s="1591" t="inlineStr">
        <is>
          <t>Exercice clos le : 31/12/2025</t>
        </is>
      </c>
      <c r="D2" s="1820" t="n"/>
      <c r="E2" s="1578" t="n"/>
    </row>
    <row r="3" ht="14.5" customHeight="1" s="1354">
      <c r="A3" s="1579" t="inlineStr">
        <is>
          <t>Numéro d’identification : CD/KNG/RCCM/23-B-01234</t>
        </is>
      </c>
      <c r="B3" s="1646" t="n"/>
      <c r="C3" s="1591" t="inlineStr">
        <is>
          <t>Durée (en mois) : 12</t>
        </is>
      </c>
      <c r="D3" s="1820" t="n"/>
      <c r="E3" s="1582" t="n"/>
    </row>
    <row r="4" ht="14.5" customHeight="1" s="1354">
      <c r="A4" s="1991" t="inlineStr">
        <is>
          <t>NOTE 34</t>
        </is>
      </c>
    </row>
    <row r="5" ht="15" customHeight="1" s="1354">
      <c r="A5" s="1842" t="inlineStr">
        <is>
          <t>SYNTHESE DES PRINCIPAUX INDICATEURS FINANCIERS</t>
        </is>
      </c>
      <c r="B5" s="1594" t="n"/>
      <c r="C5" s="1594" t="n"/>
      <c r="D5" s="1594" t="n"/>
      <c r="E5" s="1594" t="n"/>
    </row>
    <row r="6" ht="15" customHeight="1" s="1354">
      <c r="A6" s="2667" t="inlineStr">
        <is>
          <t xml:space="preserve">   ( EN  MILLIERS DE FRANCS)              </t>
        </is>
      </c>
      <c r="B6" s="1598" t="n"/>
      <c r="C6" s="2667" t="inlineStr">
        <is>
          <t xml:space="preserve">Année  N </t>
        </is>
      </c>
      <c r="D6" s="2667" t="inlineStr">
        <is>
          <t xml:space="preserve">Année   N-1 </t>
        </is>
      </c>
      <c r="E6" s="2667" t="inlineStr">
        <is>
          <t xml:space="preserve">Variation en % </t>
        </is>
      </c>
    </row>
    <row r="7" ht="15" customHeight="1" s="1354">
      <c r="A7" s="2037" t="n"/>
      <c r="B7" s="1998" t="n"/>
      <c r="C7" s="1740" t="n"/>
      <c r="D7" s="1740" t="n"/>
      <c r="E7" s="1740" t="n"/>
    </row>
    <row r="8" ht="15" customHeight="1" s="1354">
      <c r="A8" s="2668" t="inlineStr">
        <is>
          <t xml:space="preserve">ANALYSE DE L'ACTIVITE  </t>
        </is>
      </c>
      <c r="B8" s="1753" t="n"/>
      <c r="C8" s="1753" t="n"/>
      <c r="D8" s="2669" t="n"/>
      <c r="E8" s="2670" t="n"/>
    </row>
    <row r="9" ht="15" customHeight="1" s="1354">
      <c r="A9" s="2671" t="inlineStr">
        <is>
          <t xml:space="preserve">SOLDES INTERMEDIAIRES DE GESTION </t>
        </is>
      </c>
      <c r="B9" s="1754" t="n"/>
      <c r="C9" s="2672" t="n"/>
      <c r="D9" s="2672" t="n"/>
      <c r="E9" s="2672" t="n"/>
    </row>
    <row r="10" ht="15" customHeight="1" s="1354">
      <c r="A10" s="2673" t="inlineStr">
        <is>
          <t xml:space="preserve">CHIFFRE D'AFFAIRES </t>
        </is>
      </c>
      <c r="B10" s="1598" t="n"/>
      <c r="C10" s="2864">
        <f>'Compte de Résultat'!E16</f>
        <v/>
      </c>
      <c r="D10" s="2864">
        <f>'Compte de Résultat'!F16</f>
        <v/>
      </c>
      <c r="E10" s="2675">
        <f>(C10-D10)/D10</f>
        <v/>
      </c>
    </row>
    <row r="11" ht="15" customHeight="1" s="1354">
      <c r="A11" s="2676" t="inlineStr">
        <is>
          <t xml:space="preserve">MARGE COMMERCIALE </t>
        </is>
      </c>
      <c r="B11" s="1816" t="n"/>
      <c r="C11" s="2864">
        <f>'Compte de Résultat'!E12</f>
        <v/>
      </c>
      <c r="D11" s="2864">
        <f>'Compte de Résultat'!F12</f>
        <v/>
      </c>
      <c r="E11" s="2675">
        <f>(C11-D11)/D11</f>
        <v/>
      </c>
    </row>
    <row r="12" ht="15" customHeight="1" s="1354">
      <c r="A12" s="2676" t="inlineStr">
        <is>
          <t xml:space="preserve">VALEUR AJOUTEE </t>
        </is>
      </c>
      <c r="B12" s="1816" t="n"/>
      <c r="C12" s="2864">
        <f>'Compte de Résultat'!E30</f>
        <v/>
      </c>
      <c r="D12" s="2864">
        <f>'Compte de Résultat'!F30</f>
        <v/>
      </c>
      <c r="E12" s="2677">
        <f>(C12-D12)/D12</f>
        <v/>
      </c>
    </row>
    <row r="13" ht="15" customHeight="1" s="1354">
      <c r="A13" s="2676" t="inlineStr">
        <is>
          <t xml:space="preserve">EXCEDENT BRUT D'EXPLOITATION (EBE) </t>
        </is>
      </c>
      <c r="B13" s="1816" t="n"/>
      <c r="C13" s="2864">
        <f>'Compte de Résultat'!E32</f>
        <v/>
      </c>
      <c r="D13" s="2864">
        <f>'Compte de Résultat'!F32</f>
        <v/>
      </c>
      <c r="E13" s="2677">
        <f>(C13-D13)/D13</f>
        <v/>
      </c>
    </row>
    <row r="14" ht="15" customHeight="1" s="1354">
      <c r="A14" s="2676" t="inlineStr">
        <is>
          <t xml:space="preserve">RESULTAT D'EXPLOITATION </t>
        </is>
      </c>
      <c r="B14" s="1816" t="n"/>
      <c r="C14" s="2864">
        <f>'Compte de Résultat'!E35</f>
        <v/>
      </c>
      <c r="D14" s="2864">
        <f>'Compte de Résultat'!F35</f>
        <v/>
      </c>
      <c r="E14" s="2677">
        <f>(C14-D14)/D14</f>
        <v/>
      </c>
    </row>
    <row r="15" ht="15" customHeight="1" s="1354">
      <c r="A15" s="2676" t="inlineStr">
        <is>
          <t xml:space="preserve">RESULTAT FINANCIER </t>
        </is>
      </c>
      <c r="B15" s="1816" t="n"/>
      <c r="C15" s="2864">
        <f>'Compte de Résultat'!E41</f>
        <v/>
      </c>
      <c r="D15" s="2864">
        <f>'Compte de Résultat'!F41</f>
        <v/>
      </c>
      <c r="E15" s="2677">
        <f>(C15-D15)/D15</f>
        <v/>
      </c>
    </row>
    <row r="16" ht="15" customHeight="1" s="1354">
      <c r="A16" s="2676" t="inlineStr">
        <is>
          <t xml:space="preserve">RESULTAT DES ACTIVITES ORDINAIRES </t>
        </is>
      </c>
      <c r="B16" s="1816" t="n"/>
      <c r="C16" s="2864">
        <f>'Compte de Résultat'!E42</f>
        <v/>
      </c>
      <c r="D16" s="2864">
        <f>'Compte de Résultat'!F42</f>
        <v/>
      </c>
      <c r="E16" s="2677">
        <f>(C16-D16)/D16</f>
        <v/>
      </c>
    </row>
    <row r="17" ht="15" customHeight="1" s="1354">
      <c r="A17" s="2676" t="inlineStr">
        <is>
          <t xml:space="preserve">RESULTAT HORS ACTIVITES ORDINAIRES </t>
        </is>
      </c>
      <c r="B17" s="1816" t="n"/>
      <c r="C17" s="2674">
        <f>'Compte de Résultat'!E47</f>
        <v/>
      </c>
      <c r="D17" s="2674">
        <f>'Compte de Résultat'!F47</f>
        <v/>
      </c>
      <c r="E17" s="2677" t="n"/>
    </row>
    <row r="18" ht="15" customHeight="1" s="1354">
      <c r="A18" s="2678" t="inlineStr">
        <is>
          <t xml:space="preserve">RESULTAT NET </t>
        </is>
      </c>
      <c r="B18" s="1998" t="n"/>
      <c r="C18" s="2864">
        <f>'Compte de Résultat'!E50</f>
        <v/>
      </c>
      <c r="D18" s="2864">
        <f>'Compte de Résultat'!F50</f>
        <v/>
      </c>
      <c r="E18" s="2677">
        <f>(C18-D18)/D18</f>
        <v/>
      </c>
    </row>
    <row r="19" ht="15" customHeight="1" s="1354">
      <c r="A19" s="2671" t="inlineStr">
        <is>
          <t xml:space="preserve">DETERMINATION DE LA CAPACITE D'AUTOFINANCEMENT </t>
        </is>
      </c>
      <c r="B19" s="1754" t="n"/>
      <c r="C19" s="2679" t="n"/>
      <c r="D19" s="2679" t="n"/>
      <c r="E19" s="2680" t="n"/>
    </row>
    <row r="20" ht="15" customHeight="1" s="1354">
      <c r="A20" s="2681" t="inlineStr">
        <is>
          <t xml:space="preserve">EBE    </t>
        </is>
      </c>
      <c r="B20" s="1598" t="n"/>
      <c r="C20" s="2674">
        <f>C13</f>
        <v/>
      </c>
      <c r="D20" s="2674">
        <f>D13</f>
        <v/>
      </c>
      <c r="E20" s="2680" t="n"/>
    </row>
    <row r="21" ht="15" customHeight="1" s="1354">
      <c r="A21" s="2676" t="inlineStr">
        <is>
          <t xml:space="preserve">  + Valeurs comptables des cessions courantes d’immobilisation  (compte 654)    </t>
        </is>
      </c>
      <c r="B21" s="1816" t="n"/>
      <c r="C21" s="2864">
        <f>SUMIF(BALANCE!$A$2:$A$70,"654*",BALANCE!$F$2:$F$70)-SUMIF(BALANCE!$A$2:$A$70,"654*",BALANCE!$G$2:$G$70)</f>
        <v/>
      </c>
      <c r="D21" s="2864">
        <f>SUMIF(BALANCE_N1!$A$2:$A$70,"654*",BALANCE_N1!$F$2:$F$70)-SUMIF(BALANCE_N1!$A$2:$A$70,"654*",BALANCE_N1!$G$2:$G$70)</f>
        <v/>
      </c>
      <c r="E21" s="2680" t="n"/>
    </row>
    <row r="22" ht="15" customHeight="1" s="1354">
      <c r="A22" s="2682" t="inlineStr">
        <is>
          <t xml:space="preserve">  - Produits des cessions courantes d’immobilisation (compte 754)    </t>
        </is>
      </c>
      <c r="B22" s="2683" t="n"/>
      <c r="C22" s="2864">
        <f>SUMIF(BALANCE!$A$2:$A$70,"754*",BALANCE!$G$2:$G$70)-SUMIF(BALANCE!$A$2:$A$70,"754*",BALANCE!$F$2:$F$70)</f>
        <v/>
      </c>
      <c r="D22" s="2864">
        <f>SUMIF(BALANCE_N1!$A$2:$A$70,"754*",BALANCE_N1!$G$2:$G$70)-SUMIF(BALANCE_N1!$A$2:$A$70,"754*",BALANCE_N1!$F$2:$F$70)</f>
        <v/>
      </c>
      <c r="E22" s="2680" t="n"/>
    </row>
    <row r="23" ht="19.5" customHeight="1" s="1354">
      <c r="A23" s="2684" t="inlineStr">
        <is>
          <t xml:space="preserve">  = CAPACITE D'AUTOFINANCEMENT D'EXPLOITATION </t>
        </is>
      </c>
      <c r="B23" s="2685" t="n"/>
      <c r="C23" s="2686">
        <f>C20+C21-C22</f>
        <v/>
      </c>
      <c r="D23" s="2686">
        <f>D20+D21-D22</f>
        <v/>
      </c>
      <c r="E23" s="2687" t="inlineStr">
        <is>
          <t>  </t>
        </is>
      </c>
    </row>
    <row r="24" ht="15" customHeight="1" s="1354">
      <c r="A24" s="2676" t="inlineStr">
        <is>
          <t xml:space="preserve">  + Revenus financiers    </t>
        </is>
      </c>
      <c r="B24" s="1816" t="n"/>
      <c r="C24" s="2864">
        <f>'Compte de Résultat'!E36+'Compte de Résultat'!E37-SUMIF(BALANCE!$A$2:$A$70,"776*",BALANCE!$G$2:$G$70)-SUMIF(BALANCE!$A$2:$A$70,"776*",BALANCE!$F$2:$F$70)</f>
        <v/>
      </c>
      <c r="D24" s="2864">
        <f>'Compte de Résultat'!F36+'Compte de Résultat'!F37-SUMIF(BALANCE_N1!$A$2:$A$70,"776*",BALANCE_N1!$G$2:$G$70)-SUMIF(BALANCE_N1!$A$2:$A$70,"776*",BALANCE_N1!$F$2:$F$70)</f>
        <v/>
      </c>
      <c r="E24" s="2680" t="n"/>
    </row>
    <row r="25" ht="15" customHeight="1" s="1354">
      <c r="A25" s="2676" t="inlineStr">
        <is>
          <t xml:space="preserve">  + Gains de change    </t>
        </is>
      </c>
      <c r="B25" s="1816" t="n"/>
      <c r="C25" s="2864">
        <f>SUMIF(BALANCE!$A$2:$A$70,"776*",BALANCE!$G$2:$G$70)-SUMIF(BALANCE!$A$2:$A$70,"776*",BALANCE!$F$2:$F$70)</f>
        <v/>
      </c>
      <c r="D25" s="2864">
        <f>SUMIF(BALANCE_N1!$A$2:$A$70,"776*",BALANCE_N1!$G$2:$G$70)-SUMIF(BALANCE_N1!$A$2:$A$70,"776*",BALANCE_N1!$F$2:$F$70)</f>
        <v/>
      </c>
      <c r="E25" s="2680" t="n"/>
    </row>
    <row r="26" ht="15" customHeight="1" s="1354">
      <c r="A26" s="2676" t="inlineStr">
        <is>
          <t xml:space="preserve">  + Transferts de charges financières   </t>
        </is>
      </c>
      <c r="B26" s="1816" t="n"/>
      <c r="C26" s="2864">
        <f>'Compte de Résultat'!E38</f>
        <v/>
      </c>
      <c r="D26" s="2864">
        <f>'Compte de Résultat'!F38</f>
        <v/>
      </c>
      <c r="E26" s="2680" t="n"/>
    </row>
    <row r="27" ht="15" customHeight="1" s="1354">
      <c r="A27" s="2676" t="inlineStr">
        <is>
          <t xml:space="preserve">  + Produits HAO    </t>
        </is>
      </c>
      <c r="B27" s="1816" t="n"/>
      <c r="C27" s="2864">
        <f>'Compte de Résultat'!E44-SUMIF(BALANCE!$A$2:$A$70,"86*",BALANCE!$G$2:$G$70)-SUMIF(BALANCE!$A$2:$A$70,"86*",BALANCE!$F$2:$F$70)-SUMIF(BALANCE!$A$2:$A$70,"848*",BALANCE!$G$2:$G$70)-SUMIF(BALANCE!$A$2:$A$70,"848*",BALANCE!$F$2:$F$70)</f>
        <v/>
      </c>
      <c r="D27" s="2864">
        <f>'Compte de Résultat'!F44-SUMIF(BALANCE_N1!$A$2:$A$70,"86*",BALANCE_N1!$G$2:$G$70)-SUMIF(BALANCE_N1!$A$2:$A$70,"86*",BALANCE_N1!$F$2:$F$70)-SUMIF(BALANCE_N1!$A$2:$A$70,"848*",BALANCE_N1!$G$2:$G$70)-SUMIF(BALANCE_N1!$A$2:$A$70,"848*",BALANCE_N1!$F$2:$F$70)</f>
        <v/>
      </c>
      <c r="E27" s="2680" t="n"/>
    </row>
    <row r="28" ht="15" customHeight="1" s="1354">
      <c r="A28" s="2676" t="inlineStr">
        <is>
          <t xml:space="preserve">  + Transferts de charges HAO   </t>
        </is>
      </c>
      <c r="B28" s="1816" t="n"/>
      <c r="C28" s="2864">
        <f>SUMIF(BALANCE!$A$2:$A$70,"848*",BALANCE!$G$2:$G$70)-SUMIF(BALANCE!$A$2:$A$70,"848*",BALANCE!$F$2:$F$70)</f>
        <v/>
      </c>
      <c r="D28" s="2864">
        <f>SUMIF(BALANCE_N1!$A$2:$A$70,"848*",BALANCE_N1!$G$2:$G$70)-SUMIF(BALANCE_N1!$A$2:$A$70,"848*",BALANCE_N1!$F$2:$F$70)</f>
        <v/>
      </c>
      <c r="E28" s="2680" t="n"/>
    </row>
    <row r="29" ht="15" customHeight="1" s="1354">
      <c r="A29" s="2688" t="inlineStr">
        <is>
          <t xml:space="preserve">-  Frais financiers     </t>
        </is>
      </c>
      <c r="B29" s="1816" t="n"/>
      <c r="C29" s="2864">
        <f>'Compte de Résultat'!E39+'Compte de Résultat'!E40-SUMIF(BALANCE!$A$2:$A$70,"676*",BALANCE!$F$2:$F$70)-SUMIF(BALANCE!$A$2:$A$70,"676*",BALANCE!$G$2:$G$70)</f>
        <v/>
      </c>
      <c r="D29" s="2864">
        <f>'Compte de Résultat'!F39+'Compte de Résultat'!F40-SUMIF(BALANCE_N1!$A$2:$A$70,"676*",BALANCE_N1!$F$2:$F$70)-SUMIF(BALANCE_N1!$A$2:$A$70,"676*",BALANCE_N1!$G$2:$G$70)</f>
        <v/>
      </c>
      <c r="E29" s="2680" t="n"/>
    </row>
    <row r="30" ht="15" customHeight="1" s="1354">
      <c r="A30" s="2688" t="inlineStr">
        <is>
          <t xml:space="preserve">-  Pertes de change    </t>
        </is>
      </c>
      <c r="B30" s="1816" t="n"/>
      <c r="C30" s="2864">
        <f>SUMIF(BALANCE!$A$2:$A$70,"676*",BALANCE!$F$2:$F$70)-SUMIF(BALANCE!$A$2:$A$70,"676*",BALANCE!$G$2:$G$70)</f>
        <v/>
      </c>
      <c r="D30" s="2864">
        <f>SUMIF(BALANCE_N1!$A$2:$A$70,"676*",BALANCE_N1!$F$2:$F$70)-SUMIF(BALANCE_N1!$A$2:$A$70,"676*",BALANCE_N1!$G$2:$G$70)</f>
        <v/>
      </c>
      <c r="E30" s="2680" t="n"/>
    </row>
    <row r="31" ht="15" customHeight="1" s="1354">
      <c r="A31" s="2688" t="inlineStr">
        <is>
          <t xml:space="preserve">-  Participation    </t>
        </is>
      </c>
      <c r="B31" s="1816" t="n"/>
      <c r="C31" s="2864">
        <f>'Compte de Résultat'!E48</f>
        <v/>
      </c>
      <c r="D31" s="2864">
        <f>'Compte de Résultat'!F48</f>
        <v/>
      </c>
      <c r="E31" s="2680" t="n"/>
    </row>
    <row r="32" ht="15" customHeight="1" s="1354">
      <c r="A32" s="2689" t="inlineStr">
        <is>
          <t xml:space="preserve">-  Impôts sur les résultats    </t>
        </is>
      </c>
      <c r="B32" s="2683" t="n"/>
      <c r="C32" s="2864">
        <f>'Compte de Résultat'!E49</f>
        <v/>
      </c>
      <c r="D32" s="2864">
        <f>'Compte de Résultat'!F49</f>
        <v/>
      </c>
      <c r="E32" s="2680" t="n"/>
    </row>
    <row r="33" ht="15" customHeight="1" s="1354">
      <c r="A33" s="2690" t="inlineStr">
        <is>
          <t xml:space="preserve">  = CAPACITE D'AUTOFINANCEMENT GLOBALE (C.A.F.G.)    </t>
        </is>
      </c>
      <c r="B33" s="2685" t="n"/>
      <c r="C33" s="2691">
        <f>C23+C24+C25+C26+C27+C28-C29-C30-C31-C32</f>
        <v/>
      </c>
      <c r="D33" s="2691">
        <f>D23+D24+D25+D26+D27+D28-D29-D30-D31-D32</f>
        <v/>
      </c>
      <c r="E33" s="2692" t="n"/>
    </row>
    <row r="34" ht="15" customHeight="1" s="1354">
      <c r="A34" s="2682" t="inlineStr">
        <is>
          <t xml:space="preserve">  - Distributions de dividendes opérées durant l'exercice     </t>
        </is>
      </c>
      <c r="B34" s="2683" t="n"/>
      <c r="C34" s="2693" t="n">
        <v>0</v>
      </c>
      <c r="D34" s="2693" t="n">
        <v>0</v>
      </c>
      <c r="E34" s="2693" t="n">
        <v>0</v>
      </c>
    </row>
    <row r="35" ht="15" customHeight="1" s="1354">
      <c r="A35" s="2694" t="inlineStr">
        <is>
          <t xml:space="preserve">  = AUTOFINANCEMENT    </t>
        </is>
      </c>
      <c r="B35" s="2695" t="n"/>
      <c r="C35" s="2696">
        <f>C33-C34</f>
        <v/>
      </c>
      <c r="D35" s="2696">
        <f>D33-D34</f>
        <v/>
      </c>
      <c r="E35" s="2697">
        <f>(C35-D35)/D35</f>
        <v/>
      </c>
    </row>
    <row r="36" ht="15" customHeight="1" s="1354">
      <c r="A36" s="2698" t="inlineStr">
        <is>
          <t xml:space="preserve">ANALYSE DE LA RENTABILITE </t>
        </is>
      </c>
      <c r="B36" s="1753" t="n"/>
      <c r="C36" s="1753" t="n"/>
      <c r="D36" s="1753" t="n"/>
      <c r="E36" s="1754" t="n"/>
    </row>
    <row r="37" ht="15" customHeight="1" s="1354">
      <c r="A37" s="2699" t="inlineStr">
        <is>
          <t xml:space="preserve">Rentabilité économique = Résultat d’exploitation (a) /Capitaux propres + dettes financières  </t>
        </is>
      </c>
      <c r="B37" s="1598" t="n"/>
      <c r="C37" s="2700">
        <f>'Compte de Résultat'!E32/(PASSIF!D20+PASSIF!D21)</f>
        <v/>
      </c>
      <c r="D37" s="2700">
        <f>'Compte de Résultat'!F32/(PASSIF!E20+PASSIF!E21)</f>
        <v/>
      </c>
      <c r="E37" s="2677">
        <f>(C37-D37)/D37</f>
        <v/>
      </c>
    </row>
    <row r="38" ht="15" customHeight="1" s="1354">
      <c r="A38" s="2701" t="inlineStr">
        <is>
          <t xml:space="preserve">Rentabilité financière = Résultat net/Capitaux propres    </t>
        </is>
      </c>
      <c r="B38" s="1998" t="n"/>
      <c r="C38" s="2700">
        <f>'Compte de Résultat'!E50/PASSIF!D20</f>
        <v/>
      </c>
      <c r="D38" s="2700">
        <f>'Compte de Résultat'!F50/PASSIF!E20</f>
        <v/>
      </c>
      <c r="E38" s="2677">
        <f>(C38-D38)/D38</f>
        <v/>
      </c>
    </row>
    <row r="39" ht="15" customHeight="1" s="1354">
      <c r="A39" s="2698" t="inlineStr">
        <is>
          <t xml:space="preserve">ANALYSE DE LA STRUCTURE FINANCIERE </t>
        </is>
      </c>
      <c r="B39" s="1753" t="n"/>
      <c r="C39" s="1753" t="n"/>
      <c r="D39" s="1753" t="n"/>
      <c r="E39" s="1754" t="n"/>
    </row>
    <row r="40" ht="15" customHeight="1" s="1354">
      <c r="A40" s="2673" t="inlineStr">
        <is>
          <t xml:space="preserve">     Capitaux propres et ressources assimilées </t>
        </is>
      </c>
      <c r="B40" s="1598" t="n"/>
      <c r="C40" s="2674">
        <f>PASSIF!D20</f>
        <v/>
      </c>
      <c r="D40" s="2674">
        <f>PASSIF!E20</f>
        <v/>
      </c>
      <c r="E40" s="2675">
        <f>(C40-D40)/D40</f>
        <v/>
      </c>
    </row>
    <row r="41" ht="15" customHeight="1" s="1354">
      <c r="A41" s="2676" t="inlineStr">
        <is>
          <t xml:space="preserve">  + Dettes financières* et autres ressources assimilées (b) </t>
        </is>
      </c>
      <c r="B41" s="1816" t="n"/>
      <c r="C41" s="2674">
        <f>PASSIF!D24</f>
        <v/>
      </c>
      <c r="D41" s="2674">
        <f>PASSIF!E24</f>
        <v/>
      </c>
      <c r="E41" s="2675">
        <f>(C41-D41)/D41</f>
        <v/>
      </c>
    </row>
    <row r="42" ht="15" customHeight="1" s="1354">
      <c r="A42" s="2702" t="inlineStr">
        <is>
          <t xml:space="preserve">  = Ressources stables </t>
        </is>
      </c>
      <c r="B42" s="1816" t="n"/>
      <c r="C42" s="2703">
        <f>C40+C41</f>
        <v/>
      </c>
      <c r="D42" s="2703">
        <f>D40+D41</f>
        <v/>
      </c>
      <c r="E42" s="2704">
        <f>E40+E41</f>
        <v/>
      </c>
    </row>
    <row r="43" ht="15" customHeight="1" s="1354">
      <c r="A43" s="2705" t="inlineStr">
        <is>
          <t xml:space="preserve">  - Actif immobilisé (b) </t>
        </is>
      </c>
      <c r="B43" s="2683" t="n"/>
      <c r="C43" s="2674">
        <f>ACTIF!F27</f>
        <v/>
      </c>
      <c r="D43" s="2674">
        <f>ACTIF!G27</f>
        <v/>
      </c>
      <c r="E43" s="2675">
        <f>(C43-D43)/D43</f>
        <v/>
      </c>
    </row>
    <row r="44" ht="15" customHeight="1" s="1354">
      <c r="A44" s="2706" t="inlineStr">
        <is>
          <t xml:space="preserve">  = FONDS DE ROULEMENT (1)    </t>
        </is>
      </c>
      <c r="B44" s="2685" t="n"/>
      <c r="C44" s="2707">
        <f>C42-C43</f>
        <v/>
      </c>
      <c r="D44" s="2707">
        <f>D42-D43</f>
        <v/>
      </c>
      <c r="E44" s="2708">
        <f>(C44-D44)/D44</f>
        <v/>
      </c>
    </row>
    <row r="45" ht="15" customHeight="1" s="1354">
      <c r="A45" s="2676" t="inlineStr">
        <is>
          <t xml:space="preserve">    Actif circulant d'exploitation (b) </t>
        </is>
      </c>
      <c r="B45" s="1816" t="n"/>
      <c r="C45" s="2709">
        <f>ACTIF!F29+ACTIF!F30</f>
        <v/>
      </c>
      <c r="D45" s="2709">
        <f>ACTIF!G29+ACTIF!G30</f>
        <v/>
      </c>
      <c r="E45" s="2710">
        <f>(C45-D45)/D45</f>
        <v/>
      </c>
    </row>
    <row r="46" ht="15" customHeight="1" s="1354">
      <c r="A46" s="2688" t="inlineStr">
        <is>
          <t xml:space="preserve">-  Passif circulant d'exploitation (b) </t>
        </is>
      </c>
      <c r="B46" s="1816" t="n"/>
      <c r="C46" s="2709">
        <f>PASSIF!D32-PASSIF!D26</f>
        <v/>
      </c>
      <c r="D46" s="2709">
        <f>PASSIF!E32-PASSIF!E26</f>
        <v/>
      </c>
      <c r="E46" s="2710">
        <f>(C46-D46)/D46</f>
        <v/>
      </c>
    </row>
    <row r="47" ht="15" customHeight="1" s="1354">
      <c r="A47" s="2702" t="inlineStr">
        <is>
          <t xml:space="preserve">  = BESOIN DE FINANCEMENT D'EXPLOITATION (2) </t>
        </is>
      </c>
      <c r="B47" s="1816" t="n"/>
      <c r="C47" s="2703">
        <f>C45-C46</f>
        <v/>
      </c>
      <c r="D47" s="2703">
        <f>D45-D46</f>
        <v/>
      </c>
      <c r="E47" s="2711">
        <f>(C47-D47)/D47</f>
        <v/>
      </c>
    </row>
    <row r="48" ht="15" customHeight="1" s="1354">
      <c r="A48" s="2676" t="inlineStr">
        <is>
          <t xml:space="preserve">    Actif circulant HAO (b) </t>
        </is>
      </c>
      <c r="B48" s="1816" t="n"/>
      <c r="C48" s="2674">
        <f>ACTIF!F28</f>
        <v/>
      </c>
      <c r="D48" s="2674">
        <f>ACTIF!G28</f>
        <v/>
      </c>
      <c r="E48" s="2711" t="n"/>
    </row>
    <row r="49" ht="15" customHeight="1" s="1354">
      <c r="A49" s="2688" t="inlineStr">
        <is>
          <t xml:space="preserve">-  Passif circulant HAO (b) </t>
        </is>
      </c>
      <c r="B49" s="1816" t="n"/>
      <c r="C49" s="2674">
        <f>PASSIF!D26</f>
        <v/>
      </c>
      <c r="D49" s="2674">
        <f>PASSIF!E26</f>
        <v/>
      </c>
      <c r="E49" s="2711" t="n"/>
    </row>
    <row r="50" ht="15" customHeight="1" s="1354">
      <c r="A50" s="2705" t="inlineStr">
        <is>
          <t xml:space="preserve">  = BESOIN DE FINANCEMENT HAO (3) </t>
        </is>
      </c>
      <c r="B50" s="2683" t="n"/>
      <c r="C50" s="2674">
        <f>C48-C49</f>
        <v/>
      </c>
      <c r="D50" s="2674">
        <f>D48-D49</f>
        <v/>
      </c>
      <c r="E50" s="2711" t="n"/>
    </row>
    <row r="51" ht="15" customHeight="1" s="1354">
      <c r="A51" s="2706" t="inlineStr">
        <is>
          <t xml:space="preserve">BESOIN DE FINANCEMENT GLOBAL (4) = (2) + (3)   </t>
        </is>
      </c>
      <c r="B51" s="2685" t="n"/>
      <c r="C51" s="2707">
        <f>C47+C50</f>
        <v/>
      </c>
      <c r="D51" s="2707">
        <f>D47+D50</f>
        <v/>
      </c>
      <c r="E51" s="2708">
        <f>(C51-D51)/D51</f>
        <v/>
      </c>
    </row>
    <row r="52" ht="6.75" customHeight="1" s="1354">
      <c r="A52" s="2712" t="inlineStr">
        <is>
          <t>  </t>
        </is>
      </c>
      <c r="B52" s="2683" t="n"/>
      <c r="C52" s="2713" t="n"/>
      <c r="D52" s="2713" t="n"/>
      <c r="E52" s="2714" t="n"/>
    </row>
    <row r="53" ht="15" customHeight="1" s="1354">
      <c r="A53" s="2715" t="inlineStr">
        <is>
          <t xml:space="preserve">TRESORERIE NETTE (5) = (1) - (4)    </t>
        </is>
      </c>
      <c r="B53" s="1816" t="n"/>
      <c r="C53" s="2716">
        <f>C44-C51</f>
        <v/>
      </c>
      <c r="D53" s="2716">
        <f>D44-D51</f>
        <v/>
      </c>
      <c r="E53" s="2717">
        <f>(C53-D53)/D53</f>
        <v/>
      </c>
    </row>
    <row r="54" ht="15" customHeight="1" s="1354">
      <c r="A54" s="2678" t="inlineStr">
        <is>
          <t xml:space="preserve">CONTRÔLE : TRESORERIE NETTE = (TRESORERIE - ACTIF) - (TRESORERIE - PASSIF) </t>
        </is>
      </c>
      <c r="B54" s="1998" t="n"/>
      <c r="C54" s="2674">
        <f>ACTIF!F38-PASSIF!D35</f>
        <v/>
      </c>
      <c r="D54" s="2674">
        <f>ACTIF!G38-PASSIF!E35</f>
        <v/>
      </c>
      <c r="E54" s="2677">
        <f>(C54-D54)/D54</f>
        <v/>
      </c>
    </row>
    <row r="55" ht="15" customHeight="1" s="1354">
      <c r="A55" s="2698" t="inlineStr">
        <is>
          <t xml:space="preserve">ANALYSE DE LA VARIATION DE LA TRESORERIE </t>
        </is>
      </c>
      <c r="B55" s="1753" t="n"/>
      <c r="C55" s="1753" t="n"/>
      <c r="D55" s="1753" t="n"/>
      <c r="E55" s="1754" t="n"/>
    </row>
    <row r="56" ht="15" customHeight="1" s="1354">
      <c r="A56" s="2681" t="inlineStr">
        <is>
          <t xml:space="preserve">   Flux de trésorerie des activités opérationnelles </t>
        </is>
      </c>
      <c r="B56" s="1598" t="n"/>
      <c r="C56" s="2674">
        <f>TFT!H20</f>
        <v/>
      </c>
      <c r="D56" s="2674">
        <f>TFT!I20</f>
        <v/>
      </c>
      <c r="E56" s="2677">
        <f>(C56-D56)/D56</f>
        <v/>
      </c>
    </row>
    <row r="57" ht="15" customHeight="1" s="1354">
      <c r="A57" s="2702" t="inlineStr">
        <is>
          <t xml:space="preserve">  -Flux de trésorerie des activités d'investissement </t>
        </is>
      </c>
      <c r="B57" s="1816" t="n"/>
      <c r="C57" s="2674">
        <f>TFT!H27</f>
        <v/>
      </c>
      <c r="D57" s="2674">
        <f>TFT!I27</f>
        <v/>
      </c>
      <c r="E57" s="2677">
        <f>(C57-D57)/D57</f>
        <v/>
      </c>
    </row>
    <row r="58" ht="15" customHeight="1" s="1354">
      <c r="A58" s="2705" t="inlineStr">
        <is>
          <t xml:space="preserve">  +Flux de trésorerie des activités de financement </t>
        </is>
      </c>
      <c r="B58" s="2683" t="n"/>
      <c r="C58" s="2674">
        <f>TFT!H39</f>
        <v/>
      </c>
      <c r="D58" s="2674">
        <f>TFT!I39</f>
        <v/>
      </c>
      <c r="E58" s="2677">
        <f>(C58-D58)/D58</f>
        <v/>
      </c>
    </row>
    <row r="59" ht="15" customHeight="1" s="1354">
      <c r="A59" s="2718" t="inlineStr">
        <is>
          <t xml:space="preserve">  = VARIATION DE LA TRESORERIE NETTE DE LA PERIODE   </t>
        </is>
      </c>
      <c r="B59" s="2695" t="n"/>
      <c r="C59" s="2707">
        <f>C56+C57+C58</f>
        <v/>
      </c>
      <c r="D59" s="2707">
        <f>D56+D57+D58</f>
        <v/>
      </c>
      <c r="E59" s="2719" t="n"/>
    </row>
    <row r="60" ht="15" customHeight="1" s="1354">
      <c r="A60" s="2698" t="inlineStr">
        <is>
          <t xml:space="preserve">                        ANALYSE DE LA VARIATION DE L’ENDETTEMENT FINANCIER NET </t>
        </is>
      </c>
      <c r="B60" s="1753" t="n"/>
      <c r="C60" s="1753" t="n"/>
      <c r="D60" s="1753" t="n"/>
      <c r="E60" s="1754" t="n"/>
    </row>
    <row r="61" ht="15" customHeight="1" s="1354">
      <c r="A61" s="2673" t="inlineStr">
        <is>
          <t xml:space="preserve">Endettement financiers brut (Dettes financières* + Trésorerie-Passif) </t>
        </is>
      </c>
      <c r="B61" s="1598" t="n"/>
      <c r="C61" s="2674">
        <f>PASSIF!D24+PASSIF!D35</f>
        <v/>
      </c>
      <c r="D61" s="2674">
        <f>PASSIF!E24+PASSIF!E35</f>
        <v/>
      </c>
      <c r="E61" s="2677">
        <f>(C61-D61)/D61</f>
        <v/>
      </c>
      <c r="G61" s="1664" t="n"/>
    </row>
    <row r="62" ht="15" customHeight="1" s="1354">
      <c r="A62" s="2682" t="inlineStr">
        <is>
          <t xml:space="preserve">  - Trésorerie-Actif</t>
        </is>
      </c>
      <c r="B62" s="2683" t="n"/>
      <c r="C62" s="2674">
        <f>ACTIF!F38</f>
        <v/>
      </c>
      <c r="D62" s="2674">
        <f>ACTIF!G38</f>
        <v/>
      </c>
      <c r="E62" s="2677">
        <f>(C62-D62)/D62</f>
        <v/>
      </c>
    </row>
    <row r="63" ht="15" customHeight="1" s="1354">
      <c r="A63" s="2720" t="inlineStr">
        <is>
          <t>= ENDETTEMENT NET</t>
        </is>
      </c>
      <c r="B63" s="2695" t="n"/>
      <c r="C63" s="2707">
        <f>C61-C62</f>
        <v/>
      </c>
      <c r="D63" s="2707">
        <f>D61-D62</f>
        <v/>
      </c>
      <c r="E63" s="2708">
        <f>(C63-D63)/D63</f>
        <v/>
      </c>
    </row>
    <row r="64" ht="14.5" customFormat="1" customHeight="1" s="1589">
      <c r="A64" s="2234" t="inlineStr">
        <is>
          <t xml:space="preserve">(a)   Résultat d’exploitation après impôt théorique sur le bénéfice. </t>
        </is>
      </c>
    </row>
    <row r="65" ht="14.25" customFormat="1" customHeight="1" s="1589">
      <c r="A65" s="2064" t="inlineStr">
        <is>
          <t xml:space="preserve">(b)   Les écarts de conversion doivent être éliminés afin de ramener les créances et les dettes concernées  à leur valeur initiale.   </t>
        </is>
      </c>
    </row>
    <row r="66" ht="14.5" customHeight="1" s="1354">
      <c r="A66" s="2721" t="inlineStr">
        <is>
          <t xml:space="preserve"> Dettes financières* = emprunts et dettes financières diverses + dettes de location acquisition.</t>
        </is>
      </c>
    </row>
  </sheetData>
  <mergeCells count="64">
    <mergeCell ref="A39:E39"/>
    <mergeCell ref="A48:B48"/>
    <mergeCell ref="A24:B24"/>
    <mergeCell ref="A30:B30"/>
    <mergeCell ref="A15:B15"/>
    <mergeCell ref="A59:B59"/>
    <mergeCell ref="A11:B11"/>
    <mergeCell ref="A49:B49"/>
    <mergeCell ref="A51:B51"/>
    <mergeCell ref="A45:B45"/>
    <mergeCell ref="A60:E60"/>
    <mergeCell ref="A36:E36"/>
    <mergeCell ref="A61:B61"/>
    <mergeCell ref="A16:B16"/>
    <mergeCell ref="A54:B54"/>
    <mergeCell ref="A65:E65"/>
    <mergeCell ref="A25:B25"/>
    <mergeCell ref="A41:B41"/>
    <mergeCell ref="A8:C8"/>
    <mergeCell ref="A37:B37"/>
    <mergeCell ref="A46:B46"/>
    <mergeCell ref="E6:E7"/>
    <mergeCell ref="A66:E66"/>
    <mergeCell ref="A18:B18"/>
    <mergeCell ref="A27:B27"/>
    <mergeCell ref="A56:B56"/>
    <mergeCell ref="A12:B12"/>
    <mergeCell ref="A50:B50"/>
    <mergeCell ref="A26:B26"/>
    <mergeCell ref="A21:B21"/>
    <mergeCell ref="A55:E55"/>
    <mergeCell ref="A57:B57"/>
    <mergeCell ref="A33:B33"/>
    <mergeCell ref="A47:B47"/>
    <mergeCell ref="A42:B42"/>
    <mergeCell ref="A32:B32"/>
    <mergeCell ref="A5:E5"/>
    <mergeCell ref="A14:B14"/>
    <mergeCell ref="A17:B17"/>
    <mergeCell ref="A23:B23"/>
    <mergeCell ref="A22:B22"/>
    <mergeCell ref="A53:B53"/>
    <mergeCell ref="A35:B35"/>
    <mergeCell ref="A62:B62"/>
    <mergeCell ref="A20:B20"/>
    <mergeCell ref="A38:B38"/>
    <mergeCell ref="A4:E4"/>
    <mergeCell ref="A29:B29"/>
    <mergeCell ref="A52:B52"/>
    <mergeCell ref="A43:B43"/>
    <mergeCell ref="A19:B19"/>
    <mergeCell ref="A63:B63"/>
    <mergeCell ref="A10:B10"/>
    <mergeCell ref="A28:B28"/>
    <mergeCell ref="A6:B7"/>
    <mergeCell ref="A13:B13"/>
    <mergeCell ref="A44:B44"/>
    <mergeCell ref="C6:C7"/>
    <mergeCell ref="A40:B40"/>
    <mergeCell ref="A9:B9"/>
    <mergeCell ref="D6:D7"/>
    <mergeCell ref="A31:B31"/>
    <mergeCell ref="A58:B58"/>
    <mergeCell ref="A34:B34"/>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4.xml><?xml version="1.0" encoding="utf-8"?>
<worksheet xmlns="http://schemas.openxmlformats.org/spreadsheetml/2006/main">
  <sheetPr filterMode="0">
    <outlinePr summaryBelow="1" summaryRight="1"/>
    <pageSetUpPr fitToPage="0"/>
  </sheetPr>
  <dimension ref="A1:A51"/>
  <sheetViews>
    <sheetView showFormulas="0" showGridLines="1" showRowColHeaders="1" showZeros="1" rightToLeft="0" tabSelected="0" showOutlineSymbols="1" defaultGridColor="1" view="normal" topLeftCell="A43" colorId="64" zoomScale="100" zoomScaleNormal="100" zoomScalePageLayoutView="100" workbookViewId="0">
      <selection pane="topLeft" activeCell="E13" activeCellId="0" sqref="E13"/>
    </sheetView>
  </sheetViews>
  <sheetFormatPr baseColWidth="8" defaultColWidth="10.90234375" defaultRowHeight="14.5" zeroHeight="0" outlineLevelRow="0"/>
  <cols>
    <col width="115.44" customWidth="1" style="1572" min="1" max="1"/>
  </cols>
  <sheetData>
    <row r="1" ht="14.5" customHeight="1" s="1354">
      <c r="A1" s="1589" t="n"/>
    </row>
    <row r="2" ht="15" customHeight="1" s="1354">
      <c r="A2" s="2722" t="inlineStr">
        <is>
          <t xml:space="preserve">NOTE 35 : LISTE DES INFORMATIONS SOCIALES, ENVIRONNEMENTALES ET  </t>
        </is>
      </c>
    </row>
    <row r="3" ht="6.75" customHeight="1" s="1354">
      <c r="A3" s="2001" t="inlineStr">
        <is>
          <t> </t>
        </is>
      </c>
    </row>
    <row r="4" ht="14.5" customHeight="1" s="1354">
      <c r="A4" s="1748" t="inlineStr">
        <is>
          <t>Désignation entité :                                                                                Exercice clos le : ENTREPRISE TEST SARL</t>
        </is>
      </c>
    </row>
    <row r="5" ht="14.5" customHeight="1" s="1354">
      <c r="A5" s="1749" t="inlineStr">
        <is>
          <t>Numéro d’identification :                                                                        Durée (en mois) : CD/KNG/RCCM/23-B-01234</t>
        </is>
      </c>
    </row>
    <row r="6" ht="15" customHeight="1" s="1354">
      <c r="A6" s="2723" t="inlineStr">
        <is>
          <t>Note obligatoire pour les entités ayant un effectif de plus de 250 salariés</t>
        </is>
      </c>
    </row>
    <row r="7" ht="20.15" customHeight="1" s="1354">
      <c r="A7" s="2607" t="inlineStr">
        <is>
          <t xml:space="preserve">Liste des informations sociales, environnementales et sociétales à fournir </t>
        </is>
      </c>
    </row>
    <row r="8" ht="20.15" customHeight="1" s="1354">
      <c r="A8" s="2173" t="inlineStr">
        <is>
          <t xml:space="preserve">INFORMATIONS SOCIALES </t>
        </is>
      </c>
    </row>
    <row r="9" ht="20.15" customHeight="1" s="1354">
      <c r="A9" s="1994" t="inlineStr">
        <is>
          <t xml:space="preserve">Emploi : </t>
        </is>
      </c>
    </row>
    <row r="10" ht="20.15" customHeight="1" s="1354">
      <c r="A10" s="2724" t="inlineStr">
        <is>
          <t xml:space="preserve">•   l'effectif total et la répartition des salariés par sexe, âge et zone géographique ; </t>
        </is>
      </c>
    </row>
    <row r="11" ht="20.15" customHeight="1" s="1354">
      <c r="A11" s="2688" t="inlineStr">
        <is>
          <t xml:space="preserve">•   les embauches et les licenciements ; </t>
        </is>
      </c>
    </row>
    <row r="12" ht="20.15" customHeight="1" s="1354">
      <c r="A12" s="2725" t="inlineStr">
        <is>
          <t xml:space="preserve">•   les rémunérations et leur évolution. </t>
        </is>
      </c>
    </row>
    <row r="13" ht="20.15" customHeight="1" s="1354">
      <c r="A13" s="1994" t="inlineStr">
        <is>
          <t xml:space="preserve">Relations sociales : </t>
        </is>
      </c>
    </row>
    <row r="14" ht="20.15" customHeight="1" s="1354">
      <c r="A14" s="2726" t="inlineStr">
        <is>
          <t xml:space="preserve">•  l'organisation du dialogue social ; </t>
        </is>
      </c>
    </row>
    <row r="15" ht="20.15" customHeight="1" s="1354">
      <c r="A15" s="2727" t="inlineStr">
        <is>
          <t xml:space="preserve">•  le bilan des accords collectifs. </t>
        </is>
      </c>
    </row>
    <row r="16" ht="20.15" customHeight="1" s="1354">
      <c r="A16" s="1994" t="inlineStr">
        <is>
          <t xml:space="preserve">Santé et sécurité : • les conditions de santé et de sécurité au travail ; </t>
        </is>
      </c>
    </row>
    <row r="17" ht="15" customHeight="1" s="1354">
      <c r="A17" s="1950" t="inlineStr">
        <is>
          <t xml:space="preserve">• le bilan des accords signés avec les organisations syndicales ou les représentants du personnel en matière de santé et de sécurité au travail. </t>
        </is>
      </c>
    </row>
    <row r="18" ht="20.15" customHeight="1" s="1354">
      <c r="A18" s="1994" t="inlineStr">
        <is>
          <t xml:space="preserve">Formation : </t>
        </is>
      </c>
    </row>
    <row r="19" ht="20.15" customHeight="1" s="1354">
      <c r="A19" s="2726" t="inlineStr">
        <is>
          <t xml:space="preserve">•  les politiques mises en œuvre en matière de formation ; </t>
        </is>
      </c>
    </row>
    <row r="20" ht="20.15" customHeight="1" s="1354">
      <c r="A20" s="2727" t="inlineStr">
        <is>
          <t xml:space="preserve">•  le nombre total d'heures de formation. </t>
        </is>
      </c>
    </row>
    <row r="21" ht="20.15" customHeight="1" s="1354">
      <c r="A21" s="1994" t="inlineStr">
        <is>
          <t xml:space="preserve">Égalité de traitement : </t>
        </is>
      </c>
    </row>
    <row r="22" ht="20.15" customHeight="1" s="1354">
      <c r="A22" s="2726" t="inlineStr">
        <is>
          <t xml:space="preserve">•  les mesures prises en faveur de l'égalité entre les femmes et les hommes ; </t>
        </is>
      </c>
    </row>
    <row r="23" ht="20.15" customHeight="1" s="1354">
      <c r="A23" s="2727" t="inlineStr">
        <is>
          <t xml:space="preserve">•  les mesures prises en faveur de l'emploi et de l'insertion des personnes handicapées ; </t>
        </is>
      </c>
    </row>
    <row r="24" ht="20.15" customHeight="1" s="1354">
      <c r="A24" s="2173" t="inlineStr">
        <is>
          <t xml:space="preserve">INFORMATIONS ENVIRONNEMENTALES </t>
        </is>
      </c>
    </row>
    <row r="25" ht="20.15" customHeight="1" s="1354">
      <c r="A25" s="1994" t="inlineStr">
        <is>
          <t xml:space="preserve">Politique générale en matière environnementale : </t>
        </is>
      </c>
    </row>
    <row r="26" ht="20.15" customHeight="1" s="1354">
      <c r="A26" s="2724" t="inlineStr">
        <is>
          <t xml:space="preserve">•  l'organisation de la société pour prendre en compte les questions environnementales et, le cas échéant, les démarches d'évaluation ou de certification en matière d'environnement ; </t>
        </is>
      </c>
    </row>
    <row r="27" ht="20.15" customHeight="1" s="1354">
      <c r="A27" s="2724" t="inlineStr">
        <is>
          <t>•  les actions de formation et d'information des salariés menées en matière de protection de l'environnement ;</t>
        </is>
      </c>
    </row>
    <row r="28" ht="20.15" customHeight="1" s="1354">
      <c r="A28" s="2728" t="inlineStr">
        <is>
          <t xml:space="preserve">•  les moyens consacrés à la prévention des risques environnementaux et des pollutions. </t>
        </is>
      </c>
    </row>
    <row r="29" ht="20.15" customHeight="1" s="1354">
      <c r="A29" s="1994" t="inlineStr">
        <is>
          <t xml:space="preserve">Pollution et gestion des déchets : </t>
        </is>
      </c>
    </row>
    <row r="30" ht="20.15" customHeight="1" s="1354">
      <c r="A30" s="2729" t="inlineStr">
        <is>
          <t xml:space="preserve">•     les mesures de prévention, de réduction ou de réparation de rejets dans l'air, l'eau et le sol affectant gravement l'environnement ; </t>
        </is>
      </c>
    </row>
    <row r="31" ht="20.15" customHeight="1" s="1354">
      <c r="A31" s="2729" t="inlineStr">
        <is>
          <t xml:space="preserve">•     les mesures de prévention, de recyclage et d'élimination des déchets ; </t>
        </is>
      </c>
    </row>
    <row r="32" ht="20.15" customHeight="1" s="1354">
      <c r="A32" s="2730" t="inlineStr">
        <is>
          <t xml:space="preserve">•     la prise en compte des nuisances sonores et de toute autre forme de pollution spécifique à une activité. </t>
        </is>
      </c>
    </row>
    <row r="33" ht="20.15" customHeight="1" s="1354">
      <c r="A33" s="1994" t="inlineStr">
        <is>
          <t xml:space="preserve">Utilisation durable des ressources : </t>
        </is>
      </c>
    </row>
    <row r="34" ht="20.15" customHeight="1" s="1354">
      <c r="A34" s="2688" t="inlineStr">
        <is>
          <t xml:space="preserve">•     la consommation d'eau et l'approvisionnement en eau en fonction des contraintes locales ; </t>
        </is>
      </c>
    </row>
    <row r="35" ht="20.15" customHeight="1" s="1354">
      <c r="A35" s="2688" t="inlineStr">
        <is>
          <t xml:space="preserve">•     la consommation de matières premières et les mesures prises pour améliorer l'efficacité dans leur utilisation ; </t>
        </is>
      </c>
    </row>
    <row r="36" ht="20.15" customHeight="1" s="1354">
      <c r="A36" s="2725" t="inlineStr">
        <is>
          <t xml:space="preserve">•     la consommation d'énergie, les mesures prises pour améliorer l'efficacité énergétique et le recours aux énergies renouvelables. </t>
        </is>
      </c>
    </row>
    <row r="37" ht="20.15" customHeight="1" s="1354">
      <c r="A37" s="1994" t="inlineStr">
        <is>
          <t xml:space="preserve">Changement climatique : </t>
        </is>
      </c>
    </row>
    <row r="38" ht="20.15" customHeight="1" s="1354">
      <c r="A38" s="1950" t="inlineStr">
        <is>
          <t xml:space="preserve">• les rejets de gaz à effet de serre. </t>
        </is>
      </c>
    </row>
    <row r="39" ht="20.15" customHeight="1" s="1354">
      <c r="A39" s="1994" t="inlineStr">
        <is>
          <t xml:space="preserve">Protection de la biodiversité : </t>
        </is>
      </c>
    </row>
    <row r="40" ht="20.15" customHeight="1" s="1354">
      <c r="A40" s="1950" t="inlineStr">
        <is>
          <t xml:space="preserve">• les mesures prises pour préserver ou développer la biodiversité. </t>
        </is>
      </c>
    </row>
    <row r="41" ht="20.15" customHeight="1" s="1354">
      <c r="A41" s="2731" t="inlineStr">
        <is>
          <t xml:space="preserve">INFORMATIONS RELATIVES AUX ENGAGEMENTS SOCIÉTAUX EN FAVEUR DU </t>
        </is>
      </c>
    </row>
    <row r="42" ht="20.15" customHeight="1" s="1354">
      <c r="A42" s="2173" t="inlineStr">
        <is>
          <t xml:space="preserve">DÉVELOPPEMENT DURABLE </t>
        </is>
      </c>
    </row>
    <row r="43" ht="20.15" customHeight="1" s="1354">
      <c r="A43" s="1994" t="inlineStr">
        <is>
          <t xml:space="preserve">Impact territorial, économique et social de l'activité de la société : </t>
        </is>
      </c>
    </row>
    <row r="44" ht="20.15" customHeight="1" s="1354">
      <c r="A44" s="2726" t="inlineStr">
        <is>
          <t xml:space="preserve">•  en matière d'emploi et de développement régional ; </t>
        </is>
      </c>
    </row>
    <row r="45" ht="20.15" customHeight="1" s="1354">
      <c r="A45" s="2727" t="inlineStr">
        <is>
          <t xml:space="preserve">•  sur les populations riveraines ou locales. </t>
        </is>
      </c>
    </row>
    <row r="46" ht="21.75" customHeight="1" s="1354">
      <c r="A46" s="1994" t="inlineStr">
        <is>
          <t xml:space="preserve">Relations entretenues avec les personnes ou les organisations intéressées par l'activité de la société (associations d'insertion, établissements d'enseignement...) : </t>
        </is>
      </c>
    </row>
    <row r="47" ht="20.15" customHeight="1" s="1354">
      <c r="A47" s="2726" t="inlineStr">
        <is>
          <t xml:space="preserve">•  les conditions du dialogue avec ces personnes ou organisations ; </t>
        </is>
      </c>
    </row>
    <row r="48" ht="20.15" customHeight="1" s="1354">
      <c r="A48" s="2727" t="inlineStr">
        <is>
          <t xml:space="preserve">•  les actions de partenariat ou de mécénat. </t>
        </is>
      </c>
    </row>
    <row r="49" ht="20.15" customHeight="1" s="1354">
      <c r="A49" s="1994" t="inlineStr">
        <is>
          <t xml:space="preserve">Sous-traitance et fournisseurs : </t>
        </is>
      </c>
    </row>
    <row r="50" ht="20.15" customHeight="1" s="1354">
      <c r="A50" s="1950" t="inlineStr">
        <is>
          <t xml:space="preserve">• la prise en compte dans la politique d'achat des enjeux sociaux et environnementaux. </t>
        </is>
      </c>
    </row>
    <row r="51" ht="14.5" customHeight="1" s="1354">
      <c r="A51" s="2732" t="inlineStr">
        <is>
          <t> </t>
        </is>
      </c>
    </row>
  </sheetData>
  <printOptions horizontalCentered="0" verticalCentered="0" headings="0" gridLines="0" gridLinesSet="1"/>
  <pageMargins left="0.708333333333333" right="0.708333333333333" top="0.747916666666667" bottom="0.747916666666667" header="0.511811023622047" footer="0.511811023622047"/>
  <pageSetup orientation="portrait" paperSize="9" scale="75" fitToHeight="1" fitToWidth="1" pageOrder="downThenOver" blackAndWhite="0" draft="0" horizontalDpi="300" verticalDpi="300" copies="1"/>
</worksheet>
</file>

<file path=xl/worksheets/sheet55.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D8" activeCellId="0" sqref="D8"/>
    </sheetView>
  </sheetViews>
  <sheetFormatPr baseColWidth="8" defaultColWidth="10.90234375" defaultRowHeight="14.5" zeroHeight="0" outlineLevelRow="0"/>
  <cols>
    <col width="40.26" customWidth="1" style="1572" min="1" max="1"/>
    <col width="3.81" customWidth="1" style="1572" min="2" max="2"/>
    <col width="3.72" customWidth="1" style="1572" min="3" max="3"/>
    <col width="30.17" customWidth="1" style="1572" min="4" max="4"/>
    <col width="3.44" customWidth="1" style="1572" min="5" max="5"/>
    <col width="4.26" customWidth="1" style="1572" min="6" max="6"/>
  </cols>
  <sheetData>
    <row r="1" ht="14.5" customHeight="1" s="1354">
      <c r="A1" s="2543" t="n"/>
    </row>
    <row r="2" ht="14.5" customHeight="1" s="1354">
      <c r="A2" s="2543" t="n"/>
    </row>
    <row r="3" ht="14.5" customHeight="1" s="1354">
      <c r="A3" s="2543" t="n"/>
    </row>
    <row r="4" ht="15" customHeight="1" s="1354">
      <c r="A4" s="2733" t="inlineStr">
        <is>
          <t>1-Code  Forme  Juridique (1)</t>
        </is>
      </c>
      <c r="B4" s="2734" t="n"/>
      <c r="C4" s="2734" t="n"/>
      <c r="D4" s="2734" t="inlineStr">
        <is>
          <t>3- Code Pays du Siège Social</t>
        </is>
      </c>
      <c r="E4" s="2263" t="n"/>
      <c r="F4" s="2735" t="n"/>
    </row>
    <row r="5" ht="17.15" customHeight="1" s="1354">
      <c r="A5" s="2262" t="n"/>
      <c r="B5" s="2263" t="n"/>
      <c r="C5" s="2263" t="n"/>
      <c r="D5" s="2736" t="n"/>
      <c r="E5" s="2263" t="n"/>
      <c r="F5" s="2735" t="n"/>
    </row>
    <row r="6" ht="17.15" customHeight="1" s="1354">
      <c r="A6" s="2262" t="inlineStr">
        <is>
          <t>Société  Anonyme (SA) à participation publique</t>
        </is>
      </c>
      <c r="B6" s="2263" t="n">
        <v>0</v>
      </c>
      <c r="C6" s="2263" t="n">
        <v>0</v>
      </c>
      <c r="D6" s="2736" t="n"/>
      <c r="E6" s="2263" t="n"/>
      <c r="F6" s="2735" t="n"/>
    </row>
    <row r="7" ht="17.15" customHeight="1" s="1354">
      <c r="A7" s="2262" t="n"/>
      <c r="B7" s="2263" t="n"/>
      <c r="C7" s="2263" t="n"/>
      <c r="D7" s="2736" t="inlineStr">
        <is>
          <t>Pays OHADA (²)</t>
        </is>
      </c>
      <c r="E7" s="2263" t="n"/>
      <c r="F7" s="2735" t="n"/>
    </row>
    <row r="8" ht="17.15" customHeight="1" s="1354">
      <c r="A8" s="2262" t="inlineStr">
        <is>
          <t>Société Anonyme (SA)</t>
        </is>
      </c>
      <c r="B8" s="2263" t="n">
        <v>0</v>
      </c>
      <c r="C8" s="2263" t="n">
        <v>1</v>
      </c>
      <c r="D8" s="2736" t="n"/>
      <c r="E8" s="2263" t="n"/>
      <c r="F8" s="2735" t="n"/>
    </row>
    <row r="9" ht="17.15" customHeight="1" s="1354">
      <c r="A9" s="2262" t="n"/>
      <c r="B9" s="2263" t="n"/>
      <c r="C9" s="2263" t="n"/>
      <c r="D9" s="2736" t="inlineStr">
        <is>
          <t>Autres pays africains</t>
        </is>
      </c>
      <c r="E9" s="2263" t="n">
        <v>2</v>
      </c>
      <c r="F9" s="2735" t="n">
        <v>1</v>
      </c>
    </row>
    <row r="10" ht="17.15" customHeight="1" s="1354">
      <c r="A10" s="2262" t="inlineStr">
        <is>
          <t>Société à Responsabilité Limitée (SARL)</t>
        </is>
      </c>
      <c r="B10" s="2263" t="n">
        <v>0</v>
      </c>
      <c r="C10" s="2263" t="n">
        <v>2</v>
      </c>
      <c r="D10" s="2736" t="n"/>
      <c r="E10" s="2263" t="n"/>
      <c r="F10" s="2735" t="n"/>
    </row>
    <row r="11" ht="17.15" customHeight="1" s="1354">
      <c r="A11" s="2262" t="n"/>
      <c r="B11" s="2263" t="n"/>
      <c r="C11" s="2263" t="n"/>
      <c r="D11" s="2736" t="inlineStr">
        <is>
          <t>France</t>
        </is>
      </c>
      <c r="E11" s="2263" t="n">
        <v>2</v>
      </c>
      <c r="F11" s="2735" t="n">
        <v>3</v>
      </c>
    </row>
    <row r="12" ht="17.15" customHeight="1" s="1354">
      <c r="A12" s="2262" t="inlineStr">
        <is>
          <t>Société en Commandite Simple (SCS)</t>
        </is>
      </c>
      <c r="B12" s="2263" t="n">
        <v>0</v>
      </c>
      <c r="C12" s="2263" t="n">
        <v>3</v>
      </c>
      <c r="D12" s="2736" t="n"/>
      <c r="E12" s="2263" t="n"/>
      <c r="F12" s="2735" t="n"/>
    </row>
    <row r="13" ht="17.15" customHeight="1" s="1354">
      <c r="A13" s="2262" t="n"/>
      <c r="B13" s="2263" t="n"/>
      <c r="C13" s="2263" t="n"/>
      <c r="D13" s="2736" t="inlineStr">
        <is>
          <t>Autres pays de l’Union Européenne</t>
        </is>
      </c>
      <c r="E13" s="2263" t="n">
        <v>3</v>
      </c>
      <c r="F13" s="2735" t="n">
        <v>9</v>
      </c>
    </row>
    <row r="14" ht="17.15" customHeight="1" s="1354">
      <c r="A14" s="2262" t="inlineStr">
        <is>
          <t>Société en Nom Collectif (SNC)</t>
        </is>
      </c>
      <c r="B14" s="2263" t="n">
        <v>0</v>
      </c>
      <c r="C14" s="2263" t="n">
        <v>4</v>
      </c>
      <c r="D14" s="2736" t="n"/>
      <c r="E14" s="2263" t="n"/>
      <c r="F14" s="2735" t="n"/>
    </row>
    <row r="15" ht="17.15" customHeight="1" s="1354">
      <c r="A15" s="2262" t="n"/>
      <c r="B15" s="2263" t="n"/>
      <c r="C15" s="2263" t="n"/>
      <c r="D15" s="2736" t="inlineStr">
        <is>
          <t>U.S.A</t>
        </is>
      </c>
      <c r="E15" s="2263" t="n">
        <v>4</v>
      </c>
      <c r="F15" s="2735" t="n">
        <v>0</v>
      </c>
    </row>
    <row r="16" ht="17.15" customHeight="1" s="1354">
      <c r="A16" s="2262" t="inlineStr">
        <is>
          <t>Société en Participation (SP)</t>
        </is>
      </c>
      <c r="B16" s="2263" t="n">
        <v>0</v>
      </c>
      <c r="C16" s="2263" t="n">
        <v>5</v>
      </c>
      <c r="D16" s="2736" t="n"/>
      <c r="E16" s="2263" t="n"/>
      <c r="F16" s="2735" t="n"/>
    </row>
    <row r="17" ht="17.15" customHeight="1" s="1354">
      <c r="A17" s="2262" t="n"/>
      <c r="B17" s="2263" t="n"/>
      <c r="C17" s="2263" t="n"/>
      <c r="D17" s="2736" t="inlineStr">
        <is>
          <t>Canada</t>
        </is>
      </c>
      <c r="E17" s="2263" t="n">
        <v>4</v>
      </c>
      <c r="F17" s="2735" t="n">
        <v>1</v>
      </c>
    </row>
    <row r="18" ht="17.15" customHeight="1" s="1354">
      <c r="A18" s="2262" t="inlineStr">
        <is>
          <t>Groupement d’Intérêt Economique (GIE)</t>
        </is>
      </c>
      <c r="B18" s="2263" t="n">
        <v>0</v>
      </c>
      <c r="C18" s="2263" t="n">
        <v>6</v>
      </c>
      <c r="D18" s="2736" t="n"/>
      <c r="E18" s="2263" t="n"/>
      <c r="F18" s="2735" t="n"/>
    </row>
    <row r="19" ht="17.15" customHeight="1" s="1354">
      <c r="A19" s="2262" t="n"/>
      <c r="B19" s="2263" t="n"/>
      <c r="C19" s="2263" t="n"/>
      <c r="D19" s="2736" t="inlineStr">
        <is>
          <t>Autres pays américains</t>
        </is>
      </c>
      <c r="E19" s="2263" t="n">
        <v>4</v>
      </c>
      <c r="F19" s="2735" t="n">
        <v>9</v>
      </c>
    </row>
    <row r="20" ht="17.15" customHeight="1" s="1354">
      <c r="A20" s="2262" t="inlineStr">
        <is>
          <t>Association</t>
        </is>
      </c>
      <c r="B20" s="2263" t="n">
        <v>0</v>
      </c>
      <c r="C20" s="2263" t="n">
        <v>7</v>
      </c>
      <c r="D20" s="2736" t="n"/>
      <c r="E20" s="2263" t="n"/>
      <c r="F20" s="2735" t="n"/>
    </row>
    <row r="21" ht="17.15" customHeight="1" s="1354">
      <c r="A21" s="2262" t="n"/>
      <c r="B21" s="2263" t="n"/>
      <c r="C21" s="2263" t="n"/>
      <c r="D21" s="2736" t="inlineStr">
        <is>
          <t>Pays asiatiques</t>
        </is>
      </c>
      <c r="E21" s="2263" t="n">
        <v>5</v>
      </c>
      <c r="F21" s="2735" t="n">
        <v>0</v>
      </c>
    </row>
    <row r="22" ht="17.15" customHeight="1" s="1354">
      <c r="A22" s="2262" t="inlineStr">
        <is>
          <t>Société par Actions Simplifiées (SAS)</t>
        </is>
      </c>
      <c r="B22" s="2263" t="n">
        <v>0</v>
      </c>
      <c r="C22" s="2263" t="n">
        <v>8</v>
      </c>
      <c r="D22" s="2736" t="n"/>
      <c r="E22" s="2263" t="n"/>
      <c r="F22" s="2735" t="n"/>
    </row>
    <row r="23" ht="17.15" customHeight="1" s="1354">
      <c r="A23" s="2262" t="n"/>
      <c r="B23" s="2263" t="n"/>
      <c r="C23" s="2263" t="n"/>
      <c r="D23" s="2736" t="inlineStr">
        <is>
          <t>Autres pays</t>
        </is>
      </c>
      <c r="E23" s="2263" t="n">
        <v>9</v>
      </c>
      <c r="F23" s="2735" t="n">
        <v>9</v>
      </c>
    </row>
    <row r="24" ht="17.15" customHeight="1" s="1354">
      <c r="A24" s="2262" t="inlineStr">
        <is>
          <t>Autre Forme Juridique (à préciser)</t>
        </is>
      </c>
      <c r="B24" s="2263" t="n">
        <v>0</v>
      </c>
      <c r="C24" s="2263" t="n">
        <v>9</v>
      </c>
      <c r="D24" s="2736" t="n"/>
      <c r="E24" s="2263" t="n"/>
      <c r="F24" s="2735" t="n"/>
    </row>
    <row r="25" ht="17.15" customHeight="1" s="1354">
      <c r="A25" s="2262" t="n"/>
      <c r="B25" s="2263" t="n"/>
      <c r="C25" s="2263" t="n"/>
      <c r="D25" s="2736" t="n"/>
      <c r="E25" s="2263" t="n"/>
      <c r="F25" s="2735" t="n"/>
    </row>
    <row r="26" ht="17.15" customHeight="1" s="1354">
      <c r="A26" s="2262" t="n"/>
      <c r="B26" s="2263" t="n"/>
      <c r="C26" s="2263" t="n"/>
      <c r="D26" s="2736" t="n"/>
      <c r="E26" s="2263" t="n"/>
      <c r="F26" s="2735" t="n"/>
    </row>
    <row r="27" ht="17.15" customHeight="1" s="1354">
      <c r="A27" s="2262" t="inlineStr">
        <is>
          <t>2- Code  Régime Fiscal</t>
        </is>
      </c>
      <c r="B27" s="2263" t="n"/>
      <c r="C27" s="2263" t="n"/>
      <c r="D27" s="2736" t="n"/>
      <c r="E27" s="2263" t="n"/>
      <c r="F27" s="2735" t="n"/>
    </row>
    <row r="28" ht="17.15" customHeight="1" s="1354">
      <c r="A28" s="2262" t="n"/>
      <c r="B28" s="2263" t="n"/>
      <c r="C28" s="2263" t="n"/>
      <c r="D28" s="2736" t="n"/>
      <c r="E28" s="2263" t="n"/>
      <c r="F28" s="2735" t="n"/>
    </row>
    <row r="29" ht="17.15" customHeight="1" s="1354">
      <c r="A29" s="2262" t="inlineStr">
        <is>
          <t>Réel Normal</t>
        </is>
      </c>
      <c r="B29" s="2263" t="n"/>
      <c r="C29" s="2263" t="n">
        <v>1</v>
      </c>
      <c r="D29" s="2736" t="n"/>
      <c r="E29" s="2263" t="n"/>
      <c r="F29" s="2735" t="n"/>
    </row>
    <row r="30" ht="17.15" customHeight="1" s="1354">
      <c r="A30" s="2262" t="n"/>
      <c r="B30" s="2263" t="n"/>
      <c r="C30" s="2263" t="n"/>
      <c r="D30" s="2736" t="n"/>
      <c r="E30" s="2263" t="n"/>
      <c r="F30" s="2735" t="n"/>
    </row>
    <row r="31" ht="17.15" customHeight="1" s="1354">
      <c r="A31" s="2262" t="inlineStr">
        <is>
          <t>Réel simplifié</t>
        </is>
      </c>
      <c r="B31" s="2263" t="n"/>
      <c r="C31" s="2263" t="n">
        <v>2</v>
      </c>
      <c r="D31" s="2736" t="n"/>
      <c r="E31" s="2263" t="n"/>
      <c r="F31" s="2735" t="n"/>
    </row>
    <row r="32" ht="17.15" customHeight="1" s="1354">
      <c r="A32" s="2262" t="n"/>
      <c r="B32" s="2263" t="n"/>
      <c r="C32" s="2263" t="n"/>
      <c r="D32" s="2736" t="n"/>
      <c r="E32" s="2263" t="n"/>
      <c r="F32" s="2735" t="n"/>
    </row>
    <row r="33" ht="17.15" customHeight="1" s="1354">
      <c r="A33" s="2262" t="inlineStr">
        <is>
          <t>Synthétique</t>
        </is>
      </c>
      <c r="B33" s="2263" t="n"/>
      <c r="C33" s="2263" t="n">
        <v>3</v>
      </c>
      <c r="D33" s="2736" t="n"/>
      <c r="E33" s="2263" t="n"/>
      <c r="F33" s="2735" t="n"/>
    </row>
    <row r="34" ht="17.15" customHeight="1" s="1354">
      <c r="A34" s="2262" t="n"/>
      <c r="B34" s="2263" t="n"/>
      <c r="C34" s="2263" t="n"/>
      <c r="D34" s="2736" t="n"/>
      <c r="E34" s="2263" t="n"/>
      <c r="F34" s="2735" t="n"/>
    </row>
    <row r="35" ht="17.15" customHeight="1" s="1354">
      <c r="A35" s="2262" t="inlineStr">
        <is>
          <t>Forfait</t>
        </is>
      </c>
      <c r="B35" s="2263" t="n"/>
      <c r="C35" s="2263" t="n"/>
      <c r="D35" s="2736" t="n"/>
      <c r="E35" s="2263" t="n"/>
      <c r="F35" s="2735" t="n"/>
    </row>
    <row r="36" ht="17.15" customHeight="1" s="1354">
      <c r="A36" s="2262" t="n"/>
      <c r="B36" s="2263" t="n"/>
      <c r="C36" s="2263" t="n"/>
      <c r="D36" s="2736" t="n"/>
      <c r="E36" s="2263" t="n"/>
      <c r="F36" s="2735" t="n"/>
    </row>
    <row r="37" ht="17.15" customHeight="1" s="1354">
      <c r="A37" s="2599" t="n"/>
      <c r="B37" s="2737" t="n"/>
      <c r="C37" s="2737" t="n"/>
      <c r="D37" s="2738" t="n"/>
      <c r="E37" s="2737" t="n"/>
      <c r="F37" s="2739" t="n"/>
    </row>
    <row r="38" ht="14.5" customHeight="1" s="1354">
      <c r="A38" s="2740" t="n"/>
    </row>
    <row r="39" ht="15.75" customHeight="1" s="1354">
      <c r="A39" s="2306" t="inlineStr">
        <is>
          <t>(1)     Remplacer le premier 0 par 1 si l’entité bénéficie d’un agrément prioritaire</t>
        </is>
      </c>
    </row>
    <row r="40" ht="46.5" customHeight="1" s="1354">
      <c r="A40" s="2306" t="inlineStr">
        <is>
          <t>(2)     Bénin = 01 ; Burkina = 02 ; Côte d’ivoire = 03 ; Guinée Bissau = 04 ; Mali = 05 ; Niger = 06 ; Sénégal = 07 ; Togo = 08 ; Cameroun = 09 ; Congo = 10 ; Gabon = 11 ; République Centrafricaine = 12 ; Tchad = 13 ; Comores = 14 ; Guinée = 15 ; Guinée Equatoriale = 16 ; Congo RDC = 17.</t>
        </is>
      </c>
    </row>
    <row r="41"/>
    <row r="42" ht="15" customHeight="1" s="1354">
      <c r="A42" s="2741" t="n"/>
    </row>
  </sheetData>
  <mergeCells count="2">
    <mergeCell ref="A39:F39"/>
    <mergeCell ref="A40:F40"/>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6.xml><?xml version="1.0" encoding="utf-8"?>
<worksheet xmlns="http://schemas.openxmlformats.org/spreadsheetml/2006/main">
  <sheetPr filterMode="0">
    <outlinePr summaryBelow="1" summaryRight="1"/>
    <pageSetUpPr fitToPage="0"/>
  </sheetPr>
  <dimension ref="A1:D86"/>
  <sheetViews>
    <sheetView showFormulas="0" showGridLines="1" showRowColHeaders="1" showZeros="1" rightToLeft="0" tabSelected="0" showOutlineSymbols="1" defaultGridColor="1" view="normal" topLeftCell="A145" colorId="64" zoomScale="100" zoomScaleNormal="100" zoomScalePageLayoutView="100" workbookViewId="0">
      <selection pane="topLeft" activeCell="C208" activeCellId="0" sqref="C208"/>
    </sheetView>
  </sheetViews>
  <sheetFormatPr baseColWidth="8" defaultColWidth="10.90234375" defaultRowHeight="14.5" zeroHeight="0" outlineLevelRow="0"/>
  <cols>
    <col width="54.17" customWidth="1" style="1572" min="1" max="1"/>
    <col width="7.26" customWidth="1" style="1572" min="2" max="2"/>
    <col width="68.72" customWidth="1" style="1572" min="3" max="3"/>
  </cols>
  <sheetData>
    <row r="1" ht="15.5" customHeight="1" s="1354">
      <c r="A1" s="2742" t="inlineStr">
        <is>
          <t>CODES  ACTIVITES ECONOMIQIES</t>
        </is>
      </c>
      <c r="B1" s="1594" t="n"/>
      <c r="C1" s="1594" t="n"/>
      <c r="D1" s="2743" t="n"/>
    </row>
    <row r="2" ht="14.15" customFormat="1" customHeight="1" s="1589">
      <c r="A2" s="2744" t="inlineStr">
        <is>
          <t>Agriculture  vivrière</t>
        </is>
      </c>
      <c r="B2" s="2745" t="n"/>
      <c r="C2" s="2746" t="inlineStr">
        <is>
          <t>Industrie du caoutchouc et des plastiques</t>
        </is>
      </c>
    </row>
    <row r="3" ht="14.15" customFormat="1" customHeight="1" s="1589">
      <c r="A3" s="2747" t="inlineStr">
        <is>
          <t>001 001 Culture Céréalière</t>
        </is>
      </c>
      <c r="B3" s="2748" t="n"/>
      <c r="C3" s="2749" t="inlineStr">
        <is>
          <t>022 001 Fabrication du caoutchouc naturel</t>
        </is>
      </c>
    </row>
    <row r="4" ht="14.15" customFormat="1" customHeight="1" s="1589">
      <c r="A4" s="2747" t="inlineStr">
        <is>
          <t>001 002 Culture de tubercules et plantains</t>
        </is>
      </c>
      <c r="B4" s="2748" t="n"/>
      <c r="C4" s="2749" t="inlineStr">
        <is>
          <t>022 002 industries de caoutchouc</t>
        </is>
      </c>
    </row>
    <row r="5" ht="14.15" customFormat="1" customHeight="1" s="1589">
      <c r="A5" s="2747" t="inlineStr">
        <is>
          <t>001 003 Culture de légumes</t>
        </is>
      </c>
      <c r="B5" s="2748" t="n"/>
      <c r="C5" s="2749" t="inlineStr">
        <is>
          <t>022 003 Fabrication de matières plastiques</t>
        </is>
      </c>
    </row>
    <row r="6" ht="14.15" customFormat="1" customHeight="1" s="1589">
      <c r="A6" s="2747" t="inlineStr">
        <is>
          <t>001 004 Culture de condiments</t>
        </is>
      </c>
      <c r="B6" s="2748" t="n"/>
      <c r="C6" s="2750" t="inlineStr">
        <is>
          <t>Fabrication d’autres produits minéraux non métallique et de matériaux de construction</t>
        </is>
      </c>
    </row>
    <row r="7" ht="14.15" customFormat="1" customHeight="1" s="1589">
      <c r="A7" s="2747" t="inlineStr">
        <is>
          <t>001 005 Culture de fruits</t>
        </is>
      </c>
      <c r="B7" s="2748" t="n"/>
      <c r="C7" s="2749" t="inlineStr">
        <is>
          <t>023 001 Industrie du verre</t>
        </is>
      </c>
    </row>
    <row r="8" ht="14.15" customFormat="1" customHeight="1" s="1589">
      <c r="A8" s="2747" t="inlineStr">
        <is>
          <t>001 006 Culture d’autres produits de l’agriculture vivrière</t>
        </is>
      </c>
      <c r="B8" s="2748" t="n"/>
      <c r="C8" s="2749" t="inlineStr">
        <is>
          <t>023 002 Fabrication de produits minéraux pour la construction</t>
        </is>
      </c>
    </row>
    <row r="9" ht="14.15" customFormat="1" customHeight="1" s="1589">
      <c r="A9" s="2751" t="inlineStr">
        <is>
          <t>Agriculture Industrielle et d’exportation</t>
        </is>
      </c>
      <c r="B9" s="2748" t="n"/>
      <c r="C9" s="2749" t="inlineStr">
        <is>
          <t>023 003 Fabrication d’autres produits minéraux non métalliques</t>
        </is>
      </c>
    </row>
    <row r="10" ht="14.15" customFormat="1" customHeight="1" s="1589">
      <c r="A10" s="2747" t="inlineStr">
        <is>
          <t>002 001 Culture de canne à sucre</t>
        </is>
      </c>
      <c r="B10" s="2748" t="n"/>
      <c r="C10" s="2750" t="inlineStr">
        <is>
          <t>Métallurgie et travail des métaux</t>
        </is>
      </c>
    </row>
    <row r="11" ht="14.15" customFormat="1" customHeight="1" s="1589">
      <c r="A11" s="2747" t="inlineStr">
        <is>
          <t>002 002 Culture d’arachide d’huilerie</t>
        </is>
      </c>
      <c r="B11" s="2748" t="n"/>
      <c r="C11" s="2749" t="inlineStr">
        <is>
          <t>024 001 Métallurgie</t>
        </is>
      </c>
    </row>
    <row r="12" ht="14.15" customFormat="1" customHeight="1" s="1589">
      <c r="A12" s="2747" t="inlineStr">
        <is>
          <t>002 003 Culture d’arachide de bouche</t>
        </is>
      </c>
      <c r="B12" s="2748" t="n"/>
      <c r="C12" s="2749" t="inlineStr">
        <is>
          <t>024 002 Travail des métaux</t>
        </is>
      </c>
    </row>
    <row r="13" ht="14.15" customFormat="1" customHeight="1" s="1589">
      <c r="A13" s="2747" t="inlineStr">
        <is>
          <t>002 004 Culture de tabac</t>
        </is>
      </c>
      <c r="B13" s="2748" t="n"/>
      <c r="C13" s="2750" t="inlineStr">
        <is>
          <t>Fabrication de machines, d’équipement et d’appareils électriques</t>
        </is>
      </c>
    </row>
    <row r="14" ht="14.15" customFormat="1" customHeight="1" s="1589">
      <c r="A14" s="2747" t="inlineStr">
        <is>
          <t>002 005 Culture de coton</t>
        </is>
      </c>
      <c r="B14" s="2748" t="n"/>
      <c r="C14" s="2749" t="inlineStr">
        <is>
          <t>025 001 Fabrication de machines, et d’équipement</t>
        </is>
      </c>
    </row>
    <row r="15" ht="14.15" customFormat="1" customHeight="1" s="1589">
      <c r="A15" s="2747" t="inlineStr">
        <is>
          <t>002 006 Culture de blé</t>
        </is>
      </c>
      <c r="B15" s="2748" t="n"/>
      <c r="C15" s="2749" t="inlineStr">
        <is>
          <t>£</t>
        </is>
      </c>
    </row>
    <row r="16" ht="14.15" customFormat="1" customHeight="1" s="1589">
      <c r="A16" s="2747" t="inlineStr">
        <is>
          <t>002 007 Culture de cacao</t>
        </is>
      </c>
      <c r="B16" s="2748" t="n"/>
      <c r="C16" s="2749" t="inlineStr">
        <is>
          <t>¨LKJHCXWWC</t>
        </is>
      </c>
    </row>
    <row r="17" ht="19.5" customFormat="1" customHeight="1" s="1589">
      <c r="A17" s="2747" t="inlineStr">
        <is>
          <t>002 008 Culture de café</t>
        </is>
      </c>
      <c r="B17" s="2748" t="n"/>
      <c r="C17" s="2750" t="inlineStr">
        <is>
          <t>Fabrication d’équipements et appareils audiovisuels et de communication ; fabrication d’instruments médicaux, d’optique et d’horlogerie</t>
        </is>
      </c>
    </row>
    <row r="18" ht="14.15" customFormat="1" customHeight="1" s="1589">
      <c r="A18" s="2747" t="inlineStr">
        <is>
          <t>002 009 Culture de banane d’exportation</t>
        </is>
      </c>
      <c r="B18" s="2748" t="n"/>
      <c r="C18" s="2749" t="inlineStr">
        <is>
          <t>026 001 Fabrication d’équipements et appareils audiovisuels et de communication</t>
        </is>
      </c>
    </row>
    <row r="19" ht="14.15" customFormat="1" customHeight="1" s="1589">
      <c r="A19" s="2747" t="inlineStr">
        <is>
          <t>002 010 Culture d’ananas d’exportation</t>
        </is>
      </c>
      <c r="B19" s="2748" t="n"/>
      <c r="C19" s="2749" t="inlineStr">
        <is>
          <t>026 002 Fabrication d’instruments médicaux, d’optique et d’horlogerie</t>
        </is>
      </c>
    </row>
    <row r="20" ht="14.15" customFormat="1" customHeight="1" s="1589">
      <c r="A20" s="2747" t="inlineStr">
        <is>
          <t>002 011 Autres cultures industrielles</t>
        </is>
      </c>
      <c r="B20" s="2748" t="n"/>
      <c r="C20" s="2750" t="inlineStr">
        <is>
          <t>Fabrication de matériel de transport</t>
        </is>
      </c>
    </row>
    <row r="21" ht="14.15" customFormat="1" customHeight="1" s="1589">
      <c r="A21" s="2751" t="inlineStr">
        <is>
          <t>Elevage et Chasse</t>
        </is>
      </c>
      <c r="B21" s="2748" t="n"/>
      <c r="C21" s="2749" t="inlineStr">
        <is>
          <t>027 001 Fabrication de véhicule routier</t>
        </is>
      </c>
    </row>
    <row r="22" ht="14.15" customFormat="1" customHeight="1" s="1589">
      <c r="A22" s="2747" t="inlineStr">
        <is>
          <t>003 001 Elevage bovin</t>
        </is>
      </c>
      <c r="B22" s="2748" t="n"/>
      <c r="C22" s="2749" t="inlineStr">
        <is>
          <t>027 002 Fabrication d’autres matériels de transport</t>
        </is>
      </c>
    </row>
    <row r="23" ht="14.15" customFormat="1" customHeight="1" s="1589">
      <c r="A23" s="2747" t="inlineStr">
        <is>
          <t>003 002 Elevage ovin, caprin, équin</t>
        </is>
      </c>
      <c r="B23" s="2748" t="n"/>
      <c r="C23" s="2750" t="inlineStr">
        <is>
          <t>Industrie diverses</t>
        </is>
      </c>
    </row>
    <row r="24" ht="14.15" customFormat="1" customHeight="1" s="1589">
      <c r="A24" s="2747" t="inlineStr">
        <is>
          <t>003 003 Elevage de volaille</t>
        </is>
      </c>
      <c r="B24" s="2748" t="n"/>
      <c r="C24" s="2749" t="inlineStr">
        <is>
          <t>028 001 Fabrication de meubles</t>
        </is>
      </c>
    </row>
    <row r="25" ht="14.15" customFormat="1" customHeight="1" s="1589">
      <c r="A25" s="2747" t="inlineStr">
        <is>
          <t>003 004 Autres élevages</t>
        </is>
      </c>
      <c r="B25" s="2748" t="n"/>
      <c r="C25" s="2749" t="inlineStr">
        <is>
          <t>028 002  Industrie diverses</t>
        </is>
      </c>
    </row>
    <row r="26" ht="14.15" customFormat="1" customHeight="1" s="1589">
      <c r="A26" s="2747" t="inlineStr">
        <is>
          <t>003 005 Chasse</t>
        </is>
      </c>
      <c r="B26" s="2748" t="n"/>
      <c r="C26" s="2750" t="inlineStr">
        <is>
          <t>Production et distribution d’eau, d’électricité et de gaz</t>
        </is>
      </c>
    </row>
    <row r="27" ht="14.15" customFormat="1" customHeight="1" s="1589">
      <c r="A27" s="2751" t="inlineStr">
        <is>
          <t>Sylviculture, exploitation forestière</t>
        </is>
      </c>
      <c r="B27" s="2748" t="n"/>
      <c r="C27" s="2749" t="inlineStr">
        <is>
          <t>029 001  Production, transport et distribution d’électricité</t>
        </is>
      </c>
    </row>
    <row r="28" ht="14.15" customFormat="1" customHeight="1" s="1589">
      <c r="A28" s="2747" t="inlineStr">
        <is>
          <t>004 001 Sylviculture</t>
        </is>
      </c>
      <c r="B28" s="2748" t="n"/>
      <c r="C28" s="2749" t="inlineStr">
        <is>
          <t>029 002  Captage, épuration et distribution d’eau</t>
        </is>
      </c>
    </row>
    <row r="29" ht="14.15" customFormat="1" customHeight="1" s="1589">
      <c r="A29" s="2747" t="inlineStr">
        <is>
          <t>004 002 Exploitation forestière</t>
        </is>
      </c>
      <c r="B29" s="2748" t="n"/>
      <c r="C29" s="2749" t="inlineStr">
        <is>
          <t>029 003 Production et distribution de gaz</t>
        </is>
      </c>
    </row>
    <row r="30" ht="14.15" customFormat="1" customHeight="1" s="1589">
      <c r="A30" s="2751" t="inlineStr">
        <is>
          <t>Pêche et aquaculture</t>
        </is>
      </c>
      <c r="B30" s="2748" t="n"/>
      <c r="C30" s="2750" t="inlineStr">
        <is>
          <t>Construction</t>
        </is>
      </c>
    </row>
    <row r="31" ht="14.15" customFormat="1" customHeight="1" s="1589">
      <c r="A31" s="2747" t="inlineStr">
        <is>
          <t>005 001 Pêche de poisson</t>
        </is>
      </c>
      <c r="B31" s="2748" t="n"/>
      <c r="C31" s="2749" t="inlineStr">
        <is>
          <t>030 001 Préparation de sites et construction d’ouvrages de bâtiments ou de génie civil</t>
        </is>
      </c>
    </row>
    <row r="32" ht="14.15" customFormat="1" customHeight="1" s="1589">
      <c r="A32" s="2747" t="inlineStr">
        <is>
          <t>005 002 autres pêches et aquaculture</t>
        </is>
      </c>
      <c r="B32" s="2748" t="n"/>
      <c r="C32" s="2749" t="inlineStr">
        <is>
          <t>030 002 Travaux d’installation et de finition</t>
        </is>
      </c>
    </row>
    <row r="33" ht="14.15" customFormat="1" customHeight="1" s="1589">
      <c r="A33" s="2751" t="inlineStr">
        <is>
          <t>Industrie extractives</t>
        </is>
      </c>
      <c r="B33" s="2748" t="n"/>
      <c r="C33" s="2750" t="inlineStr">
        <is>
          <t>Commerce</t>
        </is>
      </c>
    </row>
    <row r="34" ht="14.15" customFormat="1" customHeight="1" s="1589">
      <c r="A34" s="2747" t="inlineStr">
        <is>
          <t>006 001 Extraction d’hydrocarbure</t>
        </is>
      </c>
      <c r="B34" s="2748" t="n"/>
      <c r="C34" s="2749" t="inlineStr">
        <is>
          <t>031 001 Commerce de véhicules, d’accessoires et de carburant</t>
        </is>
      </c>
    </row>
    <row r="35" ht="14.15" customFormat="1" customHeight="1" s="1589">
      <c r="A35" s="2747" t="inlineStr">
        <is>
          <t>006 002 Extraction d’autres produits</t>
        </is>
      </c>
      <c r="B35" s="2748" t="n"/>
      <c r="C35" s="2749" t="inlineStr">
        <is>
          <t>031 002 Commerce de produits agricoles bruts et d’animaux vivants</t>
        </is>
      </c>
    </row>
    <row r="36" ht="14.15" customFormat="1" customHeight="1" s="1589">
      <c r="A36" s="2751" t="inlineStr">
        <is>
          <t>Production de viandes et de poissons</t>
        </is>
      </c>
      <c r="B36" s="2748" t="n"/>
      <c r="C36" s="2749" t="inlineStr">
        <is>
          <t>031 003 Autres commerces</t>
        </is>
      </c>
    </row>
    <row r="37" ht="14.15" customFormat="1" customHeight="1" s="1589">
      <c r="A37" s="2747" t="inlineStr">
        <is>
          <t>007 001 Production de viandes et de produits à base de viande</t>
        </is>
      </c>
      <c r="B37" s="2748" t="n"/>
      <c r="C37" s="2750" t="inlineStr">
        <is>
          <t>Réparations</t>
        </is>
      </c>
    </row>
    <row r="38" ht="14.15" customFormat="1" customHeight="1" s="1589">
      <c r="A38" s="2747" t="inlineStr">
        <is>
          <t>007 002 Production de poisson et de produits à base de poisson</t>
        </is>
      </c>
      <c r="B38" s="2748" t="n"/>
      <c r="C38" s="2749" t="inlineStr">
        <is>
          <t>032 001 Entretien et réparation des véhicules automobile</t>
        </is>
      </c>
    </row>
    <row r="39" ht="14.15" customFormat="1" customHeight="1" s="1589">
      <c r="A39" s="2751" t="inlineStr">
        <is>
          <t>Travail de grains et fabrication de produits amylacés</t>
        </is>
      </c>
      <c r="B39" s="2748" t="n"/>
      <c r="C39" s="2749" t="inlineStr">
        <is>
          <t>032 002 Réparation de biens personnels et domestiques</t>
        </is>
      </c>
    </row>
    <row r="40" ht="14.15" customFormat="1" customHeight="1" s="1589">
      <c r="A40" s="2747" t="inlineStr">
        <is>
          <t>008 000 Travail de grains et fabrication de produits amylacés</t>
        </is>
      </c>
      <c r="B40" s="2748" t="n"/>
      <c r="C40" s="2750" t="inlineStr">
        <is>
          <t>Hôtels, restaurant</t>
        </is>
      </c>
    </row>
    <row r="41" ht="14.15" customFormat="1" customHeight="1" s="1589">
      <c r="A41" s="2751" t="inlineStr">
        <is>
          <t>Transformation du café et du cacao</t>
        </is>
      </c>
      <c r="B41" s="2748" t="n"/>
      <c r="C41" s="2749" t="inlineStr">
        <is>
          <t>033 001 Hôtels</t>
        </is>
      </c>
    </row>
    <row r="42" ht="14.15" customFormat="1" customHeight="1" s="1589">
      <c r="A42" s="2747" t="inlineStr">
        <is>
          <t>009 001 Transformation du café</t>
        </is>
      </c>
      <c r="B42" s="2748" t="n"/>
      <c r="C42" s="2749" t="inlineStr">
        <is>
          <t>033 002 Bars et restaurants</t>
        </is>
      </c>
    </row>
    <row r="43" ht="14.15" customFormat="1" customHeight="1" s="1589">
      <c r="A43" s="2747" t="inlineStr">
        <is>
          <t>009 002 Transformation du cacao</t>
        </is>
      </c>
      <c r="B43" s="2748" t="n"/>
      <c r="C43" s="2750" t="inlineStr">
        <is>
          <t>Transport et communication</t>
        </is>
      </c>
    </row>
    <row r="44" ht="14.15" customFormat="1" customHeight="1" s="1589">
      <c r="A44" s="2751" t="inlineStr">
        <is>
          <t>Industrie des oléagineux</t>
        </is>
      </c>
      <c r="B44" s="2748" t="n"/>
      <c r="C44" s="2749" t="inlineStr">
        <is>
          <t>034 001 Transport ferroviaire</t>
        </is>
      </c>
    </row>
    <row r="45" ht="14.15" customFormat="1" customHeight="1" s="1589">
      <c r="A45" s="2747" t="inlineStr">
        <is>
          <t>010 001 Huiles brutes et tourteaux</t>
        </is>
      </c>
      <c r="B45" s="2748" t="n"/>
      <c r="C45" s="2749" t="inlineStr">
        <is>
          <t>034 002 Transport Transports routière, transport par conduite</t>
        </is>
      </c>
    </row>
    <row r="46" ht="14.15" customFormat="1" customHeight="1" s="1589">
      <c r="A46" s="2747" t="inlineStr">
        <is>
          <t>010 002 Autres corps gras</t>
        </is>
      </c>
      <c r="B46" s="2748" t="n"/>
      <c r="C46" s="2749" t="inlineStr">
        <is>
          <t xml:space="preserve">034 003 Transport par eau </t>
        </is>
      </c>
    </row>
    <row r="47" ht="14.15" customFormat="1" customHeight="1" s="1589">
      <c r="A47" s="2751" t="inlineStr">
        <is>
          <t>Boulangerie, Pâtisserie et pâtes alimentaires</t>
        </is>
      </c>
      <c r="B47" s="2748" t="n"/>
      <c r="C47" s="2749" t="inlineStr">
        <is>
          <t>034 004 Transport  aérien</t>
        </is>
      </c>
    </row>
    <row r="48" ht="14.15" customFormat="1" customHeight="1" s="1589">
      <c r="A48" s="2747" t="inlineStr">
        <is>
          <t>011 001 Fabrication de pains, de biscuits et de pâtisseries</t>
        </is>
      </c>
      <c r="B48" s="2748" t="n"/>
      <c r="C48" s="2749" t="inlineStr">
        <is>
          <t>034 005 Services annexes et auxiliaire de transport</t>
        </is>
      </c>
    </row>
    <row r="49" ht="14.15" customFormat="1" customHeight="1" s="1589">
      <c r="A49" s="2747" t="inlineStr">
        <is>
          <t>011 002 Fabrication de pâtes alimentaires</t>
        </is>
      </c>
      <c r="B49" s="2748" t="n"/>
      <c r="C49" s="2750" t="inlineStr">
        <is>
          <t xml:space="preserve">Postes, télécommunication </t>
        </is>
      </c>
    </row>
    <row r="50" ht="14.15" customFormat="1" customHeight="1" s="1589">
      <c r="A50" s="2751" t="inlineStr">
        <is>
          <t>Industrie laitière</t>
        </is>
      </c>
      <c r="B50" s="2748" t="n"/>
      <c r="C50" s="2749" t="inlineStr">
        <is>
          <t>035 001 Postes</t>
        </is>
      </c>
    </row>
    <row r="51" ht="14.15" customFormat="1" customHeight="1" s="1589">
      <c r="A51" s="2747" t="inlineStr">
        <is>
          <t>012 000 Industrie laitière</t>
        </is>
      </c>
      <c r="B51" s="2748" t="n"/>
      <c r="C51" s="2749" t="inlineStr">
        <is>
          <t xml:space="preserve">035 002 Télécommunication </t>
        </is>
      </c>
    </row>
    <row r="52" ht="14.15" customFormat="1" customHeight="1" s="1589">
      <c r="A52" s="2751" t="inlineStr">
        <is>
          <t>Transformation de fruits et légumes et fabrication d’autres produits alimentaires</t>
        </is>
      </c>
      <c r="B52" s="2748" t="n"/>
      <c r="C52" s="2750" t="inlineStr">
        <is>
          <t>Activités financières</t>
        </is>
      </c>
    </row>
    <row r="53" ht="14.15" customFormat="1" customHeight="1" s="1589">
      <c r="A53" s="2747" t="inlineStr">
        <is>
          <t>013 001 Fabrication de sucre</t>
        </is>
      </c>
      <c r="B53" s="2748" t="n"/>
      <c r="C53" s="2749" t="inlineStr">
        <is>
          <t>036 001 Services d’intermédiation financière</t>
        </is>
      </c>
    </row>
    <row r="54" ht="14.15" customFormat="1" customHeight="1" s="1589">
      <c r="A54" s="2747" t="inlineStr">
        <is>
          <t>013 002 Fabrication de produit à base de fruits et de légumes</t>
        </is>
      </c>
      <c r="B54" s="2748" t="n"/>
      <c r="C54" s="2749" t="inlineStr">
        <is>
          <t>036 002 Assurances (sauf sécurité sociale)</t>
        </is>
      </c>
    </row>
    <row r="55" ht="14.15" customFormat="1" customHeight="1" s="1589">
      <c r="A55" s="2747" t="inlineStr">
        <is>
          <t>013 003 Fabrication d’autres produits alimentaires</t>
        </is>
      </c>
      <c r="B55" s="2748" t="n"/>
      <c r="C55" s="2749" t="inlineStr">
        <is>
          <t>036 003 Auxiliaire financiers et d’assurances</t>
        </is>
      </c>
    </row>
    <row r="56" ht="14.15" customFormat="1" customHeight="1" s="1589">
      <c r="A56" s="2751" t="inlineStr">
        <is>
          <t>Industrie des boissons</t>
        </is>
      </c>
      <c r="B56" s="2748" t="n"/>
      <c r="C56" s="2750" t="inlineStr">
        <is>
          <t>Activités Immobilières</t>
        </is>
      </c>
    </row>
    <row r="57" ht="14.15" customFormat="1" customHeight="1" s="1589">
      <c r="A57" s="2747" t="inlineStr">
        <is>
          <t>014 001 Brasseries et malteries</t>
        </is>
      </c>
      <c r="B57" s="2748" t="n"/>
      <c r="C57" s="2749" t="inlineStr">
        <is>
          <t>037 001 Locations de biens immobiliers</t>
        </is>
      </c>
    </row>
    <row r="58" ht="14.15" customFormat="1" customHeight="1" s="1589">
      <c r="A58" s="2747" t="inlineStr">
        <is>
          <t>014 002 Fabrication d’autres boissons alcoolisées</t>
        </is>
      </c>
      <c r="B58" s="2748" t="n"/>
      <c r="C58" s="2749" t="inlineStr">
        <is>
          <t>037 002 Autres services immobiliers</t>
        </is>
      </c>
    </row>
    <row r="59" ht="14.15" customFormat="1" customHeight="1" s="1589">
      <c r="A59" s="2747" t="inlineStr">
        <is>
          <t>014 003 Fabrication de boissons non alcoolisées et d’eaux minérales</t>
        </is>
      </c>
      <c r="B59" s="2748" t="n"/>
      <c r="C59" s="2750" t="inlineStr">
        <is>
          <t>Services aux entités</t>
        </is>
      </c>
    </row>
    <row r="60" ht="14.15" customFormat="1" customHeight="1" s="1589">
      <c r="A60" s="2751" t="inlineStr">
        <is>
          <t>Industrie de Tabac</t>
        </is>
      </c>
      <c r="B60" s="2748" t="n"/>
      <c r="C60" s="2749" t="inlineStr">
        <is>
          <t>038 001 Locations sans opérateurs</t>
        </is>
      </c>
    </row>
    <row r="61" ht="14.15" customFormat="1" customHeight="1" s="1589">
      <c r="A61" s="2747" t="inlineStr">
        <is>
          <t>015 000  Industrie de Tabac</t>
        </is>
      </c>
      <c r="B61" s="2748" t="n"/>
      <c r="C61" s="2749" t="inlineStr">
        <is>
          <t>038 002 Activités informatiques</t>
        </is>
      </c>
    </row>
    <row r="62" ht="14.15" customFormat="1" customHeight="1" s="1589">
      <c r="A62" s="2751" t="inlineStr">
        <is>
          <t>Industrie textiles et habillement</t>
        </is>
      </c>
      <c r="B62" s="2748" t="n"/>
      <c r="C62" s="2749" t="inlineStr">
        <is>
          <t>038 003 Services rendus principalement aux entités</t>
        </is>
      </c>
    </row>
    <row r="63" ht="14.15" customFormat="1" customHeight="1" s="1589">
      <c r="A63" s="2747" t="inlineStr">
        <is>
          <t>016 001 Industrie textiles</t>
        </is>
      </c>
      <c r="B63" s="2748" t="n"/>
      <c r="C63" s="2750" t="inlineStr">
        <is>
          <t>Administration publiques</t>
        </is>
      </c>
    </row>
    <row r="64" ht="14.15" customFormat="1" customHeight="1" s="1589">
      <c r="A64" s="2747" t="inlineStr">
        <is>
          <t>016 002 Industrie de l’habillement</t>
        </is>
      </c>
      <c r="B64" s="2748" t="n"/>
      <c r="C64" s="2749" t="inlineStr">
        <is>
          <t>039 001 Administration générale, économique et sociale</t>
        </is>
      </c>
    </row>
    <row r="65" ht="14.15" customFormat="1" customHeight="1" s="1589">
      <c r="A65" s="2751" t="inlineStr">
        <is>
          <t>Industrie de cuir et de la chaussure</t>
        </is>
      </c>
      <c r="B65" s="2748" t="n"/>
      <c r="C65" s="2749" t="inlineStr">
        <is>
          <t>039 002 Services de prérogatives publiques</t>
        </is>
      </c>
    </row>
    <row r="66" ht="14.15" customFormat="1" customHeight="1" s="1589">
      <c r="A66" s="2747" t="inlineStr">
        <is>
          <t>017 001 Fabrication de cuir et articles en cuir</t>
        </is>
      </c>
      <c r="B66" s="2748" t="n"/>
      <c r="C66" s="2749" t="inlineStr">
        <is>
          <t>039 003 Sécurité sociale obligatoire</t>
        </is>
      </c>
    </row>
    <row r="67" ht="14.15" customFormat="1" customHeight="1" s="1589">
      <c r="A67" s="2747" t="inlineStr">
        <is>
          <t>017 002 Fabrication de chaussures</t>
        </is>
      </c>
      <c r="B67" s="2748" t="n"/>
      <c r="C67" s="2750" t="inlineStr">
        <is>
          <t>Education</t>
        </is>
      </c>
    </row>
    <row r="68" ht="14.15" customFormat="1" customHeight="1" s="1589">
      <c r="A68" s="2751" t="inlineStr">
        <is>
          <t>Industrie du bois</t>
        </is>
      </c>
      <c r="B68" s="2748" t="n"/>
      <c r="C68" s="2749" t="inlineStr">
        <is>
          <t xml:space="preserve">040 000 Education </t>
        </is>
      </c>
    </row>
    <row r="69" ht="14.15" customFormat="1" customHeight="1" s="1589">
      <c r="A69" s="2747" t="inlineStr">
        <is>
          <t>018 001 Sciage, rabotage et imprégnation du bois</t>
        </is>
      </c>
      <c r="B69" s="2748" t="n"/>
      <c r="C69" s="2750" t="inlineStr">
        <is>
          <t>Santé et action sociale</t>
        </is>
      </c>
    </row>
    <row r="70" ht="14.15" customFormat="1" customHeight="1" s="1589">
      <c r="A70" s="2747" t="inlineStr">
        <is>
          <t>018 002 Fabrication de panneaux en bois</t>
        </is>
      </c>
      <c r="B70" s="2748" t="n"/>
      <c r="C70" s="2749" t="inlineStr">
        <is>
          <t>041 001 Activités pour la santé des hommes</t>
        </is>
      </c>
    </row>
    <row r="71" ht="14.15" customFormat="1" customHeight="1" s="1589">
      <c r="A71" s="2747" t="inlineStr">
        <is>
          <t>018 003 Fabrication d’article en bois assemblés</t>
        </is>
      </c>
      <c r="B71" s="2748" t="n"/>
      <c r="C71" s="2749" t="inlineStr">
        <is>
          <t>041 002 Activités vétérinaires</t>
        </is>
      </c>
    </row>
    <row r="72" ht="14.15" customFormat="1" customHeight="1" s="1589">
      <c r="A72" s="2751" t="inlineStr">
        <is>
          <t>Industrie du papier et cartons, de l’édition et de l’imprimerie</t>
        </is>
      </c>
      <c r="B72" s="2748" t="n"/>
      <c r="C72" s="2749" t="inlineStr">
        <is>
          <t>041 003 Action sociale</t>
        </is>
      </c>
    </row>
    <row r="73" ht="14.15" customFormat="1" customHeight="1" s="1589">
      <c r="A73" s="2747" t="inlineStr">
        <is>
          <t>019 001 Industrie du papier et cartons</t>
        </is>
      </c>
      <c r="B73" s="2748" t="n"/>
      <c r="C73" s="2750" t="inlineStr">
        <is>
          <t xml:space="preserve">Services collectifs, sociaux et personnels </t>
        </is>
      </c>
    </row>
    <row r="74" ht="14.15" customFormat="1" customHeight="1" s="1589">
      <c r="A74" s="2747" t="inlineStr">
        <is>
          <t>019 002 Edition, imprimerie, reproduction</t>
        </is>
      </c>
      <c r="B74" s="2748" t="n"/>
      <c r="C74" s="2749" t="inlineStr">
        <is>
          <t xml:space="preserve">042 001 Assainissement, voirie et gestion des déchets </t>
        </is>
      </c>
    </row>
    <row r="75" ht="14.15" customFormat="1" customHeight="1" s="1589">
      <c r="A75" s="2751" t="inlineStr">
        <is>
          <t>Raffinage du pétrole</t>
        </is>
      </c>
      <c r="B75" s="2748" t="n"/>
      <c r="C75" s="2749" t="inlineStr">
        <is>
          <t xml:space="preserve">042 002 Activités associatives </t>
        </is>
      </c>
    </row>
    <row r="76" ht="14.15" customFormat="1" customHeight="1" s="1589">
      <c r="A76" s="2747" t="inlineStr">
        <is>
          <t>020 000 Raffinage du pétrole</t>
        </is>
      </c>
      <c r="B76" s="2748" t="n"/>
      <c r="C76" s="2749" t="inlineStr">
        <is>
          <t xml:space="preserve">042 003 Activités récréatives, culturelles et sportives </t>
        </is>
      </c>
    </row>
    <row r="77" ht="14.15" customFormat="1" customHeight="1" s="1589">
      <c r="A77" s="2751" t="inlineStr">
        <is>
          <t>Industrie chimique</t>
        </is>
      </c>
      <c r="B77" s="2748" t="n"/>
      <c r="C77" s="2749" t="inlineStr">
        <is>
          <t>042 004 Services personnels</t>
        </is>
      </c>
    </row>
    <row r="78" ht="14.15" customFormat="1" customHeight="1" s="1589">
      <c r="A78" s="2747" t="inlineStr">
        <is>
          <t>021 001 Industrie chimique</t>
        </is>
      </c>
      <c r="B78" s="2748" t="n"/>
      <c r="C78" s="2749" t="inlineStr">
        <is>
          <t>042 005 Services domestiques</t>
        </is>
      </c>
    </row>
    <row r="79" ht="14.15" customFormat="1" customHeight="1" s="1589">
      <c r="A79" s="2747" t="inlineStr">
        <is>
          <t>021 002 Fabrication de savons, de détergents et de produits d’entretien</t>
        </is>
      </c>
      <c r="B79" s="2748" t="n"/>
      <c r="C79" s="2750" t="inlineStr">
        <is>
          <t>Services d’intermédiation financière indirectement mesuré</t>
        </is>
      </c>
    </row>
    <row r="80" ht="14.15" customFormat="1" customHeight="1" s="1589">
      <c r="A80" s="2747" t="inlineStr">
        <is>
          <t>021 003  Fabrication de produit agro-chimiques</t>
        </is>
      </c>
      <c r="B80" s="2748" t="n"/>
      <c r="C80" s="2749" t="inlineStr">
        <is>
          <t xml:space="preserve">043 000 Services d’intermédiation financière indirectement mesuré </t>
        </is>
      </c>
    </row>
    <row r="81" ht="14.15" customFormat="1" customHeight="1" s="1589">
      <c r="A81" s="2747" t="inlineStr">
        <is>
          <t>021 004  Industries pharmaceutiques</t>
        </is>
      </c>
      <c r="B81" s="2748" t="n"/>
      <c r="C81" s="2750" t="inlineStr">
        <is>
          <t>Correction territoriale</t>
        </is>
      </c>
    </row>
    <row r="82" ht="14.15" customFormat="1" customHeight="1" s="1589">
      <c r="A82" s="2752" t="inlineStr">
        <is>
          <t>021 005  Fabrication d’autres produits chimiques</t>
        </is>
      </c>
      <c r="B82" s="2753" t="n"/>
      <c r="C82" s="2754" t="inlineStr">
        <is>
          <t xml:space="preserve">044 000 Correction territoriale </t>
        </is>
      </c>
    </row>
    <row r="83" ht="14.5" customFormat="1" customHeight="1" s="1589">
      <c r="A83" s="2755" t="n"/>
      <c r="B83" s="2755" t="n"/>
      <c r="C83" s="2755" t="n"/>
    </row>
    <row r="84" ht="14.5" customHeight="1" s="1354">
      <c r="A84" s="2755" t="n"/>
      <c r="B84" s="2756" t="n"/>
      <c r="C84" s="2756" t="n"/>
    </row>
    <row r="85" ht="14.5" customHeight="1" s="1354">
      <c r="A85" s="2756" t="n"/>
      <c r="B85" s="2756" t="n"/>
      <c r="C85" s="2756" t="n"/>
    </row>
    <row r="86" ht="14.5" customHeight="1" s="1354">
      <c r="A86" s="2756" t="n"/>
      <c r="B86" s="2756" t="n"/>
      <c r="C86" s="2756" t="n"/>
    </row>
  </sheetData>
  <mergeCells count="1">
    <mergeCell ref="A1:C1"/>
  </mergeCells>
  <printOptions horizontalCentered="0" verticalCentered="0" headings="0" gridLines="0" gridLinesSet="1"/>
  <pageMargins left="0.708333333333333" right="0.708333333333333" top="0.747916666666667" bottom="0.747916666666667" header="0.511811023622047" footer="0.511811023622047"/>
  <pageSetup orientation="portrait" paperSize="9" scale="65" fitToHeight="1" fitToWidth="1" pageOrder="downThenOver" blackAndWhite="0" draft="0" horizontalDpi="300" verticalDpi="300" copies="1"/>
</worksheet>
</file>

<file path=xl/worksheets/sheet57.xml><?xml version="1.0" encoding="utf-8"?>
<worksheet xmlns="http://schemas.openxmlformats.org/spreadsheetml/2006/main">
  <sheetPr>
    <outlinePr summaryBelow="1" summaryRight="1"/>
    <pageSetUpPr/>
  </sheetPr>
  <dimension ref="A1:J51"/>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9" customWidth="1" style="1354" min="3" max="3"/>
    <col width="9" customWidth="1" style="1354" min="4" max="4"/>
    <col width="9" customWidth="1" style="1354" min="5" max="5"/>
    <col width="15" customWidth="1" style="1354" min="6" max="6"/>
    <col width="15" customWidth="1" style="1354" min="7" max="7"/>
    <col width="15" customWidth="1" style="1354" min="8" max="8"/>
    <col width="15" customWidth="1" style="1354" min="9" max="9"/>
    <col width="22" customWidth="1" style="1354" min="10" max="10"/>
  </cols>
  <sheetData>
    <row r="1">
      <c r="A1" s="2865" t="inlineStr">
        <is>
          <t>Compte</t>
        </is>
      </c>
      <c r="B1" s="2865" t="inlineStr">
        <is>
          <t>Intitulé</t>
        </is>
      </c>
      <c r="C1" s="2865" t="inlineStr">
        <is>
          <t>Préfixe 2</t>
        </is>
      </c>
      <c r="D1" s="2865" t="inlineStr">
        <is>
          <t>Préfixe 3</t>
        </is>
      </c>
      <c r="E1" s="2865" t="inlineStr">
        <is>
          <t>Préfixe 4</t>
        </is>
      </c>
      <c r="F1" s="2865" t="inlineStr">
        <is>
          <t>Solde final débit</t>
        </is>
      </c>
      <c r="G1" s="2865" t="inlineStr">
        <is>
          <t>Solde final crédit</t>
        </is>
      </c>
      <c r="H1" s="2865" t="inlineStr">
        <is>
          <t>Mouvement débit</t>
        </is>
      </c>
      <c r="I1" s="2865" t="inlineStr">
        <is>
          <t>Mouvement crédit</t>
        </is>
      </c>
      <c r="J1" s="2865" t="inlineStr">
        <is>
          <t>Poste(s) d'affectation</t>
        </is>
      </c>
    </row>
    <row r="2">
      <c r="A2" s="2866" t="inlineStr">
        <is>
          <t>2131</t>
        </is>
      </c>
      <c r="B2" s="2866" t="inlineStr">
        <is>
          <t>Logiciels</t>
        </is>
      </c>
      <c r="C2" s="2866" t="inlineStr">
        <is>
          <t>21</t>
        </is>
      </c>
      <c r="D2" s="2866" t="inlineStr">
        <is>
          <t>213</t>
        </is>
      </c>
      <c r="E2" s="2866" t="inlineStr">
        <is>
          <t>2131</t>
        </is>
      </c>
      <c r="F2" s="2867" t="n">
        <v>5000000</v>
      </c>
      <c r="G2" s="2867" t="n">
        <v>0</v>
      </c>
      <c r="H2" s="2867" t="n">
        <v>0</v>
      </c>
      <c r="I2" s="2867" t="n">
        <v>0</v>
      </c>
      <c r="J2" s="2866" t="inlineStr">
        <is>
          <t>AF</t>
        </is>
      </c>
    </row>
    <row r="3">
      <c r="A3" s="2868" t="inlineStr">
        <is>
          <t>2411</t>
        </is>
      </c>
      <c r="B3" s="2868" t="inlineStr">
        <is>
          <t>Matériel et outillage</t>
        </is>
      </c>
      <c r="C3" s="2868" t="inlineStr">
        <is>
          <t>24</t>
        </is>
      </c>
      <c r="D3" s="2868" t="inlineStr">
        <is>
          <t>241</t>
        </is>
      </c>
      <c r="E3" s="2868" t="inlineStr">
        <is>
          <t>2411</t>
        </is>
      </c>
      <c r="F3" s="2869" t="n">
        <v>20000000</v>
      </c>
      <c r="G3" s="2869" t="n">
        <v>0</v>
      </c>
      <c r="H3" s="2869" t="n">
        <v>0</v>
      </c>
      <c r="I3" s="2869" t="n">
        <v>0</v>
      </c>
      <c r="J3" s="2868" t="inlineStr">
        <is>
          <t>AM</t>
        </is>
      </c>
    </row>
    <row r="4">
      <c r="A4" s="2866" t="inlineStr">
        <is>
          <t>2451</t>
        </is>
      </c>
      <c r="B4" s="2866" t="inlineStr">
        <is>
          <t>Matériel de transport</t>
        </is>
      </c>
      <c r="C4" s="2866" t="inlineStr">
        <is>
          <t>24</t>
        </is>
      </c>
      <c r="D4" s="2866" t="inlineStr">
        <is>
          <t>245</t>
        </is>
      </c>
      <c r="E4" s="2866" t="inlineStr">
        <is>
          <t>2451</t>
        </is>
      </c>
      <c r="F4" s="2867" t="n">
        <v>15000000</v>
      </c>
      <c r="G4" s="2867" t="n">
        <v>0</v>
      </c>
      <c r="H4" s="2867" t="n">
        <v>0</v>
      </c>
      <c r="I4" s="2867" t="n">
        <v>0</v>
      </c>
      <c r="J4" s="2866" t="inlineStr">
        <is>
          <t>AN</t>
        </is>
      </c>
    </row>
    <row r="5">
      <c r="A5" s="2868" t="inlineStr">
        <is>
          <t>2611</t>
        </is>
      </c>
      <c r="B5" s="2868" t="inlineStr">
        <is>
          <t>Titres de participation</t>
        </is>
      </c>
      <c r="C5" s="2868" t="inlineStr">
        <is>
          <t>26</t>
        </is>
      </c>
      <c r="D5" s="2868" t="inlineStr">
        <is>
          <t>261</t>
        </is>
      </c>
      <c r="E5" s="2868" t="inlineStr">
        <is>
          <t>2611</t>
        </is>
      </c>
      <c r="F5" s="2869" t="n">
        <v>3000000</v>
      </c>
      <c r="G5" s="2869" t="n">
        <v>0</v>
      </c>
      <c r="H5" s="2869" t="n">
        <v>0</v>
      </c>
      <c r="I5" s="2869" t="n">
        <v>0</v>
      </c>
      <c r="J5" s="2868" t="inlineStr">
        <is>
          <t>AR</t>
        </is>
      </c>
    </row>
    <row r="6">
      <c r="A6" s="2866" t="inlineStr">
        <is>
          <t>2751</t>
        </is>
      </c>
      <c r="B6" s="2866" t="inlineStr">
        <is>
          <t>Dépôts et cautionnements versés</t>
        </is>
      </c>
      <c r="C6" s="2866" t="inlineStr">
        <is>
          <t>27</t>
        </is>
      </c>
      <c r="D6" s="2866" t="inlineStr">
        <is>
          <t>275</t>
        </is>
      </c>
      <c r="E6" s="2866" t="inlineStr">
        <is>
          <t>2751</t>
        </is>
      </c>
      <c r="F6" s="2867" t="n">
        <v>1000000</v>
      </c>
      <c r="G6" s="2867" t="n">
        <v>0</v>
      </c>
      <c r="H6" s="2867" t="n">
        <v>0</v>
      </c>
      <c r="I6" s="2867" t="n">
        <v>0</v>
      </c>
      <c r="J6" s="2866" t="inlineStr">
        <is>
          <t>AS</t>
        </is>
      </c>
    </row>
    <row r="7">
      <c r="A7" s="2868" t="inlineStr">
        <is>
          <t>2813</t>
        </is>
      </c>
      <c r="B7" s="2868" t="inlineStr">
        <is>
          <t>Amortissements logiciels</t>
        </is>
      </c>
      <c r="C7" s="2868" t="inlineStr">
        <is>
          <t>28</t>
        </is>
      </c>
      <c r="D7" s="2868" t="inlineStr">
        <is>
          <t>281</t>
        </is>
      </c>
      <c r="E7" s="2868" t="inlineStr">
        <is>
          <t>2813</t>
        </is>
      </c>
      <c r="F7" s="2869" t="n">
        <v>0</v>
      </c>
      <c r="G7" s="2869" t="n">
        <v>2000000</v>
      </c>
      <c r="H7" s="2869" t="n">
        <v>0</v>
      </c>
      <c r="I7" s="2869" t="n">
        <v>0</v>
      </c>
      <c r="J7" s="2868" t="inlineStr">
        <is>
          <t>AF</t>
        </is>
      </c>
    </row>
    <row r="8">
      <c r="A8" s="2866" t="inlineStr">
        <is>
          <t>2841</t>
        </is>
      </c>
      <c r="B8" s="2866" t="inlineStr">
        <is>
          <t>Amortissements matériel</t>
        </is>
      </c>
      <c r="C8" s="2866" t="inlineStr">
        <is>
          <t>28</t>
        </is>
      </c>
      <c r="D8" s="2866" t="inlineStr">
        <is>
          <t>284</t>
        </is>
      </c>
      <c r="E8" s="2866" t="inlineStr">
        <is>
          <t>2841</t>
        </is>
      </c>
      <c r="F8" s="2867" t="n">
        <v>0</v>
      </c>
      <c r="G8" s="2867" t="n">
        <v>8000000</v>
      </c>
      <c r="H8" s="2867" t="n">
        <v>0</v>
      </c>
      <c r="I8" s="2867" t="n">
        <v>0</v>
      </c>
      <c r="J8" s="2866" t="inlineStr">
        <is>
          <t>AM</t>
        </is>
      </c>
    </row>
    <row r="9">
      <c r="A9" s="2868" t="inlineStr">
        <is>
          <t>2845</t>
        </is>
      </c>
      <c r="B9" s="2868" t="inlineStr">
        <is>
          <t>Amortissements matériel de transport</t>
        </is>
      </c>
      <c r="C9" s="2868" t="inlineStr">
        <is>
          <t>28</t>
        </is>
      </c>
      <c r="D9" s="2868" t="inlineStr">
        <is>
          <t>284</t>
        </is>
      </c>
      <c r="E9" s="2868" t="inlineStr">
        <is>
          <t>2845</t>
        </is>
      </c>
      <c r="F9" s="2869" t="n">
        <v>0</v>
      </c>
      <c r="G9" s="2869" t="n">
        <v>5000000</v>
      </c>
      <c r="H9" s="2869" t="n">
        <v>0</v>
      </c>
      <c r="I9" s="2869" t="n">
        <v>0</v>
      </c>
      <c r="J9" s="2868" t="inlineStr">
        <is>
          <t>AN</t>
        </is>
      </c>
    </row>
    <row r="10">
      <c r="A10" s="2866" t="inlineStr">
        <is>
          <t>311</t>
        </is>
      </c>
      <c r="B10" s="2866" t="inlineStr">
        <is>
          <t>Marchandises</t>
        </is>
      </c>
      <c r="C10" s="2866" t="inlineStr">
        <is>
          <t>31</t>
        </is>
      </c>
      <c r="D10" s="2866" t="inlineStr">
        <is>
          <t>311</t>
        </is>
      </c>
      <c r="E10" s="2866" t="inlineStr">
        <is>
          <t>311</t>
        </is>
      </c>
      <c r="F10" s="2867" t="n">
        <v>7000000</v>
      </c>
      <c r="G10" s="2867" t="n">
        <v>0</v>
      </c>
      <c r="H10" s="2867" t="n">
        <v>0</v>
      </c>
      <c r="I10" s="2867" t="n">
        <v>0</v>
      </c>
      <c r="J10" s="2866" t="inlineStr">
        <is>
          <t>BB</t>
        </is>
      </c>
    </row>
    <row r="11">
      <c r="A11" s="2868" t="inlineStr">
        <is>
          <t>391</t>
        </is>
      </c>
      <c r="B11" s="2868" t="inlineStr">
        <is>
          <t>Dépréciations des stocks de marchandises</t>
        </is>
      </c>
      <c r="C11" s="2868" t="inlineStr">
        <is>
          <t>39</t>
        </is>
      </c>
      <c r="D11" s="2868" t="inlineStr">
        <is>
          <t>391</t>
        </is>
      </c>
      <c r="E11" s="2868" t="inlineStr">
        <is>
          <t>391</t>
        </is>
      </c>
      <c r="F11" s="2869" t="n">
        <v>0</v>
      </c>
      <c r="G11" s="2869" t="n">
        <v>500000</v>
      </c>
      <c r="H11" s="2869" t="n">
        <v>0</v>
      </c>
      <c r="I11" s="2869" t="n">
        <v>0</v>
      </c>
      <c r="J11" s="2868" t="inlineStr">
        <is>
          <t>BB</t>
        </is>
      </c>
    </row>
    <row r="12">
      <c r="A12" s="2866" t="inlineStr">
        <is>
          <t>4111</t>
        </is>
      </c>
      <c r="B12" s="2866" t="inlineStr">
        <is>
          <t>Clients</t>
        </is>
      </c>
      <c r="C12" s="2866" t="inlineStr">
        <is>
          <t>41</t>
        </is>
      </c>
      <c r="D12" s="2866" t="inlineStr">
        <is>
          <t>411</t>
        </is>
      </c>
      <c r="E12" s="2866" t="inlineStr">
        <is>
          <t>4111</t>
        </is>
      </c>
      <c r="F12" s="2867" t="n">
        <v>9000000</v>
      </c>
      <c r="G12" s="2867" t="n">
        <v>0</v>
      </c>
      <c r="H12" s="2867" t="n">
        <v>0</v>
      </c>
      <c r="I12" s="2867" t="n">
        <v>0</v>
      </c>
      <c r="J12" s="2866" t="inlineStr">
        <is>
          <t>BI</t>
        </is>
      </c>
    </row>
    <row r="13">
      <c r="A13" s="2868" t="inlineStr">
        <is>
          <t>4181</t>
        </is>
      </c>
      <c r="B13" s="2868" t="inlineStr">
        <is>
          <t>Clients, produits à recevoir</t>
        </is>
      </c>
      <c r="C13" s="2868" t="inlineStr">
        <is>
          <t>41</t>
        </is>
      </c>
      <c r="D13" s="2868" t="inlineStr">
        <is>
          <t>418</t>
        </is>
      </c>
      <c r="E13" s="2868" t="inlineStr">
        <is>
          <t>4181</t>
        </is>
      </c>
      <c r="F13" s="2869" t="n">
        <v>400000</v>
      </c>
      <c r="G13" s="2869" t="n">
        <v>0</v>
      </c>
      <c r="H13" s="2869" t="n">
        <v>0</v>
      </c>
      <c r="I13" s="2869" t="n">
        <v>0</v>
      </c>
      <c r="J13" s="2868" t="inlineStr">
        <is>
          <t>BI</t>
        </is>
      </c>
    </row>
    <row r="14">
      <c r="A14" s="2866" t="inlineStr">
        <is>
          <t>491</t>
        </is>
      </c>
      <c r="B14" s="2866" t="inlineStr">
        <is>
          <t>Dépréciations des comptes clients</t>
        </is>
      </c>
      <c r="C14" s="2866" t="inlineStr">
        <is>
          <t>49</t>
        </is>
      </c>
      <c r="D14" s="2866" t="inlineStr">
        <is>
          <t>491</t>
        </is>
      </c>
      <c r="E14" s="2866" t="inlineStr">
        <is>
          <t>491</t>
        </is>
      </c>
      <c r="F14" s="2867" t="n">
        <v>0</v>
      </c>
      <c r="G14" s="2867" t="n">
        <v>700000</v>
      </c>
      <c r="H14" s="2867" t="n">
        <v>0</v>
      </c>
      <c r="I14" s="2867" t="n">
        <v>0</v>
      </c>
      <c r="J14" s="2866" t="inlineStr">
        <is>
          <t>BI</t>
        </is>
      </c>
    </row>
    <row r="15">
      <c r="A15" s="2868" t="inlineStr">
        <is>
          <t>4452</t>
        </is>
      </c>
      <c r="B15" s="2868" t="inlineStr">
        <is>
          <t>TVA récupérable sur achats</t>
        </is>
      </c>
      <c r="C15" s="2868" t="inlineStr">
        <is>
          <t>44</t>
        </is>
      </c>
      <c r="D15" s="2868" t="inlineStr">
        <is>
          <t>445</t>
        </is>
      </c>
      <c r="E15" s="2868" t="inlineStr">
        <is>
          <t>4452</t>
        </is>
      </c>
      <c r="F15" s="2869" t="n">
        <v>1200000</v>
      </c>
      <c r="G15" s="2869" t="n">
        <v>0</v>
      </c>
      <c r="H15" s="2869" t="n">
        <v>0</v>
      </c>
      <c r="I15" s="2869" t="n">
        <v>0</v>
      </c>
      <c r="J15" s="2868" t="inlineStr">
        <is>
          <t>BJ, DK</t>
        </is>
      </c>
    </row>
    <row r="16">
      <c r="A16" s="2866" t="inlineStr">
        <is>
          <t>5021</t>
        </is>
      </c>
      <c r="B16" s="2866" t="inlineStr">
        <is>
          <t>Actions</t>
        </is>
      </c>
      <c r="C16" s="2866" t="inlineStr">
        <is>
          <t>50</t>
        </is>
      </c>
      <c r="D16" s="2866" t="inlineStr">
        <is>
          <t>502</t>
        </is>
      </c>
      <c r="E16" s="2866" t="inlineStr">
        <is>
          <t>5021</t>
        </is>
      </c>
      <c r="F16" s="2867" t="n">
        <v>800000</v>
      </c>
      <c r="G16" s="2867" t="n">
        <v>0</v>
      </c>
      <c r="H16" s="2867" t="n">
        <v>0</v>
      </c>
      <c r="I16" s="2867" t="n">
        <v>0</v>
      </c>
      <c r="J16" s="2866" t="inlineStr">
        <is>
          <t>BQ</t>
        </is>
      </c>
    </row>
    <row r="17">
      <c r="A17" s="2868" t="inlineStr">
        <is>
          <t>5211</t>
        </is>
      </c>
      <c r="B17" s="2868" t="inlineStr">
        <is>
          <t>Banque locale</t>
        </is>
      </c>
      <c r="C17" s="2868" t="inlineStr">
        <is>
          <t>52</t>
        </is>
      </c>
      <c r="D17" s="2868" t="inlineStr">
        <is>
          <t>521</t>
        </is>
      </c>
      <c r="E17" s="2868" t="inlineStr">
        <is>
          <t>5211</t>
        </is>
      </c>
      <c r="F17" s="2869" t="n">
        <v>6000000</v>
      </c>
      <c r="G17" s="2869" t="n">
        <v>0</v>
      </c>
      <c r="H17" s="2869" t="n">
        <v>0</v>
      </c>
      <c r="I17" s="2869" t="n">
        <v>0</v>
      </c>
      <c r="J17" s="2868" t="inlineStr">
        <is>
          <t>BS, DR</t>
        </is>
      </c>
    </row>
    <row r="18">
      <c r="A18" s="2866" t="inlineStr">
        <is>
          <t>5711</t>
        </is>
      </c>
      <c r="B18" s="2866" t="inlineStr">
        <is>
          <t>Caisse siège social</t>
        </is>
      </c>
      <c r="C18" s="2866" t="inlineStr">
        <is>
          <t>57</t>
        </is>
      </c>
      <c r="D18" s="2866" t="inlineStr">
        <is>
          <t>571</t>
        </is>
      </c>
      <c r="E18" s="2866" t="inlineStr">
        <is>
          <t>5711</t>
        </is>
      </c>
      <c r="F18" s="2867" t="n">
        <v>1500000</v>
      </c>
      <c r="G18" s="2867" t="n">
        <v>0</v>
      </c>
      <c r="H18" s="2867" t="n">
        <v>0</v>
      </c>
      <c r="I18" s="2867" t="n">
        <v>0</v>
      </c>
      <c r="J18" s="2866" t="inlineStr">
        <is>
          <t>BS</t>
        </is>
      </c>
    </row>
    <row r="19">
      <c r="A19" s="2868" t="inlineStr">
        <is>
          <t>1011</t>
        </is>
      </c>
      <c r="B19" s="2868" t="inlineStr">
        <is>
          <t>Capital social</t>
        </is>
      </c>
      <c r="C19" s="2868" t="inlineStr">
        <is>
          <t>10</t>
        </is>
      </c>
      <c r="D19" s="2868" t="inlineStr">
        <is>
          <t>101</t>
        </is>
      </c>
      <c r="E19" s="2868" t="inlineStr">
        <is>
          <t>1011</t>
        </is>
      </c>
      <c r="F19" s="2869" t="n">
        <v>0</v>
      </c>
      <c r="G19" s="2869" t="n">
        <v>25000000</v>
      </c>
      <c r="H19" s="2869" t="n">
        <v>0</v>
      </c>
      <c r="I19" s="2869" t="n">
        <v>0</v>
      </c>
      <c r="J19" s="2868" t="inlineStr">
        <is>
          <t>CA</t>
        </is>
      </c>
    </row>
    <row r="20">
      <c r="A20" s="2866" t="inlineStr">
        <is>
          <t>111</t>
        </is>
      </c>
      <c r="B20" s="2866" t="inlineStr">
        <is>
          <t>Réserve légale</t>
        </is>
      </c>
      <c r="C20" s="2866" t="inlineStr">
        <is>
          <t>11</t>
        </is>
      </c>
      <c r="D20" s="2866" t="inlineStr">
        <is>
          <t>111</t>
        </is>
      </c>
      <c r="E20" s="2866" t="inlineStr">
        <is>
          <t>111</t>
        </is>
      </c>
      <c r="F20" s="2867" t="n">
        <v>0</v>
      </c>
      <c r="G20" s="2867" t="n">
        <v>2000000</v>
      </c>
      <c r="H20" s="2867" t="n">
        <v>0</v>
      </c>
      <c r="I20" s="2867" t="n">
        <v>0</v>
      </c>
      <c r="J20" s="2866" t="inlineStr">
        <is>
          <t>CF</t>
        </is>
      </c>
    </row>
    <row r="21">
      <c r="A21" s="2868" t="inlineStr">
        <is>
          <t>121</t>
        </is>
      </c>
      <c r="B21" s="2868" t="inlineStr">
        <is>
          <t>Report à nouveau créditeur</t>
        </is>
      </c>
      <c r="C21" s="2868" t="inlineStr">
        <is>
          <t>12</t>
        </is>
      </c>
      <c r="D21" s="2868" t="inlineStr">
        <is>
          <t>121</t>
        </is>
      </c>
      <c r="E21" s="2868" t="inlineStr">
        <is>
          <t>121</t>
        </is>
      </c>
      <c r="F21" s="2869" t="n">
        <v>0</v>
      </c>
      <c r="G21" s="2869" t="n">
        <v>1000000</v>
      </c>
      <c r="H21" s="2869" t="n">
        <v>0</v>
      </c>
      <c r="I21" s="2869" t="n">
        <v>0</v>
      </c>
      <c r="J21" s="2868" t="inlineStr">
        <is>
          <t>CH</t>
        </is>
      </c>
    </row>
    <row r="22">
      <c r="A22" s="2866" t="inlineStr">
        <is>
          <t>1411</t>
        </is>
      </c>
      <c r="B22" s="2866" t="inlineStr">
        <is>
          <t>Subventions d'équipement - État</t>
        </is>
      </c>
      <c r="C22" s="2866" t="inlineStr">
        <is>
          <t>14</t>
        </is>
      </c>
      <c r="D22" s="2866" t="inlineStr">
        <is>
          <t>141</t>
        </is>
      </c>
      <c r="E22" s="2866" t="inlineStr">
        <is>
          <t>1411</t>
        </is>
      </c>
      <c r="F22" s="2867" t="n">
        <v>0</v>
      </c>
      <c r="G22" s="2867" t="n">
        <v>3000000</v>
      </c>
      <c r="H22" s="2867" t="n">
        <v>0</v>
      </c>
      <c r="I22" s="2867" t="n">
        <v>0</v>
      </c>
      <c r="J22" s="2866" t="inlineStr">
        <is>
          <t>CL</t>
        </is>
      </c>
    </row>
    <row r="23">
      <c r="A23" s="2868" t="inlineStr">
        <is>
          <t>162</t>
        </is>
      </c>
      <c r="B23" s="2868" t="inlineStr">
        <is>
          <t>Emprunts et dettes auprès des établissements de crédit</t>
        </is>
      </c>
      <c r="C23" s="2868" t="inlineStr">
        <is>
          <t>16</t>
        </is>
      </c>
      <c r="D23" s="2868" t="inlineStr">
        <is>
          <t>162</t>
        </is>
      </c>
      <c r="E23" s="2868" t="inlineStr">
        <is>
          <t>162</t>
        </is>
      </c>
      <c r="F23" s="2869" t="n">
        <v>0</v>
      </c>
      <c r="G23" s="2869" t="n">
        <v>10000000</v>
      </c>
      <c r="H23" s="2869" t="n">
        <v>0</v>
      </c>
      <c r="I23" s="2869" t="n">
        <v>0</v>
      </c>
      <c r="J23" s="2868" t="inlineStr">
        <is>
          <t>DA</t>
        </is>
      </c>
    </row>
    <row r="24">
      <c r="A24" s="2866" t="inlineStr">
        <is>
          <t>191</t>
        </is>
      </c>
      <c r="B24" s="2866" t="inlineStr">
        <is>
          <t>Provisions pour litiges</t>
        </is>
      </c>
      <c r="C24" s="2866" t="inlineStr">
        <is>
          <t>19</t>
        </is>
      </c>
      <c r="D24" s="2866" t="inlineStr">
        <is>
          <t>191</t>
        </is>
      </c>
      <c r="E24" s="2866" t="inlineStr">
        <is>
          <t>191</t>
        </is>
      </c>
      <c r="F24" s="2867" t="n">
        <v>0</v>
      </c>
      <c r="G24" s="2867" t="n">
        <v>800000</v>
      </c>
      <c r="H24" s="2867" t="n">
        <v>0</v>
      </c>
      <c r="I24" s="2867" t="n">
        <v>0</v>
      </c>
      <c r="J24" s="2866" t="inlineStr">
        <is>
          <t>DC</t>
        </is>
      </c>
    </row>
    <row r="25">
      <c r="A25" s="2868" t="inlineStr">
        <is>
          <t>401</t>
        </is>
      </c>
      <c r="B25" s="2868" t="inlineStr">
        <is>
          <t>Fournisseurs, dettes en compte</t>
        </is>
      </c>
      <c r="C25" s="2868" t="inlineStr">
        <is>
          <t>40</t>
        </is>
      </c>
      <c r="D25" s="2868" t="inlineStr">
        <is>
          <t>401</t>
        </is>
      </c>
      <c r="E25" s="2868" t="inlineStr">
        <is>
          <t>401</t>
        </is>
      </c>
      <c r="F25" s="2869" t="n">
        <v>0</v>
      </c>
      <c r="G25" s="2869" t="n">
        <v>5600000</v>
      </c>
      <c r="H25" s="2869" t="n">
        <v>0</v>
      </c>
      <c r="I25" s="2869" t="n">
        <v>0</v>
      </c>
      <c r="J25" s="2868" t="inlineStr">
        <is>
          <t>DJ</t>
        </is>
      </c>
    </row>
    <row r="26">
      <c r="A26" s="2866" t="inlineStr">
        <is>
          <t>422</t>
        </is>
      </c>
      <c r="B26" s="2866" t="inlineStr">
        <is>
          <t>Personnel, rémunérations dues</t>
        </is>
      </c>
      <c r="C26" s="2866" t="inlineStr">
        <is>
          <t>42</t>
        </is>
      </c>
      <c r="D26" s="2866" t="inlineStr">
        <is>
          <t>422</t>
        </is>
      </c>
      <c r="E26" s="2866" t="inlineStr">
        <is>
          <t>422</t>
        </is>
      </c>
      <c r="F26" s="2867" t="n">
        <v>0</v>
      </c>
      <c r="G26" s="2867" t="n">
        <v>900000</v>
      </c>
      <c r="H26" s="2867" t="n">
        <v>0</v>
      </c>
      <c r="I26" s="2867" t="n">
        <v>0</v>
      </c>
      <c r="J26" s="2866" t="inlineStr">
        <is>
          <t>BJ, DK</t>
        </is>
      </c>
    </row>
    <row r="27">
      <c r="A27" s="2868" t="inlineStr">
        <is>
          <t>431</t>
        </is>
      </c>
      <c r="B27" s="2868" t="inlineStr">
        <is>
          <t>Sécurité sociale</t>
        </is>
      </c>
      <c r="C27" s="2868" t="inlineStr">
        <is>
          <t>43</t>
        </is>
      </c>
      <c r="D27" s="2868" t="inlineStr">
        <is>
          <t>431</t>
        </is>
      </c>
      <c r="E27" s="2868" t="inlineStr">
        <is>
          <t>431</t>
        </is>
      </c>
      <c r="F27" s="2869" t="n">
        <v>0</v>
      </c>
      <c r="G27" s="2869" t="n">
        <v>600000</v>
      </c>
      <c r="H27" s="2869" t="n">
        <v>0</v>
      </c>
      <c r="I27" s="2869" t="n">
        <v>0</v>
      </c>
      <c r="J27" s="2868" t="inlineStr">
        <is>
          <t>BJ, DK</t>
        </is>
      </c>
    </row>
    <row r="28">
      <c r="A28" s="2866" t="inlineStr">
        <is>
          <t>4441</t>
        </is>
      </c>
      <c r="B28" s="2866" t="inlineStr">
        <is>
          <t>État, TVA due</t>
        </is>
      </c>
      <c r="C28" s="2866" t="inlineStr">
        <is>
          <t>44</t>
        </is>
      </c>
      <c r="D28" s="2866" t="inlineStr">
        <is>
          <t>444</t>
        </is>
      </c>
      <c r="E28" s="2866" t="inlineStr">
        <is>
          <t>4441</t>
        </is>
      </c>
      <c r="F28" s="2867" t="n">
        <v>0</v>
      </c>
      <c r="G28" s="2867" t="n">
        <v>700000</v>
      </c>
      <c r="H28" s="2867" t="n">
        <v>0</v>
      </c>
      <c r="I28" s="2867" t="n">
        <v>0</v>
      </c>
      <c r="J28" s="2866" t="inlineStr">
        <is>
          <t>BJ, DK</t>
        </is>
      </c>
    </row>
    <row r="29">
      <c r="A29" s="2868" t="inlineStr">
        <is>
          <t>441</t>
        </is>
      </c>
      <c r="B29" s="2868" t="inlineStr">
        <is>
          <t>État, impôt sur les bénéfices</t>
        </is>
      </c>
      <c r="C29" s="2868" t="inlineStr">
        <is>
          <t>44</t>
        </is>
      </c>
      <c r="D29" s="2868" t="inlineStr">
        <is>
          <t>441</t>
        </is>
      </c>
      <c r="E29" s="2868" t="inlineStr">
        <is>
          <t>441</t>
        </is>
      </c>
      <c r="F29" s="2869" t="n">
        <v>0</v>
      </c>
      <c r="G29" s="2869" t="n">
        <v>1300000</v>
      </c>
      <c r="H29" s="2869" t="n">
        <v>0</v>
      </c>
      <c r="I29" s="2869" t="n">
        <v>0</v>
      </c>
      <c r="J29" s="2868" t="inlineStr">
        <is>
          <t>BJ, DK</t>
        </is>
      </c>
    </row>
    <row r="30">
      <c r="A30" s="2866" t="inlineStr">
        <is>
          <t>565</t>
        </is>
      </c>
      <c r="B30" s="2866" t="inlineStr">
        <is>
          <t>Escompte de crédits ordinaires</t>
        </is>
      </c>
      <c r="C30" s="2866" t="inlineStr">
        <is>
          <t>56</t>
        </is>
      </c>
      <c r="D30" s="2866" t="inlineStr">
        <is>
          <t>565</t>
        </is>
      </c>
      <c r="E30" s="2866" t="inlineStr">
        <is>
          <t>565</t>
        </is>
      </c>
      <c r="F30" s="2867" t="n">
        <v>0</v>
      </c>
      <c r="G30" s="2867" t="n">
        <v>400000</v>
      </c>
      <c r="H30" s="2867" t="n">
        <v>0</v>
      </c>
      <c r="I30" s="2867" t="n">
        <v>0</v>
      </c>
      <c r="J30" s="2866" t="inlineStr">
        <is>
          <t>DQ</t>
        </is>
      </c>
    </row>
    <row r="31">
      <c r="A31" s="2868" t="inlineStr">
        <is>
          <t>6011</t>
        </is>
      </c>
      <c r="B31" s="2868" t="inlineStr">
        <is>
          <t>Achats de marchandises dans la Région</t>
        </is>
      </c>
      <c r="C31" s="2868" t="inlineStr">
        <is>
          <t>60</t>
        </is>
      </c>
      <c r="D31" s="2868" t="inlineStr">
        <is>
          <t>601</t>
        </is>
      </c>
      <c r="E31" s="2868" t="inlineStr">
        <is>
          <t>6011</t>
        </is>
      </c>
      <c r="F31" s="2869" t="n">
        <v>30000000</v>
      </c>
      <c r="G31" s="2869" t="n">
        <v>0</v>
      </c>
      <c r="H31" s="2869" t="n">
        <v>0</v>
      </c>
      <c r="I31" s="2869" t="n">
        <v>0</v>
      </c>
      <c r="J31" s="2868" t="inlineStr">
        <is>
          <t>RA</t>
        </is>
      </c>
    </row>
    <row r="32">
      <c r="A32" s="2866" t="inlineStr">
        <is>
          <t>6031</t>
        </is>
      </c>
      <c r="B32" s="2866" t="inlineStr">
        <is>
          <t>Variation des stocks de marchandises</t>
        </is>
      </c>
      <c r="C32" s="2866" t="inlineStr">
        <is>
          <t>60</t>
        </is>
      </c>
      <c r="D32" s="2866" t="inlineStr">
        <is>
          <t>603</t>
        </is>
      </c>
      <c r="E32" s="2866" t="inlineStr">
        <is>
          <t>6031</t>
        </is>
      </c>
      <c r="F32" s="2867" t="n">
        <v>1000000</v>
      </c>
      <c r="G32" s="2867" t="n">
        <v>0</v>
      </c>
      <c r="H32" s="2867" t="n">
        <v>0</v>
      </c>
      <c r="I32" s="2867" t="n">
        <v>0</v>
      </c>
      <c r="J32" s="2866" t="inlineStr">
        <is>
          <t>RB</t>
        </is>
      </c>
    </row>
    <row r="33">
      <c r="A33" s="2868" t="inlineStr">
        <is>
          <t>6051</t>
        </is>
      </c>
      <c r="B33" s="2868" t="inlineStr">
        <is>
          <t>Eau</t>
        </is>
      </c>
      <c r="C33" s="2868" t="inlineStr">
        <is>
          <t>60</t>
        </is>
      </c>
      <c r="D33" s="2868" t="inlineStr">
        <is>
          <t>605</t>
        </is>
      </c>
      <c r="E33" s="2868" t="inlineStr">
        <is>
          <t>6051</t>
        </is>
      </c>
      <c r="F33" s="2869" t="n">
        <v>450000</v>
      </c>
      <c r="G33" s="2869" t="n">
        <v>0</v>
      </c>
      <c r="H33" s="2869" t="n">
        <v>0</v>
      </c>
      <c r="I33" s="2869" t="n">
        <v>0</v>
      </c>
      <c r="J33" s="2868" t="inlineStr">
        <is>
          <t>RE</t>
        </is>
      </c>
    </row>
    <row r="34">
      <c r="A34" s="2866" t="inlineStr">
        <is>
          <t>6052</t>
        </is>
      </c>
      <c r="B34" s="2866" t="inlineStr">
        <is>
          <t>Électricité</t>
        </is>
      </c>
      <c r="C34" s="2866" t="inlineStr">
        <is>
          <t>60</t>
        </is>
      </c>
      <c r="D34" s="2866" t="inlineStr">
        <is>
          <t>605</t>
        </is>
      </c>
      <c r="E34" s="2866" t="inlineStr">
        <is>
          <t>6052</t>
        </is>
      </c>
      <c r="F34" s="2867" t="n">
        <v>700000</v>
      </c>
      <c r="G34" s="2867" t="n">
        <v>0</v>
      </c>
      <c r="H34" s="2867" t="n">
        <v>0</v>
      </c>
      <c r="I34" s="2867" t="n">
        <v>0</v>
      </c>
      <c r="J34" s="2866" t="inlineStr">
        <is>
          <t>RE</t>
        </is>
      </c>
    </row>
    <row r="35">
      <c r="A35" s="2868" t="inlineStr">
        <is>
          <t>612</t>
        </is>
      </c>
      <c r="B35" s="2868" t="inlineStr">
        <is>
          <t>Transports sur ventes</t>
        </is>
      </c>
      <c r="C35" s="2868" t="inlineStr">
        <is>
          <t>61</t>
        </is>
      </c>
      <c r="D35" s="2868" t="inlineStr">
        <is>
          <t>612</t>
        </is>
      </c>
      <c r="E35" s="2868" t="inlineStr">
        <is>
          <t>612</t>
        </is>
      </c>
      <c r="F35" s="2869" t="n">
        <v>800000</v>
      </c>
      <c r="G35" s="2869" t="n">
        <v>0</v>
      </c>
      <c r="H35" s="2869" t="n">
        <v>0</v>
      </c>
      <c r="I35" s="2869" t="n">
        <v>0</v>
      </c>
      <c r="J35" s="2868" t="inlineStr">
        <is>
          <t>RG</t>
        </is>
      </c>
    </row>
    <row r="36">
      <c r="A36" s="2866" t="inlineStr">
        <is>
          <t>622</t>
        </is>
      </c>
      <c r="B36" s="2866" t="inlineStr">
        <is>
          <t>Locations et charges locatives</t>
        </is>
      </c>
      <c r="C36" s="2866" t="inlineStr">
        <is>
          <t>62</t>
        </is>
      </c>
      <c r="D36" s="2866" t="inlineStr">
        <is>
          <t>622</t>
        </is>
      </c>
      <c r="E36" s="2866" t="inlineStr">
        <is>
          <t>622</t>
        </is>
      </c>
      <c r="F36" s="2867" t="n">
        <v>2400000</v>
      </c>
      <c r="G36" s="2867" t="n">
        <v>0</v>
      </c>
      <c r="H36" s="2867" t="n">
        <v>0</v>
      </c>
      <c r="I36" s="2867" t="n">
        <v>0</v>
      </c>
      <c r="J36" s="2866" t="inlineStr">
        <is>
          <t>RH</t>
        </is>
      </c>
    </row>
    <row r="37">
      <c r="A37" s="2868" t="inlineStr">
        <is>
          <t>6281</t>
        </is>
      </c>
      <c r="B37" s="2868" t="inlineStr">
        <is>
          <t>Frais de télécommunications</t>
        </is>
      </c>
      <c r="C37" s="2868" t="inlineStr">
        <is>
          <t>62</t>
        </is>
      </c>
      <c r="D37" s="2868" t="inlineStr">
        <is>
          <t>628</t>
        </is>
      </c>
      <c r="E37" s="2868" t="inlineStr">
        <is>
          <t>6281</t>
        </is>
      </c>
      <c r="F37" s="2869" t="n">
        <v>600000</v>
      </c>
      <c r="G37" s="2869" t="n">
        <v>0</v>
      </c>
      <c r="H37" s="2869" t="n">
        <v>0</v>
      </c>
      <c r="I37" s="2869" t="n">
        <v>0</v>
      </c>
      <c r="J37" s="2868" t="inlineStr">
        <is>
          <t>RH</t>
        </is>
      </c>
    </row>
    <row r="38">
      <c r="A38" s="2866" t="inlineStr">
        <is>
          <t>641</t>
        </is>
      </c>
      <c r="B38" s="2866" t="inlineStr">
        <is>
          <t>Impôts et taxes directs</t>
        </is>
      </c>
      <c r="C38" s="2866" t="inlineStr">
        <is>
          <t>64</t>
        </is>
      </c>
      <c r="D38" s="2866" t="inlineStr">
        <is>
          <t>641</t>
        </is>
      </c>
      <c r="E38" s="2866" t="inlineStr">
        <is>
          <t>641</t>
        </is>
      </c>
      <c r="F38" s="2867" t="n">
        <v>500000</v>
      </c>
      <c r="G38" s="2867" t="n">
        <v>0</v>
      </c>
      <c r="H38" s="2867" t="n">
        <v>0</v>
      </c>
      <c r="I38" s="2867" t="n">
        <v>0</v>
      </c>
      <c r="J38" s="2866" t="inlineStr">
        <is>
          <t>RI</t>
        </is>
      </c>
    </row>
    <row r="39">
      <c r="A39" s="2868" t="inlineStr">
        <is>
          <t>6582</t>
        </is>
      </c>
      <c r="B39" s="2868" t="inlineStr">
        <is>
          <t>Dons</t>
        </is>
      </c>
      <c r="C39" s="2868" t="inlineStr">
        <is>
          <t>65</t>
        </is>
      </c>
      <c r="D39" s="2868" t="inlineStr">
        <is>
          <t>658</t>
        </is>
      </c>
      <c r="E39" s="2868" t="inlineStr">
        <is>
          <t>6582</t>
        </is>
      </c>
      <c r="F39" s="2869" t="n">
        <v>200000</v>
      </c>
      <c r="G39" s="2869" t="n">
        <v>0</v>
      </c>
      <c r="H39" s="2869" t="n">
        <v>0</v>
      </c>
      <c r="I39" s="2869" t="n">
        <v>0</v>
      </c>
      <c r="J39" s="2868" t="inlineStr">
        <is>
          <t>RJ</t>
        </is>
      </c>
    </row>
    <row r="40">
      <c r="A40" s="2866" t="inlineStr">
        <is>
          <t>661</t>
        </is>
      </c>
      <c r="B40" s="2866" t="inlineStr">
        <is>
          <t>Rémunérations directes versées au personnel national</t>
        </is>
      </c>
      <c r="C40" s="2866" t="inlineStr">
        <is>
          <t>66</t>
        </is>
      </c>
      <c r="D40" s="2866" t="inlineStr">
        <is>
          <t>661</t>
        </is>
      </c>
      <c r="E40" s="2866" t="inlineStr">
        <is>
          <t>661</t>
        </is>
      </c>
      <c r="F40" s="2867" t="n">
        <v>8000000</v>
      </c>
      <c r="G40" s="2867" t="n">
        <v>0</v>
      </c>
      <c r="H40" s="2867" t="n">
        <v>0</v>
      </c>
      <c r="I40" s="2867" t="n">
        <v>0</v>
      </c>
      <c r="J40" s="2866" t="inlineStr">
        <is>
          <t>RK</t>
        </is>
      </c>
    </row>
    <row r="41">
      <c r="A41" s="2868" t="inlineStr">
        <is>
          <t>664</t>
        </is>
      </c>
      <c r="B41" s="2868" t="inlineStr">
        <is>
          <t>Charges sociales</t>
        </is>
      </c>
      <c r="C41" s="2868" t="inlineStr">
        <is>
          <t>66</t>
        </is>
      </c>
      <c r="D41" s="2868" t="inlineStr">
        <is>
          <t>664</t>
        </is>
      </c>
      <c r="E41" s="2868" t="inlineStr">
        <is>
          <t>664</t>
        </is>
      </c>
      <c r="F41" s="2869" t="n">
        <v>1200000</v>
      </c>
      <c r="G41" s="2869" t="n">
        <v>0</v>
      </c>
      <c r="H41" s="2869" t="n">
        <v>0</v>
      </c>
      <c r="I41" s="2869" t="n">
        <v>0</v>
      </c>
      <c r="J41" s="2868" t="inlineStr">
        <is>
          <t>RK</t>
        </is>
      </c>
    </row>
    <row r="42">
      <c r="A42" s="2866" t="inlineStr">
        <is>
          <t>671</t>
        </is>
      </c>
      <c r="B42" s="2866" t="inlineStr">
        <is>
          <t>Intérêts des emprunts</t>
        </is>
      </c>
      <c r="C42" s="2866" t="inlineStr">
        <is>
          <t>67</t>
        </is>
      </c>
      <c r="D42" s="2866" t="inlineStr">
        <is>
          <t>671</t>
        </is>
      </c>
      <c r="E42" s="2866" t="inlineStr">
        <is>
          <t>671</t>
        </is>
      </c>
      <c r="F42" s="2867" t="n">
        <v>900000</v>
      </c>
      <c r="G42" s="2867" t="n">
        <v>0</v>
      </c>
      <c r="H42" s="2867" t="n">
        <v>0</v>
      </c>
      <c r="I42" s="2867" t="n">
        <v>0</v>
      </c>
      <c r="J42" s="2866" t="inlineStr">
        <is>
          <t>RM</t>
        </is>
      </c>
    </row>
    <row r="43">
      <c r="A43" s="2868" t="inlineStr">
        <is>
          <t>681</t>
        </is>
      </c>
      <c r="B43" s="2868" t="inlineStr">
        <is>
          <t>Dotations aux amortissements d'exploitation</t>
        </is>
      </c>
      <c r="C43" s="2868" t="inlineStr">
        <is>
          <t>68</t>
        </is>
      </c>
      <c r="D43" s="2868" t="inlineStr">
        <is>
          <t>681</t>
        </is>
      </c>
      <c r="E43" s="2868" t="inlineStr">
        <is>
          <t>681</t>
        </is>
      </c>
      <c r="F43" s="2869" t="n">
        <v>3500000</v>
      </c>
      <c r="G43" s="2869" t="n">
        <v>0</v>
      </c>
      <c r="H43" s="2869" t="n">
        <v>0</v>
      </c>
      <c r="I43" s="2869" t="n">
        <v>0</v>
      </c>
      <c r="J43" s="2868" t="inlineStr">
        <is>
          <t>RL</t>
        </is>
      </c>
    </row>
    <row r="44">
      <c r="A44" s="2866" t="inlineStr">
        <is>
          <t>691</t>
        </is>
      </c>
      <c r="B44" s="2866" t="inlineStr">
        <is>
          <t>Dotations aux provisions et dépréciations d'exploitation</t>
        </is>
      </c>
      <c r="C44" s="2866" t="inlineStr">
        <is>
          <t>69</t>
        </is>
      </c>
      <c r="D44" s="2866" t="inlineStr">
        <is>
          <t>691</t>
        </is>
      </c>
      <c r="E44" s="2866" t="inlineStr">
        <is>
          <t>691</t>
        </is>
      </c>
      <c r="F44" s="2867" t="n">
        <v>300000</v>
      </c>
      <c r="G44" s="2867" t="n">
        <v>0</v>
      </c>
      <c r="H44" s="2867" t="n">
        <v>0</v>
      </c>
      <c r="I44" s="2867" t="n">
        <v>0</v>
      </c>
      <c r="J44" s="2866" t="inlineStr">
        <is>
          <t>RL</t>
        </is>
      </c>
    </row>
    <row r="45">
      <c r="A45" s="2868" t="inlineStr">
        <is>
          <t>812</t>
        </is>
      </c>
      <c r="B45" s="2868" t="inlineStr">
        <is>
          <t>Valeurs comptables des cessions d'immobilisations corporelles</t>
        </is>
      </c>
      <c r="C45" s="2868" t="inlineStr">
        <is>
          <t>81</t>
        </is>
      </c>
      <c r="D45" s="2868" t="inlineStr">
        <is>
          <t>812</t>
        </is>
      </c>
      <c r="E45" s="2868" t="inlineStr">
        <is>
          <t>812</t>
        </is>
      </c>
      <c r="F45" s="2869" t="n">
        <v>1000000</v>
      </c>
      <c r="G45" s="2869" t="n">
        <v>0</v>
      </c>
      <c r="H45" s="2869" t="n">
        <v>0</v>
      </c>
      <c r="I45" s="2869" t="n">
        <v>0</v>
      </c>
      <c r="J45" s="2868" t="inlineStr">
        <is>
          <t>RO</t>
        </is>
      </c>
    </row>
    <row r="46">
      <c r="A46" s="2866" t="inlineStr">
        <is>
          <t>891</t>
        </is>
      </c>
      <c r="B46" s="2866" t="inlineStr">
        <is>
          <t>Impôts sur les bénéfices de l'exercice</t>
        </is>
      </c>
      <c r="C46" s="2866" t="inlineStr">
        <is>
          <t>89</t>
        </is>
      </c>
      <c r="D46" s="2866" t="inlineStr">
        <is>
          <t>891</t>
        </is>
      </c>
      <c r="E46" s="2866" t="inlineStr">
        <is>
          <t>891</t>
        </is>
      </c>
      <c r="F46" s="2867" t="n">
        <v>1300000</v>
      </c>
      <c r="G46" s="2867" t="n">
        <v>0</v>
      </c>
      <c r="H46" s="2867" t="n">
        <v>0</v>
      </c>
      <c r="I46" s="2867" t="n">
        <v>0</v>
      </c>
      <c r="J46" s="2866" t="inlineStr">
        <is>
          <t>RS</t>
        </is>
      </c>
    </row>
    <row r="47">
      <c r="A47" s="2868" t="inlineStr">
        <is>
          <t>7011</t>
        </is>
      </c>
      <c r="B47" s="2868" t="inlineStr">
        <is>
          <t>Ventes de marchandises dans la Région</t>
        </is>
      </c>
      <c r="C47" s="2868" t="inlineStr">
        <is>
          <t>70</t>
        </is>
      </c>
      <c r="D47" s="2868" t="inlineStr">
        <is>
          <t>701</t>
        </is>
      </c>
      <c r="E47" s="2868" t="inlineStr">
        <is>
          <t>7011</t>
        </is>
      </c>
      <c r="F47" s="2869" t="n">
        <v>0</v>
      </c>
      <c r="G47" s="2869" t="n">
        <v>52000000</v>
      </c>
      <c r="H47" s="2869" t="n">
        <v>0</v>
      </c>
      <c r="I47" s="2869" t="n">
        <v>0</v>
      </c>
      <c r="J47" s="2868" t="inlineStr">
        <is>
          <t>TA</t>
        </is>
      </c>
    </row>
    <row r="48">
      <c r="A48" s="2866" t="inlineStr">
        <is>
          <t>707</t>
        </is>
      </c>
      <c r="B48" s="2866" t="inlineStr">
        <is>
          <t>Produits accessoires</t>
        </is>
      </c>
      <c r="C48" s="2866" t="inlineStr">
        <is>
          <t>70</t>
        </is>
      </c>
      <c r="D48" s="2866" t="inlineStr">
        <is>
          <t>707</t>
        </is>
      </c>
      <c r="E48" s="2866" t="inlineStr">
        <is>
          <t>707</t>
        </is>
      </c>
      <c r="F48" s="2867" t="n">
        <v>0</v>
      </c>
      <c r="G48" s="2867" t="n">
        <v>1000000</v>
      </c>
      <c r="H48" s="2867" t="n">
        <v>0</v>
      </c>
      <c r="I48" s="2867" t="n">
        <v>0</v>
      </c>
      <c r="J48" s="2866" t="inlineStr">
        <is>
          <t>TD</t>
        </is>
      </c>
    </row>
    <row r="49">
      <c r="A49" s="2868" t="inlineStr">
        <is>
          <t>771</t>
        </is>
      </c>
      <c r="B49" s="2868" t="inlineStr">
        <is>
          <t>Intérêts de prêts et créances diverses</t>
        </is>
      </c>
      <c r="C49" s="2868" t="inlineStr">
        <is>
          <t>77</t>
        </is>
      </c>
      <c r="D49" s="2868" t="inlineStr">
        <is>
          <t>771</t>
        </is>
      </c>
      <c r="E49" s="2868" t="inlineStr">
        <is>
          <t>771</t>
        </is>
      </c>
      <c r="F49" s="2869" t="n">
        <v>0</v>
      </c>
      <c r="G49" s="2869" t="n">
        <v>200000</v>
      </c>
      <c r="H49" s="2869" t="n">
        <v>0</v>
      </c>
      <c r="I49" s="2869" t="n">
        <v>0</v>
      </c>
      <c r="J49" s="2868" t="inlineStr">
        <is>
          <t>TK</t>
        </is>
      </c>
    </row>
    <row r="50">
      <c r="A50" s="2866" t="inlineStr">
        <is>
          <t>822</t>
        </is>
      </c>
      <c r="B50" s="2866" t="inlineStr">
        <is>
          <t>Produits de cessions d'immobilisations corporelles</t>
        </is>
      </c>
      <c r="C50" s="2866" t="inlineStr">
        <is>
          <t>82</t>
        </is>
      </c>
      <c r="D50" s="2866" t="inlineStr">
        <is>
          <t>822</t>
        </is>
      </c>
      <c r="E50" s="2866" t="inlineStr">
        <is>
          <t>822</t>
        </is>
      </c>
      <c r="F50" s="2867" t="n">
        <v>0</v>
      </c>
      <c r="G50" s="2867" t="n">
        <v>1800000</v>
      </c>
      <c r="H50" s="2867" t="n">
        <v>0</v>
      </c>
      <c r="I50" s="2867" t="n">
        <v>0</v>
      </c>
      <c r="J50" s="2866" t="inlineStr">
        <is>
          <t>TN</t>
        </is>
      </c>
    </row>
    <row r="51">
      <c r="A51" s="2868" t="inlineStr">
        <is>
          <t>791</t>
        </is>
      </c>
      <c r="B51" s="2868" t="inlineStr">
        <is>
          <t>Reprises de provisions et dépréciations d'exploitation</t>
        </is>
      </c>
      <c r="C51" s="2868" t="inlineStr">
        <is>
          <t>79</t>
        </is>
      </c>
      <c r="D51" s="2868" t="inlineStr">
        <is>
          <t>791</t>
        </is>
      </c>
      <c r="E51" s="2868" t="inlineStr">
        <is>
          <t>791</t>
        </is>
      </c>
      <c r="F51" s="2869" t="n">
        <v>0</v>
      </c>
      <c r="G51" s="2869" t="n">
        <v>250000</v>
      </c>
      <c r="H51" s="2869" t="n">
        <v>0</v>
      </c>
      <c r="I51" s="2869" t="n">
        <v>0</v>
      </c>
      <c r="J51" s="2868" t="inlineStr">
        <is>
          <t>TJ</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J28"/>
  <sheetViews>
    <sheetView workbookViewId="0">
      <pane ySplit="1" topLeftCell="A2" activePane="bottomLeft" state="frozen"/>
      <selection pane="bottomLeft" activeCell="A1" sqref="A1"/>
    </sheetView>
  </sheetViews>
  <sheetFormatPr baseColWidth="8" defaultRowHeight="15"/>
  <cols>
    <col width="12" customWidth="1" style="1354" min="1" max="1"/>
    <col width="42" customWidth="1" style="1354" min="2" max="2"/>
    <col width="9" customWidth="1" style="1354" min="3" max="3"/>
    <col width="9" customWidth="1" style="1354" min="4" max="4"/>
    <col width="9" customWidth="1" style="1354" min="5" max="5"/>
    <col width="15" customWidth="1" style="1354" min="6" max="6"/>
    <col width="15" customWidth="1" style="1354" min="7" max="7"/>
    <col width="15" customWidth="1" style="1354" min="8" max="8"/>
    <col width="15" customWidth="1" style="1354" min="9" max="9"/>
    <col width="22" customWidth="1" style="1354" min="10" max="10"/>
  </cols>
  <sheetData>
    <row r="1">
      <c r="A1" s="2865" t="inlineStr">
        <is>
          <t>Compte</t>
        </is>
      </c>
      <c r="B1" s="2865" t="inlineStr">
        <is>
          <t>Intitulé</t>
        </is>
      </c>
      <c r="C1" s="2865" t="inlineStr">
        <is>
          <t>Préfixe 2</t>
        </is>
      </c>
      <c r="D1" s="2865" t="inlineStr">
        <is>
          <t>Préfixe 3</t>
        </is>
      </c>
      <c r="E1" s="2865" t="inlineStr">
        <is>
          <t>Préfixe 4</t>
        </is>
      </c>
      <c r="F1" s="2865" t="inlineStr">
        <is>
          <t>Solde final débit</t>
        </is>
      </c>
      <c r="G1" s="2865" t="inlineStr">
        <is>
          <t>Solde final crédit</t>
        </is>
      </c>
      <c r="H1" s="2865" t="inlineStr">
        <is>
          <t>Mouvement débit</t>
        </is>
      </c>
      <c r="I1" s="2865" t="inlineStr">
        <is>
          <t>Mouvement crédit</t>
        </is>
      </c>
      <c r="J1" s="2865" t="inlineStr">
        <is>
          <t>Poste(s) d'affectation</t>
        </is>
      </c>
    </row>
    <row r="2">
      <c r="A2" s="2866" t="inlineStr">
        <is>
          <t>2131</t>
        </is>
      </c>
      <c r="B2" s="2866" t="inlineStr">
        <is>
          <t>Logiciels</t>
        </is>
      </c>
      <c r="C2" s="2866" t="inlineStr">
        <is>
          <t>21</t>
        </is>
      </c>
      <c r="D2" s="2866" t="inlineStr">
        <is>
          <t>213</t>
        </is>
      </c>
      <c r="E2" s="2866" t="inlineStr">
        <is>
          <t>2131</t>
        </is>
      </c>
      <c r="F2" s="2867" t="n">
        <v>5000000</v>
      </c>
      <c r="G2" s="2867" t="n">
        <v>0</v>
      </c>
      <c r="H2" s="2867" t="n">
        <v>0</v>
      </c>
      <c r="I2" s="2867" t="n">
        <v>0</v>
      </c>
      <c r="J2" s="2866" t="inlineStr">
        <is>
          <t>AF</t>
        </is>
      </c>
    </row>
    <row r="3">
      <c r="A3" s="2868" t="inlineStr">
        <is>
          <t>2411</t>
        </is>
      </c>
      <c r="B3" s="2868" t="inlineStr">
        <is>
          <t>Matériel et outillage</t>
        </is>
      </c>
      <c r="C3" s="2868" t="inlineStr">
        <is>
          <t>24</t>
        </is>
      </c>
      <c r="D3" s="2868" t="inlineStr">
        <is>
          <t>241</t>
        </is>
      </c>
      <c r="E3" s="2868" t="inlineStr">
        <is>
          <t>2411</t>
        </is>
      </c>
      <c r="F3" s="2869" t="n">
        <v>18000000</v>
      </c>
      <c r="G3" s="2869" t="n">
        <v>0</v>
      </c>
      <c r="H3" s="2869" t="n">
        <v>0</v>
      </c>
      <c r="I3" s="2869" t="n">
        <v>0</v>
      </c>
      <c r="J3" s="2868" t="inlineStr">
        <is>
          <t>AM</t>
        </is>
      </c>
    </row>
    <row r="4">
      <c r="A4" s="2866" t="inlineStr">
        <is>
          <t>2451</t>
        </is>
      </c>
      <c r="B4" s="2866" t="inlineStr">
        <is>
          <t>Matériel de transport</t>
        </is>
      </c>
      <c r="C4" s="2866" t="inlineStr">
        <is>
          <t>24</t>
        </is>
      </c>
      <c r="D4" s="2866" t="inlineStr">
        <is>
          <t>245</t>
        </is>
      </c>
      <c r="E4" s="2866" t="inlineStr">
        <is>
          <t>2451</t>
        </is>
      </c>
      <c r="F4" s="2867" t="n">
        <v>15000000</v>
      </c>
      <c r="G4" s="2867" t="n">
        <v>0</v>
      </c>
      <c r="H4" s="2867" t="n">
        <v>0</v>
      </c>
      <c r="I4" s="2867" t="n">
        <v>0</v>
      </c>
      <c r="J4" s="2866" t="inlineStr">
        <is>
          <t>AN</t>
        </is>
      </c>
    </row>
    <row r="5">
      <c r="A5" s="2868" t="inlineStr">
        <is>
          <t>2611</t>
        </is>
      </c>
      <c r="B5" s="2868" t="inlineStr">
        <is>
          <t>Titres de participation</t>
        </is>
      </c>
      <c r="C5" s="2868" t="inlineStr">
        <is>
          <t>26</t>
        </is>
      </c>
      <c r="D5" s="2868" t="inlineStr">
        <is>
          <t>261</t>
        </is>
      </c>
      <c r="E5" s="2868" t="inlineStr">
        <is>
          <t>2611</t>
        </is>
      </c>
      <c r="F5" s="2869" t="n">
        <v>3000000</v>
      </c>
      <c r="G5" s="2869" t="n">
        <v>0</v>
      </c>
      <c r="H5" s="2869" t="n">
        <v>0</v>
      </c>
      <c r="I5" s="2869" t="n">
        <v>0</v>
      </c>
      <c r="J5" s="2868" t="inlineStr">
        <is>
          <t>AR</t>
        </is>
      </c>
    </row>
    <row r="6">
      <c r="A6" s="2866" t="inlineStr">
        <is>
          <t>2751</t>
        </is>
      </c>
      <c r="B6" s="2866" t="inlineStr">
        <is>
          <t>Dépôts et cautionnements versés</t>
        </is>
      </c>
      <c r="C6" s="2866" t="inlineStr">
        <is>
          <t>27</t>
        </is>
      </c>
      <c r="D6" s="2866" t="inlineStr">
        <is>
          <t>275</t>
        </is>
      </c>
      <c r="E6" s="2866" t="inlineStr">
        <is>
          <t>2751</t>
        </is>
      </c>
      <c r="F6" s="2867" t="n">
        <v>1000000</v>
      </c>
      <c r="G6" s="2867" t="n">
        <v>0</v>
      </c>
      <c r="H6" s="2867" t="n">
        <v>0</v>
      </c>
      <c r="I6" s="2867" t="n">
        <v>0</v>
      </c>
      <c r="J6" s="2866" t="inlineStr">
        <is>
          <t>AS</t>
        </is>
      </c>
    </row>
    <row r="7">
      <c r="A7" s="2868" t="inlineStr">
        <is>
          <t>311</t>
        </is>
      </c>
      <c r="B7" s="2868" t="inlineStr">
        <is>
          <t>Marchandises</t>
        </is>
      </c>
      <c r="C7" s="2868" t="inlineStr">
        <is>
          <t>31</t>
        </is>
      </c>
      <c r="D7" s="2868" t="inlineStr">
        <is>
          <t>311</t>
        </is>
      </c>
      <c r="E7" s="2868" t="inlineStr">
        <is>
          <t>311</t>
        </is>
      </c>
      <c r="F7" s="2869" t="n">
        <v>8000000</v>
      </c>
      <c r="G7" s="2869" t="n">
        <v>0</v>
      </c>
      <c r="H7" s="2869" t="n">
        <v>0</v>
      </c>
      <c r="I7" s="2869" t="n">
        <v>0</v>
      </c>
      <c r="J7" s="2868" t="inlineStr">
        <is>
          <t>BB</t>
        </is>
      </c>
    </row>
    <row r="8">
      <c r="A8" s="2866" t="inlineStr">
        <is>
          <t>4111</t>
        </is>
      </c>
      <c r="B8" s="2866" t="inlineStr">
        <is>
          <t>Clients</t>
        </is>
      </c>
      <c r="C8" s="2866" t="inlineStr">
        <is>
          <t>41</t>
        </is>
      </c>
      <c r="D8" s="2866" t="inlineStr">
        <is>
          <t>411</t>
        </is>
      </c>
      <c r="E8" s="2866" t="inlineStr">
        <is>
          <t>4111</t>
        </is>
      </c>
      <c r="F8" s="2867" t="n">
        <v>7500000</v>
      </c>
      <c r="G8" s="2867" t="n">
        <v>0</v>
      </c>
      <c r="H8" s="2867" t="n">
        <v>0</v>
      </c>
      <c r="I8" s="2867" t="n">
        <v>0</v>
      </c>
      <c r="J8" s="2866" t="inlineStr">
        <is>
          <t>BI</t>
        </is>
      </c>
    </row>
    <row r="9">
      <c r="A9" s="2868" t="inlineStr">
        <is>
          <t>5021</t>
        </is>
      </c>
      <c r="B9" s="2868" t="inlineStr">
        <is>
          <t>Actions</t>
        </is>
      </c>
      <c r="C9" s="2868" t="inlineStr">
        <is>
          <t>50</t>
        </is>
      </c>
      <c r="D9" s="2868" t="inlineStr">
        <is>
          <t>502</t>
        </is>
      </c>
      <c r="E9" s="2868" t="inlineStr">
        <is>
          <t>5021</t>
        </is>
      </c>
      <c r="F9" s="2869" t="n">
        <v>800000</v>
      </c>
      <c r="G9" s="2869" t="n">
        <v>0</v>
      </c>
      <c r="H9" s="2869" t="n">
        <v>0</v>
      </c>
      <c r="I9" s="2869" t="n">
        <v>0</v>
      </c>
      <c r="J9" s="2868" t="inlineStr">
        <is>
          <t>BQ</t>
        </is>
      </c>
    </row>
    <row r="10">
      <c r="A10" s="2866" t="inlineStr">
        <is>
          <t>5211</t>
        </is>
      </c>
      <c r="B10" s="2866" t="inlineStr">
        <is>
          <t>Banque locale</t>
        </is>
      </c>
      <c r="C10" s="2866" t="inlineStr">
        <is>
          <t>52</t>
        </is>
      </c>
      <c r="D10" s="2866" t="inlineStr">
        <is>
          <t>521</t>
        </is>
      </c>
      <c r="E10" s="2866" t="inlineStr">
        <is>
          <t>5211</t>
        </is>
      </c>
      <c r="F10" s="2867" t="n">
        <v>5000000</v>
      </c>
      <c r="G10" s="2867" t="n">
        <v>0</v>
      </c>
      <c r="H10" s="2867" t="n">
        <v>0</v>
      </c>
      <c r="I10" s="2867" t="n">
        <v>0</v>
      </c>
      <c r="J10" s="2866" t="inlineStr">
        <is>
          <t>BS, DR</t>
        </is>
      </c>
    </row>
    <row r="11">
      <c r="A11" s="2868" t="inlineStr">
        <is>
          <t>5711</t>
        </is>
      </c>
      <c r="B11" s="2868" t="inlineStr">
        <is>
          <t>Caisse siège social</t>
        </is>
      </c>
      <c r="C11" s="2868" t="inlineStr">
        <is>
          <t>57</t>
        </is>
      </c>
      <c r="D11" s="2868" t="inlineStr">
        <is>
          <t>571</t>
        </is>
      </c>
      <c r="E11" s="2868" t="inlineStr">
        <is>
          <t>5711</t>
        </is>
      </c>
      <c r="F11" s="2869" t="n">
        <v>1000000</v>
      </c>
      <c r="G11" s="2869" t="n">
        <v>0</v>
      </c>
      <c r="H11" s="2869" t="n">
        <v>0</v>
      </c>
      <c r="I11" s="2869" t="n">
        <v>0</v>
      </c>
      <c r="J11" s="2868" t="inlineStr">
        <is>
          <t>BS</t>
        </is>
      </c>
    </row>
    <row r="12">
      <c r="A12" s="2866" t="inlineStr">
        <is>
          <t>2813</t>
        </is>
      </c>
      <c r="B12" s="2866" t="inlineStr">
        <is>
          <t>Amortissements logiciels</t>
        </is>
      </c>
      <c r="C12" s="2866" t="inlineStr">
        <is>
          <t>28</t>
        </is>
      </c>
      <c r="D12" s="2866" t="inlineStr">
        <is>
          <t>281</t>
        </is>
      </c>
      <c r="E12" s="2866" t="inlineStr">
        <is>
          <t>2813</t>
        </is>
      </c>
      <c r="F12" s="2867" t="n">
        <v>0</v>
      </c>
      <c r="G12" s="2867" t="n">
        <v>1500000</v>
      </c>
      <c r="H12" s="2867" t="n">
        <v>0</v>
      </c>
      <c r="I12" s="2867" t="n">
        <v>0</v>
      </c>
      <c r="J12" s="2866" t="inlineStr">
        <is>
          <t>AF</t>
        </is>
      </c>
    </row>
    <row r="13">
      <c r="A13" s="2868" t="inlineStr">
        <is>
          <t>2841</t>
        </is>
      </c>
      <c r="B13" s="2868" t="inlineStr">
        <is>
          <t>Amortissements matériel</t>
        </is>
      </c>
      <c r="C13" s="2868" t="inlineStr">
        <is>
          <t>28</t>
        </is>
      </c>
      <c r="D13" s="2868" t="inlineStr">
        <is>
          <t>284</t>
        </is>
      </c>
      <c r="E13" s="2868" t="inlineStr">
        <is>
          <t>2841</t>
        </is>
      </c>
      <c r="F13" s="2869" t="n">
        <v>0</v>
      </c>
      <c r="G13" s="2869" t="n">
        <v>6000000</v>
      </c>
      <c r="H13" s="2869" t="n">
        <v>0</v>
      </c>
      <c r="I13" s="2869" t="n">
        <v>0</v>
      </c>
      <c r="J13" s="2868" t="inlineStr">
        <is>
          <t>AM</t>
        </is>
      </c>
    </row>
    <row r="14">
      <c r="A14" s="2866" t="inlineStr">
        <is>
          <t>2845</t>
        </is>
      </c>
      <c r="B14" s="2866" t="inlineStr">
        <is>
          <t>Amortissements matériel de transport</t>
        </is>
      </c>
      <c r="C14" s="2866" t="inlineStr">
        <is>
          <t>28</t>
        </is>
      </c>
      <c r="D14" s="2866" t="inlineStr">
        <is>
          <t>284</t>
        </is>
      </c>
      <c r="E14" s="2866" t="inlineStr">
        <is>
          <t>2845</t>
        </is>
      </c>
      <c r="F14" s="2867" t="n">
        <v>0</v>
      </c>
      <c r="G14" s="2867" t="n">
        <v>3500000</v>
      </c>
      <c r="H14" s="2867" t="n">
        <v>0</v>
      </c>
      <c r="I14" s="2867" t="n">
        <v>0</v>
      </c>
      <c r="J14" s="2866" t="inlineStr">
        <is>
          <t>AN</t>
        </is>
      </c>
    </row>
    <row r="15">
      <c r="A15" s="2868" t="inlineStr">
        <is>
          <t>391</t>
        </is>
      </c>
      <c r="B15" s="2868" t="inlineStr">
        <is>
          <t>Dépréciations des stocks</t>
        </is>
      </c>
      <c r="C15" s="2868" t="inlineStr">
        <is>
          <t>39</t>
        </is>
      </c>
      <c r="D15" s="2868" t="inlineStr">
        <is>
          <t>391</t>
        </is>
      </c>
      <c r="E15" s="2868" t="inlineStr">
        <is>
          <t>391</t>
        </is>
      </c>
      <c r="F15" s="2869" t="n">
        <v>0</v>
      </c>
      <c r="G15" s="2869" t="n">
        <v>400000</v>
      </c>
      <c r="H15" s="2869" t="n">
        <v>0</v>
      </c>
      <c r="I15" s="2869" t="n">
        <v>0</v>
      </c>
      <c r="J15" s="2868" t="inlineStr">
        <is>
          <t>BB</t>
        </is>
      </c>
    </row>
    <row r="16">
      <c r="A16" s="2866" t="inlineStr">
        <is>
          <t>491</t>
        </is>
      </c>
      <c r="B16" s="2866" t="inlineStr">
        <is>
          <t>Dépréciations des comptes clients</t>
        </is>
      </c>
      <c r="C16" s="2866" t="inlineStr">
        <is>
          <t>49</t>
        </is>
      </c>
      <c r="D16" s="2866" t="inlineStr">
        <is>
          <t>491</t>
        </is>
      </c>
      <c r="E16" s="2866" t="inlineStr">
        <is>
          <t>491</t>
        </is>
      </c>
      <c r="F16" s="2867" t="n">
        <v>0</v>
      </c>
      <c r="G16" s="2867" t="n">
        <v>600000</v>
      </c>
      <c r="H16" s="2867" t="n">
        <v>0</v>
      </c>
      <c r="I16" s="2867" t="n">
        <v>0</v>
      </c>
      <c r="J16" s="2866" t="inlineStr">
        <is>
          <t>BI</t>
        </is>
      </c>
    </row>
    <row r="17">
      <c r="A17" s="2868" t="inlineStr">
        <is>
          <t>1011</t>
        </is>
      </c>
      <c r="B17" s="2868" t="inlineStr">
        <is>
          <t>Capital social</t>
        </is>
      </c>
      <c r="C17" s="2868" t="inlineStr">
        <is>
          <t>10</t>
        </is>
      </c>
      <c r="D17" s="2868" t="inlineStr">
        <is>
          <t>101</t>
        </is>
      </c>
      <c r="E17" s="2868" t="inlineStr">
        <is>
          <t>1011</t>
        </is>
      </c>
      <c r="F17" s="2869" t="n">
        <v>0</v>
      </c>
      <c r="G17" s="2869" t="n">
        <v>25000000</v>
      </c>
      <c r="H17" s="2869" t="n">
        <v>0</v>
      </c>
      <c r="I17" s="2869" t="n">
        <v>0</v>
      </c>
      <c r="J17" s="2868" t="inlineStr">
        <is>
          <t>CA</t>
        </is>
      </c>
    </row>
    <row r="18">
      <c r="A18" s="2866" t="inlineStr">
        <is>
          <t>111</t>
        </is>
      </c>
      <c r="B18" s="2866" t="inlineStr">
        <is>
          <t>Réserve légale</t>
        </is>
      </c>
      <c r="C18" s="2866" t="inlineStr">
        <is>
          <t>11</t>
        </is>
      </c>
      <c r="D18" s="2866" t="inlineStr">
        <is>
          <t>111</t>
        </is>
      </c>
      <c r="E18" s="2866" t="inlineStr">
        <is>
          <t>111</t>
        </is>
      </c>
      <c r="F18" s="2867" t="n">
        <v>0</v>
      </c>
      <c r="G18" s="2867" t="n">
        <v>1800000</v>
      </c>
      <c r="H18" s="2867" t="n">
        <v>0</v>
      </c>
      <c r="I18" s="2867" t="n">
        <v>0</v>
      </c>
      <c r="J18" s="2866" t="inlineStr">
        <is>
          <t>CF</t>
        </is>
      </c>
    </row>
    <row r="19">
      <c r="A19" s="2868" t="inlineStr">
        <is>
          <t>121</t>
        </is>
      </c>
      <c r="B19" s="2868" t="inlineStr">
        <is>
          <t>Report à nouveau créditeur</t>
        </is>
      </c>
      <c r="C19" s="2868" t="inlineStr">
        <is>
          <t>12</t>
        </is>
      </c>
      <c r="D19" s="2868" t="inlineStr">
        <is>
          <t>121</t>
        </is>
      </c>
      <c r="E19" s="2868" t="inlineStr">
        <is>
          <t>121</t>
        </is>
      </c>
      <c r="F19" s="2869" t="n">
        <v>0</v>
      </c>
      <c r="G19" s="2869" t="n">
        <v>800000</v>
      </c>
      <c r="H19" s="2869" t="n">
        <v>0</v>
      </c>
      <c r="I19" s="2869" t="n">
        <v>0</v>
      </c>
      <c r="J19" s="2868" t="inlineStr">
        <is>
          <t>CH</t>
        </is>
      </c>
    </row>
    <row r="20">
      <c r="A20" s="2866" t="inlineStr">
        <is>
          <t>1411</t>
        </is>
      </c>
      <c r="B20" s="2866" t="inlineStr">
        <is>
          <t>Subventions d'équipement - État</t>
        </is>
      </c>
      <c r="C20" s="2866" t="inlineStr">
        <is>
          <t>14</t>
        </is>
      </c>
      <c r="D20" s="2866" t="inlineStr">
        <is>
          <t>141</t>
        </is>
      </c>
      <c r="E20" s="2866" t="inlineStr">
        <is>
          <t>1411</t>
        </is>
      </c>
      <c r="F20" s="2867" t="n">
        <v>0</v>
      </c>
      <c r="G20" s="2867" t="n">
        <v>3200000</v>
      </c>
      <c r="H20" s="2867" t="n">
        <v>0</v>
      </c>
      <c r="I20" s="2867" t="n">
        <v>0</v>
      </c>
      <c r="J20" s="2866" t="inlineStr">
        <is>
          <t>CL</t>
        </is>
      </c>
    </row>
    <row r="21">
      <c r="A21" s="2868" t="inlineStr">
        <is>
          <t>162</t>
        </is>
      </c>
      <c r="B21" s="2868" t="inlineStr">
        <is>
          <t>Emprunts et dettes auprès des établissements de crédit</t>
        </is>
      </c>
      <c r="C21" s="2868" t="inlineStr">
        <is>
          <t>16</t>
        </is>
      </c>
      <c r="D21" s="2868" t="inlineStr">
        <is>
          <t>162</t>
        </is>
      </c>
      <c r="E21" s="2868" t="inlineStr">
        <is>
          <t>162</t>
        </is>
      </c>
      <c r="F21" s="2869" t="n">
        <v>0</v>
      </c>
      <c r="G21" s="2869" t="n">
        <v>12000000</v>
      </c>
      <c r="H21" s="2869" t="n">
        <v>0</v>
      </c>
      <c r="I21" s="2869" t="n">
        <v>0</v>
      </c>
      <c r="J21" s="2868" t="inlineStr">
        <is>
          <t>DA</t>
        </is>
      </c>
    </row>
    <row r="22">
      <c r="A22" s="2866" t="inlineStr">
        <is>
          <t>191</t>
        </is>
      </c>
      <c r="B22" s="2866" t="inlineStr">
        <is>
          <t>Provisions pour litiges</t>
        </is>
      </c>
      <c r="C22" s="2866" t="inlineStr">
        <is>
          <t>19</t>
        </is>
      </c>
      <c r="D22" s="2866" t="inlineStr">
        <is>
          <t>191</t>
        </is>
      </c>
      <c r="E22" s="2866" t="inlineStr">
        <is>
          <t>191</t>
        </is>
      </c>
      <c r="F22" s="2867" t="n">
        <v>0</v>
      </c>
      <c r="G22" s="2867" t="n">
        <v>700000</v>
      </c>
      <c r="H22" s="2867" t="n">
        <v>0</v>
      </c>
      <c r="I22" s="2867" t="n">
        <v>0</v>
      </c>
      <c r="J22" s="2866" t="inlineStr">
        <is>
          <t>DC</t>
        </is>
      </c>
    </row>
    <row r="23">
      <c r="A23" s="2868" t="inlineStr">
        <is>
          <t>401</t>
        </is>
      </c>
      <c r="B23" s="2868" t="inlineStr">
        <is>
          <t>Fournisseurs, dettes en compte</t>
        </is>
      </c>
      <c r="C23" s="2868" t="inlineStr">
        <is>
          <t>40</t>
        </is>
      </c>
      <c r="D23" s="2868" t="inlineStr">
        <is>
          <t>401</t>
        </is>
      </c>
      <c r="E23" s="2868" t="inlineStr">
        <is>
          <t>401</t>
        </is>
      </c>
      <c r="F23" s="2869" t="n">
        <v>0</v>
      </c>
      <c r="G23" s="2869" t="n">
        <v>4300000</v>
      </c>
      <c r="H23" s="2869" t="n">
        <v>0</v>
      </c>
      <c r="I23" s="2869" t="n">
        <v>0</v>
      </c>
      <c r="J23" s="2868" t="inlineStr">
        <is>
          <t>DJ</t>
        </is>
      </c>
    </row>
    <row r="24">
      <c r="A24" s="2866" t="inlineStr">
        <is>
          <t>422</t>
        </is>
      </c>
      <c r="B24" s="2866" t="inlineStr">
        <is>
          <t>Personnel, rémunérations dues</t>
        </is>
      </c>
      <c r="C24" s="2866" t="inlineStr">
        <is>
          <t>42</t>
        </is>
      </c>
      <c r="D24" s="2866" t="inlineStr">
        <is>
          <t>422</t>
        </is>
      </c>
      <c r="E24" s="2866" t="inlineStr">
        <is>
          <t>422</t>
        </is>
      </c>
      <c r="F24" s="2867" t="n">
        <v>0</v>
      </c>
      <c r="G24" s="2867" t="n">
        <v>800000</v>
      </c>
      <c r="H24" s="2867" t="n">
        <v>0</v>
      </c>
      <c r="I24" s="2867" t="n">
        <v>0</v>
      </c>
      <c r="J24" s="2866" t="inlineStr">
        <is>
          <t>BJ, DK</t>
        </is>
      </c>
    </row>
    <row r="25">
      <c r="A25" s="2868" t="inlineStr">
        <is>
          <t>431</t>
        </is>
      </c>
      <c r="B25" s="2868" t="inlineStr">
        <is>
          <t>Sécurité sociale</t>
        </is>
      </c>
      <c r="C25" s="2868" t="inlineStr">
        <is>
          <t>43</t>
        </is>
      </c>
      <c r="D25" s="2868" t="inlineStr">
        <is>
          <t>431</t>
        </is>
      </c>
      <c r="E25" s="2868" t="inlineStr">
        <is>
          <t>431</t>
        </is>
      </c>
      <c r="F25" s="2869" t="n">
        <v>0</v>
      </c>
      <c r="G25" s="2869" t="n">
        <v>500000</v>
      </c>
      <c r="H25" s="2869" t="n">
        <v>0</v>
      </c>
      <c r="I25" s="2869" t="n">
        <v>0</v>
      </c>
      <c r="J25" s="2868" t="inlineStr">
        <is>
          <t>BJ, DK</t>
        </is>
      </c>
    </row>
    <row r="26">
      <c r="A26" s="2866" t="inlineStr">
        <is>
          <t>4441</t>
        </is>
      </c>
      <c r="B26" s="2866" t="inlineStr">
        <is>
          <t>État, TVA due</t>
        </is>
      </c>
      <c r="C26" s="2866" t="inlineStr">
        <is>
          <t>44</t>
        </is>
      </c>
      <c r="D26" s="2866" t="inlineStr">
        <is>
          <t>444</t>
        </is>
      </c>
      <c r="E26" s="2866" t="inlineStr">
        <is>
          <t>4441</t>
        </is>
      </c>
      <c r="F26" s="2867" t="n">
        <v>0</v>
      </c>
      <c r="G26" s="2867" t="n">
        <v>600000</v>
      </c>
      <c r="H26" s="2867" t="n">
        <v>0</v>
      </c>
      <c r="I26" s="2867" t="n">
        <v>0</v>
      </c>
      <c r="J26" s="2866" t="inlineStr">
        <is>
          <t>BJ, DK</t>
        </is>
      </c>
    </row>
    <row r="27">
      <c r="A27" s="2868" t="inlineStr">
        <is>
          <t>441</t>
        </is>
      </c>
      <c r="B27" s="2868" t="inlineStr">
        <is>
          <t>État, impôt sur les bénéfices</t>
        </is>
      </c>
      <c r="C27" s="2868" t="inlineStr">
        <is>
          <t>44</t>
        </is>
      </c>
      <c r="D27" s="2868" t="inlineStr">
        <is>
          <t>441</t>
        </is>
      </c>
      <c r="E27" s="2868" t="inlineStr">
        <is>
          <t>441</t>
        </is>
      </c>
      <c r="F27" s="2869" t="n">
        <v>0</v>
      </c>
      <c r="G27" s="2869" t="n">
        <v>900000</v>
      </c>
      <c r="H27" s="2869" t="n">
        <v>0</v>
      </c>
      <c r="I27" s="2869" t="n">
        <v>0</v>
      </c>
      <c r="J27" s="2868" t="inlineStr">
        <is>
          <t>BJ, DK</t>
        </is>
      </c>
    </row>
    <row r="28">
      <c r="A28" s="2866" t="inlineStr">
        <is>
          <t>131</t>
        </is>
      </c>
      <c r="B28" s="2866" t="inlineStr">
        <is>
          <t>Résultat net : bénéfice</t>
        </is>
      </c>
      <c r="C28" s="2866" t="inlineStr">
        <is>
          <t>13</t>
        </is>
      </c>
      <c r="D28" s="2866" t="inlineStr">
        <is>
          <t>131</t>
        </is>
      </c>
      <c r="E28" s="2866" t="inlineStr">
        <is>
          <t>131</t>
        </is>
      </c>
      <c r="F28" s="2867" t="n">
        <v>0</v>
      </c>
      <c r="G28" s="2867" t="n">
        <v>1700000</v>
      </c>
      <c r="H28" s="2867" t="n">
        <v>0</v>
      </c>
      <c r="I28" s="2867" t="n">
        <v>0</v>
      </c>
      <c r="J28" s="2866" t="inlineStr">
        <is>
          <t>CI</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62" customWidth="1" style="1354" min="1" max="1"/>
    <col width="20" customWidth="1" style="1354" min="2" max="2"/>
    <col width="10" customWidth="1" style="1354" min="3" max="3"/>
  </cols>
  <sheetData>
    <row r="1">
      <c r="A1" s="2865" t="inlineStr">
        <is>
          <t>Contrôle</t>
        </is>
      </c>
      <c r="B1" s="2865" t="inlineStr">
        <is>
          <t>Valeur</t>
        </is>
      </c>
      <c r="C1" s="2865" t="inlineStr">
        <is>
          <t>Attendu</t>
        </is>
      </c>
    </row>
    <row r="2">
      <c r="A2" s="2866" t="inlineStr">
        <is>
          <t>Total solde débit balance</t>
        </is>
      </c>
      <c r="B2" s="2867">
        <f>SUM(BALANCE!F2:F51)</f>
        <v/>
      </c>
      <c r="C2" s="2866" t="inlineStr"/>
    </row>
    <row r="3">
      <c r="A3" s="2868" t="inlineStr">
        <is>
          <t>Total solde crédit balance</t>
        </is>
      </c>
      <c r="B3" s="2869">
        <f>SUM(BALANCE!G2:G51)</f>
        <v/>
      </c>
      <c r="C3" s="2868" t="inlineStr"/>
    </row>
    <row r="4">
      <c r="A4" s="2866" t="inlineStr">
        <is>
          <t>Écart balance (doit être 0)</t>
        </is>
      </c>
      <c r="B4" s="2867">
        <f>B2-B3</f>
        <v/>
      </c>
      <c r="C4" s="2866" t="n">
        <v>0</v>
      </c>
    </row>
    <row r="5">
      <c r="A5" s="2868" t="inlineStr">
        <is>
          <t>Total général actif net (BZ)</t>
        </is>
      </c>
      <c r="B5" s="2869">
        <f>ACTIF!F40</f>
        <v/>
      </c>
      <c r="C5" s="2868" t="inlineStr"/>
    </row>
    <row r="6">
      <c r="A6" s="2866" t="inlineStr">
        <is>
          <t>Total général passif (DZ)</t>
        </is>
      </c>
      <c r="B6" s="2867">
        <f>PASSIF!D37</f>
        <v/>
      </c>
      <c r="C6" s="2866" t="inlineStr"/>
    </row>
    <row r="7">
      <c r="A7" s="2868" t="inlineStr">
        <is>
          <t>Écart bilan actif - passif (doit être 0)</t>
        </is>
      </c>
      <c r="B7" s="2869">
        <f>B5-B6</f>
        <v/>
      </c>
      <c r="C7" s="2868" t="n">
        <v>0</v>
      </c>
    </row>
    <row r="8">
      <c r="A8" s="2866" t="inlineStr">
        <is>
          <t>Résultat net (compte de résultat, XI)</t>
        </is>
      </c>
      <c r="B8" s="2867">
        <f>'Compte de Résultat'!E50</f>
        <v/>
      </c>
      <c r="C8" s="2866" t="inlineStr"/>
    </row>
    <row r="9">
      <c r="A9" s="2868" t="inlineStr">
        <is>
          <t>Trésorerie nette 31/12 recalculée depuis le bilan N</t>
        </is>
      </c>
      <c r="B9" s="2869" t="n">
        <v>7900000</v>
      </c>
      <c r="C9" s="2868" t="inlineStr"/>
    </row>
    <row r="10">
      <c r="A10" s="2866" t="inlineStr">
        <is>
          <t>Trésorerie nette 31/12 (TFT, poste ZH)</t>
        </is>
      </c>
      <c r="B10" s="2867">
        <f>'TFT'!H41</f>
        <v/>
      </c>
      <c r="C10" s="2866" t="inlineStr"/>
    </row>
    <row r="11">
      <c r="A11" s="2868" t="inlineStr">
        <is>
          <t>Écart bilan - TFT trésorerie de clôture (0 si TFT complet)</t>
        </is>
      </c>
      <c r="B11" s="2869">
        <f>B9-B10</f>
        <v/>
      </c>
      <c r="C11" s="2868" t="n">
        <v>0</v>
      </c>
    </row>
    <row r="12">
      <c r="A12" s="2866" t="inlineStr">
        <is>
          <t>- Recoupements notes annexes / états -</t>
        </is>
      </c>
      <c r="B12" s="2867" t="inlineStr"/>
      <c r="C12" s="2866" t="inlineStr"/>
    </row>
    <row r="13">
      <c r="A13" s="2868" t="inlineStr">
        <is>
          <t>NOTE 4 total net vs immobilisations financières nettes (AR+AS)</t>
        </is>
      </c>
      <c r="B13" s="2869">
        <f>'NOTE 4'!B23-(ACTIF!F25+ACTIF!F26)</f>
        <v/>
      </c>
      <c r="C13" s="2868" t="n">
        <v>0</v>
      </c>
    </row>
    <row r="14">
      <c r="A14" s="2866" t="inlineStr">
        <is>
          <t>NOTE 5 actif HAO net vs poste BA net</t>
        </is>
      </c>
      <c r="B14" s="2867">
        <f>'NOTE 5'!C19-ACTIF!F28</f>
        <v/>
      </c>
      <c r="C14" s="2866" t="n">
        <v>0</v>
      </c>
    </row>
    <row r="15">
      <c r="A15" s="2868" t="inlineStr">
        <is>
          <t>NOTE 6 stocks nets vs poste BB net</t>
        </is>
      </c>
      <c r="B15" s="2869">
        <f>'NOTE 6'!C24-ACTIF!F29</f>
        <v/>
      </c>
      <c r="C15" s="2868" t="n">
        <v>0</v>
      </c>
    </row>
    <row r="16">
      <c r="A16" s="2866" t="inlineStr">
        <is>
          <t>NOTE 7 clients nets vs poste BI net</t>
        </is>
      </c>
      <c r="B16" s="2867">
        <f>'NOTE 7'!B24-ACTIF!F32</f>
        <v/>
      </c>
      <c r="C16" s="2866" t="n">
        <v>0</v>
      </c>
    </row>
    <row r="17">
      <c r="A17" s="2868" t="inlineStr">
        <is>
          <t>NOTE 8 autres créances nettes vs poste BJ net</t>
        </is>
      </c>
      <c r="B17" s="2869">
        <f>'NOTE 8'!B28-ACTIF!F33</f>
        <v/>
      </c>
      <c r="C17" s="2868" t="n">
        <v>0</v>
      </c>
    </row>
    <row r="18">
      <c r="A18" s="2866" t="inlineStr">
        <is>
          <t>NOTE 9 titres nets vs poste BQ net</t>
        </is>
      </c>
      <c r="B18" s="2867">
        <f>'NOTE 9'!B21-ACTIF!F35</f>
        <v/>
      </c>
      <c r="C18" s="2866" t="n">
        <v>0</v>
      </c>
    </row>
    <row r="19">
      <c r="A19" s="2868" t="inlineStr">
        <is>
          <t>NOTE 10 valeurs à encaisser nettes vs poste BR net</t>
        </is>
      </c>
      <c r="B19" s="2869">
        <f>'NOTE 10'!B19-ACTIF!F36</f>
        <v/>
      </c>
      <c r="C19" s="2868" t="n">
        <v>0</v>
      </c>
    </row>
    <row r="20">
      <c r="A20" s="2866" t="inlineStr">
        <is>
          <t>NOTE 11 disponibilités nettes vs poste BS net</t>
        </is>
      </c>
      <c r="B20" s="2867">
        <f>'NOTE 11'!C27-ACTIF!F37</f>
        <v/>
      </c>
      <c r="C20" s="2866" t="n">
        <v>0</v>
      </c>
    </row>
    <row r="21">
      <c r="A21" s="2868" t="inlineStr">
        <is>
          <t>NOTE 15A total vs postes CL+CM</t>
        </is>
      </c>
      <c r="B21" s="2869">
        <f>'NOTE 15A'!C29-(PASSIF!D18+PASSIF!D19)</f>
        <v/>
      </c>
      <c r="C21" s="2868" t="n">
        <v>0</v>
      </c>
    </row>
    <row r="22">
      <c r="A22" s="2866" t="inlineStr">
        <is>
          <t>NOTE 16A total vs postes DA+DB+DC</t>
        </is>
      </c>
      <c r="B22" s="2867">
        <f>'NOTE 16A'!B17+'NOTE 16A'!B24+'NOTE 16A'!B39-PASSIF!D24</f>
        <v/>
      </c>
      <c r="C22" s="2866" t="n">
        <v>0</v>
      </c>
    </row>
    <row r="23">
      <c r="A23" s="2868" t="inlineStr">
        <is>
          <t>NOTE 17 fournisseurs vs poste DJ</t>
        </is>
      </c>
      <c r="B23" s="2869">
        <f>'NOTE 17'!B15-PASSIF!D28</f>
        <v/>
      </c>
      <c r="C23" s="2868" t="n">
        <v>0</v>
      </c>
    </row>
    <row r="24">
      <c r="A24" s="2866" t="inlineStr">
        <is>
          <t>NOTE 18 total vs poste DK</t>
        </is>
      </c>
      <c r="B24" s="2867">
        <f>'NOTE 18'!B26-PASSIF!D29</f>
        <v/>
      </c>
      <c r="C24" s="2866" t="n">
        <v>0</v>
      </c>
    </row>
    <row r="25">
      <c r="A25" s="2868" t="inlineStr">
        <is>
          <t>NOTE 19 autres dettes vs poste DM</t>
        </is>
      </c>
      <c r="B25" s="2869">
        <f>'NOTE 19'!B33-PASSIF!D30</f>
        <v/>
      </c>
      <c r="C25" s="2868" t="n">
        <v>0</v>
      </c>
    </row>
    <row r="26">
      <c r="A26" s="2866" t="inlineStr">
        <is>
          <t>NOTE 20 total vs postes DQ+DR</t>
        </is>
      </c>
      <c r="B26" s="2867">
        <f>'NOTE 20'!B24-(PASSIF!D33+PASSIF!D34)</f>
        <v/>
      </c>
      <c r="C26" s="2866" t="n">
        <v>0</v>
      </c>
    </row>
    <row r="27">
      <c r="A27" s="2868" t="inlineStr">
        <is>
          <t>NOTE 21 CA vs poste XB</t>
        </is>
      </c>
      <c r="B27" s="2869">
        <f>'NOTE 21'!B34-'Compte de Résultat'!E16</f>
        <v/>
      </c>
      <c r="C27" s="2868" t="n">
        <v>0</v>
      </c>
    </row>
    <row r="28">
      <c r="A28" s="2866" t="inlineStr">
        <is>
          <t>NOTE 22 total achats vs RA+RC+RE</t>
        </is>
      </c>
      <c r="B28" s="2867">
        <f>'NOTE 22'!B14+'NOTE 22'!B19+'NOTE 22'!B35-('Compte de Résultat'!E10+'Compte de Résultat'!E22+'Compte de Résultat'!E24)</f>
        <v/>
      </c>
      <c r="C28" s="2866" t="n">
        <v>0</v>
      </c>
    </row>
    <row r="29">
      <c r="A29" s="2868" t="inlineStr">
        <is>
          <t>NOTE 23 transports vs poste RG</t>
        </is>
      </c>
      <c r="B29" s="2869">
        <f>'NOTE 23'!B15-'Compte de Résultat'!E26</f>
        <v/>
      </c>
      <c r="C29" s="2868" t="n">
        <v>0</v>
      </c>
    </row>
    <row r="30">
      <c r="A30" s="2866" t="inlineStr">
        <is>
          <t>NOTE 24 services extérieurs vs poste RH</t>
        </is>
      </c>
      <c r="B30" s="2867">
        <f>'NOTE 24'!B24-'Compte de Résultat'!E27</f>
        <v/>
      </c>
      <c r="C30" s="2866" t="n">
        <v>0</v>
      </c>
    </row>
    <row r="31">
      <c r="A31" s="2868" t="inlineStr">
        <is>
          <t>NOTE 25 impôts et taxes vs poste RI</t>
        </is>
      </c>
      <c r="B31" s="2869">
        <f>'NOTE 25'!B16-'Compte de Résultat'!E28</f>
        <v/>
      </c>
      <c r="C31" s="2868" t="n">
        <v>0</v>
      </c>
    </row>
    <row r="32">
      <c r="A32" s="2866" t="inlineStr">
        <is>
          <t>NOTE 26 autres charges vs poste RJ</t>
        </is>
      </c>
      <c r="B32" s="2867">
        <f>'NOTE 26'!B19-'Compte de Résultat'!E29</f>
        <v/>
      </c>
      <c r="C32" s="2866" t="n">
        <v>0</v>
      </c>
    </row>
    <row r="33">
      <c r="A33" s="2868" t="inlineStr">
        <is>
          <t>NOTE 27A personnel vs poste RK</t>
        </is>
      </c>
      <c r="B33" s="2869">
        <f>'NOTE 27A'!B18-'Compte de Résultat'!E31</f>
        <v/>
      </c>
      <c r="C33" s="2868" t="n">
        <v>0</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354" min="1" max="1"/>
    <col width="12" customWidth="1" style="1354" min="2" max="2"/>
    <col width="26" customWidth="1" style="1354" min="3" max="3"/>
    <col width="62" customWidth="1" style="1354" min="4" max="4"/>
    <col width="62" customWidth="1" style="1354" min="5" max="5"/>
  </cols>
  <sheetData>
    <row r="1">
      <c r="A1" s="2865" t="inlineStr">
        <is>
          <t>Gravité</t>
        </is>
      </c>
      <c r="B1" s="2865" t="inlineStr">
        <is>
          <t>Compte</t>
        </is>
      </c>
      <c r="C1" s="2865" t="inlineStr">
        <is>
          <t>Intitulé</t>
        </is>
      </c>
      <c r="D1" s="2865" t="inlineStr">
        <is>
          <t>Problème</t>
        </is>
      </c>
      <c r="E1" s="2865" t="inlineStr">
        <is>
          <t>Solution proposée</t>
        </is>
      </c>
    </row>
    <row r="2">
      <c r="A2" s="2866" t="inlineStr">
        <is>
          <t>INFO</t>
        </is>
      </c>
      <c r="B2" s="2866" t="inlineStr"/>
      <c r="C2" s="2866" t="inlineStr">
        <is>
          <t>TFT - FD (terme mouvement 2714/2766 non disponible : calculé sans lui)</t>
        </is>
      </c>
      <c r="D2" s="2866" t="inlineStr">
        <is>
          <t>Poste du TFT non calculé (colonne de mouvement de l'exercice absente de la balance, ou balance N-1 non fournie).</t>
        </is>
      </c>
      <c r="E2" s="2866" t="inlineStr">
        <is>
          <t>Fournir une balance avec colonnes 'mouvement débit'/'mouvement crédit' (et la balance N-1) pour compléter ce poste. Voir references/tft-formules-praticien.md.</t>
        </is>
      </c>
    </row>
    <row r="3">
      <c r="A3" s="2868" t="inlineStr">
        <is>
          <t>INFO</t>
        </is>
      </c>
      <c r="B3" s="2868" t="inlineStr"/>
      <c r="C3" s="2868" t="inlineStr">
        <is>
          <t>TFT - FE (terme mouvement 4752 non disponible : calculé sans lui)</t>
        </is>
      </c>
      <c r="D3" s="2868" t="inlineStr">
        <is>
          <t>Poste du TFT non calculé (colonne de mouvement de l'exercice absente de la balance, ou balance N-1 non fournie).</t>
        </is>
      </c>
      <c r="E3" s="2868" t="inlineStr">
        <is>
          <t>Fournir une balance avec colonnes 'mouvement débit'/'mouvement crédit' (et la balance N-1) pour compléter ce poste. Voir references/tft-formules-praticien.md.</t>
        </is>
      </c>
    </row>
    <row r="4">
      <c r="A4" s="2866" t="inlineStr">
        <is>
          <t>INFO</t>
        </is>
      </c>
      <c r="B4" s="2866" t="inlineStr"/>
      <c r="C4" s="2866" t="inlineStr">
        <is>
          <t>TFT - FF</t>
        </is>
      </c>
      <c r="D4" s="2866" t="inlineStr">
        <is>
          <t>Poste du TFT non calculé (colonne de mouvement de l'exercice absente de la balance, ou balance N-1 non fournie).</t>
        </is>
      </c>
      <c r="E4" s="2866" t="inlineStr">
        <is>
          <t>Fournir une balance avec colonnes 'mouvement débit'/'mouvement crédit' (et la balance N-1) pour compléter ce poste. Voir references/tft-formules-praticien.md.</t>
        </is>
      </c>
    </row>
    <row r="5">
      <c r="A5" s="2868" t="inlineStr">
        <is>
          <t>INFO</t>
        </is>
      </c>
      <c r="B5" s="2868" t="inlineStr"/>
      <c r="C5" s="2868" t="inlineStr">
        <is>
          <t>TFT - FG</t>
        </is>
      </c>
      <c r="D5" s="2868" t="inlineStr">
        <is>
          <t>Poste du TFT non calculé (colonne de mouvement de l'exercice absente de la balance, ou balance N-1 non fournie).</t>
        </is>
      </c>
      <c r="E5" s="2868" t="inlineStr">
        <is>
          <t>Fournir une balance avec colonnes 'mouvement débit'/'mouvement crédit' (et la balance N-1) pour compléter ce poste. Voir references/tft-formules-praticien.md.</t>
        </is>
      </c>
    </row>
    <row r="6">
      <c r="A6" s="2866" t="inlineStr">
        <is>
          <t>INFO</t>
        </is>
      </c>
      <c r="B6" s="2866" t="inlineStr"/>
      <c r="C6" s="2866" t="inlineStr">
        <is>
          <t>TFT - FH</t>
        </is>
      </c>
      <c r="D6" s="2866" t="inlineStr">
        <is>
          <t>Poste du TFT non calculé (colonne de mouvement de l'exercice absente de la balance, ou balance N-1 non fournie).</t>
        </is>
      </c>
      <c r="E6" s="2866" t="inlineStr">
        <is>
          <t>Fournir une balance avec colonnes 'mouvement débit'/'mouvement crédit' (et la balance N-1) pour compléter ce poste. Voir references/tft-formules-praticien.md.</t>
        </is>
      </c>
    </row>
    <row r="7">
      <c r="A7" s="2868" t="inlineStr">
        <is>
          <t>INFO</t>
        </is>
      </c>
      <c r="B7" s="2868" t="inlineStr"/>
      <c r="C7" s="2868" t="inlineStr">
        <is>
          <t>TFT - FI</t>
        </is>
      </c>
      <c r="D7" s="2868" t="inlineStr">
        <is>
          <t>Poste du TFT non calculé (colonne de mouvement de l'exercice absente de la balance, ou balance N-1 non fournie).</t>
        </is>
      </c>
      <c r="E7" s="2868" t="inlineStr">
        <is>
          <t>Fournir une balance avec colonnes 'mouvement débit'/'mouvement crédit' (et la balance N-1) pour compléter ce poste. Voir references/tft-formules-praticien.md.</t>
        </is>
      </c>
    </row>
    <row r="8">
      <c r="A8" s="2866" t="inlineStr">
        <is>
          <t>INFO</t>
        </is>
      </c>
      <c r="B8" s="2866" t="inlineStr"/>
      <c r="C8" s="2866" t="inlineStr">
        <is>
          <t>TFT - FJ</t>
        </is>
      </c>
      <c r="D8" s="2866" t="inlineStr">
        <is>
          <t>Poste du TFT non calculé (colonne de mouvement de l'exercice absente de la balance, ou balance N-1 non fournie).</t>
        </is>
      </c>
      <c r="E8" s="2866" t="inlineStr">
        <is>
          <t>Fournir une balance avec colonnes 'mouvement débit'/'mouvement crédit' (et la balance N-1) pour compléter ce poste. Voir references/tft-formules-praticien.md.</t>
        </is>
      </c>
    </row>
    <row r="9">
      <c r="A9" s="2868" t="inlineStr">
        <is>
          <t>INFO</t>
        </is>
      </c>
      <c r="B9" s="2868" t="inlineStr"/>
      <c r="C9" s="2868" t="inlineStr">
        <is>
          <t>TFT - FK</t>
        </is>
      </c>
      <c r="D9" s="2868" t="inlineStr">
        <is>
          <t>Poste du TFT non calculé (colonne de mouvement de l'exercice absente de la balance, ou balance N-1 non fournie).</t>
        </is>
      </c>
      <c r="E9" s="2868" t="inlineStr">
        <is>
          <t>Fournir une balance avec colonnes 'mouvement débit'/'mouvement crédit' (et la balance N-1) pour compléter ce poste. Voir references/tft-formules-praticien.md.</t>
        </is>
      </c>
    </row>
    <row r="10">
      <c r="A10" s="2866" t="inlineStr">
        <is>
          <t>INFO</t>
        </is>
      </c>
      <c r="B10" s="2866" t="inlineStr"/>
      <c r="C10" s="2866" t="inlineStr">
        <is>
          <t>TFT - FL</t>
        </is>
      </c>
      <c r="D10" s="2866" t="inlineStr">
        <is>
          <t>Poste du TFT non calculé (colonne de mouvement de l'exercice absente de la balance, ou balance N-1 non fournie).</t>
        </is>
      </c>
      <c r="E10" s="2866" t="inlineStr">
        <is>
          <t>Fournir une balance avec colonnes 'mouvement débit'/'mouvement crédit' (et la balance N-1) pour compléter ce poste. Voir references/tft-formules-praticien.md.</t>
        </is>
      </c>
    </row>
    <row r="11">
      <c r="A11" s="2868" t="inlineStr">
        <is>
          <t>INFO</t>
        </is>
      </c>
      <c r="B11" s="2868" t="inlineStr"/>
      <c r="C11" s="2868" t="inlineStr">
        <is>
          <t>TFT - FM</t>
        </is>
      </c>
      <c r="D11" s="2868" t="inlineStr">
        <is>
          <t>Poste du TFT non calculé (colonne de mouvement de l'exercice absente de la balance, ou balance N-1 non fournie).</t>
        </is>
      </c>
      <c r="E11" s="2868" t="inlineStr">
        <is>
          <t>Fournir une balance avec colonnes 'mouvement débit'/'mouvement crédit' (et la balance N-1) pour compléter ce poste. Voir references/tft-formules-praticien.md.</t>
        </is>
      </c>
    </row>
    <row r="12">
      <c r="A12" s="2866" t="inlineStr">
        <is>
          <t>INFO</t>
        </is>
      </c>
      <c r="B12" s="2866" t="inlineStr"/>
      <c r="C12" s="2866" t="inlineStr">
        <is>
          <t>TFT - FN</t>
        </is>
      </c>
      <c r="D12" s="2866" t="inlineStr">
        <is>
          <t>Poste du TFT non calculé (colonne de mouvement de l'exercice absente de la balance, ou balance N-1 non fournie).</t>
        </is>
      </c>
      <c r="E12" s="2866" t="inlineStr">
        <is>
          <t>Fournir une balance avec colonnes 'mouvement débit'/'mouvement crédit' (et la balance N-1) pour compléter ce poste. Voir references/tft-formules-praticien.md.</t>
        </is>
      </c>
    </row>
    <row r="13">
      <c r="A13" s="2868" t="inlineStr">
        <is>
          <t>INFO</t>
        </is>
      </c>
      <c r="B13" s="2868" t="inlineStr"/>
      <c r="C13" s="2868" t="inlineStr">
        <is>
          <t>TFT - FO</t>
        </is>
      </c>
      <c r="D13" s="2868" t="inlineStr">
        <is>
          <t>Poste du TFT non calculé (colonne de mouvement de l'exercice absente de la balance, ou balance N-1 non fournie).</t>
        </is>
      </c>
      <c r="E13" s="2868" t="inlineStr">
        <is>
          <t>Fournir une balance avec colonnes 'mouvement débit'/'mouvement crédit' (et la balance N-1) pour compléter ce poste. Voir references/tft-formules-praticien.md.</t>
        </is>
      </c>
    </row>
    <row r="14">
      <c r="A14" s="2866" t="inlineStr">
        <is>
          <t>INFO</t>
        </is>
      </c>
      <c r="B14" s="2866" t="inlineStr"/>
      <c r="C14" s="2866" t="inlineStr">
        <is>
          <t>TFT - FP</t>
        </is>
      </c>
      <c r="D14" s="2866" t="inlineStr">
        <is>
          <t>Poste du TFT non calculé (colonne de mouvement de l'exercice absente de la balance, ou balance N-1 non fournie).</t>
        </is>
      </c>
      <c r="E14" s="2866" t="inlineStr">
        <is>
          <t>Fournir une balance avec colonnes 'mouvement débit'/'mouvement crédit' (et la balance N-1) pour compléter ce poste. Voir references/tft-formules-praticien.md.</t>
        </is>
      </c>
    </row>
    <row r="15">
      <c r="A15" s="2868" t="inlineStr">
        <is>
          <t>INFO</t>
        </is>
      </c>
      <c r="B15" s="2868" t="inlineStr"/>
      <c r="C15" s="2868" t="inlineStr">
        <is>
          <t>TFT - FQ</t>
        </is>
      </c>
      <c r="D15" s="2868" t="inlineStr">
        <is>
          <t>Poste du TFT non calculé (colonne de mouvement de l'exercice absente de la balance, ou balance N-1 non fournie).</t>
        </is>
      </c>
      <c r="E15" s="2868" t="inlineStr">
        <is>
          <t>Fournir une balance avec colonnes 'mouvement débit'/'mouvement crédit' (et la balance N-1) pour compléter ce poste. Voir references/tft-formules-praticien.md.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language>en-US</dc:language>
  <dcterms:created xsi:type="dcterms:W3CDTF">2017-10-25T12:04:05Z</dcterms:created>
  <dcterms:modified xsi:type="dcterms:W3CDTF">2026-09-01T00:31:39Z</dcterms:modified>
  <cp:lastModifiedBy>USER</cp:lastModifiedBy>
  <cp:revision>0</cp:revision>
  <cp:lastPrinted>2019-04-13T18:10:01Z</cp:lastPrinted>
</cp:coreProperties>
</file>