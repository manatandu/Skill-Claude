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RDE" sheetId="1" state="visible" r:id="rId1"/>
    <sheet name="IDENTIFICATION" sheetId="2" state="visible" r:id="rId2"/>
    <sheet name="ACTIF" sheetId="3" state="visible" r:id="rId3"/>
    <sheet name="PASSIF" sheetId="4" state="visible" r:id="rId4"/>
    <sheet name="Compte de Resultat" sheetId="5" state="visible" r:id="rId5"/>
    <sheet name="TFT" sheetId="6" state="visible" r:id="rId6"/>
    <sheet name="FICHE NOTES" sheetId="7" state="visible" r:id="rId7"/>
    <sheet name="NOTE 1" sheetId="8" state="visible" r:id="rId8"/>
    <sheet name="NOTE 2" sheetId="9" state="visible" r:id="rId9"/>
    <sheet name="NOTE 3" sheetId="10" state="visible" r:id="rId10"/>
    <sheet name="NOTE 4" sheetId="11" state="visible" r:id="rId11"/>
    <sheet name="NOTE 5A" sheetId="12" state="visible" r:id="rId12"/>
    <sheet name="NOTE 5B" sheetId="13" state="visible" r:id="rId13"/>
    <sheet name="NOTE 5C" sheetId="14" state="visible" r:id="rId14"/>
    <sheet name="NOTE 5D" sheetId="15" state="visible" r:id="rId15"/>
    <sheet name="NOTE 5E" sheetId="16" state="visible" r:id="rId16"/>
    <sheet name="NOTE 5F" sheetId="17" state="visible" r:id="rId17"/>
    <sheet name="NOTE 5G" sheetId="18" state="visible" r:id="rId18"/>
    <sheet name="NOTE 5H" sheetId="19" state="visible" r:id="rId19"/>
    <sheet name="NOTE 6" sheetId="20" state="visible" r:id="rId20"/>
    <sheet name="NOTE 7" sheetId="21" state="visible" r:id="rId21"/>
    <sheet name="NOTE 8" sheetId="22" state="visible" r:id="rId22"/>
    <sheet name="NOTE 9" sheetId="23" state="visible" r:id="rId23"/>
    <sheet name="NOTE 10" sheetId="24" state="visible" r:id="rId24"/>
    <sheet name="NOTE 11" sheetId="25" state="visible" r:id="rId25"/>
    <sheet name="NOTE 12" sheetId="26" state="visible" r:id="rId26"/>
    <sheet name="NOTE 13" sheetId="27" state="visible" r:id="rId27"/>
    <sheet name="NOTE 14" sheetId="28" state="visible" r:id="rId28"/>
    <sheet name="NOTE 15" sheetId="29" state="visible" r:id="rId29"/>
    <sheet name="NOTE 16" sheetId="30" state="visible" r:id="rId30"/>
    <sheet name="NOTE 17A" sheetId="31" state="visible" r:id="rId31"/>
    <sheet name="NOTE 17B" sheetId="32" state="visible" r:id="rId32"/>
    <sheet name="NOTE 18A" sheetId="33" state="visible" r:id="rId33"/>
    <sheet name="NOTE 18B" sheetId="34" state="visible" r:id="rId34"/>
    <sheet name="NOTE 19" sheetId="35" state="visible" r:id="rId35"/>
    <sheet name="NOTE 20" sheetId="36" state="visible" r:id="rId36"/>
    <sheet name="NOTE 21" sheetId="37" state="visible" r:id="rId37"/>
    <sheet name="NOTE 22" sheetId="38" state="visible" r:id="rId38"/>
    <sheet name="NOTE 23" sheetId="39" state="visible" r:id="rId39"/>
    <sheet name="NOTE 24" sheetId="40" state="visible" r:id="rId40"/>
    <sheet name="NOTE 25" sheetId="41" state="visible" r:id="rId41"/>
    <sheet name="NOTE 26" sheetId="42" state="visible" r:id="rId42"/>
    <sheet name="NOTE 27" sheetId="43" state="visible" r:id="rId43"/>
    <sheet name="NOTE 28" sheetId="44" state="visible" r:id="rId44"/>
    <sheet name="NOTE 29A" sheetId="45" state="visible" r:id="rId45"/>
    <sheet name="NOTE 29B" sheetId="46" state="visible" r:id="rId46"/>
    <sheet name="NOTE 30" sheetId="47" state="visible" r:id="rId47"/>
    <sheet name="NOTE 31" sheetId="48" state="visible" r:id="rId48"/>
    <sheet name="NOTE 32" sheetId="49" state="visible" r:id="rId49"/>
    <sheet name="NOTE 33" sheetId="50" state="visible" r:id="rId50"/>
    <sheet name="NOTE 34" sheetId="51" state="visible" r:id="rId51"/>
    <sheet name="NOTE 35" sheetId="52" state="visible" r:id="rId52"/>
    <sheet name="BALANCE" sheetId="53" state="visible" r:id="rId53"/>
    <sheet name="BALANCE_N1" sheetId="54" state="visible" r:id="rId54"/>
    <sheet name="CONTROLES" sheetId="55" state="visible" r:id="rId55"/>
    <sheet name="ANOMALIES" sheetId="56" state="visible" r:id="rId5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1F4E5F"/>
      <sz val="11"/>
    </font>
    <font>
      <name val="Calibri"/>
      <b val="1"/>
      <sz val="10"/>
    </font>
    <font>
      <name val="Calibri"/>
      <b val="1"/>
      <color rgb="00FFFFFF"/>
      <sz val="10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2E75B6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4" borderId="1" pivotButton="0" quotePrefix="0" xfId="0"/>
    <xf numFmtId="164" fontId="3" fillId="4" borderId="1" pivotButton="0" quotePrefix="0" xfId="0"/>
    <xf numFmtId="0" fontId="5" fillId="0" borderId="1" pivotButton="0" quotePrefix="0" xfId="0"/>
    <xf numFmtId="164" fontId="5" fillId="0" borderId="1" pivotButton="0" quotePrefix="0" xfId="0"/>
    <xf numFmtId="0" fontId="5" fillId="5" borderId="1" pivotButton="0" quotePrefix="0" xfId="0"/>
    <xf numFmtId="164" fontId="5" fillId="5" borderId="1" pivotButton="0" quotePrefix="0" xfId="0"/>
    <xf numFmtId="0" fontId="2" fillId="0" borderId="1" pivotButton="0" quotePrefix="0" xfId="0"/>
    <xf numFmtId="0" fontId="2" fillId="5" borderId="1" pivotButton="0" quotePrefix="0" xfId="0"/>
    <xf numFmtId="0" fontId="5" fillId="0" borderId="0" applyAlignment="1" pivotButton="0" quotePrefix="0" xfId="0">
      <alignment horizontal="center" vertical="center" wrapText="1"/>
    </xf>
    <xf numFmtId="165" fontId="5" fillId="5" borderId="1" pivotButton="0" quotePrefix="0" xfId="0"/>
    <xf numFmtId="165" fontId="5" fillId="0" borderId="1" pivotButton="0" quotePrefix="0" xfId="0"/>
    <xf numFmtId="165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styles" Target="styles.xml" Id="rId57" /><Relationship Type="http://schemas.openxmlformats.org/officeDocument/2006/relationships/theme" Target="theme/theme1.xml" Id="rId5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2" customWidth="1" min="3" max="3"/>
    <col width="26" customWidth="1" min="4" max="4"/>
    <col width="14" customWidth="1" min="5" max="5"/>
    <col width="14" customWidth="1" min="6" max="6"/>
  </cols>
  <sheetData>
    <row r="1"/>
    <row r="2">
      <c r="B2" s="1" t="inlineStr">
        <is>
          <t>ÉTATS FINANCIERS ANNUELS - SYCEBNL</t>
        </is>
      </c>
    </row>
    <row r="3"/>
    <row r="4">
      <c r="B4" s="2" t="inlineStr">
        <is>
          <t>Associations et ordres professionnels - Système normal</t>
        </is>
      </c>
    </row>
    <row r="5"/>
    <row r="6">
      <c r="B6" s="3" t="inlineStr">
        <is>
          <t>Désignation de l'entité</t>
        </is>
      </c>
      <c r="D6" t="inlineStr">
        <is>
          <t>ASSOCIATION ESPOIR</t>
        </is>
      </c>
    </row>
    <row r="7">
      <c r="B7" s="3" t="inlineStr">
        <is>
          <t>Numéro d'identification</t>
        </is>
      </c>
      <c r="D7" t="inlineStr">
        <is>
          <t>F.92/12.345</t>
        </is>
      </c>
    </row>
    <row r="8">
      <c r="B8" s="3" t="inlineStr">
        <is>
          <t>Exercice clos le</t>
        </is>
      </c>
      <c r="D8" t="inlineStr">
        <is>
          <t>31/12/2025</t>
        </is>
      </c>
    </row>
    <row r="9">
      <c r="B9" s="3" t="inlineStr">
        <is>
          <t>Durée de l'exercice (mois)</t>
        </is>
      </c>
      <c r="D9" t="inlineStr">
        <is>
          <t>12</t>
        </is>
      </c>
    </row>
    <row r="10">
      <c r="B10" s="3" t="inlineStr">
        <is>
          <t>Balance N-1 fournie</t>
        </is>
      </c>
      <c r="D10" t="inlineStr">
        <is>
          <t>Oui</t>
        </is>
      </c>
    </row>
    <row r="11"/>
    <row r="12">
      <c r="B12" s="4" t="inlineStr">
        <is>
          <t>Composition du jeu d'états (Acte uniforme, art. 4)</t>
        </is>
      </c>
    </row>
    <row r="13">
      <c r="B13" t="inlineStr">
        <is>
          <t>• Fiche d'identification et fiche récapitulative des notes</t>
        </is>
      </c>
    </row>
    <row r="14">
      <c r="B14" t="inlineStr">
        <is>
          <t>• Bilan : ACTIF et PASSIF (une feuille chacun)</t>
        </is>
      </c>
    </row>
    <row r="15">
      <c r="B15" t="inlineStr">
        <is>
          <t>• Compte de résultat</t>
        </is>
      </c>
    </row>
    <row r="16">
      <c r="B16" t="inlineStr">
        <is>
          <t>• Tableau des flux de trésorerie (TFT, méthode directe)</t>
        </is>
      </c>
    </row>
    <row r="17">
      <c r="B17" t="inlineStr">
        <is>
          <t>• Notes annexes 1 à 35 (une note par feuille, subdivisions 5A-5H, 17A/B, 18A/B, 29A/B)</t>
        </is>
      </c>
    </row>
    <row r="18">
      <c r="B18" t="inlineStr">
        <is>
          <t>• Feuilles d'audit : BALANCE, BALANCE_N1, CONTROLES, ANOMALIES</t>
        </is>
      </c>
    </row>
    <row r="19"/>
    <row r="20">
      <c r="B20" s="5" t="inlineStr">
        <is>
          <t>Chaque poste et chaque ligne de note calculée porte une formule Excel pointant vers la feuille BALANCE : tout chiffre est retraçable jusqu'au compte qui l'alimente. Les notes non documentées ne doivent pas être jointes aux états financiers ; supprimer les lignes non chiffrées avant remise (Acte uniforme, fiche récapitulative).</t>
        </is>
      </c>
    </row>
    <row r="21"/>
    <row r="22"/>
  </sheetData>
  <mergeCells count="3">
    <mergeCell ref="B4:F4"/>
    <mergeCell ref="B2:F3"/>
    <mergeCell ref="B20:F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FICHE D'IDENTIFICATION ET RENSEIGNEMENTS GENERAUX</t>
        </is>
      </c>
    </row>
    <row r="2">
      <c r="A2" s="2" t="inlineStr">
        <is>
          <t>SYCEBNL - Associations et ordres professionnels - Système normal</t>
        </is>
      </c>
    </row>
    <row r="3"/>
    <row r="4">
      <c r="A4" s="6" t="inlineStr">
        <is>
          <t>Dénomination / raison sociale de l'entité</t>
        </is>
      </c>
      <c r="B4" s="7" t="inlineStr">
        <is>
          <t>ASSOCIATION ESPOIR</t>
        </is>
      </c>
      <c r="C4" s="7" t="n"/>
      <c r="D4" s="7" t="n"/>
    </row>
    <row r="5">
      <c r="A5" s="6" t="inlineStr">
        <is>
          <t>Sigle usuel</t>
        </is>
      </c>
      <c r="B5" s="7" t="inlineStr"/>
      <c r="C5" s="7" t="n"/>
      <c r="D5" s="7" t="n"/>
    </row>
    <row r="6">
      <c r="A6" s="6" t="inlineStr">
        <is>
          <t>Forme juridique / type d'entité</t>
        </is>
      </c>
      <c r="B6" s="7" t="inlineStr"/>
      <c r="C6" s="7" t="n"/>
      <c r="D6" s="7" t="n"/>
    </row>
    <row r="7">
      <c r="A7" s="6" t="inlineStr">
        <is>
          <t>Numéro d'identification</t>
        </is>
      </c>
      <c r="B7" s="7" t="inlineStr">
        <is>
          <t>F.92/12.345</t>
        </is>
      </c>
      <c r="C7" s="7" t="n"/>
      <c r="D7" s="7" t="n"/>
    </row>
    <row r="8">
      <c r="A8" s="6" t="inlineStr">
        <is>
          <t>Registre (RCCM, F92, convention...)</t>
        </is>
      </c>
      <c r="B8" s="7" t="inlineStr"/>
      <c r="C8" s="7" t="n"/>
      <c r="D8" s="7" t="n"/>
    </row>
    <row r="9">
      <c r="A9" s="6" t="inlineStr">
        <is>
          <t>Adresse complète (immeuble, rue, quartier)</t>
        </is>
      </c>
      <c r="B9" s="7" t="inlineStr"/>
      <c r="C9" s="7" t="n"/>
      <c r="D9" s="7" t="n"/>
    </row>
    <row r="10">
      <c r="A10" s="6" t="inlineStr">
        <is>
          <t>Ville / Pays</t>
        </is>
      </c>
      <c r="B10" s="7" t="inlineStr"/>
      <c r="C10" s="7" t="n"/>
      <c r="D10" s="7" t="n"/>
    </row>
    <row r="11">
      <c r="A11" s="6" t="inlineStr">
        <is>
          <t>Téléphone</t>
        </is>
      </c>
      <c r="B11" s="7" t="inlineStr"/>
      <c r="C11" s="7" t="n"/>
      <c r="D11" s="7" t="n"/>
    </row>
    <row r="12">
      <c r="A12" s="6" t="inlineStr">
        <is>
          <t>Adresse électronique</t>
        </is>
      </c>
      <c r="B12" s="7" t="inlineStr"/>
      <c r="C12" s="7" t="n"/>
      <c r="D12" s="7" t="n"/>
    </row>
    <row r="13">
      <c r="A13" s="6" t="inlineStr">
        <is>
          <t>Activité principale / mission</t>
        </is>
      </c>
      <c r="B13" s="7" t="inlineStr"/>
      <c r="C13" s="7" t="n"/>
      <c r="D13" s="7" t="n"/>
    </row>
    <row r="14">
      <c r="A14" s="6" t="inlineStr">
        <is>
          <t>Référentiel comptable</t>
        </is>
      </c>
      <c r="B14" s="7" t="inlineStr">
        <is>
          <t>SYCEBNL</t>
        </is>
      </c>
      <c r="C14" s="7" t="n"/>
      <c r="D14" s="7" t="n"/>
    </row>
    <row r="15">
      <c r="A15" s="6" t="inlineStr">
        <is>
          <t>Système d'états financiers</t>
        </is>
      </c>
      <c r="B15" s="7" t="inlineStr">
        <is>
          <t>Associations et ordres professionnels - Système normal</t>
        </is>
      </c>
      <c r="C15" s="7" t="n"/>
      <c r="D15" s="7" t="n"/>
    </row>
    <row r="16">
      <c r="A16" s="6" t="inlineStr">
        <is>
          <t>Exercice clos le</t>
        </is>
      </c>
      <c r="B16" s="7" t="inlineStr">
        <is>
          <t>31/12/2025</t>
        </is>
      </c>
      <c r="C16" s="7" t="n"/>
      <c r="D16" s="7" t="n"/>
    </row>
    <row r="17">
      <c r="A17" s="6" t="inlineStr">
        <is>
          <t>Durée de l'exercice (en mois)</t>
        </is>
      </c>
      <c r="B17" s="7" t="inlineStr">
        <is>
          <t>12</t>
        </is>
      </c>
      <c r="C17" s="7" t="n"/>
      <c r="D17" s="7" t="n"/>
    </row>
    <row r="18">
      <c r="A18" s="6" t="inlineStr">
        <is>
          <t>Exercice précédent clos le</t>
        </is>
      </c>
      <c r="B18" s="7" t="inlineStr"/>
      <c r="C18" s="7" t="n"/>
      <c r="D18" s="7" t="n"/>
    </row>
    <row r="19">
      <c r="A19" s="6" t="inlineStr">
        <is>
          <t>Unité monétaire légale de présentation</t>
        </is>
      </c>
      <c r="B19" s="7" t="inlineStr"/>
      <c r="C19" s="7" t="n"/>
      <c r="D19" s="7" t="n"/>
    </row>
    <row r="20">
      <c r="A20" s="6" t="inlineStr">
        <is>
          <t>Date d'arrêté effectif des comptes</t>
        </is>
      </c>
      <c r="B20" s="7" t="inlineStr"/>
      <c r="C20" s="7" t="n"/>
      <c r="D20" s="7" t="n"/>
    </row>
    <row r="21">
      <c r="A21" s="6" t="inlineStr">
        <is>
          <t>Organe ayant arrêté les états financiers</t>
        </is>
      </c>
      <c r="B21" s="7" t="inlineStr"/>
      <c r="C21" s="7" t="n"/>
      <c r="D21" s="7" t="n"/>
    </row>
    <row r="22">
      <c r="A22" s="6" t="inlineStr">
        <is>
          <t>Responsable des états financiers (nom et qualité)</t>
        </is>
      </c>
      <c r="B22" s="7" t="inlineStr"/>
      <c r="C22" s="7" t="n"/>
      <c r="D22" s="7" t="n"/>
    </row>
    <row r="23">
      <c r="A23" s="6" t="inlineStr">
        <is>
          <t>Cabinet / expert-comptable (nom, adresse, téléphone)</t>
        </is>
      </c>
      <c r="B23" s="7" t="inlineStr"/>
      <c r="C23" s="7" t="n"/>
      <c r="D23" s="7" t="n"/>
    </row>
    <row r="24">
      <c r="A24" s="6" t="inlineStr">
        <is>
          <t>Auditeur / commissaire aux comptes, le cas échéant</t>
        </is>
      </c>
      <c r="B24" s="7" t="inlineStr"/>
      <c r="C24" s="7" t="n"/>
      <c r="D24" s="7" t="n"/>
    </row>
    <row r="25"/>
    <row r="26">
      <c r="A26" s="4" t="inlineStr">
        <is>
          <t>Visa et signatures</t>
        </is>
      </c>
    </row>
    <row r="27"/>
    <row r="28">
      <c r="A28" s="8" t="inlineStr">
        <is>
          <t>Signataire des états financiers (nom, qualité, date, signature)</t>
        </is>
      </c>
      <c r="B28" s="7" t="n"/>
      <c r="C28" s="7" t="n"/>
      <c r="D28" s="7" t="n"/>
    </row>
    <row r="29">
      <c r="A29" s="7" t="n"/>
      <c r="B29" s="7" t="n"/>
      <c r="C29" s="7" t="n"/>
      <c r="D29" s="7" t="n"/>
    </row>
    <row r="30"/>
    <row r="31">
      <c r="A31" s="8" t="inlineStr">
        <is>
          <t>Visa de l'expert-comptable ou du comptable agréé</t>
        </is>
      </c>
      <c r="B31" s="7" t="n"/>
      <c r="C31" s="7" t="n"/>
      <c r="D31" s="7" t="n"/>
    </row>
    <row r="32">
      <c r="A32" s="7" t="n"/>
      <c r="B32" s="7" t="n"/>
      <c r="C32" s="7" t="n"/>
      <c r="D32" s="7" t="n"/>
    </row>
  </sheetData>
  <mergeCells count="25">
    <mergeCell ref="B11:D11"/>
    <mergeCell ref="B14:D14"/>
    <mergeCell ref="B23:D23"/>
    <mergeCell ref="B8:D8"/>
    <mergeCell ref="B17:D17"/>
    <mergeCell ref="B13:D13"/>
    <mergeCell ref="B10:D10"/>
    <mergeCell ref="B19:D19"/>
    <mergeCell ref="B31:D32"/>
    <mergeCell ref="B9:D9"/>
    <mergeCell ref="B15:D15"/>
    <mergeCell ref="B6:D6"/>
    <mergeCell ref="B24:D24"/>
    <mergeCell ref="B20:D20"/>
    <mergeCell ref="A1:D1"/>
    <mergeCell ref="B5:D5"/>
    <mergeCell ref="B4:D4"/>
    <mergeCell ref="B7:D7"/>
    <mergeCell ref="B16:D16"/>
    <mergeCell ref="B28:D29"/>
    <mergeCell ref="B22:D22"/>
    <mergeCell ref="B18:D18"/>
    <mergeCell ref="B21:D21"/>
    <mergeCell ref="A2:D2"/>
    <mergeCell ref="B12:D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7" customWidth="1" min="1" max="1"/>
    <col width="58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BILAN - ACTIF</t>
        </is>
      </c>
    </row>
    <row r="2">
      <c r="A2" s="2" t="inlineStr">
        <is>
          <t>SYCEBNL - Associations et ordres professionnels, Système normal</t>
        </is>
      </c>
    </row>
    <row r="3"/>
    <row r="4">
      <c r="A4" s="3" t="inlineStr">
        <is>
          <t>Désignation entité : ASSOCIATION ESPOIR</t>
        </is>
      </c>
      <c r="F4" s="3" t="inlineStr">
        <is>
          <t>Exercice clos le : 31/12/2025</t>
        </is>
      </c>
    </row>
    <row r="5">
      <c r="A5" t="inlineStr">
        <is>
          <t>Numéro d'identification : F.92/12.345</t>
        </is>
      </c>
      <c r="F5" t="inlineStr">
        <is>
          <t>Durée (en mois) : 12</t>
        </is>
      </c>
    </row>
    <row r="6"/>
    <row r="7">
      <c r="A7" s="9" t="inlineStr">
        <is>
          <t>REF</t>
        </is>
      </c>
      <c r="B7" s="9" t="inlineStr">
        <is>
          <t>ACTIF</t>
        </is>
      </c>
      <c r="C7" s="9" t="inlineStr">
        <is>
          <t>Note</t>
        </is>
      </c>
      <c r="D7" s="9" t="inlineStr">
        <is>
          <t>Brut (N)</t>
        </is>
      </c>
      <c r="E7" s="9" t="inlineStr">
        <is>
          <t>Amort./déprec. (N)</t>
        </is>
      </c>
      <c r="F7" s="9" t="inlineStr">
        <is>
          <t>Net (N)</t>
        </is>
      </c>
      <c r="G7" s="9" t="inlineStr">
        <is>
          <t>Net (N-1)</t>
        </is>
      </c>
    </row>
    <row r="8">
      <c r="A8" s="10" t="inlineStr">
        <is>
          <t>AA</t>
        </is>
      </c>
      <c r="B8" s="10" t="inlineStr">
        <is>
          <t>IMMOBILISATIONS DESTINEES A LA VENTE PROVENANT DE DONS ET LEGS NON ENCORE RECUES ET USUFRUIT TEMPORAIRE</t>
        </is>
      </c>
      <c r="C8" s="10" t="inlineStr">
        <is>
          <t>note 5</t>
        </is>
      </c>
      <c r="D8" s="11">
        <f>D9+D10</f>
        <v/>
      </c>
      <c r="E8" s="11">
        <f>E9+E10</f>
        <v/>
      </c>
      <c r="F8" s="11">
        <f>F9+F10</f>
        <v/>
      </c>
      <c r="G8" s="11">
        <f>G9+G10</f>
        <v/>
      </c>
    </row>
    <row r="9">
      <c r="A9" s="12" t="inlineStr">
        <is>
          <t>AB</t>
        </is>
      </c>
      <c r="B9" s="12" t="inlineStr">
        <is>
          <t>Immobilisations incorporelles</t>
        </is>
      </c>
      <c r="C9" s="12" t="inlineStr"/>
      <c r="D9" s="13">
        <f>(SUMIF(BALANCE!$A$2:$A$67,"201*",BALANCE!$F$2:$F$67)-SUMIF(BALANCE!$A$2:$A$67,"201*",BALANCE!$G$2:$G$67))</f>
        <v/>
      </c>
      <c r="E9" s="13">
        <f>(SUMIF(BALANCE!$A$2:$A$67,"280*",BALANCE!$G$2:$G$67)-SUMIF(BALANCE!$A$2:$A$67,"280*",BALANCE!$F$2:$F$67)+SUMIF(BALANCE!$A$2:$A$67,"2901*",BALANCE!$G$2:$G$67)-SUMIF(BALANCE!$A$2:$A$67,"2901*",BALANCE!$F$2:$F$67))</f>
        <v/>
      </c>
      <c r="F9" s="13">
        <f>D9-E9</f>
        <v/>
      </c>
      <c r="G9" s="13">
        <f>((SUMIF(BALANCE_N1!$A$2:$A$67,"201*",BALANCE_N1!$F$2:$F$67)-SUMIF(BALANCE_N1!$A$2:$A$67,"201*",BALANCE_N1!$G$2:$G$67)))-((SUMIF(BALANCE_N1!$A$2:$A$67,"280*",BALANCE_N1!$G$2:$G$67)-SUMIF(BALANCE_N1!$A$2:$A$67,"280*",BALANCE_N1!$F$2:$F$67)+SUMIF(BALANCE_N1!$A$2:$A$67,"2901*",BALANCE_N1!$G$2:$G$67)-SUMIF(BALANCE_N1!$A$2:$A$67,"2901*",BALANCE_N1!$F$2:$F$67)))</f>
        <v/>
      </c>
    </row>
    <row r="10">
      <c r="A10" s="14" t="inlineStr">
        <is>
          <t>AC</t>
        </is>
      </c>
      <c r="B10" s="14" t="inlineStr">
        <is>
          <t>Immobilisations corporelles et financieres</t>
        </is>
      </c>
      <c r="C10" s="14" t="inlineStr"/>
      <c r="D10" s="15">
        <f>(SUMIF(BALANCE!$A$2:$A$67,"204*",BALANCE!$F$2:$F$67)-SUMIF(BALANCE!$A$2:$A$67,"204*",BALANCE!$G$2:$G$67)+SUMIF(BALANCE!$A$2:$A$67,"203*",BALANCE!$F$2:$F$67)-SUMIF(BALANCE!$A$2:$A$67,"203*",BALANCE!$G$2:$G$67)+SUMIF(BALANCE!$A$2:$A$67,"205*",BALANCE!$F$2:$F$67)-SUMIF(BALANCE!$A$2:$A$67,"205*",BALANCE!$G$2:$G$67)+SUMIF(BALANCE!$A$2:$A$67,"202*",BALANCE!$F$2:$F$67)-SUMIF(BALANCE!$A$2:$A$67,"202*",BALANCE!$G$2:$G$67))</f>
        <v/>
      </c>
      <c r="E10" s="15">
        <f>(SUMIF(BALANCE!$A$2:$A$67,"2902*",BALANCE!$G$2:$G$67)-SUMIF(BALANCE!$A$2:$A$67,"2902*",BALANCE!$F$2:$F$67))</f>
        <v/>
      </c>
      <c r="F10" s="15">
        <f>D10-E10</f>
        <v/>
      </c>
      <c r="G10" s="15">
        <f>((SUMIF(BALANCE_N1!$A$2:$A$67,"204*",BALANCE_N1!$F$2:$F$67)-SUMIF(BALANCE_N1!$A$2:$A$67,"204*",BALANCE_N1!$G$2:$G$67)+SUMIF(BALANCE_N1!$A$2:$A$67,"203*",BALANCE_N1!$F$2:$F$67)-SUMIF(BALANCE_N1!$A$2:$A$67,"203*",BALANCE_N1!$G$2:$G$67)+SUMIF(BALANCE_N1!$A$2:$A$67,"205*",BALANCE_N1!$F$2:$F$67)-SUMIF(BALANCE_N1!$A$2:$A$67,"205*",BALANCE_N1!$G$2:$G$67)+SUMIF(BALANCE_N1!$A$2:$A$67,"202*",BALANCE_N1!$F$2:$F$67)-SUMIF(BALANCE_N1!$A$2:$A$67,"202*",BALANCE_N1!$G$2:$G$67)))-((SUMIF(BALANCE_N1!$A$2:$A$67,"2902*",BALANCE_N1!$G$2:$G$67)-SUMIF(BALANCE_N1!$A$2:$A$67,"2902*",BALANCE_N1!$F$2:$F$67)))</f>
        <v/>
      </c>
    </row>
    <row r="11">
      <c r="A11" s="10" t="inlineStr">
        <is>
          <t>AD</t>
        </is>
      </c>
      <c r="B11" s="10" t="inlineStr">
        <is>
          <t>IMMOBILISATIONS INCORPORELLES</t>
        </is>
      </c>
      <c r="C11" s="10" t="inlineStr">
        <is>
          <t>note 5</t>
        </is>
      </c>
      <c r="D11" s="11">
        <f>D12+D13+D14</f>
        <v/>
      </c>
      <c r="E11" s="11">
        <f>E12+E13+E14</f>
        <v/>
      </c>
      <c r="F11" s="11">
        <f>F12+F13+F14</f>
        <v/>
      </c>
      <c r="G11" s="11">
        <f>G12+G13+G14</f>
        <v/>
      </c>
    </row>
    <row r="12">
      <c r="A12" s="14" t="inlineStr">
        <is>
          <t>AE</t>
        </is>
      </c>
      <c r="B12" s="14" t="inlineStr">
        <is>
          <t>Brevets, licences, logiciels et droits similaires</t>
        </is>
      </c>
      <c r="C12" s="14" t="inlineStr">
        <is>
          <t>note 5F</t>
        </is>
      </c>
      <c r="D12" s="15">
        <f>(SUMIF(BALANCE!$A$2:$A$67,"212*",BALANCE!$F$2:$F$67)-SUMIF(BALANCE!$A$2:$A$67,"212*",BALANCE!$G$2:$G$67)+SUMIF(BALANCE!$A$2:$A$67,"213*",BALANCE!$F$2:$F$67)-SUMIF(BALANCE!$A$2:$A$67,"213*",BALANCE!$G$2:$G$67)+SUMIF(BALANCE!$A$2:$A$67,"214*",BALANCE!$F$2:$F$67)-SUMIF(BALANCE!$A$2:$A$67,"214*",BALANCE!$G$2:$G$67)+SUMIF(BALANCE!$A$2:$A$67,"2193*",BALANCE!$F$2:$F$67)-SUMIF(BALANCE!$A$2:$A$67,"2193*",BALANCE!$G$2:$G$67))</f>
        <v/>
      </c>
      <c r="E12" s="15">
        <f>(SUMIF(BALANCE!$A$2:$A$67,"2913*",BALANCE!$G$2:$G$67)-SUMIF(BALANCE!$A$2:$A$67,"2913*",BALANCE!$F$2:$F$67)+SUMIF(BALANCE!$A$2:$A$67,"2919*",BALANCE!$G$2:$G$67)-SUMIF(BALANCE!$A$2:$A$67,"2919*",BALANCE!$F$2:$F$67)+SUMIF(BALANCE!$A$2:$A$67,"2813*",BALANCE!$G$2:$G$67)-SUMIF(BALANCE!$A$2:$A$67,"2813*",BALANCE!$F$2:$F$67)+SUMIF(BALANCE!$A$2:$A$67,"2814*",BALANCE!$G$2:$G$67)-SUMIF(BALANCE!$A$2:$A$67,"2814*",BALANCE!$F$2:$F$67)+SUMIF(BALANCE!$A$2:$A$67,"2812*",BALANCE!$G$2:$G$67)-SUMIF(BALANCE!$A$2:$A$67,"2812*",BALANCE!$F$2:$F$67)+SUMIF(BALANCE!$A$2:$A$67,"2912*",BALANCE!$G$2:$G$67)-SUMIF(BALANCE!$A$2:$A$67,"2912*",BALANCE!$F$2:$F$67))</f>
        <v/>
      </c>
      <c r="F12" s="15">
        <f>D12-E12</f>
        <v/>
      </c>
      <c r="G12" s="15">
        <f>((SUMIF(BALANCE_N1!$A$2:$A$67,"212*",BALANCE_N1!$F$2:$F$67)-SUMIF(BALANCE_N1!$A$2:$A$67,"212*",BALANCE_N1!$G$2:$G$67)+SUMIF(BALANCE_N1!$A$2:$A$67,"213*",BALANCE_N1!$F$2:$F$67)-SUMIF(BALANCE_N1!$A$2:$A$67,"213*",BALANCE_N1!$G$2:$G$67)+SUMIF(BALANCE_N1!$A$2:$A$67,"214*",BALANCE_N1!$F$2:$F$67)-SUMIF(BALANCE_N1!$A$2:$A$67,"214*",BALANCE_N1!$G$2:$G$67)+SUMIF(BALANCE_N1!$A$2:$A$67,"2193*",BALANCE_N1!$F$2:$F$67)-SUMIF(BALANCE_N1!$A$2:$A$67,"2193*",BALANCE_N1!$G$2:$G$67)))-((SUMIF(BALANCE_N1!$A$2:$A$67,"2913*",BALANCE_N1!$G$2:$G$67)-SUMIF(BALANCE_N1!$A$2:$A$67,"2913*",BALANCE_N1!$F$2:$F$67)+SUMIF(BALANCE_N1!$A$2:$A$67,"2919*",BALANCE_N1!$G$2:$G$67)-SUMIF(BALANCE_N1!$A$2:$A$67,"2919*",BALANCE_N1!$F$2:$F$67)+SUMIF(BALANCE_N1!$A$2:$A$67,"2813*",BALANCE_N1!$G$2:$G$67)-SUMIF(BALANCE_N1!$A$2:$A$67,"2813*",BALANCE_N1!$F$2:$F$67)+SUMIF(BALANCE_N1!$A$2:$A$67,"2814*",BALANCE_N1!$G$2:$G$67)-SUMIF(BALANCE_N1!$A$2:$A$67,"2814*",BALANCE_N1!$F$2:$F$67)+SUMIF(BALANCE_N1!$A$2:$A$67,"2812*",BALANCE_N1!$G$2:$G$67)-SUMIF(BALANCE_N1!$A$2:$A$67,"2812*",BALANCE_N1!$F$2:$F$67)+SUMIF(BALANCE_N1!$A$2:$A$67,"2912*",BALANCE_N1!$G$2:$G$67)-SUMIF(BALANCE_N1!$A$2:$A$67,"2912*",BALANCE_N1!$F$2:$F$67)))</f>
        <v/>
      </c>
    </row>
    <row r="13">
      <c r="A13" s="12" t="inlineStr">
        <is>
          <t>AF</t>
        </is>
      </c>
      <c r="B13" s="12" t="inlineStr">
        <is>
          <t>Autres immobilisations incorporelles</t>
        </is>
      </c>
      <c r="C13" s="12" t="inlineStr"/>
      <c r="D13" s="13">
        <f>(SUMIF(BALANCE!$A$2:$A$67,"218*",BALANCE!$F$2:$F$67)-SUMIF(BALANCE!$A$2:$A$67,"218*",BALANCE!$G$2:$G$67)+SUMIF(BALANCE!$A$2:$A$67,"2198*",BALANCE!$F$2:$F$67)-SUMIF(BALANCE!$A$2:$A$67,"2198*",BALANCE!$G$2:$G$67))</f>
        <v/>
      </c>
      <c r="E13" s="13">
        <f>(SUMIF(BALANCE!$A$2:$A$67,"2818*",BALANCE!$G$2:$G$67)-SUMIF(BALANCE!$A$2:$A$67,"2818*",BALANCE!$F$2:$F$67)+SUMIF(BALANCE!$A$2:$A$67,"2919*",BALANCE!$G$2:$G$67)-SUMIF(BALANCE!$A$2:$A$67,"2919*",BALANCE!$F$2:$F$67)+SUMIF(BALANCE!$A$2:$A$67,"2918*",BALANCE!$G$2:$G$67)-SUMIF(BALANCE!$A$2:$A$67,"2918*",BALANCE!$F$2:$F$67))</f>
        <v/>
      </c>
      <c r="F13" s="13">
        <f>D13-E13</f>
        <v/>
      </c>
      <c r="G13" s="13">
        <f>((SUMIF(BALANCE_N1!$A$2:$A$67,"218*",BALANCE_N1!$F$2:$F$67)-SUMIF(BALANCE_N1!$A$2:$A$67,"218*",BALANCE_N1!$G$2:$G$67)+SUMIF(BALANCE_N1!$A$2:$A$67,"2198*",BALANCE_N1!$F$2:$F$67)-SUMIF(BALANCE_N1!$A$2:$A$67,"2198*",BALANCE_N1!$G$2:$G$67)))-((SUMIF(BALANCE_N1!$A$2:$A$67,"2818*",BALANCE_N1!$G$2:$G$67)-SUMIF(BALANCE_N1!$A$2:$A$67,"2818*",BALANCE_N1!$F$2:$F$67)+SUMIF(BALANCE_N1!$A$2:$A$67,"2919*",BALANCE_N1!$G$2:$G$67)-SUMIF(BALANCE_N1!$A$2:$A$67,"2919*",BALANCE_N1!$F$2:$F$67)+SUMIF(BALANCE_N1!$A$2:$A$67,"2918*",BALANCE_N1!$G$2:$G$67)-SUMIF(BALANCE_N1!$A$2:$A$67,"2918*",BALANCE_N1!$F$2:$F$67)))</f>
        <v/>
      </c>
    </row>
    <row r="14">
      <c r="A14" s="14" t="inlineStr">
        <is>
          <t>AG</t>
        </is>
      </c>
      <c r="B14" s="14" t="inlineStr">
        <is>
          <t>Avances et acomptes verses sur immobilisations incorporelles</t>
        </is>
      </c>
      <c r="C14" s="14" t="inlineStr"/>
      <c r="D14" s="15">
        <f>(SUMIF(BALANCE!$A$2:$A$67,"251*",BALANCE!$F$2:$F$67)-SUMIF(BALANCE!$A$2:$A$67,"251*",BALANCE!$G$2:$G$67))</f>
        <v/>
      </c>
      <c r="E14" s="15" t="n">
        <v>0</v>
      </c>
      <c r="F14" s="15">
        <f>D14-E14</f>
        <v/>
      </c>
      <c r="G14" s="15">
        <f>((SUMIF(BALANCE_N1!$A$2:$A$67,"251*",BALANCE_N1!$F$2:$F$67)-SUMIF(BALANCE_N1!$A$2:$A$67,"251*",BALANCE_N1!$G$2:$G$67)))-(0)</f>
        <v/>
      </c>
    </row>
    <row r="15">
      <c r="A15" s="10" t="inlineStr">
        <is>
          <t>AH</t>
        </is>
      </c>
      <c r="B15" s="10" t="inlineStr">
        <is>
          <t>IMMOBILISATIONS CORPORELLES</t>
        </is>
      </c>
      <c r="C15" s="10" t="inlineStr">
        <is>
          <t>note 5</t>
        </is>
      </c>
      <c r="D15" s="11">
        <f>D16+D17+D18+D19+D20+D21</f>
        <v/>
      </c>
      <c r="E15" s="11">
        <f>E16+E17+E18+E19+E20+E21</f>
        <v/>
      </c>
      <c r="F15" s="11">
        <f>F16+F17+F18+F19+F20+F21</f>
        <v/>
      </c>
      <c r="G15" s="11">
        <f>G16+G17+G18+G19+G20+G21</f>
        <v/>
      </c>
    </row>
    <row r="16">
      <c r="A16" s="14" t="inlineStr">
        <is>
          <t>AI</t>
        </is>
      </c>
      <c r="B16" s="14" t="inlineStr">
        <is>
          <t>Terrains</t>
        </is>
      </c>
      <c r="C16" s="14" t="inlineStr"/>
      <c r="D16" s="15">
        <f>(SUMIF(BALANCE!$A$2:$A$67,"22*",BALANCE!$F$2:$F$67)-SUMIF(BALANCE!$A$2:$A$67,"22*",BALANCE!$G$2:$G$67))</f>
        <v/>
      </c>
      <c r="E16" s="15">
        <f>(SUMIF(BALANCE!$A$2:$A$67,"292*",BALANCE!$G$2:$G$67)-SUMIF(BALANCE!$A$2:$A$67,"292*",BALANCE!$F$2:$F$67)+SUMIF(BALANCE!$A$2:$A$67,"282*",BALANCE!$G$2:$G$67)-SUMIF(BALANCE!$A$2:$A$67,"282*",BALANCE!$F$2:$F$67))</f>
        <v/>
      </c>
      <c r="F16" s="15">
        <f>D16-E16</f>
        <v/>
      </c>
      <c r="G16" s="15">
        <f>((SUMIF(BALANCE_N1!$A$2:$A$67,"22*",BALANCE_N1!$F$2:$F$67)-SUMIF(BALANCE_N1!$A$2:$A$67,"22*",BALANCE_N1!$G$2:$G$67)))-((SUMIF(BALANCE_N1!$A$2:$A$67,"292*",BALANCE_N1!$G$2:$G$67)-SUMIF(BALANCE_N1!$A$2:$A$67,"292*",BALANCE_N1!$F$2:$F$67)+SUMIF(BALANCE_N1!$A$2:$A$67,"282*",BALANCE_N1!$G$2:$G$67)-SUMIF(BALANCE_N1!$A$2:$A$67,"282*",BALANCE_N1!$F$2:$F$67)))</f>
        <v/>
      </c>
    </row>
    <row r="17">
      <c r="A17" s="12" t="inlineStr">
        <is>
          <t>AJ</t>
        </is>
      </c>
      <c r="B17" s="12" t="inlineStr">
        <is>
          <t>Batiments</t>
        </is>
      </c>
      <c r="C17" s="12" t="inlineStr"/>
      <c r="D17" s="13">
        <f>(SUMIF(BALANCE!$A$2:$A$67,"231*",BALANCE!$F$2:$F$67)-SUMIF(BALANCE!$A$2:$A$67,"231*",BALANCE!$G$2:$G$67)+SUMIF(BALANCE!$A$2:$A$67,"233*",BALANCE!$F$2:$F$67)-SUMIF(BALANCE!$A$2:$A$67,"233*",BALANCE!$G$2:$G$67)+SUMIF(BALANCE!$A$2:$A$67,"232*",BALANCE!$F$2:$F$67)-SUMIF(BALANCE!$A$2:$A$67,"232*",BALANCE!$G$2:$G$67)+SUMIF(BALANCE!$A$2:$A$67,"2391*",BALANCE!$F$2:$F$67)-SUMIF(BALANCE!$A$2:$A$67,"2391*",BALANCE!$G$2:$G$67)+SUMIF(BALANCE!$A$2:$A$67,"2392*",BALANCE!$F$2:$F$67)-SUMIF(BALANCE!$A$2:$A$67,"2392*",BALANCE!$G$2:$G$67)+SUMIF(BALANCE!$A$2:$A$67,"2393*",BALANCE!$F$2:$F$67)-SUMIF(BALANCE!$A$2:$A$67,"2393*",BALANCE!$G$2:$G$67)+SUMIF(BALANCE!$A$2:$A$67,"2396*",BALANCE!$F$2:$F$67)-SUMIF(BALANCE!$A$2:$A$67,"2396*",BALANCE!$G$2:$G$67))</f>
        <v/>
      </c>
      <c r="E17" s="13">
        <f>(SUMIF(BALANCE!$A$2:$A$67,"2931*",BALANCE!$G$2:$G$67)-SUMIF(BALANCE!$A$2:$A$67,"2931*",BALANCE!$F$2:$F$67)+SUMIF(BALANCE!$A$2:$A$67,"2932*",BALANCE!$G$2:$G$67)-SUMIF(BALANCE!$A$2:$A$67,"2932*",BALANCE!$F$2:$F$67)+SUMIF(BALANCE!$A$2:$A$67,"2833*",BALANCE!$G$2:$G$67)-SUMIF(BALANCE!$A$2:$A$67,"2833*",BALANCE!$F$2:$F$67)+SUMIF(BALANCE!$A$2:$A$67,"2832*",BALANCE!$G$2:$G$67)-SUMIF(BALANCE!$A$2:$A$67,"2832*",BALANCE!$F$2:$F$67)+SUMIF(BALANCE!$A$2:$A$67,"2831*",BALANCE!$G$2:$G$67)-SUMIF(BALANCE!$A$2:$A$67,"2831*",BALANCE!$F$2:$F$67)+SUMIF(BALANCE!$A$2:$A$67,"2933*",BALANCE!$G$2:$G$67)-SUMIF(BALANCE!$A$2:$A$67,"2933*",BALANCE!$F$2:$F$67)+SUMIF(BALANCE!$A$2:$A$67,"2939*",BALANCE!$G$2:$G$67)-SUMIF(BALANCE!$A$2:$A$67,"2939*",BALANCE!$F$2:$F$67))</f>
        <v/>
      </c>
      <c r="F17" s="13">
        <f>D17-E17</f>
        <v/>
      </c>
      <c r="G17" s="13">
        <f>((SUMIF(BALANCE_N1!$A$2:$A$67,"231*",BALANCE_N1!$F$2:$F$67)-SUMIF(BALANCE_N1!$A$2:$A$67,"231*",BALANCE_N1!$G$2:$G$67)+SUMIF(BALANCE_N1!$A$2:$A$67,"233*",BALANCE_N1!$F$2:$F$67)-SUMIF(BALANCE_N1!$A$2:$A$67,"233*",BALANCE_N1!$G$2:$G$67)+SUMIF(BALANCE_N1!$A$2:$A$67,"232*",BALANCE_N1!$F$2:$F$67)-SUMIF(BALANCE_N1!$A$2:$A$67,"232*",BALANCE_N1!$G$2:$G$67)+SUMIF(BALANCE_N1!$A$2:$A$67,"2391*",BALANCE_N1!$F$2:$F$67)-SUMIF(BALANCE_N1!$A$2:$A$67,"2391*",BALANCE_N1!$G$2:$G$67)+SUMIF(BALANCE_N1!$A$2:$A$67,"2392*",BALANCE_N1!$F$2:$F$67)-SUMIF(BALANCE_N1!$A$2:$A$67,"2392*",BALANCE_N1!$G$2:$G$67)+SUMIF(BALANCE_N1!$A$2:$A$67,"2393*",BALANCE_N1!$F$2:$F$67)-SUMIF(BALANCE_N1!$A$2:$A$67,"2393*",BALANCE_N1!$G$2:$G$67)+SUMIF(BALANCE_N1!$A$2:$A$67,"2396*",BALANCE_N1!$F$2:$F$67)-SUMIF(BALANCE_N1!$A$2:$A$67,"2396*",BALANCE_N1!$G$2:$G$67)))-((SUMIF(BALANCE_N1!$A$2:$A$67,"2931*",BALANCE_N1!$G$2:$G$67)-SUMIF(BALANCE_N1!$A$2:$A$67,"2931*",BALANCE_N1!$F$2:$F$67)+SUMIF(BALANCE_N1!$A$2:$A$67,"2932*",BALANCE_N1!$G$2:$G$67)-SUMIF(BALANCE_N1!$A$2:$A$67,"2932*",BALANCE_N1!$F$2:$F$67)+SUMIF(BALANCE_N1!$A$2:$A$67,"2833*",BALANCE_N1!$G$2:$G$67)-SUMIF(BALANCE_N1!$A$2:$A$67,"2833*",BALANCE_N1!$F$2:$F$67)+SUMIF(BALANCE_N1!$A$2:$A$67,"2832*",BALANCE_N1!$G$2:$G$67)-SUMIF(BALANCE_N1!$A$2:$A$67,"2832*",BALANCE_N1!$F$2:$F$67)+SUMIF(BALANCE_N1!$A$2:$A$67,"2831*",BALANCE_N1!$G$2:$G$67)-SUMIF(BALANCE_N1!$A$2:$A$67,"2831*",BALANCE_N1!$F$2:$F$67)+SUMIF(BALANCE_N1!$A$2:$A$67,"2933*",BALANCE_N1!$G$2:$G$67)-SUMIF(BALANCE_N1!$A$2:$A$67,"2933*",BALANCE_N1!$F$2:$F$67)+SUMIF(BALANCE_N1!$A$2:$A$67,"2939*",BALANCE_N1!$G$2:$G$67)-SUMIF(BALANCE_N1!$A$2:$A$67,"2939*",BALANCE_N1!$F$2:$F$67)))</f>
        <v/>
      </c>
    </row>
    <row r="18">
      <c r="A18" s="14" t="inlineStr">
        <is>
          <t>AK</t>
        </is>
      </c>
      <c r="B18" s="14" t="inlineStr">
        <is>
          <t>Amenagements, agencements et installations</t>
        </is>
      </c>
      <c r="C18" s="14" t="inlineStr"/>
      <c r="D18" s="15">
        <f>(SUMIF(BALANCE!$A$2:$A$67,"234*",BALANCE!$F$2:$F$67)-SUMIF(BALANCE!$A$2:$A$67,"234*",BALANCE!$G$2:$G$67)+SUMIF(BALANCE!$A$2:$A$67,"238*",BALANCE!$F$2:$F$67)-SUMIF(BALANCE!$A$2:$A$67,"238*",BALANCE!$G$2:$G$67)+SUMIF(BALANCE!$A$2:$A$67,"235*",BALANCE!$F$2:$F$67)-SUMIF(BALANCE!$A$2:$A$67,"235*",BALANCE!$G$2:$G$67)+SUMIF(BALANCE!$A$2:$A$67,"2395*",BALANCE!$F$2:$F$67)-SUMIF(BALANCE!$A$2:$A$67,"2395*",BALANCE!$G$2:$G$67)+SUMIF(BALANCE!$A$2:$A$67,"2394*",BALANCE!$F$2:$F$67)-SUMIF(BALANCE!$A$2:$A$67,"2394*",BALANCE!$G$2:$G$67)+SUMIF(BALANCE!$A$2:$A$67,"2398*",BALANCE!$F$2:$F$67)-SUMIF(BALANCE!$A$2:$A$67,"2398*",BALANCE!$G$2:$G$67))</f>
        <v/>
      </c>
      <c r="E18" s="15">
        <f>(SUMIF(BALANCE!$A$2:$A$67,"2935*",BALANCE!$G$2:$G$67)-SUMIF(BALANCE!$A$2:$A$67,"2935*",BALANCE!$F$2:$F$67)+SUMIF(BALANCE!$A$2:$A$67,"2834*",BALANCE!$G$2:$G$67)-SUMIF(BALANCE!$A$2:$A$67,"2834*",BALANCE!$F$2:$F$67)+SUMIF(BALANCE!$A$2:$A$67,"2835*",BALANCE!$G$2:$G$67)-SUMIF(BALANCE!$A$2:$A$67,"2835*",BALANCE!$F$2:$F$67)+SUMIF(BALANCE!$A$2:$A$67,"2938*",BALANCE!$G$2:$G$67)-SUMIF(BALANCE!$A$2:$A$67,"2938*",BALANCE!$F$2:$F$67)+SUMIF(BALANCE!$A$2:$A$67,"2934*",BALANCE!$G$2:$G$67)-SUMIF(BALANCE!$A$2:$A$67,"2934*",BALANCE!$F$2:$F$67)+SUMIF(BALANCE!$A$2:$A$67,"2939*",BALANCE!$G$2:$G$67)-SUMIF(BALANCE!$A$2:$A$67,"2939*",BALANCE!$F$2:$F$67)+SUMIF(BALANCE!$A$2:$A$67,"2838*",BALANCE!$G$2:$G$67)-SUMIF(BALANCE!$A$2:$A$67,"2838*",BALANCE!$F$2:$F$67))</f>
        <v/>
      </c>
      <c r="F18" s="15">
        <f>D18-E18</f>
        <v/>
      </c>
      <c r="G18" s="15">
        <f>((SUMIF(BALANCE_N1!$A$2:$A$67,"234*",BALANCE_N1!$F$2:$F$67)-SUMIF(BALANCE_N1!$A$2:$A$67,"234*",BALANCE_N1!$G$2:$G$67)+SUMIF(BALANCE_N1!$A$2:$A$67,"238*",BALANCE_N1!$F$2:$F$67)-SUMIF(BALANCE_N1!$A$2:$A$67,"238*",BALANCE_N1!$G$2:$G$67)+SUMIF(BALANCE_N1!$A$2:$A$67,"235*",BALANCE_N1!$F$2:$F$67)-SUMIF(BALANCE_N1!$A$2:$A$67,"235*",BALANCE_N1!$G$2:$G$67)+SUMIF(BALANCE_N1!$A$2:$A$67,"2395*",BALANCE_N1!$F$2:$F$67)-SUMIF(BALANCE_N1!$A$2:$A$67,"2395*",BALANCE_N1!$G$2:$G$67)+SUMIF(BALANCE_N1!$A$2:$A$67,"2394*",BALANCE_N1!$F$2:$F$67)-SUMIF(BALANCE_N1!$A$2:$A$67,"2394*",BALANCE_N1!$G$2:$G$67)+SUMIF(BALANCE_N1!$A$2:$A$67,"2398*",BALANCE_N1!$F$2:$F$67)-SUMIF(BALANCE_N1!$A$2:$A$67,"2398*",BALANCE_N1!$G$2:$G$67)))-((SUMIF(BALANCE_N1!$A$2:$A$67,"2935*",BALANCE_N1!$G$2:$G$67)-SUMIF(BALANCE_N1!$A$2:$A$67,"2935*",BALANCE_N1!$F$2:$F$67)+SUMIF(BALANCE_N1!$A$2:$A$67,"2834*",BALANCE_N1!$G$2:$G$67)-SUMIF(BALANCE_N1!$A$2:$A$67,"2834*",BALANCE_N1!$F$2:$F$67)+SUMIF(BALANCE_N1!$A$2:$A$67,"2835*",BALANCE_N1!$G$2:$G$67)-SUMIF(BALANCE_N1!$A$2:$A$67,"2835*",BALANCE_N1!$F$2:$F$67)+SUMIF(BALANCE_N1!$A$2:$A$67,"2938*",BALANCE_N1!$G$2:$G$67)-SUMIF(BALANCE_N1!$A$2:$A$67,"2938*",BALANCE_N1!$F$2:$F$67)+SUMIF(BALANCE_N1!$A$2:$A$67,"2934*",BALANCE_N1!$G$2:$G$67)-SUMIF(BALANCE_N1!$A$2:$A$67,"2934*",BALANCE_N1!$F$2:$F$67)+SUMIF(BALANCE_N1!$A$2:$A$67,"2939*",BALANCE_N1!$G$2:$G$67)-SUMIF(BALANCE_N1!$A$2:$A$67,"2939*",BALANCE_N1!$F$2:$F$67)+SUMIF(BALANCE_N1!$A$2:$A$67,"2838*",BALANCE_N1!$G$2:$G$67)-SUMIF(BALANCE_N1!$A$2:$A$67,"2838*",BALANCE_N1!$F$2:$F$67)))</f>
        <v/>
      </c>
    </row>
    <row r="19">
      <c r="A19" s="12" t="inlineStr">
        <is>
          <t>AL</t>
        </is>
      </c>
      <c r="B19" s="12" t="inlineStr">
        <is>
          <t>Materiel, mobilier et actifs biologiques</t>
        </is>
      </c>
      <c r="C19" s="12" t="inlineStr"/>
      <c r="D19" s="13">
        <f>(SUMIF(BALANCE!$A$2:$A$67,"24*",BALANCE!$F$2:$F$67)-SUMIF(BALANCE!$A$2:$A$67,"24*",BALANCE!$G$2:$G$67)-SUMIF(BALANCE!$A$2:$A$67,"245*",BALANCE!$F$2:$F$67)+SUMIF(BALANCE!$A$2:$A$67,"245*",BALANCE!$G$2:$G$67)-SUMIF(BALANCE!$A$2:$A$67,"2495*",BALANCE!$F$2:$F$67)+SUMIF(BALANCE!$A$2:$A$67,"2495*",BALANCE!$G$2:$G$67))</f>
        <v/>
      </c>
      <c r="E19" s="13">
        <f>(SUMIF(BALANCE!$A$2:$A$67,"284*",BALANCE!$G$2:$G$67)-SUMIF(BALANCE!$A$2:$A$67,"284*",BALANCE!$F$2:$F$67)+SUMIF(BALANCE!$A$2:$A$67,"294*",BALANCE!$G$2:$G$67)-SUMIF(BALANCE!$A$2:$A$67,"294*",BALANCE!$F$2:$F$67)-SUMIF(BALANCE!$A$2:$A$67,"2945*",BALANCE!$G$2:$G$67)+SUMIF(BALANCE!$A$2:$A$67,"2945*",BALANCE!$F$2:$F$67)-SUMIF(BALANCE!$A$2:$A$67,"2845*",BALANCE!$G$2:$G$67)+SUMIF(BALANCE!$A$2:$A$67,"2845*",BALANCE!$F$2:$F$67)-SUMIF(BALANCE!$A$2:$A$67,"2949*",BALANCE!$G$2:$G$67)+SUMIF(BALANCE!$A$2:$A$67,"2949*",BALANCE!$F$2:$F$67))</f>
        <v/>
      </c>
      <c r="F19" s="13">
        <f>D19-E19</f>
        <v/>
      </c>
      <c r="G19" s="13">
        <f>((SUMIF(BALANCE_N1!$A$2:$A$67,"24*",BALANCE_N1!$F$2:$F$67)-SUMIF(BALANCE_N1!$A$2:$A$67,"24*",BALANCE_N1!$G$2:$G$67)-SUMIF(BALANCE_N1!$A$2:$A$67,"245*",BALANCE_N1!$F$2:$F$67)+SUMIF(BALANCE_N1!$A$2:$A$67,"245*",BALANCE_N1!$G$2:$G$67)-SUMIF(BALANCE_N1!$A$2:$A$67,"2495*",BALANCE_N1!$F$2:$F$67)+SUMIF(BALANCE_N1!$A$2:$A$67,"2495*",BALANCE_N1!$G$2:$G$67)))-((SUMIF(BALANCE_N1!$A$2:$A$67,"284*",BALANCE_N1!$G$2:$G$67)-SUMIF(BALANCE_N1!$A$2:$A$67,"284*",BALANCE_N1!$F$2:$F$67)+SUMIF(BALANCE_N1!$A$2:$A$67,"294*",BALANCE_N1!$G$2:$G$67)-SUMIF(BALANCE_N1!$A$2:$A$67,"294*",BALANCE_N1!$F$2:$F$67)-SUMIF(BALANCE_N1!$A$2:$A$67,"2945*",BALANCE_N1!$G$2:$G$67)+SUMIF(BALANCE_N1!$A$2:$A$67,"2945*",BALANCE_N1!$F$2:$F$67)-SUMIF(BALANCE_N1!$A$2:$A$67,"2845*",BALANCE_N1!$G$2:$G$67)+SUMIF(BALANCE_N1!$A$2:$A$67,"2845*",BALANCE_N1!$F$2:$F$67)-SUMIF(BALANCE_N1!$A$2:$A$67,"2949*",BALANCE_N1!$G$2:$G$67)+SUMIF(BALANCE_N1!$A$2:$A$67,"2949*",BALANCE_N1!$F$2:$F$67)))</f>
        <v/>
      </c>
    </row>
    <row r="20">
      <c r="A20" s="14" t="inlineStr">
        <is>
          <t>AM</t>
        </is>
      </c>
      <c r="B20" s="14" t="inlineStr">
        <is>
          <t>Materiel de transport</t>
        </is>
      </c>
      <c r="C20" s="14" t="inlineStr"/>
      <c r="D20" s="15">
        <f>(SUMIF(BALANCE!$A$2:$A$67,"245*",BALANCE!$F$2:$F$67)-SUMIF(BALANCE!$A$2:$A$67,"245*",BALANCE!$G$2:$G$67)+SUMIF(BALANCE!$A$2:$A$67,"2495*",BALANCE!$F$2:$F$67)-SUMIF(BALANCE!$A$2:$A$67,"2495*",BALANCE!$G$2:$G$67))</f>
        <v/>
      </c>
      <c r="E20" s="15">
        <f>(SUMIF(BALANCE!$A$2:$A$67,"2945*",BALANCE!$G$2:$G$67)-SUMIF(BALANCE!$A$2:$A$67,"2945*",BALANCE!$F$2:$F$67)+SUMIF(BALANCE!$A$2:$A$67,"2845*",BALANCE!$G$2:$G$67)-SUMIF(BALANCE!$A$2:$A$67,"2845*",BALANCE!$F$2:$F$67)+SUMIF(BALANCE!$A$2:$A$67,"2949*",BALANCE!$G$2:$G$67)-SUMIF(BALANCE!$A$2:$A$67,"2949*",BALANCE!$F$2:$F$67))</f>
        <v/>
      </c>
      <c r="F20" s="15">
        <f>D20-E20</f>
        <v/>
      </c>
      <c r="G20" s="15">
        <f>((SUMIF(BALANCE_N1!$A$2:$A$67,"245*",BALANCE_N1!$F$2:$F$67)-SUMIF(BALANCE_N1!$A$2:$A$67,"245*",BALANCE_N1!$G$2:$G$67)+SUMIF(BALANCE_N1!$A$2:$A$67,"2495*",BALANCE_N1!$F$2:$F$67)-SUMIF(BALANCE_N1!$A$2:$A$67,"2495*",BALANCE_N1!$G$2:$G$67)))-((SUMIF(BALANCE_N1!$A$2:$A$67,"2945*",BALANCE_N1!$G$2:$G$67)-SUMIF(BALANCE_N1!$A$2:$A$67,"2945*",BALANCE_N1!$F$2:$F$67)+SUMIF(BALANCE_N1!$A$2:$A$67,"2845*",BALANCE_N1!$G$2:$G$67)-SUMIF(BALANCE_N1!$A$2:$A$67,"2845*",BALANCE_N1!$F$2:$F$67)+SUMIF(BALANCE_N1!$A$2:$A$67,"2949*",BALANCE_N1!$G$2:$G$67)-SUMIF(BALANCE_N1!$A$2:$A$67,"2949*",BALANCE_N1!$F$2:$F$67)))</f>
        <v/>
      </c>
    </row>
    <row r="21">
      <c r="A21" s="12" t="inlineStr">
        <is>
          <t>AN</t>
        </is>
      </c>
      <c r="B21" s="12" t="inlineStr">
        <is>
          <t>Avances et acomptes verses sur immobilisations corporelles</t>
        </is>
      </c>
      <c r="C21" s="12" t="inlineStr"/>
      <c r="D21" s="13">
        <f>(SUMIF(BALANCE!$A$2:$A$67,"252*",BALANCE!$F$2:$F$67)-SUMIF(BALANCE!$A$2:$A$67,"252*",BALANCE!$G$2:$G$67))</f>
        <v/>
      </c>
      <c r="E21" s="13">
        <f>(SUMIF(BALANCE!$A$2:$A$67,"2952*",BALANCE!$G$2:$G$67)-SUMIF(BALANCE!$A$2:$A$67,"2952*",BALANCE!$F$2:$F$67))</f>
        <v/>
      </c>
      <c r="F21" s="13">
        <f>D21-E21</f>
        <v/>
      </c>
      <c r="G21" s="13">
        <f>((SUMIF(BALANCE_N1!$A$2:$A$67,"252*",BALANCE_N1!$F$2:$F$67)-SUMIF(BALANCE_N1!$A$2:$A$67,"252*",BALANCE_N1!$G$2:$G$67)))-((SUMIF(BALANCE_N1!$A$2:$A$67,"2952*",BALANCE_N1!$G$2:$G$67)-SUMIF(BALANCE_N1!$A$2:$A$67,"2952*",BALANCE_N1!$F$2:$F$67)))</f>
        <v/>
      </c>
    </row>
    <row r="22">
      <c r="A22" s="10" t="inlineStr">
        <is>
          <t>AO</t>
        </is>
      </c>
      <c r="B22" s="10" t="inlineStr">
        <is>
          <t>IMMOBILISATIONS FINANCIERES</t>
        </is>
      </c>
      <c r="C22" s="10" t="inlineStr">
        <is>
          <t>note 6</t>
        </is>
      </c>
      <c r="D22" s="11">
        <f>D23+D24</f>
        <v/>
      </c>
      <c r="E22" s="11">
        <f>E23+E24</f>
        <v/>
      </c>
      <c r="F22" s="11">
        <f>F23+F24</f>
        <v/>
      </c>
      <c r="G22" s="11">
        <f>G23+G24</f>
        <v/>
      </c>
    </row>
    <row r="23">
      <c r="A23" s="12" t="inlineStr">
        <is>
          <t>AX</t>
        </is>
      </c>
      <c r="B23" s="12" t="inlineStr">
        <is>
          <t>Titres de participation</t>
        </is>
      </c>
      <c r="C23" s="12" t="inlineStr"/>
      <c r="D23" s="13">
        <f>(SUMIF(BALANCE!$A$2:$A$67,"26*",BALANCE!$F$2:$F$67)-SUMIF(BALANCE!$A$2:$A$67,"26*",BALANCE!$G$2:$G$67))</f>
        <v/>
      </c>
      <c r="E23" s="13">
        <f>(SUMIF(BALANCE!$A$2:$A$67,"296*",BALANCE!$G$2:$G$67)-SUMIF(BALANCE!$A$2:$A$67,"296*",BALANCE!$F$2:$F$67))</f>
        <v/>
      </c>
      <c r="F23" s="13">
        <f>D23-E23</f>
        <v/>
      </c>
      <c r="G23" s="13">
        <f>((SUMIF(BALANCE_N1!$A$2:$A$67,"26*",BALANCE_N1!$F$2:$F$67)-SUMIF(BALANCE_N1!$A$2:$A$67,"26*",BALANCE_N1!$G$2:$G$67)))-((SUMIF(BALANCE_N1!$A$2:$A$67,"296*",BALANCE_N1!$G$2:$G$67)-SUMIF(BALANCE_N1!$A$2:$A$67,"296*",BALANCE_N1!$F$2:$F$67)))</f>
        <v/>
      </c>
    </row>
    <row r="24">
      <c r="A24" s="14" t="inlineStr">
        <is>
          <t>AY</t>
        </is>
      </c>
      <c r="B24" s="14" t="inlineStr">
        <is>
          <t>Autres immobilisations financieres</t>
        </is>
      </c>
      <c r="C24" s="14" t="inlineStr"/>
      <c r="D24" s="15">
        <f>(SUMIF(BALANCE!$A$2:$A$67,"27*",BALANCE!$F$2:$F$67)-SUMIF(BALANCE!$A$2:$A$67,"27*",BALANCE!$G$2:$G$67))</f>
        <v/>
      </c>
      <c r="E24" s="15">
        <f>(SUMIF(BALANCE!$A$2:$A$67,"297*",BALANCE!$G$2:$G$67)-SUMIF(BALANCE!$A$2:$A$67,"297*",BALANCE!$F$2:$F$67))</f>
        <v/>
      </c>
      <c r="F24" s="15">
        <f>D24-E24</f>
        <v/>
      </c>
      <c r="G24" s="15">
        <f>((SUMIF(BALANCE_N1!$A$2:$A$67,"27*",BALANCE_N1!$F$2:$F$67)-SUMIF(BALANCE_N1!$A$2:$A$67,"27*",BALANCE_N1!$G$2:$G$67)))-((SUMIF(BALANCE_N1!$A$2:$A$67,"297*",BALANCE_N1!$G$2:$G$67)-SUMIF(BALANCE_N1!$A$2:$A$67,"297*",BALANCE_N1!$F$2:$F$67)))</f>
        <v/>
      </c>
    </row>
    <row r="25">
      <c r="A25" s="10" t="inlineStr">
        <is>
          <t>AZ</t>
        </is>
      </c>
      <c r="B25" s="10" t="inlineStr">
        <is>
          <t>TOTAL ACTIF IMMOBILISE</t>
        </is>
      </c>
      <c r="C25" s="10" t="inlineStr"/>
      <c r="D25" s="11">
        <f>D8+D11+D15+D22</f>
        <v/>
      </c>
      <c r="E25" s="11">
        <f>E8+E11+E15+E22</f>
        <v/>
      </c>
      <c r="F25" s="11">
        <f>F8+F11+F15+F22</f>
        <v/>
      </c>
      <c r="G25" s="11">
        <f>G8+G11+G15+G22</f>
        <v/>
      </c>
    </row>
    <row r="26">
      <c r="A26" s="14" t="inlineStr">
        <is>
          <t>BA</t>
        </is>
      </c>
      <c r="B26" s="14" t="inlineStr">
        <is>
          <t>Actif circulant HAO</t>
        </is>
      </c>
      <c r="C26" s="14" t="inlineStr">
        <is>
          <t>note 7</t>
        </is>
      </c>
      <c r="D26" s="15">
        <f>(SUMIF(BALANCE!$A$2:$A$67,"485*",BALANCE!$F$2:$F$67)-SUMIF(BALANCE!$A$2:$A$67,"485*",BALANCE!$G$2:$G$67)+SUMIF(BALANCE!$A$2:$A$67,"4865*",BALANCE!$F$2:$F$67)-SUMIF(BALANCE!$A$2:$A$67,"4865*",BALANCE!$G$2:$G$67))</f>
        <v/>
      </c>
      <c r="E26" s="15">
        <f>(SUMIF(BALANCE!$A$2:$A$67,"498*",BALANCE!$G$2:$G$67)-SUMIF(BALANCE!$A$2:$A$67,"498*",BALANCE!$F$2:$F$67))</f>
        <v/>
      </c>
      <c r="F26" s="15">
        <f>D26-E26</f>
        <v/>
      </c>
      <c r="G26" s="15">
        <f>((SUMIF(BALANCE_N1!$A$2:$A$67,"485*",BALANCE_N1!$F$2:$F$67)-SUMIF(BALANCE_N1!$A$2:$A$67,"485*",BALANCE_N1!$G$2:$G$67)+SUMIF(BALANCE_N1!$A$2:$A$67,"4865*",BALANCE_N1!$F$2:$F$67)-SUMIF(BALANCE_N1!$A$2:$A$67,"4865*",BALANCE_N1!$G$2:$G$67)))-((SUMIF(BALANCE_N1!$A$2:$A$67,"498*",BALANCE_N1!$G$2:$G$67)-SUMIF(BALANCE_N1!$A$2:$A$67,"498*",BALANCE_N1!$F$2:$F$67)))</f>
        <v/>
      </c>
    </row>
    <row r="27">
      <c r="A27" s="12" t="inlineStr">
        <is>
          <t>BB</t>
        </is>
      </c>
      <c r="B27" s="12" t="inlineStr">
        <is>
          <t>Stocks et encours</t>
        </is>
      </c>
      <c r="C27" s="12" t="inlineStr">
        <is>
          <t>note 8</t>
        </is>
      </c>
      <c r="D27" s="13">
        <f>(SUMIF(BALANCE!$A$2:$A$67,"33*",BALANCE!$F$2:$F$67)-SUMIF(BALANCE!$A$2:$A$67,"33*",BALANCE!$G$2:$G$67)+SUMIF(BALANCE!$A$2:$A$67,"32*",BALANCE!$F$2:$F$67)-SUMIF(BALANCE!$A$2:$A$67,"32*",BALANCE!$G$2:$G$67)+SUMIF(BALANCE!$A$2:$A$67,"37*",BALANCE!$F$2:$F$67)-SUMIF(BALANCE!$A$2:$A$67,"37*",BALANCE!$G$2:$G$67)+SUMIF(BALANCE!$A$2:$A$67,"31*",BALANCE!$F$2:$F$67)-SUMIF(BALANCE!$A$2:$A$67,"31*",BALANCE!$G$2:$G$67)+SUMIF(BALANCE!$A$2:$A$67,"38*",BALANCE!$F$2:$F$67)-SUMIF(BALANCE!$A$2:$A$67,"38*",BALANCE!$G$2:$G$67)+SUMIF(BALANCE!$A$2:$A$67,"34*",BALANCE!$F$2:$F$67)-SUMIF(BALANCE!$A$2:$A$67,"34*",BALANCE!$G$2:$G$67)+SUMIF(BALANCE!$A$2:$A$67,"36*",BALANCE!$F$2:$F$67)-SUMIF(BALANCE!$A$2:$A$67,"36*",BALANCE!$G$2:$G$67))</f>
        <v/>
      </c>
      <c r="E27" s="13">
        <f>(SUMIF(BALANCE!$A$2:$A$67,"39*",BALANCE!$G$2:$G$67)-SUMIF(BALANCE!$A$2:$A$67,"39*",BALANCE!$F$2:$F$67))</f>
        <v/>
      </c>
      <c r="F27" s="13">
        <f>D27-E27</f>
        <v/>
      </c>
      <c r="G27" s="13">
        <f>((SUMIF(BALANCE_N1!$A$2:$A$67,"33*",BALANCE_N1!$F$2:$F$67)-SUMIF(BALANCE_N1!$A$2:$A$67,"33*",BALANCE_N1!$G$2:$G$67)+SUMIF(BALANCE_N1!$A$2:$A$67,"32*",BALANCE_N1!$F$2:$F$67)-SUMIF(BALANCE_N1!$A$2:$A$67,"32*",BALANCE_N1!$G$2:$G$67)+SUMIF(BALANCE_N1!$A$2:$A$67,"37*",BALANCE_N1!$F$2:$F$67)-SUMIF(BALANCE_N1!$A$2:$A$67,"37*",BALANCE_N1!$G$2:$G$67)+SUMIF(BALANCE_N1!$A$2:$A$67,"31*",BALANCE_N1!$F$2:$F$67)-SUMIF(BALANCE_N1!$A$2:$A$67,"31*",BALANCE_N1!$G$2:$G$67)+SUMIF(BALANCE_N1!$A$2:$A$67,"38*",BALANCE_N1!$F$2:$F$67)-SUMIF(BALANCE_N1!$A$2:$A$67,"38*",BALANCE_N1!$G$2:$G$67)+SUMIF(BALANCE_N1!$A$2:$A$67,"34*",BALANCE_N1!$F$2:$F$67)-SUMIF(BALANCE_N1!$A$2:$A$67,"34*",BALANCE_N1!$G$2:$G$67)+SUMIF(BALANCE_N1!$A$2:$A$67,"36*",BALANCE_N1!$F$2:$F$67)-SUMIF(BALANCE_N1!$A$2:$A$67,"36*",BALANCE_N1!$G$2:$G$67)))-((SUMIF(BALANCE_N1!$A$2:$A$67,"39*",BALANCE_N1!$G$2:$G$67)-SUMIF(BALANCE_N1!$A$2:$A$67,"39*",BALANCE_N1!$F$2:$F$67)))</f>
        <v/>
      </c>
    </row>
    <row r="28">
      <c r="A28" s="14" t="inlineStr">
        <is>
          <t>BC</t>
        </is>
      </c>
      <c r="B28" s="14" t="inlineStr">
        <is>
          <t>Fournisseurs debiteurs</t>
        </is>
      </c>
      <c r="C28" s="14" t="inlineStr">
        <is>
          <t>note 19</t>
        </is>
      </c>
      <c r="D28" s="15">
        <f>(SUMIF(BALANCE!$A$2:$A$67,"409*",BALANCE!$F$2:$F$67)-SUMIF(BALANCE!$A$2:$A$67,"409*",BALANCE!$G$2:$G$67))</f>
        <v/>
      </c>
      <c r="E28" s="15">
        <f>(SUMIF(BALANCE!$A$2:$A$67,"490*",BALANCE!$G$2:$G$67)-SUMIF(BALANCE!$A$2:$A$67,"490*",BALANCE!$F$2:$F$67))</f>
        <v/>
      </c>
      <c r="F28" s="15">
        <f>D28-E28</f>
        <v/>
      </c>
      <c r="G28" s="15">
        <f>((SUMIF(BALANCE_N1!$A$2:$A$67,"409*",BALANCE_N1!$F$2:$F$67)-SUMIF(BALANCE_N1!$A$2:$A$67,"409*",BALANCE_N1!$G$2:$G$67)))-((SUMIF(BALANCE_N1!$A$2:$A$67,"490*",BALANCE_N1!$G$2:$G$67)-SUMIF(BALANCE_N1!$A$2:$A$67,"490*",BALANCE_N1!$F$2:$F$67)))</f>
        <v/>
      </c>
    </row>
    <row r="29">
      <c r="A29" s="12" t="inlineStr">
        <is>
          <t>BD</t>
        </is>
      </c>
      <c r="B29" s="12" t="inlineStr">
        <is>
          <t>Adherents, Clients-usagers</t>
        </is>
      </c>
      <c r="C29" s="12" t="inlineStr">
        <is>
          <t>note 9</t>
        </is>
      </c>
      <c r="D29" s="13">
        <f>(SUMIF(BALANCE!$A$2:$A$67,"41*",BALANCE!$F$2:$F$67)-SUMIF(BALANCE!$A$2:$A$67,"41*",BALANCE!$G$2:$G$67)-SUMIF(BALANCE!$A$2:$A$67,"419*",BALANCE!$F$2:$F$67)+SUMIF(BALANCE!$A$2:$A$67,"419*",BALANCE!$G$2:$G$67))</f>
        <v/>
      </c>
      <c r="E29" s="13">
        <f>(SUMIF(BALANCE!$A$2:$A$67,"491*",BALANCE!$G$2:$G$67)-SUMIF(BALANCE!$A$2:$A$67,"491*",BALANCE!$F$2:$F$67))</f>
        <v/>
      </c>
      <c r="F29" s="13">
        <f>D29-E29</f>
        <v/>
      </c>
      <c r="G29" s="13">
        <f>((SUMIF(BALANCE_N1!$A$2:$A$67,"41*",BALANCE_N1!$F$2:$F$67)-SUMIF(BALANCE_N1!$A$2:$A$67,"41*",BALANCE_N1!$G$2:$G$67)-SUMIF(BALANCE_N1!$A$2:$A$67,"419*",BALANCE_N1!$F$2:$F$67)+SUMIF(BALANCE_N1!$A$2:$A$67,"419*",BALANCE_N1!$G$2:$G$67)))-((SUMIF(BALANCE_N1!$A$2:$A$67,"491*",BALANCE_N1!$G$2:$G$67)-SUMIF(BALANCE_N1!$A$2:$A$67,"491*",BALANCE_N1!$F$2:$F$67)))</f>
        <v/>
      </c>
    </row>
    <row r="30">
      <c r="A30" s="14" t="inlineStr">
        <is>
          <t>BE</t>
        </is>
      </c>
      <c r="B30" s="14" t="inlineStr">
        <is>
          <t>Autres creances</t>
        </is>
      </c>
      <c r="C30" s="14" t="inlineStr">
        <is>
          <t>note 10</t>
        </is>
      </c>
      <c r="D30" s="15">
        <f>(SUMIF(BALANCE!$A$2:$A$67,"43*",BALANCE!$F$2:$F$67)+SUMIF(BALANCE!$A$2:$A$67,"46*",BALANCE!$F$2:$F$67)+SUMIF(BALANCE!$A$2:$A$67,"44*",BALANCE!$F$2:$F$67)+SUMIF(BALANCE!$A$2:$A$67,"47*",BALANCE!$F$2:$F$67)+SUMIF(BALANCE!$A$2:$A$67,"42*",BALANCE!$F$2:$F$67)+SUMIF(BALANCE!$A$2:$A$67,"45*",BALANCE!$F$2:$F$67)-SUMIF(BALANCE!$A$2:$A$67,"478*",BALANCE!$F$2:$F$67))</f>
        <v/>
      </c>
      <c r="E30" s="15">
        <f>(SUMIF(BALANCE!$A$2:$A$67,"497*",BALANCE!$G$2:$G$67)-SUMIF(BALANCE!$A$2:$A$67,"497*",BALANCE!$F$2:$F$67)+SUMIF(BALANCE!$A$2:$A$67,"493*",BALANCE!$G$2:$G$67)-SUMIF(BALANCE!$A$2:$A$67,"493*",BALANCE!$F$2:$F$67)+SUMIF(BALANCE!$A$2:$A$67,"492*",BALANCE!$G$2:$G$67)-SUMIF(BALANCE!$A$2:$A$67,"492*",BALANCE!$F$2:$F$67)+SUMIF(BALANCE!$A$2:$A$67,"494*",BALANCE!$G$2:$G$67)-SUMIF(BALANCE!$A$2:$A$67,"494*",BALANCE!$F$2:$F$67))</f>
        <v/>
      </c>
      <c r="F30" s="15">
        <f>D30-E30</f>
        <v/>
      </c>
      <c r="G30" s="15">
        <f>((SUMIF(BALANCE_N1!$A$2:$A$67,"43*",BALANCE_N1!$F$2:$F$67)+SUMIF(BALANCE_N1!$A$2:$A$67,"46*",BALANCE_N1!$F$2:$F$67)+SUMIF(BALANCE_N1!$A$2:$A$67,"44*",BALANCE_N1!$F$2:$F$67)+SUMIF(BALANCE_N1!$A$2:$A$67,"47*",BALANCE_N1!$F$2:$F$67)+SUMIF(BALANCE_N1!$A$2:$A$67,"42*",BALANCE_N1!$F$2:$F$67)+SUMIF(BALANCE_N1!$A$2:$A$67,"45*",BALANCE_N1!$F$2:$F$67)-SUMIF(BALANCE_N1!$A$2:$A$67,"478*",BALANCE_N1!$F$2:$F$67)))-((SUMIF(BALANCE_N1!$A$2:$A$67,"497*",BALANCE_N1!$G$2:$G$67)-SUMIF(BALANCE_N1!$A$2:$A$67,"497*",BALANCE_N1!$F$2:$F$67)+SUMIF(BALANCE_N1!$A$2:$A$67,"493*",BALANCE_N1!$G$2:$G$67)-SUMIF(BALANCE_N1!$A$2:$A$67,"493*",BALANCE_N1!$F$2:$F$67)+SUMIF(BALANCE_N1!$A$2:$A$67,"492*",BALANCE_N1!$G$2:$G$67)-SUMIF(BALANCE_N1!$A$2:$A$67,"492*",BALANCE_N1!$F$2:$F$67)+SUMIF(BALANCE_N1!$A$2:$A$67,"494*",BALANCE_N1!$G$2:$G$67)-SUMIF(BALANCE_N1!$A$2:$A$67,"494*",BALANCE_N1!$F$2:$F$67)))</f>
        <v/>
      </c>
    </row>
    <row r="31">
      <c r="A31" s="10" t="inlineStr">
        <is>
          <t>BT</t>
        </is>
      </c>
      <c r="B31" s="10" t="inlineStr">
        <is>
          <t>TOTAL ACTIF CIRCULANT</t>
        </is>
      </c>
      <c r="C31" s="10" t="inlineStr"/>
      <c r="D31" s="11">
        <f>D26+D27+D28+D29+D30</f>
        <v/>
      </c>
      <c r="E31" s="11">
        <f>E26+E27+E28+E29+E30</f>
        <v/>
      </c>
      <c r="F31" s="11">
        <f>F26+F27+F28+F29+F30</f>
        <v/>
      </c>
      <c r="G31" s="11">
        <f>G26+G27+G28+G29+G30</f>
        <v/>
      </c>
    </row>
    <row r="32">
      <c r="A32" s="14" t="inlineStr">
        <is>
          <t>BU</t>
        </is>
      </c>
      <c r="B32" s="14" t="inlineStr">
        <is>
          <t>Titres de placement</t>
        </is>
      </c>
      <c r="C32" s="14" t="inlineStr">
        <is>
          <t>note 11</t>
        </is>
      </c>
      <c r="D32" s="15">
        <f>(SUMIF(BALANCE!$A$2:$A$67,"50*",BALANCE!$F$2:$F$67)-SUMIF(BALANCE!$A$2:$A$67,"50*",BALANCE!$G$2:$G$67))</f>
        <v/>
      </c>
      <c r="E32" s="15">
        <f>(SUMIF(BALANCE!$A$2:$A$67,"590*",BALANCE!$G$2:$G$67)-SUMIF(BALANCE!$A$2:$A$67,"590*",BALANCE!$F$2:$F$67))</f>
        <v/>
      </c>
      <c r="F32" s="15">
        <f>D32-E32</f>
        <v/>
      </c>
      <c r="G32" s="15">
        <f>((SUMIF(BALANCE_N1!$A$2:$A$67,"50*",BALANCE_N1!$F$2:$F$67)-SUMIF(BALANCE_N1!$A$2:$A$67,"50*",BALANCE_N1!$G$2:$G$67)))-((SUMIF(BALANCE_N1!$A$2:$A$67,"590*",BALANCE_N1!$G$2:$G$67)-SUMIF(BALANCE_N1!$A$2:$A$67,"590*",BALANCE_N1!$F$2:$F$67)))</f>
        <v/>
      </c>
    </row>
    <row r="33">
      <c r="A33" s="12" t="inlineStr">
        <is>
          <t>BV</t>
        </is>
      </c>
      <c r="B33" s="12" t="inlineStr">
        <is>
          <t>Valeurs a encaisser</t>
        </is>
      </c>
      <c r="C33" s="12" t="inlineStr">
        <is>
          <t>note 12</t>
        </is>
      </c>
      <c r="D33" s="13">
        <f>(SUMIF(BALANCE!$A$2:$A$67,"51*",BALANCE!$F$2:$F$67)-SUMIF(BALANCE!$A$2:$A$67,"51*",BALANCE!$G$2:$G$67))</f>
        <v/>
      </c>
      <c r="E33" s="13">
        <f>(SUMIF(BALANCE!$A$2:$A$67,"591*",BALANCE!$G$2:$G$67)-SUMIF(BALANCE!$A$2:$A$67,"591*",BALANCE!$F$2:$F$67))</f>
        <v/>
      </c>
      <c r="F33" s="13">
        <f>D33-E33</f>
        <v/>
      </c>
      <c r="G33" s="13">
        <f>((SUMIF(BALANCE_N1!$A$2:$A$67,"51*",BALANCE_N1!$F$2:$F$67)-SUMIF(BALANCE_N1!$A$2:$A$67,"51*",BALANCE_N1!$G$2:$G$67)))-((SUMIF(BALANCE_N1!$A$2:$A$67,"591*",BALANCE_N1!$G$2:$G$67)-SUMIF(BALANCE_N1!$A$2:$A$67,"591*",BALANCE_N1!$F$2:$F$67)))</f>
        <v/>
      </c>
    </row>
    <row r="34">
      <c r="A34" s="14" t="inlineStr">
        <is>
          <t>BW</t>
        </is>
      </c>
      <c r="B34" s="14" t="inlineStr">
        <is>
          <t>Banques, etablissements financiers, caisses et assimiles</t>
        </is>
      </c>
      <c r="C34" s="14" t="inlineStr">
        <is>
          <t>note 13</t>
        </is>
      </c>
      <c r="D34" s="15">
        <f>(SUMIF(BALANCE!$A$2:$A$67,"55*",BALANCE!$F$2:$F$67)-SUMIF(BALANCE!$A$2:$A$67,"55*",BALANCE!$G$2:$G$67)+SUMIF(BALANCE!$A$2:$A$67,"52*",BALANCE!$F$2:$F$67)-SUMIF(BALANCE!$A$2:$A$67,"52*",BALANCE!$G$2:$G$67)+SUMIF(BALANCE!$A$2:$A$67,"57*",BALANCE!$F$2:$F$67)-SUMIF(BALANCE!$A$2:$A$67,"57*",BALANCE!$G$2:$G$67)+SUMIF(BALANCE!$A$2:$A$67,"53*",BALANCE!$F$2:$F$67)-SUMIF(BALANCE!$A$2:$A$67,"53*",BALANCE!$G$2:$G$67))</f>
        <v/>
      </c>
      <c r="E34" s="15">
        <f>(SUMIF(BALANCE!$A$2:$A$67,"592*",BALANCE!$G$2:$G$67)-SUMIF(BALANCE!$A$2:$A$67,"592*",BALANCE!$F$2:$F$67)+SUMIF(BALANCE!$A$2:$A$67,"595*",BALANCE!$G$2:$G$67)-SUMIF(BALANCE!$A$2:$A$67,"595*",BALANCE!$F$2:$F$67)+SUMIF(BALANCE!$A$2:$A$67,"593*",BALANCE!$G$2:$G$67)-SUMIF(BALANCE!$A$2:$A$67,"593*",BALANCE!$F$2:$F$67))</f>
        <v/>
      </c>
      <c r="F34" s="15">
        <f>D34-E34</f>
        <v/>
      </c>
      <c r="G34" s="15">
        <f>((SUMIF(BALANCE_N1!$A$2:$A$67,"55*",BALANCE_N1!$F$2:$F$67)-SUMIF(BALANCE_N1!$A$2:$A$67,"55*",BALANCE_N1!$G$2:$G$67)+SUMIF(BALANCE_N1!$A$2:$A$67,"52*",BALANCE_N1!$F$2:$F$67)-SUMIF(BALANCE_N1!$A$2:$A$67,"52*",BALANCE_N1!$G$2:$G$67)+SUMIF(BALANCE_N1!$A$2:$A$67,"57*",BALANCE_N1!$F$2:$F$67)-SUMIF(BALANCE_N1!$A$2:$A$67,"57*",BALANCE_N1!$G$2:$G$67)+SUMIF(BALANCE_N1!$A$2:$A$67,"53*",BALANCE_N1!$F$2:$F$67)-SUMIF(BALANCE_N1!$A$2:$A$67,"53*",BALANCE_N1!$G$2:$G$67)))-((SUMIF(BALANCE_N1!$A$2:$A$67,"592*",BALANCE_N1!$G$2:$G$67)-SUMIF(BALANCE_N1!$A$2:$A$67,"592*",BALANCE_N1!$F$2:$F$67)+SUMIF(BALANCE_N1!$A$2:$A$67,"595*",BALANCE_N1!$G$2:$G$67)-SUMIF(BALANCE_N1!$A$2:$A$67,"595*",BALANCE_N1!$F$2:$F$67)+SUMIF(BALANCE_N1!$A$2:$A$67,"593*",BALANCE_N1!$G$2:$G$67)-SUMIF(BALANCE_N1!$A$2:$A$67,"593*",BALANCE_N1!$F$2:$F$67)))</f>
        <v/>
      </c>
    </row>
    <row r="35">
      <c r="A35" s="10" t="inlineStr">
        <is>
          <t>BX</t>
        </is>
      </c>
      <c r="B35" s="10" t="inlineStr">
        <is>
          <t>TOTAL TRESORERIE ACTIF</t>
        </is>
      </c>
      <c r="C35" s="10" t="inlineStr"/>
      <c r="D35" s="11">
        <f>D32+D33+D34</f>
        <v/>
      </c>
      <c r="E35" s="11">
        <f>E32+E33+E34</f>
        <v/>
      </c>
      <c r="F35" s="11">
        <f>F32+F33+F34</f>
        <v/>
      </c>
      <c r="G35" s="11">
        <f>G32+G33+G34</f>
        <v/>
      </c>
    </row>
    <row r="36">
      <c r="A36" s="14" t="inlineStr">
        <is>
          <t>BY</t>
        </is>
      </c>
      <c r="B36" s="14" t="inlineStr">
        <is>
          <t>Ecart de conversion-Actif</t>
        </is>
      </c>
      <c r="C36" s="14" t="inlineStr">
        <is>
          <t>note 14</t>
        </is>
      </c>
      <c r="D36" s="15">
        <f>(SUMIF(BALANCE!$A$2:$A$67,"478*",BALANCE!$F$2:$F$67)-SUMIF(BALANCE!$A$2:$A$67,"478*",BALANCE!$G$2:$G$67))</f>
        <v/>
      </c>
      <c r="E36" s="15" t="n">
        <v>0</v>
      </c>
      <c r="F36" s="15">
        <f>D36-E36</f>
        <v/>
      </c>
      <c r="G36" s="15">
        <f>((SUMIF(BALANCE_N1!$A$2:$A$67,"478*",BALANCE_N1!$F$2:$F$67)-SUMIF(BALANCE_N1!$A$2:$A$67,"478*",BALANCE_N1!$G$2:$G$67)))-(0)</f>
        <v/>
      </c>
    </row>
    <row r="37">
      <c r="A37" s="10" t="inlineStr">
        <is>
          <t>BZ</t>
        </is>
      </c>
      <c r="B37" s="10" t="inlineStr">
        <is>
          <t>TOTAL GENERAL</t>
        </is>
      </c>
      <c r="C37" s="10" t="inlineStr"/>
      <c r="D37" s="11">
        <f>D25+D31+D35+D36</f>
        <v/>
      </c>
      <c r="E37" s="11">
        <f>E25+E31+E35+E36</f>
        <v/>
      </c>
      <c r="F37" s="11">
        <f>F25+F31+F35+F36</f>
        <v/>
      </c>
      <c r="G37" s="11">
        <f>G25+G31+G35+G36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7" customWidth="1" min="1" max="1"/>
    <col width="58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BILAN - PASSIF</t>
        </is>
      </c>
    </row>
    <row r="2">
      <c r="A2" s="2" t="inlineStr">
        <is>
          <t>SYCEBNL - Associations et ordres professionnels, Système normal</t>
        </is>
      </c>
    </row>
    <row r="3"/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6"/>
    <row r="7">
      <c r="A7" s="9" t="inlineStr">
        <is>
          <t>REF</t>
        </is>
      </c>
      <c r="B7" s="9" t="inlineStr">
        <is>
          <t>PASSIF</t>
        </is>
      </c>
      <c r="C7" s="9" t="inlineStr">
        <is>
          <t>Note</t>
        </is>
      </c>
      <c r="D7" s="9" t="inlineStr">
        <is>
          <t>Net (N)</t>
        </is>
      </c>
      <c r="E7" s="9" t="inlineStr">
        <is>
          <t>Net (N-1)</t>
        </is>
      </c>
    </row>
    <row r="8">
      <c r="A8" s="14" t="inlineStr">
        <is>
          <t>CA</t>
        </is>
      </c>
      <c r="B8" s="14" t="inlineStr">
        <is>
          <t>Donation non consomptible sans droit reprise</t>
        </is>
      </c>
      <c r="C8" s="14" t="inlineStr">
        <is>
          <t>note 15</t>
        </is>
      </c>
      <c r="D8" s="15">
        <f>(SUMIF(BALANCE!$A$2:$A$67,"101*",BALANCE!$G$2:$G$67)-SUMIF(BALANCE!$A$2:$A$67,"101*",BALANCE!$F$2:$F$67))</f>
        <v/>
      </c>
      <c r="E8" s="15">
        <f>(SUMIF(BALANCE_N1!$A$2:$A$67,"101*",BALANCE_N1!$G$2:$G$67)-SUMIF(BALANCE_N1!$A$2:$A$67,"101*",BALANCE_N1!$F$2:$F$67))</f>
        <v/>
      </c>
    </row>
    <row r="9">
      <c r="A9" s="12" t="inlineStr">
        <is>
          <t>CB</t>
        </is>
      </c>
      <c r="B9" s="12" t="inlineStr">
        <is>
          <t>Donation non consomptible avec droit reprise</t>
        </is>
      </c>
      <c r="C9" s="12" t="inlineStr">
        <is>
          <t>note 15</t>
        </is>
      </c>
      <c r="D9" s="13">
        <f>(SUMIF(BALANCE!$A$2:$A$67,"102*",BALANCE!$G$2:$G$67)-SUMIF(BALANCE!$A$2:$A$67,"102*",BALANCE!$F$2:$F$67))</f>
        <v/>
      </c>
      <c r="E9" s="13">
        <f>(SUMIF(BALANCE_N1!$A$2:$A$67,"102*",BALANCE_N1!$G$2:$G$67)-SUMIF(BALANCE_N1!$A$2:$A$67,"102*",BALANCE_N1!$F$2:$F$67))</f>
        <v/>
      </c>
    </row>
    <row r="10">
      <c r="A10" s="14" t="inlineStr">
        <is>
          <t>CC</t>
        </is>
      </c>
      <c r="B10" s="14" t="inlineStr">
        <is>
          <t>Droit d'entree</t>
        </is>
      </c>
      <c r="C10" s="14" t="inlineStr">
        <is>
          <t>note 15</t>
        </is>
      </c>
      <c r="D10" s="15">
        <f>(SUMIF(BALANCE!$A$2:$A$67,"103*",BALANCE!$G$2:$G$67)-SUMIF(BALANCE!$A$2:$A$67,"103*",BALANCE!$F$2:$F$67))</f>
        <v/>
      </c>
      <c r="E10" s="15">
        <f>(SUMIF(BALANCE_N1!$A$2:$A$67,"103*",BALANCE_N1!$G$2:$G$67)-SUMIF(BALANCE_N1!$A$2:$A$67,"103*",BALANCE_N1!$F$2:$F$67))</f>
        <v/>
      </c>
    </row>
    <row r="11">
      <c r="A11" s="12" t="inlineStr">
        <is>
          <t>CD</t>
        </is>
      </c>
      <c r="B11" s="12" t="inlineStr">
        <is>
          <t>Donation consomptible</t>
        </is>
      </c>
      <c r="C11" s="12" t="inlineStr">
        <is>
          <t>note 15</t>
        </is>
      </c>
      <c r="D11" s="13">
        <f>(SUMIF(BALANCE!$A$2:$A$67,"104*",BALANCE!$G$2:$G$67)-SUMIF(BALANCE!$A$2:$A$67,"104*",BALANCE!$F$2:$F$67))</f>
        <v/>
      </c>
      <c r="E11" s="13">
        <f>(SUMIF(BALANCE_N1!$A$2:$A$67,"104*",BALANCE_N1!$G$2:$G$67)-SUMIF(BALANCE_N1!$A$2:$A$67,"104*",BALANCE_N1!$F$2:$F$67))</f>
        <v/>
      </c>
    </row>
    <row r="12">
      <c r="A12" s="14" t="inlineStr">
        <is>
          <t>CE</t>
        </is>
      </c>
      <c r="B12" s="14" t="inlineStr">
        <is>
          <t>Ecarts de reevaluation</t>
        </is>
      </c>
      <c r="C12" s="14" t="inlineStr">
        <is>
          <t>note 5F</t>
        </is>
      </c>
      <c r="D12" s="15">
        <f>(SUMIF(BALANCE!$A$2:$A$67,"106*",BALANCE!$G$2:$G$67)-SUMIF(BALANCE!$A$2:$A$67,"106*",BALANCE!$F$2:$F$67))</f>
        <v/>
      </c>
      <c r="E12" s="15">
        <f>(SUMIF(BALANCE_N1!$A$2:$A$67,"106*",BALANCE_N1!$G$2:$G$67)-SUMIF(BALANCE_N1!$A$2:$A$67,"106*",BALANCE_N1!$F$2:$F$67))</f>
        <v/>
      </c>
    </row>
    <row r="13">
      <c r="A13" s="12" t="inlineStr">
        <is>
          <t>CF</t>
        </is>
      </c>
      <c r="B13" s="12" t="inlineStr">
        <is>
          <t>Reserves</t>
        </is>
      </c>
      <c r="C13" s="12" t="inlineStr">
        <is>
          <t>note 16</t>
        </is>
      </c>
      <c r="D13" s="13">
        <f>(SUMIF(BALANCE!$A$2:$A$67,"11*",BALANCE!$G$2:$G$67)-SUMIF(BALANCE!$A$2:$A$67,"11*",BALANCE!$F$2:$F$67))</f>
        <v/>
      </c>
      <c r="E13" s="13">
        <f>(SUMIF(BALANCE_N1!$A$2:$A$67,"11*",BALANCE_N1!$G$2:$G$67)-SUMIF(BALANCE_N1!$A$2:$A$67,"11*",BALANCE_N1!$F$2:$F$67))</f>
        <v/>
      </c>
    </row>
    <row r="14">
      <c r="A14" s="14" t="inlineStr">
        <is>
          <t>CG</t>
        </is>
      </c>
      <c r="B14" s="14" t="inlineStr">
        <is>
          <t>Report a nouveau (+ ou -)</t>
        </is>
      </c>
      <c r="C14" s="14" t="inlineStr">
        <is>
          <t>note 16</t>
        </is>
      </c>
      <c r="D14" s="15">
        <f>(SUMIF(BALANCE!$A$2:$A$67,"12*",BALANCE!$G$2:$G$67)-SUMIF(BALANCE!$A$2:$A$67,"12*",BALANCE!$F$2:$F$67))</f>
        <v/>
      </c>
      <c r="E14" s="15">
        <f>(SUMIF(BALANCE_N1!$A$2:$A$67,"12*",BALANCE_N1!$G$2:$G$67)-SUMIF(BALANCE_N1!$A$2:$A$67,"12*",BALANCE_N1!$F$2:$F$67))</f>
        <v/>
      </c>
    </row>
    <row r="15">
      <c r="A15" s="12" t="inlineStr">
        <is>
          <t>CH</t>
        </is>
      </c>
      <c r="B15" s="12" t="inlineStr">
        <is>
          <t>Resultat net de l'exercice (excedent + ou deficit -)</t>
        </is>
      </c>
      <c r="C15" s="12" t="inlineStr"/>
      <c r="D15" s="13">
        <f>'Compte de Resultat'!D34+(SUMIF(BALANCE!$A$2:$A$67,"13*",BALANCE!$G$2:$G$67)-SUMIF(BALANCE!$A$2:$A$67,"13*",BALANCE!$F$2:$F$67))</f>
        <v/>
      </c>
      <c r="E15" s="13">
        <f>'Compte de Resultat'!E34+(SUMIF(BALANCE_N1!$A$2:$A$67,"13*",BALANCE_N1!$G$2:$G$67)-SUMIF(BALANCE_N1!$A$2:$A$67,"13*",BALANCE_N1!$F$2:$F$67))</f>
        <v/>
      </c>
    </row>
    <row r="16">
      <c r="A16" s="14" t="inlineStr">
        <is>
          <t>CI</t>
        </is>
      </c>
      <c r="B16" s="14" t="inlineStr">
        <is>
          <t>Subventions d'investissement</t>
        </is>
      </c>
      <c r="C16" s="14" t="inlineStr">
        <is>
          <t>note 17A</t>
        </is>
      </c>
      <c r="D16" s="15">
        <f>(SUMIF(BALANCE!$A$2:$A$67,"14*",BALANCE!$G$2:$G$67)-SUMIF(BALANCE!$A$2:$A$67,"14*",BALANCE!$F$2:$F$67))</f>
        <v/>
      </c>
      <c r="E16" s="15">
        <f>(SUMIF(BALANCE_N1!$A$2:$A$67,"14*",BALANCE_N1!$G$2:$G$67)-SUMIF(BALANCE_N1!$A$2:$A$67,"14*",BALANCE_N1!$F$2:$F$67))</f>
        <v/>
      </c>
    </row>
    <row r="17">
      <c r="A17" s="12" t="inlineStr">
        <is>
          <t>CJ</t>
        </is>
      </c>
      <c r="B17" s="12" t="inlineStr">
        <is>
          <t>Provisions reglementees</t>
        </is>
      </c>
      <c r="C17" s="12" t="inlineStr">
        <is>
          <t>note 17A</t>
        </is>
      </c>
      <c r="D17" s="13">
        <f>(SUMIF(BALANCE!$A$2:$A$67,"15*",BALANCE!$G$2:$G$67)-SUMIF(BALANCE!$A$2:$A$67,"15*",BALANCE!$F$2:$F$67))</f>
        <v/>
      </c>
      <c r="E17" s="13">
        <f>(SUMIF(BALANCE_N1!$A$2:$A$67,"15*",BALANCE_N1!$G$2:$G$67)-SUMIF(BALANCE_N1!$A$2:$A$67,"15*",BALANCE_N1!$F$2:$F$67))</f>
        <v/>
      </c>
    </row>
    <row r="18">
      <c r="A18" s="10" t="inlineStr">
        <is>
          <t>CK</t>
        </is>
      </c>
      <c r="B18" s="10" t="inlineStr">
        <is>
          <t>TOTAL FONDS PROPRES ET ASSIMILES</t>
        </is>
      </c>
      <c r="C18" s="10" t="inlineStr"/>
      <c r="D18" s="11">
        <f>D8+D9+D10+D11+D12+D13+D14+D15+D16+D17</f>
        <v/>
      </c>
      <c r="E18" s="11">
        <f>E8+E9+E10+E11+E12+E13+E14+E15+E16+E17</f>
        <v/>
      </c>
    </row>
    <row r="19">
      <c r="A19" s="12" t="inlineStr">
        <is>
          <t>CW</t>
        </is>
      </c>
      <c r="B19" s="12" t="inlineStr">
        <is>
          <t>Fonds affectes et provenant de dons et legs d'immobilisations</t>
        </is>
      </c>
      <c r="C19" s="12" t="inlineStr">
        <is>
          <t>note 17B</t>
        </is>
      </c>
      <c r="D19" s="13">
        <f>(SUMIF(BALANCE!$A$2:$A$67,"16*",BALANCE!$G$2:$G$67)-SUMIF(BALANCE!$A$2:$A$67,"16*",BALANCE!$F$2:$F$67))</f>
        <v/>
      </c>
      <c r="E19" s="13">
        <f>(SUMIF(BALANCE_N1!$A$2:$A$67,"16*",BALANCE_N1!$G$2:$G$67)-SUMIF(BALANCE_N1!$A$2:$A$67,"16*",BALANCE_N1!$F$2:$F$67))</f>
        <v/>
      </c>
    </row>
    <row r="20">
      <c r="A20" s="14" t="inlineStr">
        <is>
          <t>CX</t>
        </is>
      </c>
      <c r="B20" s="14" t="inlineStr">
        <is>
          <t>Fonds reportes</t>
        </is>
      </c>
      <c r="C20" s="14" t="inlineStr">
        <is>
          <t>note 17B</t>
        </is>
      </c>
      <c r="D20" s="15">
        <f>(SUMIF(BALANCE!$A$2:$A$67,"17*",BALANCE!$G$2:$G$67)-SUMIF(BALANCE!$A$2:$A$67,"17*",BALANCE!$F$2:$F$67))</f>
        <v/>
      </c>
      <c r="E20" s="15">
        <f>(SUMIF(BALANCE_N1!$A$2:$A$67,"17*",BALANCE_N1!$G$2:$G$67)-SUMIF(BALANCE_N1!$A$2:$A$67,"17*",BALANCE_N1!$F$2:$F$67))</f>
        <v/>
      </c>
    </row>
    <row r="21">
      <c r="A21" s="10" t="inlineStr">
        <is>
          <t>CY</t>
        </is>
      </c>
      <c r="B21" s="10" t="inlineStr">
        <is>
          <t>TOTAL FONDS AFFECTES ET REPORTES</t>
        </is>
      </c>
      <c r="C21" s="10" t="inlineStr"/>
      <c r="D21" s="11">
        <f>D19+D20</f>
        <v/>
      </c>
      <c r="E21" s="11">
        <f>E19+E20</f>
        <v/>
      </c>
    </row>
    <row r="22">
      <c r="A22" s="10" t="inlineStr">
        <is>
          <t>CZ</t>
        </is>
      </c>
      <c r="B22" s="10" t="inlineStr">
        <is>
          <t>TOTAL RESSOURCES PROPRES ET ASSIMILEES</t>
        </is>
      </c>
      <c r="C22" s="10" t="inlineStr"/>
      <c r="D22" s="11">
        <f>D18+D21</f>
        <v/>
      </c>
      <c r="E22" s="11">
        <f>E18+E21</f>
        <v/>
      </c>
    </row>
    <row r="23">
      <c r="A23" s="12" t="inlineStr">
        <is>
          <t>DA</t>
        </is>
      </c>
      <c r="B23" s="12" t="inlineStr">
        <is>
          <t>Emprunts et dettes financieres</t>
        </is>
      </c>
      <c r="C23" s="12" t="inlineStr">
        <is>
          <t>note 18A</t>
        </is>
      </c>
      <c r="D23" s="13">
        <f>(SUMIF(BALANCE!$A$2:$A$67,"188*",BALANCE!$G$2:$G$67)-SUMIF(BALANCE!$A$2:$A$67,"188*",BALANCE!$F$2:$F$67)+SUMIF(BALANCE!$A$2:$A$67,"181*",BALANCE!$G$2:$G$67)-SUMIF(BALANCE!$A$2:$A$67,"181*",BALANCE!$F$2:$F$67)+SUMIF(BALANCE!$A$2:$A$67,"186*",BALANCE!$G$2:$G$67)-SUMIF(BALANCE!$A$2:$A$67,"186*",BALANCE!$F$2:$F$67)+SUMIF(BALANCE!$A$2:$A$67,"182*",BALANCE!$G$2:$G$67)-SUMIF(BALANCE!$A$2:$A$67,"182*",BALANCE!$F$2:$F$67)+SUMIF(BALANCE!$A$2:$A$67,"183*",BALANCE!$G$2:$G$67)-SUMIF(BALANCE!$A$2:$A$67,"183*",BALANCE!$F$2:$F$67)+SUMIF(BALANCE!$A$2:$A$67,"185*",BALANCE!$G$2:$G$67)-SUMIF(BALANCE!$A$2:$A$67,"185*",BALANCE!$F$2:$F$67))</f>
        <v/>
      </c>
      <c r="E23" s="13">
        <f>(SUMIF(BALANCE_N1!$A$2:$A$67,"188*",BALANCE_N1!$G$2:$G$67)-SUMIF(BALANCE_N1!$A$2:$A$67,"188*",BALANCE_N1!$F$2:$F$67)+SUMIF(BALANCE_N1!$A$2:$A$67,"181*",BALANCE_N1!$G$2:$G$67)-SUMIF(BALANCE_N1!$A$2:$A$67,"181*",BALANCE_N1!$F$2:$F$67)+SUMIF(BALANCE_N1!$A$2:$A$67,"186*",BALANCE_N1!$G$2:$G$67)-SUMIF(BALANCE_N1!$A$2:$A$67,"186*",BALANCE_N1!$F$2:$F$67)+SUMIF(BALANCE_N1!$A$2:$A$67,"182*",BALANCE_N1!$G$2:$G$67)-SUMIF(BALANCE_N1!$A$2:$A$67,"182*",BALANCE_N1!$F$2:$F$67)+SUMIF(BALANCE_N1!$A$2:$A$67,"183*",BALANCE_N1!$G$2:$G$67)-SUMIF(BALANCE_N1!$A$2:$A$67,"183*",BALANCE_N1!$F$2:$F$67)+SUMIF(BALANCE_N1!$A$2:$A$67,"185*",BALANCE_N1!$G$2:$G$67)-SUMIF(BALANCE_N1!$A$2:$A$67,"185*",BALANCE_N1!$F$2:$F$67))</f>
        <v/>
      </c>
    </row>
    <row r="24">
      <c r="A24" s="14" t="inlineStr">
        <is>
          <t>DB</t>
        </is>
      </c>
      <c r="B24" s="14" t="inlineStr">
        <is>
          <t>Dettes de location-acquisition</t>
        </is>
      </c>
      <c r="C24" s="14" t="inlineStr">
        <is>
          <t>note 18A</t>
        </is>
      </c>
      <c r="D24" s="15">
        <f>(SUMIF(BALANCE!$A$2:$A$67,"187*",BALANCE!$G$2:$G$67)-SUMIF(BALANCE!$A$2:$A$67,"187*",BALANCE!$F$2:$F$67))</f>
        <v/>
      </c>
      <c r="E24" s="15">
        <f>(SUMIF(BALANCE_N1!$A$2:$A$67,"187*",BALANCE_N1!$G$2:$G$67)-SUMIF(BALANCE_N1!$A$2:$A$67,"187*",BALANCE_N1!$F$2:$F$67))</f>
        <v/>
      </c>
    </row>
    <row r="25">
      <c r="A25" s="12" t="inlineStr">
        <is>
          <t>DC</t>
        </is>
      </c>
      <c r="B25" s="12" t="inlineStr">
        <is>
          <t>Provisions pour risques et charges</t>
        </is>
      </c>
      <c r="C25" s="12" t="inlineStr">
        <is>
          <t>note 18A</t>
        </is>
      </c>
      <c r="D25" s="13">
        <f>(SUMIF(BALANCE!$A$2:$A$67,"19*",BALANCE!$G$2:$G$67)-SUMIF(BALANCE!$A$2:$A$67,"19*",BALANCE!$F$2:$F$67))</f>
        <v/>
      </c>
      <c r="E25" s="13">
        <f>(SUMIF(BALANCE_N1!$A$2:$A$67,"19*",BALANCE_N1!$G$2:$G$67)-SUMIF(BALANCE_N1!$A$2:$A$67,"19*",BALANCE_N1!$F$2:$F$67))</f>
        <v/>
      </c>
    </row>
    <row r="26">
      <c r="A26" s="10" t="inlineStr">
        <is>
          <t>DD</t>
        </is>
      </c>
      <c r="B26" s="10" t="inlineStr">
        <is>
          <t>TOTAL DETTES FINANCIERES ET RESSOURCES ASSIMILEES</t>
        </is>
      </c>
      <c r="C26" s="10" t="inlineStr"/>
      <c r="D26" s="11">
        <f>D23+D24+D25</f>
        <v/>
      </c>
      <c r="E26" s="11">
        <f>E23+E24+E25</f>
        <v/>
      </c>
    </row>
    <row r="27">
      <c r="A27" s="10" t="inlineStr">
        <is>
          <t>DE</t>
        </is>
      </c>
      <c r="B27" s="10" t="inlineStr">
        <is>
          <t>TOTAL RESSOURCES STABLES</t>
        </is>
      </c>
      <c r="C27" s="10" t="inlineStr"/>
      <c r="D27" s="11">
        <f>D22+D26</f>
        <v/>
      </c>
      <c r="E27" s="11">
        <f>E22+E26</f>
        <v/>
      </c>
    </row>
    <row r="28">
      <c r="A28" s="14" t="inlineStr">
        <is>
          <t>DF</t>
        </is>
      </c>
      <c r="B28" s="14" t="inlineStr">
        <is>
          <t>Dettes circulantes HAO</t>
        </is>
      </c>
      <c r="C28" s="14" t="inlineStr">
        <is>
          <t>note 7</t>
        </is>
      </c>
      <c r="D28" s="15">
        <f>(SUMIF(BALANCE!$A$2:$A$67,"488*",BALANCE!$G$2:$G$67)-SUMIF(BALANCE!$A$2:$A$67,"488*",BALANCE!$F$2:$F$67)+SUMIF(BALANCE!$A$2:$A$67,"481*",BALANCE!$G$2:$G$67)-SUMIF(BALANCE!$A$2:$A$67,"481*",BALANCE!$F$2:$F$67)+SUMIF(BALANCE!$A$2:$A$67,"484*",BALANCE!$G$2:$G$67)-SUMIF(BALANCE!$A$2:$A$67,"484*",BALANCE!$F$2:$F$67)+SUMIF(BALANCE!$A$2:$A$67,"4998*",BALANCE!$G$2:$G$67)-SUMIF(BALANCE!$A$2:$A$67,"4998*",BALANCE!$F$2:$F$67)+SUMIF(BALANCE!$A$2:$A$67,"4861*",BALANCE!$G$2:$G$67)-SUMIF(BALANCE!$A$2:$A$67,"4861*",BALANCE!$F$2:$F$67))</f>
        <v/>
      </c>
      <c r="E28" s="15">
        <f>(SUMIF(BALANCE_N1!$A$2:$A$67,"488*",BALANCE_N1!$G$2:$G$67)-SUMIF(BALANCE_N1!$A$2:$A$67,"488*",BALANCE_N1!$F$2:$F$67)+SUMIF(BALANCE_N1!$A$2:$A$67,"481*",BALANCE_N1!$G$2:$G$67)-SUMIF(BALANCE_N1!$A$2:$A$67,"481*",BALANCE_N1!$F$2:$F$67)+SUMIF(BALANCE_N1!$A$2:$A$67,"484*",BALANCE_N1!$G$2:$G$67)-SUMIF(BALANCE_N1!$A$2:$A$67,"484*",BALANCE_N1!$F$2:$F$67)+SUMIF(BALANCE_N1!$A$2:$A$67,"4998*",BALANCE_N1!$G$2:$G$67)-SUMIF(BALANCE_N1!$A$2:$A$67,"4998*",BALANCE_N1!$F$2:$F$67)+SUMIF(BALANCE_N1!$A$2:$A$67,"4861*",BALANCE_N1!$G$2:$G$67)-SUMIF(BALANCE_N1!$A$2:$A$67,"4861*",BALANCE_N1!$F$2:$F$67))</f>
        <v/>
      </c>
    </row>
    <row r="29">
      <c r="A29" s="12" t="inlineStr">
        <is>
          <t>DG</t>
        </is>
      </c>
      <c r="B29" s="12" t="inlineStr">
        <is>
          <t>Adherents, clients-usagers crediteurs</t>
        </is>
      </c>
      <c r="C29" s="12" t="inlineStr">
        <is>
          <t>note 9</t>
        </is>
      </c>
      <c r="D29" s="13">
        <f>(SUMIF(BALANCE!$A$2:$A$67,"419*",BALANCE!$G$2:$G$67)-SUMIF(BALANCE!$A$2:$A$67,"419*",BALANCE!$F$2:$F$67))</f>
        <v/>
      </c>
      <c r="E29" s="13">
        <f>(SUMIF(BALANCE_N1!$A$2:$A$67,"419*",BALANCE_N1!$G$2:$G$67)-SUMIF(BALANCE_N1!$A$2:$A$67,"419*",BALANCE_N1!$F$2:$F$67))</f>
        <v/>
      </c>
    </row>
    <row r="30">
      <c r="A30" s="14" t="inlineStr">
        <is>
          <t>DH</t>
        </is>
      </c>
      <c r="B30" s="14" t="inlineStr">
        <is>
          <t>Fournisseurs</t>
        </is>
      </c>
      <c r="C30" s="14" t="inlineStr">
        <is>
          <t>note 19</t>
        </is>
      </c>
      <c r="D30" s="15">
        <f>(SUMIF(BALANCE!$A$2:$A$67,"40*",BALANCE!$G$2:$G$67)-SUMIF(BALANCE!$A$2:$A$67,"40*",BALANCE!$F$2:$F$67)-SUMIF(BALANCE!$A$2:$A$67,"409*",BALANCE!$G$2:$G$67)+SUMIF(BALANCE!$A$2:$A$67,"409*",BALANCE!$F$2:$F$67))</f>
        <v/>
      </c>
      <c r="E30" s="15">
        <f>(SUMIF(BALANCE_N1!$A$2:$A$67,"40*",BALANCE_N1!$G$2:$G$67)-SUMIF(BALANCE_N1!$A$2:$A$67,"40*",BALANCE_N1!$F$2:$F$67)-SUMIF(BALANCE_N1!$A$2:$A$67,"409*",BALANCE_N1!$G$2:$G$67)+SUMIF(BALANCE_N1!$A$2:$A$67,"409*",BALANCE_N1!$F$2:$F$67))</f>
        <v/>
      </c>
    </row>
    <row r="31">
      <c r="A31" s="12" t="inlineStr">
        <is>
          <t>DI</t>
        </is>
      </c>
      <c r="B31" s="12" t="inlineStr">
        <is>
          <t>Autres dettes</t>
        </is>
      </c>
      <c r="C31" s="12" t="inlineStr">
        <is>
          <t>note 20 et 21</t>
        </is>
      </c>
      <c r="D31" s="13">
        <f>(SUMIF(BALANCE!$A$2:$A$67,"43*",BALANCE!$G$2:$G$67)+SUMIF(BALANCE!$A$2:$A$67,"46*",BALANCE!$G$2:$G$67)+SUMIF(BALANCE!$A$2:$A$67,"44*",BALANCE!$G$2:$G$67)+SUMIF(BALANCE!$A$2:$A$67,"47*",BALANCE!$G$2:$G$67)+SUMIF(BALANCE!$A$2:$A$67,"42*",BALANCE!$G$2:$G$67)+SUMIF(BALANCE!$A$2:$A$67,"45*",BALANCE!$G$2:$G$67)+SUMIF(BALANCE!$A$2:$A$67,"499*",BALANCE!$G$2:$G$67)+SUMIF(BALANCE!$A$2:$A$67,"599*",BALANCE!$G$2:$G$67)-SUMIF(BALANCE!$A$2:$A$67,"479*",BALANCE!$G$2:$G$67)-SUMIF(BALANCE!$A$2:$A$67,"4998*",BALANCE!$G$2:$G$67))</f>
        <v/>
      </c>
      <c r="E31" s="13">
        <f>(SUMIF(BALANCE_N1!$A$2:$A$67,"43*",BALANCE_N1!$G$2:$G$67)+SUMIF(BALANCE_N1!$A$2:$A$67,"46*",BALANCE_N1!$G$2:$G$67)+SUMIF(BALANCE_N1!$A$2:$A$67,"44*",BALANCE_N1!$G$2:$G$67)+SUMIF(BALANCE_N1!$A$2:$A$67,"47*",BALANCE_N1!$G$2:$G$67)+SUMIF(BALANCE_N1!$A$2:$A$67,"42*",BALANCE_N1!$G$2:$G$67)+SUMIF(BALANCE_N1!$A$2:$A$67,"45*",BALANCE_N1!$G$2:$G$67)+SUMIF(BALANCE_N1!$A$2:$A$67,"499*",BALANCE_N1!$G$2:$G$67)+SUMIF(BALANCE_N1!$A$2:$A$67,"599*",BALANCE_N1!$G$2:$G$67)-SUMIF(BALANCE_N1!$A$2:$A$67,"479*",BALANCE_N1!$G$2:$G$67)-SUMIF(BALANCE_N1!$A$2:$A$67,"4998*",BALANCE_N1!$G$2:$G$67))</f>
        <v/>
      </c>
    </row>
    <row r="32">
      <c r="A32" s="10" t="inlineStr">
        <is>
          <t>DV</t>
        </is>
      </c>
      <c r="B32" s="10" t="inlineStr">
        <is>
          <t>TOTAL PASSIF CIRCULANT</t>
        </is>
      </c>
      <c r="C32" s="10" t="inlineStr"/>
      <c r="D32" s="11">
        <f>D28+D29+D30+D31</f>
        <v/>
      </c>
      <c r="E32" s="11">
        <f>E28+E29+E30+E31</f>
        <v/>
      </c>
    </row>
    <row r="33">
      <c r="A33" s="12" t="inlineStr">
        <is>
          <t>DW</t>
        </is>
      </c>
      <c r="B33" s="12" t="inlineStr">
        <is>
          <t>Banques, etablissements financiers et credits de tresorerie</t>
        </is>
      </c>
      <c r="C33" s="12" t="inlineStr">
        <is>
          <t>note 22</t>
        </is>
      </c>
      <c r="D33" s="13">
        <f>(SUMIF(BALANCE!$A$2:$A$67,"565*",BALANCE!$G$2:$G$67)-SUMIF(BALANCE!$A$2:$A$67,"565*",BALANCE!$F$2:$F$67)+SUMIF(BALANCE!$A$2:$A$67,"564*",BALANCE!$G$2:$G$67)-SUMIF(BALANCE!$A$2:$A$67,"564*",BALANCE!$F$2:$F$67))+(SUMIF(BALANCE!$A$2:$A$67,"52*",BALANCE!$G$2:$G$67)+SUMIF(BALANCE!$A$2:$A$67,"53*",BALANCE!$G$2:$G$67))</f>
        <v/>
      </c>
      <c r="E33" s="13">
        <f>(SUMIF(BALANCE_N1!$A$2:$A$67,"565*",BALANCE_N1!$G$2:$G$67)-SUMIF(BALANCE_N1!$A$2:$A$67,"565*",BALANCE_N1!$F$2:$F$67)+SUMIF(BALANCE_N1!$A$2:$A$67,"564*",BALANCE_N1!$G$2:$G$67)-SUMIF(BALANCE_N1!$A$2:$A$67,"564*",BALANCE_N1!$F$2:$F$67))+(SUMIF(BALANCE_N1!$A$2:$A$67,"52*",BALANCE_N1!$G$2:$G$67)+SUMIF(BALANCE_N1!$A$2:$A$67,"53*",BALANCE_N1!$G$2:$G$67))</f>
        <v/>
      </c>
    </row>
    <row r="34">
      <c r="A34" s="10" t="inlineStr">
        <is>
          <t>DX</t>
        </is>
      </c>
      <c r="B34" s="10" t="inlineStr">
        <is>
          <t>TOTAL TRESORERIE PASSIF</t>
        </is>
      </c>
      <c r="C34" s="10" t="inlineStr"/>
      <c r="D34" s="11">
        <f>D33</f>
        <v/>
      </c>
      <c r="E34" s="11">
        <f>E33</f>
        <v/>
      </c>
    </row>
    <row r="35">
      <c r="A35" s="12" t="inlineStr">
        <is>
          <t>DY</t>
        </is>
      </c>
      <c r="B35" s="12" t="inlineStr">
        <is>
          <t>Ecart de conversion-Passif</t>
        </is>
      </c>
      <c r="C35" s="12" t="inlineStr">
        <is>
          <t>note 14</t>
        </is>
      </c>
      <c r="D35" s="13">
        <f>(SUMIF(BALANCE!$A$2:$A$67,"479*",BALANCE!$G$2:$G$67)-SUMIF(BALANCE!$A$2:$A$67,"479*",BALANCE!$F$2:$F$67))</f>
        <v/>
      </c>
      <c r="E35" s="13">
        <f>(SUMIF(BALANCE_N1!$A$2:$A$67,"479*",BALANCE_N1!$G$2:$G$67)-SUMIF(BALANCE_N1!$A$2:$A$67,"479*",BALANCE_N1!$F$2:$F$67))</f>
        <v/>
      </c>
    </row>
    <row r="36">
      <c r="A36" s="10" t="inlineStr">
        <is>
          <t>DZ</t>
        </is>
      </c>
      <c r="B36" s="10" t="inlineStr">
        <is>
          <t>TOTAL GENERAL</t>
        </is>
      </c>
      <c r="C36" s="10" t="inlineStr"/>
      <c r="D36" s="11">
        <f>D27+D32+D34+D35</f>
        <v/>
      </c>
      <c r="E36" s="11">
        <f>E27+E32+E34+E35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7" customWidth="1" min="1" max="1"/>
    <col width="58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COMPTE DE RÉSULTAT</t>
        </is>
      </c>
    </row>
    <row r="2">
      <c r="A2" s="2" t="inlineStr">
        <is>
          <t>SYCEBNL - Associations et ordres professionnels, Système normal</t>
        </is>
      </c>
    </row>
    <row r="3"/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6"/>
    <row r="7">
      <c r="A7" s="9" t="inlineStr">
        <is>
          <t>REF</t>
        </is>
      </c>
      <c r="B7" s="9" t="inlineStr">
        <is>
          <t>LIBELLÉS</t>
        </is>
      </c>
      <c r="C7" s="9" t="inlineStr">
        <is>
          <t>Note</t>
        </is>
      </c>
      <c r="D7" s="9" t="inlineStr">
        <is>
          <t>Net (N)</t>
        </is>
      </c>
      <c r="E7" s="9" t="inlineStr">
        <is>
          <t>Net (N-1)</t>
        </is>
      </c>
    </row>
    <row r="8">
      <c r="A8" s="14" t="inlineStr">
        <is>
          <t>RA</t>
        </is>
      </c>
      <c r="B8" s="14" t="inlineStr">
        <is>
          <t>Cotisations</t>
        </is>
      </c>
      <c r="C8" s="14" t="inlineStr">
        <is>
          <t>note 23</t>
        </is>
      </c>
      <c r="D8" s="15">
        <f>(SUMIF(BALANCE!$A$2:$A$67,"701*",BALANCE!$G$2:$G$67)-SUMIF(BALANCE!$A$2:$A$67,"701*",BALANCE!$F$2:$F$67))</f>
        <v/>
      </c>
      <c r="E8" s="15">
        <f>(SUMIF(BALANCE_N1!$A$2:$A$67,"701*",BALANCE_N1!$G$2:$G$67)-SUMIF(BALANCE_N1!$A$2:$A$67,"701*",BALANCE_N1!$F$2:$F$67))</f>
        <v/>
      </c>
    </row>
    <row r="9">
      <c r="A9" s="12" t="inlineStr">
        <is>
          <t>RB</t>
        </is>
      </c>
      <c r="B9" s="12" t="inlineStr">
        <is>
          <t>Dotations consomptibles transferees au compte de resultat</t>
        </is>
      </c>
      <c r="C9" s="12" t="inlineStr">
        <is>
          <t>note 23</t>
        </is>
      </c>
      <c r="D9" s="13">
        <f>(SUMIF(BALANCE!$A$2:$A$67,"703*",BALANCE!$G$2:$G$67)-SUMIF(BALANCE!$A$2:$A$67,"703*",BALANCE!$F$2:$F$67))</f>
        <v/>
      </c>
      <c r="E9" s="13">
        <f>(SUMIF(BALANCE_N1!$A$2:$A$67,"703*",BALANCE_N1!$G$2:$G$67)-SUMIF(BALANCE_N1!$A$2:$A$67,"703*",BALANCE_N1!$F$2:$F$67))</f>
        <v/>
      </c>
    </row>
    <row r="10">
      <c r="A10" s="14" t="inlineStr">
        <is>
          <t>RC</t>
        </is>
      </c>
      <c r="B10" s="14" t="inlineStr">
        <is>
          <t>Revenus lies a la generosite</t>
        </is>
      </c>
      <c r="C10" s="14" t="inlineStr">
        <is>
          <t>note 23</t>
        </is>
      </c>
      <c r="D10" s="15">
        <f>(SUMIF(BALANCE!$A$2:$A$67,"704*",BALANCE!$G$2:$G$67)-SUMIF(BALANCE!$A$2:$A$67,"704*",BALANCE!$F$2:$F$67))</f>
        <v/>
      </c>
      <c r="E10" s="15">
        <f>(SUMIF(BALANCE_N1!$A$2:$A$67,"704*",BALANCE_N1!$G$2:$G$67)-SUMIF(BALANCE_N1!$A$2:$A$67,"704*",BALANCE_N1!$F$2:$F$67))</f>
        <v/>
      </c>
    </row>
    <row r="11">
      <c r="A11" s="12" t="inlineStr">
        <is>
          <t>RD</t>
        </is>
      </c>
      <c r="B11" s="12" t="inlineStr">
        <is>
          <t>Ventes de marchandises</t>
        </is>
      </c>
      <c r="C11" s="12" t="inlineStr">
        <is>
          <t>note 23</t>
        </is>
      </c>
      <c r="D11" s="13">
        <f>(SUMIF(BALANCE!$A$2:$A$67,"7051*",BALANCE!$G$2:$G$67)-SUMIF(BALANCE!$A$2:$A$67,"7051*",BALANCE!$F$2:$F$67))</f>
        <v/>
      </c>
      <c r="E11" s="13">
        <f>(SUMIF(BALANCE_N1!$A$2:$A$67,"7051*",BALANCE_N1!$G$2:$G$67)-SUMIF(BALANCE_N1!$A$2:$A$67,"7051*",BALANCE_N1!$F$2:$F$67))</f>
        <v/>
      </c>
    </row>
    <row r="12">
      <c r="A12" s="14" t="inlineStr">
        <is>
          <t>RE</t>
        </is>
      </c>
      <c r="B12" s="14" t="inlineStr">
        <is>
          <t>Ventes de services et produits finis</t>
        </is>
      </c>
      <c r="C12" s="14" t="inlineStr">
        <is>
          <t>note 23</t>
        </is>
      </c>
      <c r="D12" s="15">
        <f>(SUMIF(BALANCE!$A$2:$A$67,"7053*",BALANCE!$G$2:$G$67)-SUMIF(BALANCE!$A$2:$A$67,"7053*",BALANCE!$F$2:$F$67)+SUMIF(BALANCE!$A$2:$A$67,"7052*",BALANCE!$G$2:$G$67)-SUMIF(BALANCE!$A$2:$A$67,"7052*",BALANCE!$F$2:$F$67))</f>
        <v/>
      </c>
      <c r="E12" s="15">
        <f>(SUMIF(BALANCE_N1!$A$2:$A$67,"7053*",BALANCE_N1!$G$2:$G$67)-SUMIF(BALANCE_N1!$A$2:$A$67,"7053*",BALANCE_N1!$F$2:$F$67)+SUMIF(BALANCE_N1!$A$2:$A$67,"7052*",BALANCE_N1!$G$2:$G$67)-SUMIF(BALANCE_N1!$A$2:$A$67,"7052*",BALANCE_N1!$F$2:$F$67))</f>
        <v/>
      </c>
    </row>
    <row r="13">
      <c r="A13" s="12" t="inlineStr">
        <is>
          <t>RF</t>
        </is>
      </c>
      <c r="B13" s="12" t="inlineStr">
        <is>
          <t>Subventions d'exploitation</t>
        </is>
      </c>
      <c r="C13" s="12" t="inlineStr">
        <is>
          <t>note 23</t>
        </is>
      </c>
      <c r="D13" s="13">
        <f>(SUMIF(BALANCE!$A$2:$A$67,"71*",BALANCE!$G$2:$G$67)-SUMIF(BALANCE!$A$2:$A$67,"71*",BALANCE!$F$2:$F$67))</f>
        <v/>
      </c>
      <c r="E13" s="13">
        <f>(SUMIF(BALANCE_N1!$A$2:$A$67,"71*",BALANCE_N1!$G$2:$G$67)-SUMIF(BALANCE_N1!$A$2:$A$67,"71*",BALANCE_N1!$F$2:$F$67))</f>
        <v/>
      </c>
    </row>
    <row r="14">
      <c r="A14" s="14" t="inlineStr">
        <is>
          <t>RG</t>
        </is>
      </c>
      <c r="B14" s="14" t="inlineStr">
        <is>
          <t>Autres produits et transferts de charges</t>
        </is>
      </c>
      <c r="C14" s="14" t="inlineStr">
        <is>
          <t>note 23</t>
        </is>
      </c>
      <c r="D14" s="15">
        <f>(SUMIF(BALANCE!$A$2:$A$67,"72*",BALANCE!$G$2:$G$67)-SUMIF(BALANCE!$A$2:$A$67,"72*",BALANCE!$F$2:$F$67)+SUMIF(BALANCE!$A$2:$A$67,"73*",BALANCE!$G$2:$G$67)-SUMIF(BALANCE!$A$2:$A$67,"73*",BALANCE!$F$2:$F$67)+SUMIF(BALANCE!$A$2:$A$67,"75*",BALANCE!$G$2:$G$67)-SUMIF(BALANCE!$A$2:$A$67,"75*",BALANCE!$F$2:$F$67)+SUMIF(BALANCE!$A$2:$A$67,"77*",BALANCE!$G$2:$G$67)-SUMIF(BALANCE!$A$2:$A$67,"77*",BALANCE!$F$2:$F$67)+SUMIF(BALANCE!$A$2:$A$67,"78*",BALANCE!$G$2:$G$67)-SUMIF(BALANCE!$A$2:$A$67,"78*",BALANCE!$F$2:$F$67)+SUMIF(BALANCE!$A$2:$A$67,"706*",BALANCE!$G$2:$G$67)-SUMIF(BALANCE!$A$2:$A$67,"706*",BALANCE!$F$2:$F$67)+SUMIF(BALANCE!$A$2:$A$67,"708*",BALANCE!$G$2:$G$67)-SUMIF(BALANCE!$A$2:$A$67,"708*",BALANCE!$F$2:$F$67)+SUMIF(BALANCE!$A$2:$A$67,"707*",BALANCE!$G$2:$G$67)-SUMIF(BALANCE!$A$2:$A$67,"707*",BALANCE!$F$2:$F$67))</f>
        <v/>
      </c>
      <c r="E14" s="15">
        <f>(SUMIF(BALANCE_N1!$A$2:$A$67,"72*",BALANCE_N1!$G$2:$G$67)-SUMIF(BALANCE_N1!$A$2:$A$67,"72*",BALANCE_N1!$F$2:$F$67)+SUMIF(BALANCE_N1!$A$2:$A$67,"73*",BALANCE_N1!$G$2:$G$67)-SUMIF(BALANCE_N1!$A$2:$A$67,"73*",BALANCE_N1!$F$2:$F$67)+SUMIF(BALANCE_N1!$A$2:$A$67,"75*",BALANCE_N1!$G$2:$G$67)-SUMIF(BALANCE_N1!$A$2:$A$67,"75*",BALANCE_N1!$F$2:$F$67)+SUMIF(BALANCE_N1!$A$2:$A$67,"77*",BALANCE_N1!$G$2:$G$67)-SUMIF(BALANCE_N1!$A$2:$A$67,"77*",BALANCE_N1!$F$2:$F$67)+SUMIF(BALANCE_N1!$A$2:$A$67,"78*",BALANCE_N1!$G$2:$G$67)-SUMIF(BALANCE_N1!$A$2:$A$67,"78*",BALANCE_N1!$F$2:$F$67)+SUMIF(BALANCE_N1!$A$2:$A$67,"706*",BALANCE_N1!$G$2:$G$67)-SUMIF(BALANCE_N1!$A$2:$A$67,"706*",BALANCE_N1!$F$2:$F$67)+SUMIF(BALANCE_N1!$A$2:$A$67,"708*",BALANCE_N1!$G$2:$G$67)-SUMIF(BALANCE_N1!$A$2:$A$67,"708*",BALANCE_N1!$F$2:$F$67)+SUMIF(BALANCE_N1!$A$2:$A$67,"707*",BALANCE_N1!$G$2:$G$67)-SUMIF(BALANCE_N1!$A$2:$A$67,"707*",BALANCE_N1!$F$2:$F$67))</f>
        <v/>
      </c>
    </row>
    <row r="15">
      <c r="A15" s="12" t="inlineStr">
        <is>
          <t>RH</t>
        </is>
      </c>
      <c r="B15" s="12" t="inlineStr">
        <is>
          <t>Reprises de provisions, depreciations, subventions et autres reprises</t>
        </is>
      </c>
      <c r="C15" s="12" t="inlineStr">
        <is>
          <t>note 5D et 30</t>
        </is>
      </c>
      <c r="D15" s="13">
        <f>(SUMIF(BALANCE!$A$2:$A$67,"79*",BALANCE!$G$2:$G$67)-SUMIF(BALANCE!$A$2:$A$67,"79*",BALANCE!$F$2:$F$67))</f>
        <v/>
      </c>
      <c r="E15" s="13">
        <f>(SUMIF(BALANCE_N1!$A$2:$A$67,"79*",BALANCE_N1!$G$2:$G$67)-SUMIF(BALANCE_N1!$A$2:$A$67,"79*",BALANCE_N1!$F$2:$F$67))</f>
        <v/>
      </c>
    </row>
    <row r="16">
      <c r="A16" s="10" t="inlineStr">
        <is>
          <t>XA</t>
        </is>
      </c>
      <c r="B16" s="10" t="inlineStr">
        <is>
          <t>REVENUS DES ACTIVITES ORDINAIRES</t>
        </is>
      </c>
      <c r="C16" s="10" t="inlineStr"/>
      <c r="D16" s="11">
        <f>D8+D9+D10+D11+D12+D13+D14+D15</f>
        <v/>
      </c>
      <c r="E16" s="11">
        <f>E8+E9+E10+E11+E12+E13+E14+E15</f>
        <v/>
      </c>
    </row>
    <row r="17">
      <c r="A17" s="12" t="inlineStr">
        <is>
          <t>TA</t>
        </is>
      </c>
      <c r="B17" s="12" t="inlineStr">
        <is>
          <t>Achats de biens et services lies a l'activite</t>
        </is>
      </c>
      <c r="C17" s="12" t="inlineStr">
        <is>
          <t>note 24</t>
        </is>
      </c>
      <c r="D17" s="13">
        <f>(SUMIF(BALANCE!$A$2:$A$67,"601*",BALANCE!$G$2:$G$67)-SUMIF(BALANCE!$A$2:$A$67,"601*",BALANCE!$F$2:$F$67))</f>
        <v/>
      </c>
      <c r="E17" s="13">
        <f>(SUMIF(BALANCE_N1!$A$2:$A$67,"601*",BALANCE_N1!$G$2:$G$67)-SUMIF(BALANCE_N1!$A$2:$A$67,"601*",BALANCE_N1!$F$2:$F$67))</f>
        <v/>
      </c>
    </row>
    <row r="18">
      <c r="A18" s="14" t="inlineStr">
        <is>
          <t>TB</t>
        </is>
      </c>
      <c r="B18" s="14" t="inlineStr">
        <is>
          <t>Variation de stocks des achats de biens et services lies a l'activite</t>
        </is>
      </c>
      <c r="C18" s="14" t="inlineStr">
        <is>
          <t>note 8</t>
        </is>
      </c>
      <c r="D18" s="15">
        <f>(SUMIF(BALANCE!$A$2:$A$67,"6031*",BALANCE!$G$2:$G$67)-SUMIF(BALANCE!$A$2:$A$67,"6031*",BALANCE!$F$2:$F$67))</f>
        <v/>
      </c>
      <c r="E18" s="15">
        <f>(SUMIF(BALANCE_N1!$A$2:$A$67,"6031*",BALANCE_N1!$G$2:$G$67)-SUMIF(BALANCE_N1!$A$2:$A$67,"6031*",BALANCE_N1!$F$2:$F$67))</f>
        <v/>
      </c>
    </row>
    <row r="19">
      <c r="A19" s="12" t="inlineStr">
        <is>
          <t>TC</t>
        </is>
      </c>
      <c r="B19" s="12" t="inlineStr">
        <is>
          <t>Achats de marchandises et matieres premieres</t>
        </is>
      </c>
      <c r="C19" s="12" t="inlineStr">
        <is>
          <t>note 24</t>
        </is>
      </c>
      <c r="D19" s="13">
        <f>(SUMIF(BALANCE!$A$2:$A$67,"602*",BALANCE!$G$2:$G$67)-SUMIF(BALANCE!$A$2:$A$67,"602*",BALANCE!$F$2:$F$67))</f>
        <v/>
      </c>
      <c r="E19" s="13">
        <f>(SUMIF(BALANCE_N1!$A$2:$A$67,"602*",BALANCE_N1!$G$2:$G$67)-SUMIF(BALANCE_N1!$A$2:$A$67,"602*",BALANCE_N1!$F$2:$F$67))</f>
        <v/>
      </c>
    </row>
    <row r="20">
      <c r="A20" s="14" t="inlineStr">
        <is>
          <t>TD</t>
        </is>
      </c>
      <c r="B20" s="14" t="inlineStr">
        <is>
          <t>Autres achats</t>
        </is>
      </c>
      <c r="C20" s="14" t="inlineStr">
        <is>
          <t>note 24</t>
        </is>
      </c>
      <c r="D20" s="15">
        <f>(SUMIF(BALANCE!$A$2:$A$67,"606*",BALANCE!$G$2:$G$67)-SUMIF(BALANCE!$A$2:$A$67,"606*",BALANCE!$F$2:$F$67)+SUMIF(BALANCE!$A$2:$A$67,"608*",BALANCE!$G$2:$G$67)-SUMIF(BALANCE!$A$2:$A$67,"608*",BALANCE!$F$2:$F$67)+SUMIF(BALANCE!$A$2:$A$67,"605*",BALANCE!$G$2:$G$67)-SUMIF(BALANCE!$A$2:$A$67,"605*",BALANCE!$F$2:$F$67)+SUMIF(BALANCE!$A$2:$A$67,"604*",BALANCE!$G$2:$G$67)-SUMIF(BALANCE!$A$2:$A$67,"604*",BALANCE!$F$2:$F$67))</f>
        <v/>
      </c>
      <c r="E20" s="15">
        <f>(SUMIF(BALANCE_N1!$A$2:$A$67,"606*",BALANCE_N1!$G$2:$G$67)-SUMIF(BALANCE_N1!$A$2:$A$67,"606*",BALANCE_N1!$F$2:$F$67)+SUMIF(BALANCE_N1!$A$2:$A$67,"608*",BALANCE_N1!$G$2:$G$67)-SUMIF(BALANCE_N1!$A$2:$A$67,"608*",BALANCE_N1!$F$2:$F$67)+SUMIF(BALANCE_N1!$A$2:$A$67,"605*",BALANCE_N1!$G$2:$G$67)-SUMIF(BALANCE_N1!$A$2:$A$67,"605*",BALANCE_N1!$F$2:$F$67)+SUMIF(BALANCE_N1!$A$2:$A$67,"604*",BALANCE_N1!$G$2:$G$67)-SUMIF(BALANCE_N1!$A$2:$A$67,"604*",BALANCE_N1!$F$2:$F$67))</f>
        <v/>
      </c>
    </row>
    <row r="21">
      <c r="A21" s="12" t="inlineStr">
        <is>
          <t>TE</t>
        </is>
      </c>
      <c r="B21" s="12" t="inlineStr">
        <is>
          <t>Variation de stocks de marchandises, de matieres premieres et autres</t>
        </is>
      </c>
      <c r="C21" s="12" t="inlineStr">
        <is>
          <t>note 8</t>
        </is>
      </c>
      <c r="D21" s="13">
        <f>(SUMIF(BALANCE!$A$2:$A$67,"6032*",BALANCE!$G$2:$G$67)-SUMIF(BALANCE!$A$2:$A$67,"6032*",BALANCE!$F$2:$F$67)+SUMIF(BALANCE!$A$2:$A$67,"6035*",BALANCE!$G$2:$G$67)-SUMIF(BALANCE!$A$2:$A$67,"6035*",BALANCE!$F$2:$F$67)+SUMIF(BALANCE!$A$2:$A$67,"6033*",BALANCE!$G$2:$G$67)-SUMIF(BALANCE!$A$2:$A$67,"6033*",BALANCE!$F$2:$F$67)+SUMIF(BALANCE!$A$2:$A$67,"6034*",BALANCE!$G$2:$G$67)-SUMIF(BALANCE!$A$2:$A$67,"6034*",BALANCE!$F$2:$F$67))</f>
        <v/>
      </c>
      <c r="E21" s="13">
        <f>(SUMIF(BALANCE_N1!$A$2:$A$67,"6032*",BALANCE_N1!$G$2:$G$67)-SUMIF(BALANCE_N1!$A$2:$A$67,"6032*",BALANCE_N1!$F$2:$F$67)+SUMIF(BALANCE_N1!$A$2:$A$67,"6035*",BALANCE_N1!$G$2:$G$67)-SUMIF(BALANCE_N1!$A$2:$A$67,"6035*",BALANCE_N1!$F$2:$F$67)+SUMIF(BALANCE_N1!$A$2:$A$67,"6033*",BALANCE_N1!$G$2:$G$67)-SUMIF(BALANCE_N1!$A$2:$A$67,"6033*",BALANCE_N1!$F$2:$F$67)+SUMIF(BALANCE_N1!$A$2:$A$67,"6034*",BALANCE_N1!$G$2:$G$67)-SUMIF(BALANCE_N1!$A$2:$A$67,"6034*",BALANCE_N1!$F$2:$F$67))</f>
        <v/>
      </c>
    </row>
    <row r="22">
      <c r="A22" s="14" t="inlineStr">
        <is>
          <t>TF</t>
        </is>
      </c>
      <c r="B22" s="14" t="inlineStr">
        <is>
          <t>Transports</t>
        </is>
      </c>
      <c r="C22" s="14" t="inlineStr">
        <is>
          <t>note 25</t>
        </is>
      </c>
      <c r="D22" s="15">
        <f>(SUMIF(BALANCE!$A$2:$A$67,"61*",BALANCE!$G$2:$G$67)-SUMIF(BALANCE!$A$2:$A$67,"61*",BALANCE!$F$2:$F$67))</f>
        <v/>
      </c>
      <c r="E22" s="15">
        <f>(SUMIF(BALANCE_N1!$A$2:$A$67,"61*",BALANCE_N1!$G$2:$G$67)-SUMIF(BALANCE_N1!$A$2:$A$67,"61*",BALANCE_N1!$F$2:$F$67))</f>
        <v/>
      </c>
    </row>
    <row r="23">
      <c r="A23" s="12" t="inlineStr">
        <is>
          <t>TG</t>
        </is>
      </c>
      <c r="B23" s="12" t="inlineStr">
        <is>
          <t>Services exterieurs</t>
        </is>
      </c>
      <c r="C23" s="12" t="inlineStr">
        <is>
          <t>note 26</t>
        </is>
      </c>
      <c r="D23" s="13">
        <f>(SUMIF(BALANCE!$A$2:$A$67,"63*",BALANCE!$G$2:$G$67)-SUMIF(BALANCE!$A$2:$A$67,"63*",BALANCE!$F$2:$F$67)+SUMIF(BALANCE!$A$2:$A$67,"62*",BALANCE!$G$2:$G$67)-SUMIF(BALANCE!$A$2:$A$67,"62*",BALANCE!$F$2:$F$67))</f>
        <v/>
      </c>
      <c r="E23" s="13">
        <f>(SUMIF(BALANCE_N1!$A$2:$A$67,"63*",BALANCE_N1!$G$2:$G$67)-SUMIF(BALANCE_N1!$A$2:$A$67,"63*",BALANCE_N1!$F$2:$F$67)+SUMIF(BALANCE_N1!$A$2:$A$67,"62*",BALANCE_N1!$G$2:$G$67)-SUMIF(BALANCE_N1!$A$2:$A$67,"62*",BALANCE_N1!$F$2:$F$67))</f>
        <v/>
      </c>
    </row>
    <row r="24">
      <c r="A24" s="14" t="inlineStr">
        <is>
          <t>TH</t>
        </is>
      </c>
      <c r="B24" s="14" t="inlineStr">
        <is>
          <t>Impots et taxes</t>
        </is>
      </c>
      <c r="C24" s="14" t="inlineStr">
        <is>
          <t>note 27</t>
        </is>
      </c>
      <c r="D24" s="15">
        <f>(SUMIF(BALANCE!$A$2:$A$67,"64*",BALANCE!$G$2:$G$67)-SUMIF(BALANCE!$A$2:$A$67,"64*",BALANCE!$F$2:$F$67))</f>
        <v/>
      </c>
      <c r="E24" s="15">
        <f>(SUMIF(BALANCE_N1!$A$2:$A$67,"64*",BALANCE_N1!$G$2:$G$67)-SUMIF(BALANCE_N1!$A$2:$A$67,"64*",BALANCE_N1!$F$2:$F$67))</f>
        <v/>
      </c>
    </row>
    <row r="25">
      <c r="A25" s="12" t="inlineStr">
        <is>
          <t>TI</t>
        </is>
      </c>
      <c r="B25" s="12" t="inlineStr">
        <is>
          <t>Autres charges</t>
        </is>
      </c>
      <c r="C25" s="12" t="inlineStr">
        <is>
          <t>note 28</t>
        </is>
      </c>
      <c r="D25" s="13">
        <f>(SUMIF(BALANCE!$A$2:$A$67,"65*",BALANCE!$G$2:$G$67)-SUMIF(BALANCE!$A$2:$A$67,"65*",BALANCE!$F$2:$F$67))</f>
        <v/>
      </c>
      <c r="E25" s="13">
        <f>(SUMIF(BALANCE_N1!$A$2:$A$67,"65*",BALANCE_N1!$G$2:$G$67)-SUMIF(BALANCE_N1!$A$2:$A$67,"65*",BALANCE_N1!$F$2:$F$67))</f>
        <v/>
      </c>
    </row>
    <row r="26">
      <c r="A26" s="14" t="inlineStr">
        <is>
          <t>TJ</t>
        </is>
      </c>
      <c r="B26" s="14" t="inlineStr">
        <is>
          <t>Charges de personnel</t>
        </is>
      </c>
      <c r="C26" s="14" t="inlineStr">
        <is>
          <t>note 29</t>
        </is>
      </c>
      <c r="D26" s="15">
        <f>(SUMIF(BALANCE!$A$2:$A$67,"66*",BALANCE!$G$2:$G$67)-SUMIF(BALANCE!$A$2:$A$67,"66*",BALANCE!$F$2:$F$67))</f>
        <v/>
      </c>
      <c r="E26" s="15">
        <f>(SUMIF(BALANCE_N1!$A$2:$A$67,"66*",BALANCE_N1!$G$2:$G$67)-SUMIF(BALANCE_N1!$A$2:$A$67,"66*",BALANCE_N1!$F$2:$F$67))</f>
        <v/>
      </c>
    </row>
    <row r="27">
      <c r="A27" s="12" t="inlineStr">
        <is>
          <t>TK</t>
        </is>
      </c>
      <c r="B27" s="12" t="inlineStr">
        <is>
          <t>Frais financiers et charges assimilees</t>
        </is>
      </c>
      <c r="C27" s="12" t="inlineStr">
        <is>
          <t>note 31</t>
        </is>
      </c>
      <c r="D27" s="13">
        <f>(SUMIF(BALANCE!$A$2:$A$67,"67*",BALANCE!$G$2:$G$67)-SUMIF(BALANCE!$A$2:$A$67,"67*",BALANCE!$F$2:$F$67))</f>
        <v/>
      </c>
      <c r="E27" s="13">
        <f>(SUMIF(BALANCE_N1!$A$2:$A$67,"67*",BALANCE_N1!$G$2:$G$67)-SUMIF(BALANCE_N1!$A$2:$A$67,"67*",BALANCE_N1!$F$2:$F$67))</f>
        <v/>
      </c>
    </row>
    <row r="28">
      <c r="A28" s="14" t="inlineStr">
        <is>
          <t>TL</t>
        </is>
      </c>
      <c r="B28" s="14" t="inlineStr">
        <is>
          <t>Dotations aux amortissements, aux provisions, aux depreciations et autres</t>
        </is>
      </c>
      <c r="C28" s="14" t="inlineStr">
        <is>
          <t>note 5D et 30</t>
        </is>
      </c>
      <c r="D28" s="15">
        <f>(SUMIF(BALANCE!$A$2:$A$67,"69*",BALANCE!$G$2:$G$67)-SUMIF(BALANCE!$A$2:$A$67,"69*",BALANCE!$F$2:$F$67)+SUMIF(BALANCE!$A$2:$A$67,"68*",BALANCE!$G$2:$G$67)-SUMIF(BALANCE!$A$2:$A$67,"68*",BALANCE!$F$2:$F$67))</f>
        <v/>
      </c>
      <c r="E28" s="15">
        <f>(SUMIF(BALANCE_N1!$A$2:$A$67,"69*",BALANCE_N1!$G$2:$G$67)-SUMIF(BALANCE_N1!$A$2:$A$67,"69*",BALANCE_N1!$F$2:$F$67)+SUMIF(BALANCE_N1!$A$2:$A$67,"68*",BALANCE_N1!$G$2:$G$67)-SUMIF(BALANCE_N1!$A$2:$A$67,"68*",BALANCE_N1!$F$2:$F$67))</f>
        <v/>
      </c>
    </row>
    <row r="29">
      <c r="A29" s="10" t="inlineStr">
        <is>
          <t>XB</t>
        </is>
      </c>
      <c r="B29" s="10" t="inlineStr">
        <is>
          <t>CHARGES DES ACTIVITES ORDINAIRES</t>
        </is>
      </c>
      <c r="C29" s="10" t="inlineStr"/>
      <c r="D29" s="11">
        <f>D17+D18+D19+D20+D21+D22+D23+D24+D25+D26+D27+D28</f>
        <v/>
      </c>
      <c r="E29" s="11">
        <f>E17+E18+E19+E20+E21+E22+E23+E24+E25+E26+E27+E28</f>
        <v/>
      </c>
    </row>
    <row r="30">
      <c r="A30" s="10" t="inlineStr">
        <is>
          <t>XC</t>
        </is>
      </c>
      <c r="B30" s="10" t="inlineStr">
        <is>
          <t>RESULTAT DES ACTIVITES ORDINAIRES</t>
        </is>
      </c>
      <c r="C30" s="10" t="inlineStr"/>
      <c r="D30" s="11">
        <f>D16+D29</f>
        <v/>
      </c>
      <c r="E30" s="11">
        <f>E16+E29</f>
        <v/>
      </c>
    </row>
    <row r="31">
      <c r="A31" s="12" t="inlineStr">
        <is>
          <t>TM</t>
        </is>
      </c>
      <c r="B31" s="12" t="inlineStr">
        <is>
          <t>Produits H.A.O.</t>
        </is>
      </c>
      <c r="C31" s="12" t="inlineStr">
        <is>
          <t>note 32</t>
        </is>
      </c>
      <c r="D31" s="13">
        <f>(SUMIF(BALANCE!$A$2:$A$67,"82*",BALANCE!$G$2:$G$67)-SUMIF(BALANCE!$A$2:$A$67,"82*",BALANCE!$F$2:$F$67)+SUMIF(BALANCE!$A$2:$A$67,"88*",BALANCE!$G$2:$G$67)-SUMIF(BALANCE!$A$2:$A$67,"88*",BALANCE!$F$2:$F$67)+SUMIF(BALANCE!$A$2:$A$67,"86*",BALANCE!$G$2:$G$67)-SUMIF(BALANCE!$A$2:$A$67,"86*",BALANCE!$F$2:$F$67)+SUMIF(BALANCE!$A$2:$A$67,"84*",BALANCE!$G$2:$G$67)-SUMIF(BALANCE!$A$2:$A$67,"84*",BALANCE!$F$2:$F$67))</f>
        <v/>
      </c>
      <c r="E31" s="13">
        <f>(SUMIF(BALANCE_N1!$A$2:$A$67,"82*",BALANCE_N1!$G$2:$G$67)-SUMIF(BALANCE_N1!$A$2:$A$67,"82*",BALANCE_N1!$F$2:$F$67)+SUMIF(BALANCE_N1!$A$2:$A$67,"88*",BALANCE_N1!$G$2:$G$67)-SUMIF(BALANCE_N1!$A$2:$A$67,"88*",BALANCE_N1!$F$2:$F$67)+SUMIF(BALANCE_N1!$A$2:$A$67,"86*",BALANCE_N1!$G$2:$G$67)-SUMIF(BALANCE_N1!$A$2:$A$67,"86*",BALANCE_N1!$F$2:$F$67)+SUMIF(BALANCE_N1!$A$2:$A$67,"84*",BALANCE_N1!$G$2:$G$67)-SUMIF(BALANCE_N1!$A$2:$A$67,"84*",BALANCE_N1!$F$2:$F$67))</f>
        <v/>
      </c>
    </row>
    <row r="32">
      <c r="A32" s="14" t="inlineStr">
        <is>
          <t>TN</t>
        </is>
      </c>
      <c r="B32" s="14" t="inlineStr">
        <is>
          <t>Charges H.A.O.</t>
        </is>
      </c>
      <c r="C32" s="14" t="inlineStr">
        <is>
          <t>note 32</t>
        </is>
      </c>
      <c r="D32" s="15">
        <f>(SUMIF(BALANCE!$A$2:$A$67,"87*",BALANCE!$G$2:$G$67)-SUMIF(BALANCE!$A$2:$A$67,"87*",BALANCE!$F$2:$F$67)+SUMIF(BALANCE!$A$2:$A$67,"83*",BALANCE!$G$2:$G$67)-SUMIF(BALANCE!$A$2:$A$67,"83*",BALANCE!$F$2:$F$67)+SUMIF(BALANCE!$A$2:$A$67,"85*",BALANCE!$G$2:$G$67)-SUMIF(BALANCE!$A$2:$A$67,"85*",BALANCE!$F$2:$F$67)+SUMIF(BALANCE!$A$2:$A$67,"81*",BALANCE!$G$2:$G$67)-SUMIF(BALANCE!$A$2:$A$67,"81*",BALANCE!$F$2:$F$67))</f>
        <v/>
      </c>
      <c r="E32" s="15">
        <f>(SUMIF(BALANCE_N1!$A$2:$A$67,"87*",BALANCE_N1!$G$2:$G$67)-SUMIF(BALANCE_N1!$A$2:$A$67,"87*",BALANCE_N1!$F$2:$F$67)+SUMIF(BALANCE_N1!$A$2:$A$67,"83*",BALANCE_N1!$G$2:$G$67)-SUMIF(BALANCE_N1!$A$2:$A$67,"83*",BALANCE_N1!$F$2:$F$67)+SUMIF(BALANCE_N1!$A$2:$A$67,"85*",BALANCE_N1!$G$2:$G$67)-SUMIF(BALANCE_N1!$A$2:$A$67,"85*",BALANCE_N1!$F$2:$F$67)+SUMIF(BALANCE_N1!$A$2:$A$67,"81*",BALANCE_N1!$G$2:$G$67)-SUMIF(BALANCE_N1!$A$2:$A$67,"81*",BALANCE_N1!$F$2:$F$67))</f>
        <v/>
      </c>
    </row>
    <row r="33">
      <c r="A33" s="10" t="inlineStr">
        <is>
          <t>XD</t>
        </is>
      </c>
      <c r="B33" s="10" t="inlineStr">
        <is>
          <t>RESULTAT H.A.O.</t>
        </is>
      </c>
      <c r="C33" s="10" t="inlineStr"/>
      <c r="D33" s="11">
        <f>D31+D32</f>
        <v/>
      </c>
      <c r="E33" s="11">
        <f>E31+E32</f>
        <v/>
      </c>
    </row>
    <row r="34">
      <c r="A34" s="10" t="inlineStr">
        <is>
          <t>XE</t>
        </is>
      </c>
      <c r="B34" s="10" t="inlineStr">
        <is>
          <t>RESULTAT NET DE L'EXERCICE (+excedent, -deficit)</t>
        </is>
      </c>
      <c r="C34" s="10" t="inlineStr"/>
      <c r="D34" s="11">
        <f>D30+D33</f>
        <v/>
      </c>
      <c r="E34" s="11">
        <f>E30+E33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76" customWidth="1" min="2" max="2"/>
    <col width="6" customWidth="1" min="3" max="3"/>
    <col width="16" customWidth="1" min="4" max="4"/>
    <col width="16" customWidth="1" min="5" max="5"/>
  </cols>
  <sheetData>
    <row r="1">
      <c r="A1" s="1" t="inlineStr">
        <is>
          <t>TABLEAU DES FLUX DE TRÉSORERIE</t>
        </is>
      </c>
    </row>
    <row r="2">
      <c r="A2" s="2" t="inlineStr">
        <is>
          <t>SYCEBNL - Associations et ordres professionnels, méthode directe</t>
        </is>
      </c>
    </row>
    <row r="3"/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6"/>
    <row r="7">
      <c r="A7" s="9" t="inlineStr">
        <is>
          <t>REF</t>
        </is>
      </c>
      <c r="B7" s="9" t="inlineStr">
        <is>
          <t>LIBELLÉS</t>
        </is>
      </c>
      <c r="C7" s="9" t="inlineStr">
        <is>
          <t>Rep.</t>
        </is>
      </c>
      <c r="D7" s="9" t="inlineStr">
        <is>
          <t>Exercice N</t>
        </is>
      </c>
      <c r="E7" s="9" t="inlineStr">
        <is>
          <t>Exercice N-1</t>
        </is>
      </c>
    </row>
    <row r="8">
      <c r="A8" s="10" t="inlineStr">
        <is>
          <t>ZA</t>
        </is>
      </c>
      <c r="B8" s="10" t="inlineStr">
        <is>
          <t>Trésorerie nette au 1er janvier (Trésorerie actif N-1 - Trésorerie passif N-1)</t>
        </is>
      </c>
      <c r="C8" s="10">
        <f>((((SUMIF(BALANCE_N1!$A$2:$A$67,"50*",BALANCE_N1!$F$2:$F$67)-SUMIF(BALANCE_N1!$A$2:$A$67,"50*",BALANCE_N1!$G$2:$G$67)))-((SUMIF(BALANCE_N1!$A$2:$A$67,"590*",BALANCE_N1!$G$2:$G$67)-SUMIF(BALANCE_N1!$A$2:$A$67,"590*",BALANCE_N1!$F$2:$F$67))))+(((SUMIF(BALANCE_N1!$A$2:$A$67,"51*",BALANCE_N1!$F$2:$F$67)-SUMIF(BALANCE_N1!$A$2:$A$67,"51*",BALANCE_N1!$G$2:$G$67)))-((SUMIF(BALANCE_N1!$A$2:$A$67,"591*",BALANCE_N1!$G$2:$G$67)-SUMIF(BALANCE_N1!$A$2:$A$67,"591*",BALANCE_N1!$F$2:$F$67))))+(((SUMIF(BALANCE_N1!$A$2:$A$67,"55*",BALANCE_N1!$F$2:$F$67)-SUMIF(BALANCE_N1!$A$2:$A$67,"55*",BALANCE_N1!$G$2:$G$67)+SUMIF(BALANCE_N1!$A$2:$A$67,"52*",BALANCE_N1!$F$2:$F$67)-SUMIF(BALANCE_N1!$A$2:$A$67,"52*",BALANCE_N1!$G$2:$G$67)+SUMIF(BALANCE_N1!$A$2:$A$67,"57*",BALANCE_N1!$F$2:$F$67)-SUMIF(BALANCE_N1!$A$2:$A$67,"57*",BALANCE_N1!$G$2:$G$67)+SUMIF(BALANCE_N1!$A$2:$A$67,"53*",BALANCE_N1!$F$2:$F$67)-SUMIF(BALANCE_N1!$A$2:$A$67,"53*",BALANCE_N1!$G$2:$G$67)))-((SUMIF(BALANCE_N1!$A$2:$A$67,"592*",BALANCE_N1!$G$2:$G$67)-SUMIF(BALANCE_N1!$A$2:$A$67,"592*",BALANCE_N1!$F$2:$F$67)+SUMIF(BALANCE_N1!$A$2:$A$67,"595*",BALANCE_N1!$G$2:$G$67)-SUMIF(BALANCE_N1!$A$2:$A$67,"595*",BALANCE_N1!$F$2:$F$67)+SUMIF(BALANCE_N1!$A$2:$A$67,"593*",BALANCE_N1!$G$2:$G$67)-SUMIF(BALANCE_N1!$A$2:$A$67,"593*",BALANCE_N1!$F$2:$F$67)))))-((SUMIF(BALANCE_N1!$A$2:$A$67,"565*",BALANCE_N1!$G$2:$G$67)-SUMIF(BALANCE_N1!$A$2:$A$67,"565*",BALANCE_N1!$F$2:$F$67)+SUMIF(BALANCE_N1!$A$2:$A$67,"564*",BALANCE_N1!$G$2:$G$67)-SUMIF(BALANCE_N1!$A$2:$A$67,"564*",BALANCE_N1!$F$2:$F$67))+(SUMIF(BALANCE_N1!$A$2:$A$67,"52*",BALANCE_N1!$G$2:$G$67)+SUMIF(BALANCE_N1!$A$2:$A$67,"53*",BALANCE_N1!$G$2:$G$67)))</f>
        <v/>
      </c>
      <c r="D8" s="11" t="n"/>
      <c r="E8" s="11" t="n"/>
    </row>
    <row r="9">
      <c r="A9" s="12" t="n"/>
      <c r="B9" s="16" t="inlineStr">
        <is>
          <t>Flux de trésorerie provenant des activités opérationnelles</t>
        </is>
      </c>
      <c r="C9" s="12" t="n"/>
      <c r="D9" s="13" t="n"/>
      <c r="E9" s="13" t="n"/>
    </row>
    <row r="10">
      <c r="A10" s="14" t="inlineStr">
        <is>
          <t>FA</t>
        </is>
      </c>
      <c r="B10" s="14" t="inlineStr">
        <is>
          <t>+ Encaissement des cotisations</t>
        </is>
      </c>
      <c r="C10" s="14" t="inlineStr"/>
      <c r="D10" s="15" t="n"/>
      <c r="E10" s="15" t="n"/>
    </row>
    <row r="11">
      <c r="A11" s="12" t="inlineStr">
        <is>
          <t>FB</t>
        </is>
      </c>
      <c r="B11" s="12" t="inlineStr">
        <is>
          <t>+ Encaissement des subventions d'exploitation et d'équilibre</t>
        </is>
      </c>
      <c r="C11" s="12" t="inlineStr"/>
      <c r="D11" s="13" t="n"/>
      <c r="E11" s="13" t="n"/>
    </row>
    <row r="12">
      <c r="A12" s="14" t="inlineStr">
        <is>
          <t>FC</t>
        </is>
      </c>
      <c r="B12" s="14" t="inlineStr">
        <is>
          <t>+ Encaissement des revenus liés à la générosité</t>
        </is>
      </c>
      <c r="C12" s="14" t="inlineStr"/>
      <c r="D12" s="15" t="n"/>
      <c r="E12" s="15" t="n"/>
    </row>
    <row r="13">
      <c r="A13" s="12" t="inlineStr">
        <is>
          <t>FD</t>
        </is>
      </c>
      <c r="B13" s="12" t="inlineStr">
        <is>
          <t>+ Encaissement des revenus des manifestations</t>
        </is>
      </c>
      <c r="C13" s="12" t="inlineStr"/>
      <c r="D13" s="13" t="n"/>
      <c r="E13" s="13" t="n"/>
    </row>
    <row r="14">
      <c r="A14" s="14" t="inlineStr">
        <is>
          <t>FE</t>
        </is>
      </c>
      <c r="B14" s="14" t="inlineStr">
        <is>
          <t>+ Encaissement des autres revenus</t>
        </is>
      </c>
      <c r="C14" s="14" t="inlineStr"/>
      <c r="D14" s="15" t="n"/>
      <c r="E14" s="15" t="n"/>
    </row>
    <row r="15">
      <c r="A15" s="12" t="inlineStr">
        <is>
          <t>FF</t>
        </is>
      </c>
      <c r="B15" s="12" t="inlineStr">
        <is>
          <t>- Décaissement des sommes versées aux fournisseurs (1)</t>
        </is>
      </c>
      <c r="C15" s="12" t="inlineStr"/>
      <c r="D15" s="13" t="n"/>
      <c r="E15" s="13" t="n"/>
    </row>
    <row r="16">
      <c r="A16" s="14" t="inlineStr">
        <is>
          <t>FG</t>
        </is>
      </c>
      <c r="B16" s="14" t="inlineStr">
        <is>
          <t>- Décaissement des sommes versées au personnel</t>
        </is>
      </c>
      <c r="C16" s="14" t="inlineStr"/>
      <c r="D16" s="15" t="n"/>
      <c r="E16" s="15" t="n"/>
    </row>
    <row r="17">
      <c r="A17" s="12" t="inlineStr">
        <is>
          <t>FH</t>
        </is>
      </c>
      <c r="B17" s="12" t="inlineStr">
        <is>
          <t>- Autres décaissements</t>
        </is>
      </c>
      <c r="C17" s="12" t="inlineStr"/>
      <c r="D17" s="13" t="n"/>
      <c r="E17" s="13" t="n"/>
    </row>
    <row r="18">
      <c r="A18" s="10" t="inlineStr">
        <is>
          <t>ZB</t>
        </is>
      </c>
      <c r="B18" s="10" t="inlineStr">
        <is>
          <t>FLUX DE TRÉSORERIE PROVENANT DES ACTIVITÉS OPÉRATIONNELLES - calculé en résidu (voir README)</t>
        </is>
      </c>
      <c r="C18" s="10">
        <f>C34-C24-C29-C33</f>
        <v/>
      </c>
      <c r="D18" s="11" t="n"/>
      <c r="E18" s="11" t="n"/>
    </row>
    <row r="19">
      <c r="A19" s="12" t="n"/>
      <c r="B19" s="16" t="inlineStr">
        <is>
          <t>Flux de trésorerie provenant des activités d'investissement</t>
        </is>
      </c>
      <c r="C19" s="12" t="n"/>
      <c r="D19" s="13" t="n"/>
      <c r="E19" s="13" t="n"/>
    </row>
    <row r="20">
      <c r="A20" s="14" t="inlineStr">
        <is>
          <t>FI</t>
        </is>
      </c>
      <c r="B20" s="14" t="inlineStr">
        <is>
          <t>- Décaissements liés aux acquisitions d'immobilisations incorporelles et corporelles</t>
        </is>
      </c>
      <c r="C20" s="14" t="inlineStr"/>
      <c r="D20" s="15" t="n"/>
      <c r="E20" s="15" t="n"/>
    </row>
    <row r="21">
      <c r="A21" s="12" t="inlineStr">
        <is>
          <t>FJ</t>
        </is>
      </c>
      <c r="B21" s="12" t="inlineStr">
        <is>
          <t>- Décaissements liés aux acquisitions d'immobilisations financières</t>
        </is>
      </c>
      <c r="C21" s="12" t="inlineStr"/>
      <c r="D21" s="13" t="n"/>
      <c r="E21" s="13" t="n"/>
    </row>
    <row r="22">
      <c r="A22" s="14" t="inlineStr">
        <is>
          <t>FK</t>
        </is>
      </c>
      <c r="B22" s="14" t="inlineStr">
        <is>
          <t>+ Encaissements liés aux cessions d'immobilisations incorporelles et corporelles</t>
        </is>
      </c>
      <c r="C22" s="14" t="inlineStr"/>
      <c r="D22" s="15" t="n"/>
      <c r="E22" s="15" t="n"/>
    </row>
    <row r="23">
      <c r="A23" s="12" t="inlineStr">
        <is>
          <t>FL</t>
        </is>
      </c>
      <c r="B23" s="12" t="inlineStr">
        <is>
          <t>+ Encaissements liés aux cessions d'immobilisations financières</t>
        </is>
      </c>
      <c r="C23" s="12" t="inlineStr"/>
      <c r="D23" s="13" t="n"/>
      <c r="E23" s="13" t="n"/>
    </row>
    <row r="24">
      <c r="A24" s="10" t="inlineStr">
        <is>
          <t>ZC</t>
        </is>
      </c>
      <c r="B24" s="10" t="inlineStr">
        <is>
          <t>FLUX DE TRÉSORERIE PROVENANT DES ACTIVITÉS D'INVESTISSEMENT</t>
        </is>
      </c>
      <c r="C24" s="10">
        <f>-((((SUMIF(BALANCE!$A$2:$A$67,"201*",BALANCE!$F$2:$F$67)-SUMIF(BALANCE!$A$2:$A$67,"201*",BALANCE!$G$2:$G$67)))+((SUMIF(BALANCE!$A$2:$A$67,"204*",BALANCE!$F$2:$F$67)-SUMIF(BALANCE!$A$2:$A$67,"204*",BALANCE!$G$2:$G$67)+SUMIF(BALANCE!$A$2:$A$67,"203*",BALANCE!$F$2:$F$67)-SUMIF(BALANCE!$A$2:$A$67,"203*",BALANCE!$G$2:$G$67)+SUMIF(BALANCE!$A$2:$A$67,"205*",BALANCE!$F$2:$F$67)-SUMIF(BALANCE!$A$2:$A$67,"205*",BALANCE!$G$2:$G$67)+SUMIF(BALANCE!$A$2:$A$67,"202*",BALANCE!$F$2:$F$67)-SUMIF(BALANCE!$A$2:$A$67,"202*",BALANCE!$G$2:$G$67)))+((SUMIF(BALANCE!$A$2:$A$67,"212*",BALANCE!$F$2:$F$67)-SUMIF(BALANCE!$A$2:$A$67,"212*",BALANCE!$G$2:$G$67)+SUMIF(BALANCE!$A$2:$A$67,"213*",BALANCE!$F$2:$F$67)-SUMIF(BALANCE!$A$2:$A$67,"213*",BALANCE!$G$2:$G$67)+SUMIF(BALANCE!$A$2:$A$67,"214*",BALANCE!$F$2:$F$67)-SUMIF(BALANCE!$A$2:$A$67,"214*",BALANCE!$G$2:$G$67)+SUMIF(BALANCE!$A$2:$A$67,"2193*",BALANCE!$F$2:$F$67)-SUMIF(BALANCE!$A$2:$A$67,"2193*",BALANCE!$G$2:$G$67)))+((SUMIF(BALANCE!$A$2:$A$67,"218*",BALANCE!$F$2:$F$67)-SUMIF(BALANCE!$A$2:$A$67,"218*",BALANCE!$G$2:$G$67)+SUMIF(BALANCE!$A$2:$A$67,"2198*",BALANCE!$F$2:$F$67)-SUMIF(BALANCE!$A$2:$A$67,"2198*",BALANCE!$G$2:$G$67)))+((SUMIF(BALANCE!$A$2:$A$67,"251*",BALANCE!$F$2:$F$67)-SUMIF(BALANCE!$A$2:$A$67,"251*",BALANCE!$G$2:$G$67)))+((SUMIF(BALANCE!$A$2:$A$67,"22*",BALANCE!$F$2:$F$67)-SUMIF(BALANCE!$A$2:$A$67,"22*",BALANCE!$G$2:$G$67)))+((SUMIF(BALANCE!$A$2:$A$67,"231*",BALANCE!$F$2:$F$67)-SUMIF(BALANCE!$A$2:$A$67,"231*",BALANCE!$G$2:$G$67)+SUMIF(BALANCE!$A$2:$A$67,"233*",BALANCE!$F$2:$F$67)-SUMIF(BALANCE!$A$2:$A$67,"233*",BALANCE!$G$2:$G$67)+SUMIF(BALANCE!$A$2:$A$67,"232*",BALANCE!$F$2:$F$67)-SUMIF(BALANCE!$A$2:$A$67,"232*",BALANCE!$G$2:$G$67)+SUMIF(BALANCE!$A$2:$A$67,"2391*",BALANCE!$F$2:$F$67)-SUMIF(BALANCE!$A$2:$A$67,"2391*",BALANCE!$G$2:$G$67)+SUMIF(BALANCE!$A$2:$A$67,"2392*",BALANCE!$F$2:$F$67)-SUMIF(BALANCE!$A$2:$A$67,"2392*",BALANCE!$G$2:$G$67)+SUMIF(BALANCE!$A$2:$A$67,"2393*",BALANCE!$F$2:$F$67)-SUMIF(BALANCE!$A$2:$A$67,"2393*",BALANCE!$G$2:$G$67)+SUMIF(BALANCE!$A$2:$A$67,"2396*",BALANCE!$F$2:$F$67)-SUMIF(BALANCE!$A$2:$A$67,"2396*",BALANCE!$G$2:$G$67)))+((SUMIF(BALANCE!$A$2:$A$67,"234*",BALANCE!$F$2:$F$67)-SUMIF(BALANCE!$A$2:$A$67,"234*",BALANCE!$G$2:$G$67)+SUMIF(BALANCE!$A$2:$A$67,"238*",BALANCE!$F$2:$F$67)-SUMIF(BALANCE!$A$2:$A$67,"238*",BALANCE!$G$2:$G$67)+SUMIF(BALANCE!$A$2:$A$67,"235*",BALANCE!$F$2:$F$67)-SUMIF(BALANCE!$A$2:$A$67,"235*",BALANCE!$G$2:$G$67)+SUMIF(BALANCE!$A$2:$A$67,"2395*",BALANCE!$F$2:$F$67)-SUMIF(BALANCE!$A$2:$A$67,"2395*",BALANCE!$G$2:$G$67)+SUMIF(BALANCE!$A$2:$A$67,"2394*",BALANCE!$F$2:$F$67)-SUMIF(BALANCE!$A$2:$A$67,"2394*",BALANCE!$G$2:$G$67)+SUMIF(BALANCE!$A$2:$A$67,"2398*",BALANCE!$F$2:$F$67)-SUMIF(BALANCE!$A$2:$A$67,"2398*",BALANCE!$G$2:$G$67)))+((SUMIF(BALANCE!$A$2:$A$67,"24*",BALANCE!$F$2:$F$67)-SUMIF(BALANCE!$A$2:$A$67,"24*",BALANCE!$G$2:$G$67)-SUMIF(BALANCE!$A$2:$A$67,"245*",BALANCE!$F$2:$F$67)+SUMIF(BALANCE!$A$2:$A$67,"245*",BALANCE!$G$2:$G$67)-SUMIF(BALANCE!$A$2:$A$67,"2495*",BALANCE!$F$2:$F$67)+SUMIF(BALANCE!$A$2:$A$67,"2495*",BALANCE!$G$2:$G$67)))+((SUMIF(BALANCE!$A$2:$A$67,"245*",BALANCE!$F$2:$F$67)-SUMIF(BALANCE!$A$2:$A$67,"245*",BALANCE!$G$2:$G$67)+SUMIF(BALANCE!$A$2:$A$67,"2495*",BALANCE!$F$2:$F$67)-SUMIF(BALANCE!$A$2:$A$67,"2495*",BALANCE!$G$2:$G$67)))+((SUMIF(BALANCE!$A$2:$A$67,"252*",BALANCE!$F$2:$F$67)-SUMIF(BALANCE!$A$2:$A$67,"252*",BALANCE!$G$2:$G$67)))+((SUMIF(BALANCE!$A$2:$A$67,"26*",BALANCE!$F$2:$F$67)-SUMIF(BALANCE!$A$2:$A$67,"26*",BALANCE!$G$2:$G$67)))+((SUMIF(BALANCE!$A$2:$A$67,"27*",BALANCE!$F$2:$F$67)-SUMIF(BALANCE!$A$2:$A$67,"27*",BALANCE!$G$2:$G$67))))-(((SUMIF(BALANCE_N1!$A$2:$A$67,"201*",BALANCE_N1!$F$2:$F$67)-SUMIF(BALANCE_N1!$A$2:$A$67,"201*",BALANCE_N1!$G$2:$G$67)))+((SUMIF(BALANCE_N1!$A$2:$A$67,"204*",BALANCE_N1!$F$2:$F$67)-SUMIF(BALANCE_N1!$A$2:$A$67,"204*",BALANCE_N1!$G$2:$G$67)+SUMIF(BALANCE_N1!$A$2:$A$67,"203*",BALANCE_N1!$F$2:$F$67)-SUMIF(BALANCE_N1!$A$2:$A$67,"203*",BALANCE_N1!$G$2:$G$67)+SUMIF(BALANCE_N1!$A$2:$A$67,"205*",BALANCE_N1!$F$2:$F$67)-SUMIF(BALANCE_N1!$A$2:$A$67,"205*",BALANCE_N1!$G$2:$G$67)+SUMIF(BALANCE_N1!$A$2:$A$67,"202*",BALANCE_N1!$F$2:$F$67)-SUMIF(BALANCE_N1!$A$2:$A$67,"202*",BALANCE_N1!$G$2:$G$67)))+((SUMIF(BALANCE_N1!$A$2:$A$67,"212*",BALANCE_N1!$F$2:$F$67)-SUMIF(BALANCE_N1!$A$2:$A$67,"212*",BALANCE_N1!$G$2:$G$67)+SUMIF(BALANCE_N1!$A$2:$A$67,"213*",BALANCE_N1!$F$2:$F$67)-SUMIF(BALANCE_N1!$A$2:$A$67,"213*",BALANCE_N1!$G$2:$G$67)+SUMIF(BALANCE_N1!$A$2:$A$67,"214*",BALANCE_N1!$F$2:$F$67)-SUMIF(BALANCE_N1!$A$2:$A$67,"214*",BALANCE_N1!$G$2:$G$67)+SUMIF(BALANCE_N1!$A$2:$A$67,"2193*",BALANCE_N1!$F$2:$F$67)-SUMIF(BALANCE_N1!$A$2:$A$67,"2193*",BALANCE_N1!$G$2:$G$67)))+((SUMIF(BALANCE_N1!$A$2:$A$67,"218*",BALANCE_N1!$F$2:$F$67)-SUMIF(BALANCE_N1!$A$2:$A$67,"218*",BALANCE_N1!$G$2:$G$67)+SUMIF(BALANCE_N1!$A$2:$A$67,"2198*",BALANCE_N1!$F$2:$F$67)-SUMIF(BALANCE_N1!$A$2:$A$67,"2198*",BALANCE_N1!$G$2:$G$67)))+((SUMIF(BALANCE_N1!$A$2:$A$67,"251*",BALANCE_N1!$F$2:$F$67)-SUMIF(BALANCE_N1!$A$2:$A$67,"251*",BALANCE_N1!$G$2:$G$67)))+((SUMIF(BALANCE_N1!$A$2:$A$67,"22*",BALANCE_N1!$F$2:$F$67)-SUMIF(BALANCE_N1!$A$2:$A$67,"22*",BALANCE_N1!$G$2:$G$67)))+((SUMIF(BALANCE_N1!$A$2:$A$67,"231*",BALANCE_N1!$F$2:$F$67)-SUMIF(BALANCE_N1!$A$2:$A$67,"231*",BALANCE_N1!$G$2:$G$67)+SUMIF(BALANCE_N1!$A$2:$A$67,"233*",BALANCE_N1!$F$2:$F$67)-SUMIF(BALANCE_N1!$A$2:$A$67,"233*",BALANCE_N1!$G$2:$G$67)+SUMIF(BALANCE_N1!$A$2:$A$67,"232*",BALANCE_N1!$F$2:$F$67)-SUMIF(BALANCE_N1!$A$2:$A$67,"232*",BALANCE_N1!$G$2:$G$67)+SUMIF(BALANCE_N1!$A$2:$A$67,"2391*",BALANCE_N1!$F$2:$F$67)-SUMIF(BALANCE_N1!$A$2:$A$67,"2391*",BALANCE_N1!$G$2:$G$67)+SUMIF(BALANCE_N1!$A$2:$A$67,"2392*",BALANCE_N1!$F$2:$F$67)-SUMIF(BALANCE_N1!$A$2:$A$67,"2392*",BALANCE_N1!$G$2:$G$67)+SUMIF(BALANCE_N1!$A$2:$A$67,"2393*",BALANCE_N1!$F$2:$F$67)-SUMIF(BALANCE_N1!$A$2:$A$67,"2393*",BALANCE_N1!$G$2:$G$67)+SUMIF(BALANCE_N1!$A$2:$A$67,"2396*",BALANCE_N1!$F$2:$F$67)-SUMIF(BALANCE_N1!$A$2:$A$67,"2396*",BALANCE_N1!$G$2:$G$67)))+((SUMIF(BALANCE_N1!$A$2:$A$67,"234*",BALANCE_N1!$F$2:$F$67)-SUMIF(BALANCE_N1!$A$2:$A$67,"234*",BALANCE_N1!$G$2:$G$67)+SUMIF(BALANCE_N1!$A$2:$A$67,"238*",BALANCE_N1!$F$2:$F$67)-SUMIF(BALANCE_N1!$A$2:$A$67,"238*",BALANCE_N1!$G$2:$G$67)+SUMIF(BALANCE_N1!$A$2:$A$67,"235*",BALANCE_N1!$F$2:$F$67)-SUMIF(BALANCE_N1!$A$2:$A$67,"235*",BALANCE_N1!$G$2:$G$67)+SUMIF(BALANCE_N1!$A$2:$A$67,"2395*",BALANCE_N1!$F$2:$F$67)-SUMIF(BALANCE_N1!$A$2:$A$67,"2395*",BALANCE_N1!$G$2:$G$67)+SUMIF(BALANCE_N1!$A$2:$A$67,"2394*",BALANCE_N1!$F$2:$F$67)-SUMIF(BALANCE_N1!$A$2:$A$67,"2394*",BALANCE_N1!$G$2:$G$67)+SUMIF(BALANCE_N1!$A$2:$A$67,"2398*",BALANCE_N1!$F$2:$F$67)-SUMIF(BALANCE_N1!$A$2:$A$67,"2398*",BALANCE_N1!$G$2:$G$67)))+((SUMIF(BALANCE_N1!$A$2:$A$67,"24*",BALANCE_N1!$F$2:$F$67)-SUMIF(BALANCE_N1!$A$2:$A$67,"24*",BALANCE_N1!$G$2:$G$67)-SUMIF(BALANCE_N1!$A$2:$A$67,"245*",BALANCE_N1!$F$2:$F$67)+SUMIF(BALANCE_N1!$A$2:$A$67,"245*",BALANCE_N1!$G$2:$G$67)-SUMIF(BALANCE_N1!$A$2:$A$67,"2495*",BALANCE_N1!$F$2:$F$67)+SUMIF(BALANCE_N1!$A$2:$A$67,"2495*",BALANCE_N1!$G$2:$G$67)))+((SUMIF(BALANCE_N1!$A$2:$A$67,"245*",BALANCE_N1!$F$2:$F$67)-SUMIF(BALANCE_N1!$A$2:$A$67,"245*",BALANCE_N1!$G$2:$G$67)+SUMIF(BALANCE_N1!$A$2:$A$67,"2495*",BALANCE_N1!$F$2:$F$67)-SUMIF(BALANCE_N1!$A$2:$A$67,"2495*",BALANCE_N1!$G$2:$G$67)))+((SUMIF(BALANCE_N1!$A$2:$A$67,"252*",BALANCE_N1!$F$2:$F$67)-SUMIF(BALANCE_N1!$A$2:$A$67,"252*",BALANCE_N1!$G$2:$G$67)))+((SUMIF(BALANCE_N1!$A$2:$A$67,"26*",BALANCE_N1!$F$2:$F$67)-SUMIF(BALANCE_N1!$A$2:$A$67,"26*",BALANCE_N1!$G$2:$G$67)))+((SUMIF(BALANCE_N1!$A$2:$A$67,"27*",BALANCE_N1!$F$2:$F$67)-SUMIF(BALANCE_N1!$A$2:$A$67,"27*",BALANCE_N1!$G$2:$G$67)))))</f>
        <v/>
      </c>
      <c r="D24" s="11" t="n"/>
      <c r="E24" s="11" t="n"/>
    </row>
    <row r="25">
      <c r="A25" s="12" t="n"/>
      <c r="B25" s="16" t="inlineStr">
        <is>
          <t>Flux de trésorerie provenant du financement par les fonds propres</t>
        </is>
      </c>
      <c r="C25" s="12" t="n"/>
      <c r="D25" s="13" t="n"/>
      <c r="E25" s="13" t="n"/>
    </row>
    <row r="26">
      <c r="A26" s="14" t="inlineStr">
        <is>
          <t>FM</t>
        </is>
      </c>
      <c r="B26" s="14" t="inlineStr">
        <is>
          <t>+ Encaissement des dotations et autres fonds propres</t>
        </is>
      </c>
      <c r="C26" s="14" t="inlineStr"/>
      <c r="D26" s="15" t="n"/>
      <c r="E26" s="15" t="n"/>
    </row>
    <row r="27">
      <c r="A27" s="12" t="inlineStr">
        <is>
          <t>FN</t>
        </is>
      </c>
      <c r="B27" s="12" t="inlineStr">
        <is>
          <t>+ Subventions d'investissement reçues</t>
        </is>
      </c>
      <c r="C27" s="12" t="inlineStr"/>
      <c r="D27" s="13" t="n"/>
      <c r="E27" s="13" t="n"/>
    </row>
    <row r="28">
      <c r="A28" s="14" t="inlineStr">
        <is>
          <t>FO</t>
        </is>
      </c>
      <c r="B28" s="14" t="inlineStr">
        <is>
          <t>- Décaissement des dotations et autres fonds propres</t>
        </is>
      </c>
      <c r="C28" s="14" t="inlineStr"/>
      <c r="D28" s="15" t="n"/>
      <c r="E28" s="15" t="n"/>
    </row>
    <row r="29">
      <c r="A29" s="10" t="inlineStr">
        <is>
          <t>ZD</t>
        </is>
      </c>
      <c r="B29" s="10" t="inlineStr">
        <is>
          <t>FLUX DE TRÉSORERIE PROVENANT DES FONDS PROPRES</t>
        </is>
      </c>
      <c r="C29" s="10">
        <f>(((SUMIF(BALANCE!$A$2:$A$67,"101*",BALANCE!$G$2:$G$67)-SUMIF(BALANCE!$A$2:$A$67,"101*",BALANCE!$F$2:$F$67)))+((SUMIF(BALANCE!$A$2:$A$67,"102*",BALANCE!$G$2:$G$67)-SUMIF(BALANCE!$A$2:$A$67,"102*",BALANCE!$F$2:$F$67)))+((SUMIF(BALANCE!$A$2:$A$67,"103*",BALANCE!$G$2:$G$67)-SUMIF(BALANCE!$A$2:$A$67,"103*",BALANCE!$F$2:$F$67)))+((SUMIF(BALANCE!$A$2:$A$67,"104*",BALANCE!$G$2:$G$67)-SUMIF(BALANCE!$A$2:$A$67,"104*",BALANCE!$F$2:$F$67)))+((SUMIF(BALANCE!$A$2:$A$67,"14*",BALANCE!$G$2:$G$67)-SUMIF(BALANCE!$A$2:$A$67,"14*",BALANCE!$F$2:$F$67)))+((SUMIF(BALANCE!$A$2:$A$67,"16*",BALANCE!$G$2:$G$67)-SUMIF(BALANCE!$A$2:$A$67,"16*",BALANCE!$F$2:$F$67)))+((SUMIF(BALANCE!$A$2:$A$67,"17*",BALANCE!$G$2:$G$67)-SUMIF(BALANCE!$A$2:$A$67,"17*",BALANCE!$F$2:$F$67))))-(((SUMIF(BALANCE_N1!$A$2:$A$67,"101*",BALANCE_N1!$G$2:$G$67)-SUMIF(BALANCE_N1!$A$2:$A$67,"101*",BALANCE_N1!$F$2:$F$67)))+((SUMIF(BALANCE_N1!$A$2:$A$67,"102*",BALANCE_N1!$G$2:$G$67)-SUMIF(BALANCE_N1!$A$2:$A$67,"102*",BALANCE_N1!$F$2:$F$67)))+((SUMIF(BALANCE_N1!$A$2:$A$67,"103*",BALANCE_N1!$G$2:$G$67)-SUMIF(BALANCE_N1!$A$2:$A$67,"103*",BALANCE_N1!$F$2:$F$67)))+((SUMIF(BALANCE_N1!$A$2:$A$67,"104*",BALANCE_N1!$G$2:$G$67)-SUMIF(BALANCE_N1!$A$2:$A$67,"104*",BALANCE_N1!$F$2:$F$67)))+((SUMIF(BALANCE_N1!$A$2:$A$67,"14*",BALANCE_N1!$G$2:$G$67)-SUMIF(BALANCE_N1!$A$2:$A$67,"14*",BALANCE_N1!$F$2:$F$67)))+((SUMIF(BALANCE_N1!$A$2:$A$67,"16*",BALANCE_N1!$G$2:$G$67)-SUMIF(BALANCE_N1!$A$2:$A$67,"16*",BALANCE_N1!$F$2:$F$67)))+((SUMIF(BALANCE_N1!$A$2:$A$67,"17*",BALANCE_N1!$G$2:$G$67)-SUMIF(BALANCE_N1!$A$2:$A$67,"17*",BALANCE_N1!$F$2:$F$67))))</f>
        <v/>
      </c>
      <c r="D29" s="11" t="n"/>
      <c r="E29" s="11" t="n"/>
    </row>
    <row r="30">
      <c r="A30" s="14" t="n"/>
      <c r="B30" s="17" t="inlineStr">
        <is>
          <t>Trésorerie provenant du financement par les fonds étrangers</t>
        </is>
      </c>
      <c r="C30" s="14" t="n"/>
      <c r="D30" s="15" t="n"/>
      <c r="E30" s="15" t="n"/>
    </row>
    <row r="31">
      <c r="A31" s="12" t="inlineStr">
        <is>
          <t>FP</t>
        </is>
      </c>
      <c r="B31" s="12" t="inlineStr">
        <is>
          <t>+ Encaissement provenant des emprunts et des autres dettes financières</t>
        </is>
      </c>
      <c r="C31" s="12" t="inlineStr"/>
      <c r="D31" s="13" t="n"/>
      <c r="E31" s="13" t="n"/>
    </row>
    <row r="32">
      <c r="A32" s="14" t="inlineStr">
        <is>
          <t>FQ</t>
        </is>
      </c>
      <c r="B32" s="14" t="inlineStr">
        <is>
          <t>- Remboursements des emprunts et autres dettes financières</t>
        </is>
      </c>
      <c r="C32" s="14" t="inlineStr"/>
      <c r="D32" s="15" t="n"/>
      <c r="E32" s="15" t="n"/>
    </row>
    <row r="33">
      <c r="A33" s="10" t="inlineStr">
        <is>
          <t>ZE</t>
        </is>
      </c>
      <c r="B33" s="10" t="inlineStr">
        <is>
          <t>TRÉSORERIE PROVENANT DES FONDS ÉTRANGERS</t>
        </is>
      </c>
      <c r="C33" s="10">
        <f>(((SUMIF(BALANCE!$A$2:$A$67,"188*",BALANCE!$G$2:$G$67)-SUMIF(BALANCE!$A$2:$A$67,"188*",BALANCE!$F$2:$F$67)+SUMIF(BALANCE!$A$2:$A$67,"181*",BALANCE!$G$2:$G$67)-SUMIF(BALANCE!$A$2:$A$67,"181*",BALANCE!$F$2:$F$67)+SUMIF(BALANCE!$A$2:$A$67,"186*",BALANCE!$G$2:$G$67)-SUMIF(BALANCE!$A$2:$A$67,"186*",BALANCE!$F$2:$F$67)+SUMIF(BALANCE!$A$2:$A$67,"182*",BALANCE!$G$2:$G$67)-SUMIF(BALANCE!$A$2:$A$67,"182*",BALANCE!$F$2:$F$67)+SUMIF(BALANCE!$A$2:$A$67,"183*",BALANCE!$G$2:$G$67)-SUMIF(BALANCE!$A$2:$A$67,"183*",BALANCE!$F$2:$F$67)+SUMIF(BALANCE!$A$2:$A$67,"185*",BALANCE!$G$2:$G$67)-SUMIF(BALANCE!$A$2:$A$67,"185*",BALANCE!$F$2:$F$67)))+((SUMIF(BALANCE!$A$2:$A$67,"187*",BALANCE!$G$2:$G$67)-SUMIF(BALANCE!$A$2:$A$67,"187*",BALANCE!$F$2:$F$67)))+((SUMIF(BALANCE!$A$2:$A$67,"19*",BALANCE!$G$2:$G$67)-SUMIF(BALANCE!$A$2:$A$67,"19*",BALANCE!$F$2:$F$67))))-(((SUMIF(BALANCE_N1!$A$2:$A$67,"188*",BALANCE_N1!$G$2:$G$67)-SUMIF(BALANCE_N1!$A$2:$A$67,"188*",BALANCE_N1!$F$2:$F$67)+SUMIF(BALANCE_N1!$A$2:$A$67,"181*",BALANCE_N1!$G$2:$G$67)-SUMIF(BALANCE_N1!$A$2:$A$67,"181*",BALANCE_N1!$F$2:$F$67)+SUMIF(BALANCE_N1!$A$2:$A$67,"186*",BALANCE_N1!$G$2:$G$67)-SUMIF(BALANCE_N1!$A$2:$A$67,"186*",BALANCE_N1!$F$2:$F$67)+SUMIF(BALANCE_N1!$A$2:$A$67,"182*",BALANCE_N1!$G$2:$G$67)-SUMIF(BALANCE_N1!$A$2:$A$67,"182*",BALANCE_N1!$F$2:$F$67)+SUMIF(BALANCE_N1!$A$2:$A$67,"183*",BALANCE_N1!$G$2:$G$67)-SUMIF(BALANCE_N1!$A$2:$A$67,"183*",BALANCE_N1!$F$2:$F$67)+SUMIF(BALANCE_N1!$A$2:$A$67,"185*",BALANCE_N1!$G$2:$G$67)-SUMIF(BALANCE_N1!$A$2:$A$67,"185*",BALANCE_N1!$F$2:$F$67)))+((SUMIF(BALANCE_N1!$A$2:$A$67,"187*",BALANCE_N1!$G$2:$G$67)-SUMIF(BALANCE_N1!$A$2:$A$67,"187*",BALANCE_N1!$F$2:$F$67)))+((SUMIF(BALANCE_N1!$A$2:$A$67,"19*",BALANCE_N1!$G$2:$G$67)-SUMIF(BALANCE_N1!$A$2:$A$67,"19*",BALANCE_N1!$F$2:$F$67))))</f>
        <v/>
      </c>
      <c r="D33" s="11" t="n"/>
      <c r="E33" s="11" t="n"/>
    </row>
    <row r="34">
      <c r="A34" s="10" t="inlineStr">
        <is>
          <t>ZF</t>
        </is>
      </c>
      <c r="B34" s="10" t="inlineStr">
        <is>
          <t>VARIATION DE LA TRÉSORERIE NETTE DE LA PÉRIODE (B+C+D+E)</t>
        </is>
      </c>
      <c r="C34" s="10">
        <f>(((((SUMIF(BALANCE!$A$2:$A$67,"50*",BALANCE!$F$2:$F$67)-SUMIF(BALANCE!$A$2:$A$67,"50*",BALANCE!$G$2:$G$67)))-((SUMIF(BALANCE!$A$2:$A$67,"590*",BALANCE!$G$2:$G$67)-SUMIF(BALANCE!$A$2:$A$67,"590*",BALANCE!$F$2:$F$67))))+(((SUMIF(BALANCE!$A$2:$A$67,"51*",BALANCE!$F$2:$F$67)-SUMIF(BALANCE!$A$2:$A$67,"51*",BALANCE!$G$2:$G$67)))-((SUMIF(BALANCE!$A$2:$A$67,"591*",BALANCE!$G$2:$G$67)-SUMIF(BALANCE!$A$2:$A$67,"591*",BALANCE!$F$2:$F$67))))+(((SUMIF(BALANCE!$A$2:$A$67,"55*",BALANCE!$F$2:$F$67)-SUMIF(BALANCE!$A$2:$A$67,"55*",BALANCE!$G$2:$G$67)+SUMIF(BALANCE!$A$2:$A$67,"52*",BALANCE!$F$2:$F$67)-SUMIF(BALANCE!$A$2:$A$67,"52*",BALANCE!$G$2:$G$67)+SUMIF(BALANCE!$A$2:$A$67,"57*",BALANCE!$F$2:$F$67)-SUMIF(BALANCE!$A$2:$A$67,"57*",BALANCE!$G$2:$G$67)+SUMIF(BALANCE!$A$2:$A$67,"53*",BALANCE!$F$2:$F$67)-SUMIF(BALANCE!$A$2:$A$67,"53*",BALANCE!$G$2:$G$67)))-((SUMIF(BALANCE!$A$2:$A$67,"592*",BALANCE!$G$2:$G$67)-SUMIF(BALANCE!$A$2:$A$67,"592*",BALANCE!$F$2:$F$67)+SUMIF(BALANCE!$A$2:$A$67,"595*",BALANCE!$G$2:$G$67)-SUMIF(BALANCE!$A$2:$A$67,"595*",BALANCE!$F$2:$F$67)+SUMIF(BALANCE!$A$2:$A$67,"593*",BALANCE!$G$2:$G$67)-SUMIF(BALANCE!$A$2:$A$67,"593*",BALANCE!$F$2:$F$67)))))-((SUMIF(BALANCE!$A$2:$A$67,"565*",BALANCE!$G$2:$G$67)-SUMIF(BALANCE!$A$2:$A$67,"565*",BALANCE!$F$2:$F$67)+SUMIF(BALANCE!$A$2:$A$67,"564*",BALANCE!$G$2:$G$67)-SUMIF(BALANCE!$A$2:$A$67,"564*",BALANCE!$F$2:$F$67))+(SUMIF(BALANCE!$A$2:$A$67,"52*",BALANCE!$G$2:$G$67)+SUMIF(BALANCE!$A$2:$A$67,"53*",BALANCE!$G$2:$G$67))))-C8</f>
        <v/>
      </c>
      <c r="D34" s="11" t="n"/>
      <c r="E34" s="11" t="n"/>
    </row>
    <row r="35">
      <c r="A35" s="10" t="inlineStr">
        <is>
          <t>ZG</t>
        </is>
      </c>
      <c r="B35" s="10" t="inlineStr">
        <is>
          <t>TRÉSORERIE NETTE AU 31 DÉCEMBRE (G+A) - contrôle : trésorerie actif N - trésorerie passif N</t>
        </is>
      </c>
      <c r="C35" s="10">
        <f>C34+C8</f>
        <v/>
      </c>
      <c r="D35" s="11" t="n"/>
      <c r="E35" s="11" t="n"/>
    </row>
    <row r="36"/>
    <row r="37">
      <c r="A37" t="inlineStr">
        <is>
          <t>(1) à l'exclusion des fournisseurs d'investissements. Les lignes FA à FH (ventilation par nature des encaissements/décaissements) se saisissent depuis le journal de trésorerie : une balance de clôture ne porte pas cette information.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78" customWidth="1" min="2" max="2"/>
    <col width="8" customWidth="1" min="3" max="3"/>
    <col width="8" customWidth="1" min="4" max="4"/>
  </cols>
  <sheetData>
    <row r="1">
      <c r="A1" s="1" t="inlineStr">
        <is>
          <t>FICHE RECAPITULATIVE DES NOTES ANNEXES PRESENTEES</t>
        </is>
      </c>
    </row>
    <row r="2">
      <c r="A2" s="2" t="inlineStr">
        <is>
          <t>SYCEBNL - Associations et ordres professionnels (Partie 4, ch. 2, section 4)</t>
        </is>
      </c>
    </row>
    <row r="3"/>
    <row r="4">
      <c r="A4" s="3" t="inlineStr">
        <is>
          <t>Désignation entité : ASSOCIATION ESPOIR</t>
        </is>
      </c>
      <c r="C4" s="3" t="inlineStr">
        <is>
          <t>Exercice clos le : 31/12/2025</t>
        </is>
      </c>
    </row>
    <row r="5">
      <c r="A5" t="inlineStr">
        <is>
          <t>Numéro d'identification : F.92/12.345</t>
        </is>
      </c>
      <c r="C5" t="inlineStr">
        <is>
          <t>Durée (en mois) : 12</t>
        </is>
      </c>
    </row>
    <row r="6"/>
    <row r="7">
      <c r="A7" s="9" t="inlineStr">
        <is>
          <t>NOTES</t>
        </is>
      </c>
      <c r="B7" s="9" t="inlineStr">
        <is>
          <t>INTITULES</t>
        </is>
      </c>
      <c r="C7" s="9" t="inlineStr">
        <is>
          <t>A (1)</t>
        </is>
      </c>
      <c r="D7" s="9" t="inlineStr">
        <is>
          <t>N/A (1)</t>
        </is>
      </c>
    </row>
    <row r="8">
      <c r="A8" s="17" t="inlineStr">
        <is>
          <t>Partie 1 : Informations générales</t>
        </is>
      </c>
      <c r="B8" s="14" t="n"/>
      <c r="C8" s="14" t="n"/>
      <c r="D8" s="14" t="n"/>
    </row>
    <row r="9">
      <c r="A9" s="12" t="inlineStr">
        <is>
          <t>Note 1</t>
        </is>
      </c>
      <c r="B9" s="12" t="inlineStr">
        <is>
          <t>DETTES GARANTIES PAR DES SÛRETÉS RÉELLES, ENGAGEMENTS FINANCIERS ET CONTRIBUTIONS VOLONTAIRES EN NATURE</t>
        </is>
      </c>
      <c r="C9" s="12" t="n"/>
      <c r="D9" s="12" t="n"/>
    </row>
    <row r="10">
      <c r="A10" s="14" t="inlineStr">
        <is>
          <t>Note 2</t>
        </is>
      </c>
      <c r="B10" s="14" t="inlineStr">
        <is>
          <t>INFORMATIONS OBLIGATOIRES</t>
        </is>
      </c>
      <c r="C10" s="14" t="n"/>
      <c r="D10" s="14" t="n"/>
    </row>
    <row r="11">
      <c r="A11" s="12" t="inlineStr">
        <is>
          <t>Note 3</t>
        </is>
      </c>
      <c r="B11" s="12" t="inlineStr">
        <is>
          <t>ÉVÈNEMENTS POSTÉRIEURS À LA CLÔTURE DE L'EXERCICE</t>
        </is>
      </c>
      <c r="C11" s="12" t="n"/>
      <c r="D11" s="12" t="n"/>
    </row>
    <row r="12">
      <c r="A12" s="14" t="inlineStr">
        <is>
          <t>Note 4</t>
        </is>
      </c>
      <c r="B12" s="14" t="inlineStr">
        <is>
          <t>CHANGEMENTS DE MÉTHODES COMPTABLES, D'ESTIMATIONS ET CORRECTIONS D'ERREURS</t>
        </is>
      </c>
      <c r="C12" s="14" t="n"/>
      <c r="D12" s="14" t="n"/>
    </row>
    <row r="13">
      <c r="A13" s="16" t="inlineStr">
        <is>
          <t>Partie 2 : Notes sur le bilan</t>
        </is>
      </c>
      <c r="B13" s="12" t="n"/>
      <c r="C13" s="12" t="n"/>
      <c r="D13" s="12" t="n"/>
    </row>
    <row r="14">
      <c r="A14" s="14" t="inlineStr">
        <is>
          <t>Note 5A</t>
        </is>
      </c>
      <c r="B14" s="14" t="inlineStr">
        <is>
          <t>DONS ET LEGS D'IMMOBILISATIONS NON REÇUS DESTINÉS À LA VENTE ET USUFRUIT TEMPORAIRE</t>
        </is>
      </c>
      <c r="C14" s="14" t="n"/>
      <c r="D14" s="14" t="n"/>
    </row>
    <row r="15">
      <c r="A15" s="12" t="inlineStr">
        <is>
          <t>Note 5B</t>
        </is>
      </c>
      <c r="B15" s="12" t="inlineStr">
        <is>
          <t>IMMOBILISATIONS BRUTES</t>
        </is>
      </c>
      <c r="C15" s="12" t="n"/>
      <c r="D15" s="12" t="n"/>
    </row>
    <row r="16">
      <c r="A16" s="14" t="inlineStr">
        <is>
          <t>Note 5C</t>
        </is>
      </c>
      <c r="B16" s="14" t="inlineStr">
        <is>
          <t>BIENS PRIS EN LOCATION-ACQUISITION</t>
        </is>
      </c>
      <c r="C16" s="14" t="n"/>
      <c r="D16" s="14" t="n"/>
    </row>
    <row r="17">
      <c r="A17" s="12" t="inlineStr">
        <is>
          <t>Note 5D</t>
        </is>
      </c>
      <c r="B17" s="12" t="inlineStr">
        <is>
          <t>DONS ET LEGS D'IMMOBILISATIONS NON REÇUS DESTINÉS À LA VENTE ET USUFRUIT TEMPORAIRE (AMORTISSEMENTS ET DÉPRÉCIATIONS)</t>
        </is>
      </c>
      <c r="C17" s="12" t="n"/>
      <c r="D17" s="12" t="n"/>
    </row>
    <row r="18">
      <c r="A18" s="14" t="inlineStr">
        <is>
          <t>Note 5E</t>
        </is>
      </c>
      <c r="B18" s="14" t="inlineStr">
        <is>
          <t>IMMOBILISATIONS : AMORTISSEMENTS</t>
        </is>
      </c>
      <c r="C18" s="14" t="n"/>
      <c r="D18" s="14" t="n"/>
    </row>
    <row r="19">
      <c r="A19" s="12" t="inlineStr">
        <is>
          <t>Note 5F</t>
        </is>
      </c>
      <c r="B19" s="12" t="inlineStr">
        <is>
          <t>IMMOBILISATIONS : DÉPRÉCIATIONS</t>
        </is>
      </c>
      <c r="C19" s="12" t="n"/>
      <c r="D19" s="12" t="n"/>
    </row>
    <row r="20">
      <c r="A20" s="14" t="inlineStr">
        <is>
          <t>Note 5G</t>
        </is>
      </c>
      <c r="B20" s="14" t="inlineStr">
        <is>
          <t>IMMOBILISATIONS : PLUS-VALUES ET MOINS-VALUES DE CESSION</t>
        </is>
      </c>
      <c r="C20" s="14" t="n"/>
      <c r="D20" s="14" t="n"/>
    </row>
    <row r="21">
      <c r="A21" s="12" t="inlineStr">
        <is>
          <t>Note 5H</t>
        </is>
      </c>
      <c r="B21" s="12" t="inlineStr">
        <is>
          <t>INFORMATIONS SUR LES RÉÉVALUATIONS EFFECTUÉES PAR L'ENTITÉ</t>
        </is>
      </c>
      <c r="C21" s="12" t="n"/>
      <c r="D21" s="12" t="n"/>
    </row>
    <row r="22">
      <c r="A22" s="14" t="inlineStr">
        <is>
          <t>Note 6</t>
        </is>
      </c>
      <c r="B22" s="14" t="inlineStr">
        <is>
          <t>IMMOBILISATIONS FINANCIÈRES</t>
        </is>
      </c>
      <c r="C22" s="14" t="n"/>
      <c r="D22" s="14" t="n"/>
    </row>
    <row r="23">
      <c r="A23" s="12" t="inlineStr">
        <is>
          <t>Note 7</t>
        </is>
      </c>
      <c r="B23" s="12" t="inlineStr">
        <is>
          <t>ACTIF CIRCULANT ET DETTES CIRCULANTES HAO</t>
        </is>
      </c>
      <c r="C23" s="12" t="n"/>
      <c r="D23" s="12" t="n"/>
    </row>
    <row r="24">
      <c r="A24" s="14" t="inlineStr">
        <is>
          <t>Note 8</t>
        </is>
      </c>
      <c r="B24" s="14" t="inlineStr">
        <is>
          <t>STOCKS ET ENCOURS</t>
        </is>
      </c>
      <c r="C24" s="14" t="n"/>
      <c r="D24" s="14" t="n"/>
    </row>
    <row r="25">
      <c r="A25" s="12" t="inlineStr">
        <is>
          <t>Note 9</t>
        </is>
      </c>
      <c r="B25" s="12" t="inlineStr">
        <is>
          <t>ADHÉRENTS, CLIENTS-USAGERS</t>
        </is>
      </c>
      <c r="C25" s="12" t="n"/>
      <c r="D25" s="12" t="n"/>
    </row>
    <row r="26">
      <c r="A26" s="14" t="inlineStr">
        <is>
          <t>Note 10</t>
        </is>
      </c>
      <c r="B26" s="14" t="inlineStr">
        <is>
          <t>AUTRES CRÉANCES</t>
        </is>
      </c>
      <c r="C26" s="14" t="n"/>
      <c r="D26" s="14" t="n"/>
    </row>
    <row r="27">
      <c r="A27" s="12" t="inlineStr">
        <is>
          <t>Note 11</t>
        </is>
      </c>
      <c r="B27" s="12" t="inlineStr">
        <is>
          <t>TITRES DE PLACEMENT</t>
        </is>
      </c>
      <c r="C27" s="12" t="n"/>
      <c r="D27" s="12" t="n"/>
    </row>
    <row r="28">
      <c r="A28" s="14" t="inlineStr">
        <is>
          <t>Note 12</t>
        </is>
      </c>
      <c r="B28" s="14" t="inlineStr">
        <is>
          <t>VALEURS À ENCAISSER</t>
        </is>
      </c>
      <c r="C28" s="14" t="n"/>
      <c r="D28" s="14" t="n"/>
    </row>
    <row r="29">
      <c r="A29" s="12" t="inlineStr">
        <is>
          <t>Note 13</t>
        </is>
      </c>
      <c r="B29" s="12" t="inlineStr">
        <is>
          <t>DISPONIBILITÉS</t>
        </is>
      </c>
      <c r="C29" s="12" t="n"/>
      <c r="D29" s="12" t="n"/>
    </row>
    <row r="30">
      <c r="A30" s="14" t="inlineStr">
        <is>
          <t>Note 14</t>
        </is>
      </c>
      <c r="B30" s="14" t="inlineStr">
        <is>
          <t>ÉCARTS DE CONVERSION</t>
        </is>
      </c>
      <c r="C30" s="14" t="n"/>
      <c r="D30" s="14" t="n"/>
    </row>
    <row r="31">
      <c r="A31" s="12" t="inlineStr">
        <is>
          <t>Note 15</t>
        </is>
      </c>
      <c r="B31" s="12" t="inlineStr">
        <is>
          <t>DOTATION</t>
        </is>
      </c>
      <c r="C31" s="12" t="n"/>
      <c r="D31" s="12" t="n"/>
    </row>
    <row r="32">
      <c r="A32" s="14" t="inlineStr">
        <is>
          <t>Note 16</t>
        </is>
      </c>
      <c r="B32" s="14" t="inlineStr">
        <is>
          <t>RÉSERVES</t>
        </is>
      </c>
      <c r="C32" s="14" t="n"/>
      <c r="D32" s="14" t="n"/>
    </row>
    <row r="33">
      <c r="A33" s="12" t="inlineStr">
        <is>
          <t>Note 17A</t>
        </is>
      </c>
      <c r="B33" s="12" t="inlineStr">
        <is>
          <t>SUBVENTIONS ET PROVISIONS RÉGLEMENTÉES</t>
        </is>
      </c>
      <c r="C33" s="12" t="n"/>
      <c r="D33" s="12" t="n"/>
    </row>
    <row r="34">
      <c r="A34" s="14" t="inlineStr">
        <is>
          <t>Note 17B</t>
        </is>
      </c>
      <c r="B34" s="14" t="inlineStr">
        <is>
          <t>FONDS AFFECTÉS ET REPORTÉS</t>
        </is>
      </c>
      <c r="C34" s="14" t="n"/>
      <c r="D34" s="14" t="n"/>
    </row>
    <row r="35">
      <c r="A35" s="12" t="inlineStr">
        <is>
          <t>Note 18A</t>
        </is>
      </c>
      <c r="B35" s="12" t="inlineStr">
        <is>
          <t>DETTES FINANCIÈRES ET RESSOURCES ASSIMILÉES</t>
        </is>
      </c>
      <c r="C35" s="12" t="n"/>
      <c r="D35" s="12" t="n"/>
    </row>
    <row r="36">
      <c r="A36" s="14" t="inlineStr">
        <is>
          <t>Note 18B</t>
        </is>
      </c>
      <c r="B36" s="14" t="inlineStr">
        <is>
          <t>ACTIFS ET PASSIFS ÉVENTUELS</t>
        </is>
      </c>
      <c r="C36" s="14" t="n"/>
      <c r="D36" s="14" t="n"/>
    </row>
    <row r="37">
      <c r="A37" s="12" t="inlineStr">
        <is>
          <t>Note 19</t>
        </is>
      </c>
      <c r="B37" s="12" t="inlineStr">
        <is>
          <t>FOURNISSEURS D'EXPLOITATION</t>
        </is>
      </c>
      <c r="C37" s="12" t="n"/>
      <c r="D37" s="12" t="n"/>
    </row>
    <row r="38">
      <c r="A38" s="14" t="inlineStr">
        <is>
          <t>Note 20</t>
        </is>
      </c>
      <c r="B38" s="14" t="inlineStr">
        <is>
          <t>DETTES FISCALES ET SOCIALES</t>
        </is>
      </c>
      <c r="C38" s="14" t="n"/>
      <c r="D38" s="14" t="n"/>
    </row>
    <row r="39">
      <c r="A39" s="12" t="inlineStr">
        <is>
          <t>Note 21</t>
        </is>
      </c>
      <c r="B39" s="12" t="inlineStr">
        <is>
          <t>AUTRES DETTES ET PROVISIONS POUR RISQUES ET CHARGES À COURT TERME</t>
        </is>
      </c>
      <c r="C39" s="12" t="n"/>
      <c r="D39" s="12" t="n"/>
    </row>
    <row r="40">
      <c r="A40" s="14" t="inlineStr">
        <is>
          <t>Note 22</t>
        </is>
      </c>
      <c r="B40" s="14" t="inlineStr">
        <is>
          <t>BANQUES, CRÉDIT D'ESCOMPTE ET DE TRÉSORERIE</t>
        </is>
      </c>
      <c r="C40" s="14" t="n"/>
      <c r="D40" s="14" t="n"/>
    </row>
    <row r="41">
      <c r="A41" s="16" t="inlineStr">
        <is>
          <t>Partie 3 : Notes sur le compte de résultat</t>
        </is>
      </c>
      <c r="B41" s="12" t="n"/>
      <c r="C41" s="12" t="n"/>
      <c r="D41" s="12" t="n"/>
    </row>
    <row r="42">
      <c r="A42" s="14" t="inlineStr">
        <is>
          <t>Note 23</t>
        </is>
      </c>
      <c r="B42" s="14" t="inlineStr">
        <is>
          <t>REVENUS ET AUTRES PRODUITS</t>
        </is>
      </c>
      <c r="C42" s="14" t="n"/>
      <c r="D42" s="14" t="n"/>
    </row>
    <row r="43">
      <c r="A43" s="12" t="inlineStr">
        <is>
          <t>Note 24</t>
        </is>
      </c>
      <c r="B43" s="12" t="inlineStr">
        <is>
          <t>ACHATS</t>
        </is>
      </c>
      <c r="C43" s="12" t="n"/>
      <c r="D43" s="12" t="n"/>
    </row>
    <row r="44">
      <c r="A44" s="14" t="inlineStr">
        <is>
          <t>Note 25</t>
        </is>
      </c>
      <c r="B44" s="14" t="inlineStr">
        <is>
          <t>TRANSPORTS</t>
        </is>
      </c>
      <c r="C44" s="14" t="n"/>
      <c r="D44" s="14" t="n"/>
    </row>
    <row r="45">
      <c r="A45" s="12" t="inlineStr">
        <is>
          <t>Note 26</t>
        </is>
      </c>
      <c r="B45" s="12" t="inlineStr">
        <is>
          <t>SERVICES EXTÉRIEURS</t>
        </is>
      </c>
      <c r="C45" s="12" t="n"/>
      <c r="D45" s="12" t="n"/>
    </row>
    <row r="46">
      <c r="A46" s="14" t="inlineStr">
        <is>
          <t>Note 27</t>
        </is>
      </c>
      <c r="B46" s="14" t="inlineStr">
        <is>
          <t>IMPÔTS ET TAXES</t>
        </is>
      </c>
      <c r="C46" s="14" t="n"/>
      <c r="D46" s="14" t="n"/>
    </row>
    <row r="47">
      <c r="A47" s="12" t="inlineStr">
        <is>
          <t>Note 28</t>
        </is>
      </c>
      <c r="B47" s="12" t="inlineStr">
        <is>
          <t>AUTRES CHARGES</t>
        </is>
      </c>
      <c r="C47" s="12" t="n"/>
      <c r="D47" s="12" t="n"/>
    </row>
    <row r="48">
      <c r="A48" s="14" t="inlineStr">
        <is>
          <t>Note 29A</t>
        </is>
      </c>
      <c r="B48" s="14" t="inlineStr">
        <is>
          <t>CHARGES DE PERSONNEL</t>
        </is>
      </c>
      <c r="C48" s="14" t="n"/>
      <c r="D48" s="14" t="n"/>
    </row>
    <row r="49">
      <c r="A49" s="12" t="inlineStr">
        <is>
          <t>Note 29B</t>
        </is>
      </c>
      <c r="B49" s="12" t="inlineStr">
        <is>
          <t>EFFECTIFS, MASSE SALARIALE ET PERSONNEL EXTÉRIEUR</t>
        </is>
      </c>
      <c r="C49" s="12" t="n"/>
      <c r="D49" s="12" t="n"/>
    </row>
    <row r="50">
      <c r="A50" s="14" t="inlineStr">
        <is>
          <t>Note 30</t>
        </is>
      </c>
      <c r="B50" s="14" t="inlineStr">
        <is>
          <t>DOTATIONS ET CHARGES POUR PROVISIONS ET DÉPRÉCIATIONS</t>
        </is>
      </c>
      <c r="C50" s="14" t="n"/>
      <c r="D50" s="14" t="n"/>
    </row>
    <row r="51">
      <c r="A51" s="12" t="inlineStr">
        <is>
          <t>Note 31</t>
        </is>
      </c>
      <c r="B51" s="12" t="inlineStr">
        <is>
          <t>CHARGES ET REVENUS FINANCIERS</t>
        </is>
      </c>
      <c r="C51" s="12" t="n"/>
      <c r="D51" s="12" t="n"/>
    </row>
    <row r="52">
      <c r="A52" s="14" t="inlineStr">
        <is>
          <t>Note 32</t>
        </is>
      </c>
      <c r="B52" s="14" t="inlineStr">
        <is>
          <t>AUTRES CHARGES ET PRODUITS HAO</t>
        </is>
      </c>
      <c r="C52" s="14" t="n"/>
      <c r="D52" s="14" t="n"/>
    </row>
    <row r="53">
      <c r="A53" s="16" t="inlineStr">
        <is>
          <t>Partie 4 : Autres informations</t>
        </is>
      </c>
      <c r="B53" s="12" t="n"/>
      <c r="C53" s="12" t="n"/>
      <c r="D53" s="12" t="n"/>
    </row>
    <row r="54">
      <c r="A54" s="14" t="inlineStr">
        <is>
          <t>Note 33</t>
        </is>
      </c>
      <c r="B54" s="14" t="inlineStr">
        <is>
          <t>FICHE DE SYNTHÈSE DES PRINCIPAUX INDICATEURS FINANCIERS</t>
        </is>
      </c>
      <c r="C54" s="14" t="n"/>
      <c r="D54" s="14" t="n"/>
    </row>
    <row r="55">
      <c r="A55" s="12" t="inlineStr">
        <is>
          <t>Note 34</t>
        </is>
      </c>
      <c r="B55" s="12" t="inlineStr">
        <is>
          <t>LISTE DES INFORMATIONS SOCIALES, ENVIRONNEMENTALES ET SOCIÉTALES</t>
        </is>
      </c>
      <c r="C55" s="12" t="n"/>
      <c r="D55" s="12" t="n"/>
    </row>
    <row r="56">
      <c r="A56" s="14" t="inlineStr">
        <is>
          <t>Note 35</t>
        </is>
      </c>
      <c r="B56" s="14" t="inlineStr">
        <is>
          <t>TABLEAU D'EXÉCUTION BUDGÉTAIRE</t>
        </is>
      </c>
      <c r="C56" s="14" t="n"/>
      <c r="D56" s="14" t="n"/>
    </row>
    <row r="57"/>
    <row r="58">
      <c r="A58" s="5" t="inlineStr">
        <is>
          <t>(1) A : applicable ; N/A : non applicable. Les notes non documentées ne doivent pas être jointes aux états financiers ; dans une note, les lignes non chiffrées doivent être supprimées.</t>
        </is>
      </c>
    </row>
    <row r="59"/>
  </sheetData>
  <mergeCells count="7">
    <mergeCell ref="A1:D1"/>
    <mergeCell ref="A8:D8"/>
    <mergeCell ref="A53:D53"/>
    <mergeCell ref="A41:D41"/>
    <mergeCell ref="A2:D2"/>
    <mergeCell ref="A58:D59"/>
    <mergeCell ref="A13:D1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5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6" customWidth="1" min="2" max="2"/>
    <col width="16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NOTE 1</t>
        </is>
      </c>
    </row>
    <row r="2">
      <c r="A2" s="2" t="inlineStr">
        <is>
          <t>DETTES GARANTIES PAR DES SÛRETÉS RÉELLES, ENGAGEMENTS FINANCIERS ET CONTRIBUTIONS VOLONTAIRES EN NATURE</t>
        </is>
      </c>
    </row>
    <row r="3"/>
    <row r="4">
      <c r="A4" s="3" t="inlineStr">
        <is>
          <t>Désignation entité : ASSOCIATION ESPOIR</t>
        </is>
      </c>
      <c r="E4" s="3" t="inlineStr">
        <is>
          <t>Exercice clos le : 31/12/2025</t>
        </is>
      </c>
    </row>
    <row r="5">
      <c r="A5" t="inlineStr">
        <is>
          <t>Numéro d'identification : F.92/12.345</t>
        </is>
      </c>
      <c r="E5" t="inlineStr">
        <is>
          <t>Durée (en mois) : 12</t>
        </is>
      </c>
    </row>
    <row r="6"/>
    <row r="7">
      <c r="A7" s="4" t="inlineStr">
        <is>
          <t>DETTES GARANTIES PAR DES SÛRETÉS RÉELLES</t>
        </is>
      </c>
    </row>
    <row r="8">
      <c r="A8" s="9" t="inlineStr">
        <is>
          <t>Libellés</t>
        </is>
      </c>
      <c r="B8" s="9" t="inlineStr">
        <is>
          <t>Note</t>
        </is>
      </c>
      <c r="C8" s="9" t="inlineStr">
        <is>
          <t>Montant brut</t>
        </is>
      </c>
      <c r="D8" s="9" t="inlineStr">
        <is>
          <t>Hypothèques</t>
        </is>
      </c>
      <c r="E8" s="9" t="inlineStr">
        <is>
          <t>Nantissements</t>
        </is>
      </c>
      <c r="F8" s="9" t="inlineStr">
        <is>
          <t>Gages / autres</t>
        </is>
      </c>
    </row>
    <row r="9">
      <c r="A9" s="16" t="inlineStr">
        <is>
          <t>Emprunts et dettes financières diverses :</t>
        </is>
      </c>
      <c r="B9" s="12" t="inlineStr">
        <is>
          <t>18A</t>
        </is>
      </c>
      <c r="C9" s="13" t="n"/>
      <c r="D9" s="13" t="n"/>
      <c r="E9" s="13" t="n"/>
      <c r="F9" s="13" t="n"/>
    </row>
    <row r="10">
      <c r="A10" s="14" t="inlineStr">
        <is>
          <t>Emprunts obligataires</t>
        </is>
      </c>
      <c r="B10" s="14" t="inlineStr"/>
      <c r="C10" s="15">
        <f>SUMIF(BALANCE!$A$2:$A$67,"181*",BALANCE!$G$2:$G$67)-SUMIF(BALANCE!$A$2:$A$67,"181*",BALANCE!$F$2:$F$67)</f>
        <v/>
      </c>
      <c r="D10" s="15" t="n"/>
      <c r="E10" s="15" t="n"/>
      <c r="F10" s="15" t="n"/>
    </row>
    <row r="11">
      <c r="A11" s="12" t="inlineStr">
        <is>
          <t>Emprunts et dettes des établissements de crédit</t>
        </is>
      </c>
      <c r="B11" s="12" t="inlineStr"/>
      <c r="C11" s="13">
        <f>SUMIF(BALANCE!$A$2:$A$67,"182*",BALANCE!$G$2:$G$67)-SUMIF(BALANCE!$A$2:$A$67,"182*",BALANCE!$F$2:$F$67)</f>
        <v/>
      </c>
      <c r="D11" s="13" t="n"/>
      <c r="E11" s="13" t="n"/>
      <c r="F11" s="13" t="n"/>
    </row>
    <row r="12">
      <c r="A12" s="14" t="inlineStr">
        <is>
          <t>Autres dettes financières</t>
        </is>
      </c>
      <c r="B12" s="14" t="inlineStr"/>
      <c r="C12" s="15">
        <f>SUMIF(BALANCE!$A$2:$A$67,"186*",BALANCE!$G$2:$G$67)-SUMIF(BALANCE!$A$2:$A$67,"186*",BALANCE!$F$2:$F$67)+SUMIF(BALANCE!$A$2:$A$67,"188*",BALANCE!$G$2:$G$67)-SUMIF(BALANCE!$A$2:$A$67,"188*",BALANCE!$F$2:$F$67)+SUMIF(BALANCE!$A$2:$A$67,"183*",BALANCE!$G$2:$G$67)-SUMIF(BALANCE!$A$2:$A$67,"183*",BALANCE!$F$2:$F$67)+SUMIF(BALANCE!$A$2:$A$67,"185*",BALANCE!$G$2:$G$67)-SUMIF(BALANCE!$A$2:$A$67,"185*",BALANCE!$F$2:$F$67)</f>
        <v/>
      </c>
      <c r="D12" s="15" t="n"/>
      <c r="E12" s="15" t="n"/>
      <c r="F12" s="15" t="n"/>
    </row>
    <row r="13">
      <c r="A13" s="16" t="inlineStr">
        <is>
          <t>Dettes de location-acquisition :</t>
        </is>
      </c>
      <c r="B13" s="12" t="inlineStr">
        <is>
          <t>18A</t>
        </is>
      </c>
      <c r="C13" s="13" t="n"/>
      <c r="D13" s="13" t="n"/>
      <c r="E13" s="13" t="n"/>
      <c r="F13" s="13" t="n"/>
    </row>
    <row r="14">
      <c r="A14" s="14" t="inlineStr">
        <is>
          <t>Dettes de crédit-bail immobilier</t>
        </is>
      </c>
      <c r="B14" s="14" t="inlineStr"/>
      <c r="C14" s="15">
        <f>SUMIF(BALANCE!$A$2:$A$67,"1871*",BALANCE!$G$2:$G$67)-SUMIF(BALANCE!$A$2:$A$67,"1871*",BALANCE!$F$2:$F$67)</f>
        <v/>
      </c>
      <c r="D14" s="15" t="n"/>
      <c r="E14" s="15" t="n"/>
      <c r="F14" s="15" t="n"/>
    </row>
    <row r="15">
      <c r="A15" s="12" t="inlineStr">
        <is>
          <t>Dettes de crédit-bail mobilier</t>
        </is>
      </c>
      <c r="B15" s="12" t="inlineStr"/>
      <c r="C15" s="13">
        <f>SUMIF(BALANCE!$A$2:$A$67,"1872*",BALANCE!$G$2:$G$67)-SUMIF(BALANCE!$A$2:$A$67,"1872*",BALANCE!$F$2:$F$67)</f>
        <v/>
      </c>
      <c r="D15" s="13" t="n"/>
      <c r="E15" s="13" t="n"/>
      <c r="F15" s="13" t="n"/>
    </row>
    <row r="16">
      <c r="A16" s="14" t="inlineStr">
        <is>
          <t>Dettes sur contrats de location-vente et autres</t>
        </is>
      </c>
      <c r="B16" s="14" t="inlineStr"/>
      <c r="C16" s="15">
        <f>SUMIF(BALANCE!$A$2:$A$67,"187*",BALANCE!$G$2:$G$67)-SUMIF(BALANCE!$A$2:$A$67,"187*",BALANCE!$F$2:$F$67)-SUMIF(BALANCE!$A$2:$A$67,"1876*",BALANCE!$G$2:$G$67)+SUMIF(BALANCE!$A$2:$A$67,"1876*",BALANCE!$F$2:$F$67)-SUMIF(BALANCE!$A$2:$A$67,"1871*",BALANCE!$G$2:$G$67)+SUMIF(BALANCE!$A$2:$A$67,"1871*",BALANCE!$F$2:$F$67)-SUMIF(BALANCE!$A$2:$A$67,"1872*",BALANCE!$G$2:$G$67)+SUMIF(BALANCE!$A$2:$A$67,"1872*",BALANCE!$F$2:$F$67)-SUMIF(BALANCE!$A$2:$A$67,"1873*",BALANCE!$G$2:$G$67)+SUMIF(BALANCE!$A$2:$A$67,"1873*",BALANCE!$F$2:$F$67)</f>
        <v/>
      </c>
      <c r="D16" s="15" t="n"/>
      <c r="E16" s="15" t="n"/>
      <c r="F16" s="15" t="n"/>
    </row>
    <row r="17">
      <c r="A17" s="16" t="inlineStr">
        <is>
          <t>Dettes du passif circulant :</t>
        </is>
      </c>
      <c r="B17" s="12" t="inlineStr"/>
      <c r="C17" s="13" t="n"/>
      <c r="D17" s="13" t="n"/>
      <c r="E17" s="13" t="n"/>
      <c r="F17" s="13" t="n"/>
    </row>
    <row r="18">
      <c r="A18" s="14" t="inlineStr">
        <is>
          <t>Fournisseurs et comptes rattachés</t>
        </is>
      </c>
      <c r="B18" s="14" t="inlineStr">
        <is>
          <t>19</t>
        </is>
      </c>
      <c r="C18" s="15">
        <f>SUMIF(BALANCE!$A$2:$A$67,"40*",BALANCE!$G$2:$G$67)-SUMIF(BALANCE!$A$2:$A$67,"409*",BALANCE!$G$2:$G$67)</f>
        <v/>
      </c>
      <c r="D18" s="15" t="n"/>
      <c r="E18" s="15" t="n"/>
      <c r="F18" s="15" t="n"/>
    </row>
    <row r="19">
      <c r="A19" s="12" t="inlineStr">
        <is>
          <t>Adhérents, clients-usagers créditeurs</t>
        </is>
      </c>
      <c r="B19" s="12" t="inlineStr">
        <is>
          <t>9</t>
        </is>
      </c>
      <c r="C19" s="13">
        <f>SUMIF(BALANCE!$A$2:$A$67,"419*",BALANCE!$G$2:$G$67)</f>
        <v/>
      </c>
      <c r="D19" s="13" t="n"/>
      <c r="E19" s="13" t="n"/>
      <c r="F19" s="13" t="n"/>
    </row>
    <row r="20">
      <c r="A20" s="14" t="inlineStr">
        <is>
          <t>Personnel</t>
        </is>
      </c>
      <c r="B20" s="14" t="inlineStr">
        <is>
          <t>20</t>
        </is>
      </c>
      <c r="C20" s="15">
        <f>SUMIF(BALANCE!$A$2:$A$67,"42*",BALANCE!$G$2:$G$67)</f>
        <v/>
      </c>
      <c r="D20" s="15" t="n"/>
      <c r="E20" s="15" t="n"/>
      <c r="F20" s="15" t="n"/>
    </row>
    <row r="21">
      <c r="A21" s="12" t="inlineStr">
        <is>
          <t>Organismes sociaux</t>
        </is>
      </c>
      <c r="B21" s="12" t="inlineStr">
        <is>
          <t>20</t>
        </is>
      </c>
      <c r="C21" s="13">
        <f>SUMIF(BALANCE!$A$2:$A$67,"43*",BALANCE!$G$2:$G$67)</f>
        <v/>
      </c>
      <c r="D21" s="13" t="n"/>
      <c r="E21" s="13" t="n"/>
      <c r="F21" s="13" t="n"/>
    </row>
    <row r="22">
      <c r="A22" s="14" t="inlineStr">
        <is>
          <t>État et collectivités</t>
        </is>
      </c>
      <c r="B22" s="14" t="inlineStr">
        <is>
          <t>20</t>
        </is>
      </c>
      <c r="C22" s="15">
        <f>SUMIF(BALANCE!$A$2:$A$67,"44*",BALANCE!$G$2:$G$67)</f>
        <v/>
      </c>
      <c r="D22" s="15" t="n"/>
      <c r="E22" s="15" t="n"/>
      <c r="F22" s="15" t="n"/>
    </row>
    <row r="23">
      <c r="A23" s="12" t="inlineStr">
        <is>
          <t>Fondateurs, apporteurs et comptes rattachés</t>
        </is>
      </c>
      <c r="B23" s="12" t="inlineStr">
        <is>
          <t>21</t>
        </is>
      </c>
      <c r="C23" s="13">
        <f>SUMIF(BALANCE!$A$2:$A$67,"45*",BALANCE!$G$2:$G$67)</f>
        <v/>
      </c>
      <c r="D23" s="13" t="n"/>
      <c r="E23" s="13" t="n"/>
      <c r="F23" s="13" t="n"/>
    </row>
    <row r="24">
      <c r="A24" s="14" t="inlineStr">
        <is>
          <t>Bailleurs, État et autres organismes, fonds d'administration</t>
        </is>
      </c>
      <c r="B24" s="14" t="inlineStr">
        <is>
          <t>21</t>
        </is>
      </c>
      <c r="C24" s="15">
        <f>SUMIF(BALANCE!$A$2:$A$67,"46*",BALANCE!$G$2:$G$67)</f>
        <v/>
      </c>
      <c r="D24" s="15" t="n"/>
      <c r="E24" s="15" t="n"/>
      <c r="F24" s="15" t="n"/>
    </row>
    <row r="25">
      <c r="A25" s="12" t="inlineStr">
        <is>
          <t>Créditeurs divers</t>
        </is>
      </c>
      <c r="B25" s="12" t="inlineStr">
        <is>
          <t>21</t>
        </is>
      </c>
      <c r="C25" s="13">
        <f>SUMIF(BALANCE!$A$2:$A$67,"47*",BALANCE!$G$2:$G$67)-SUMIF(BALANCE!$A$2:$A$67,"478*",BALANCE!$G$2:$G$67)-SUMIF(BALANCE!$A$2:$A$67,"479*",BALANCE!$G$2:$G$67)</f>
        <v/>
      </c>
      <c r="D25" s="13" t="n"/>
      <c r="E25" s="13" t="n"/>
      <c r="F25" s="13" t="n"/>
    </row>
    <row r="26">
      <c r="A26" s="10" t="inlineStr">
        <is>
          <t>TOTAL</t>
        </is>
      </c>
      <c r="B26" s="10" t="n"/>
      <c r="C26" s="11">
        <f>C10+C11+C12+C14+C15+C16+C18+C19+C20+C21+C22+C23+C24+C25</f>
        <v/>
      </c>
      <c r="D26" s="10" t="n"/>
      <c r="E26" s="10" t="n"/>
      <c r="F26" s="10" t="n"/>
    </row>
    <row r="27"/>
    <row r="28">
      <c r="A28" t="inlineStr">
        <is>
          <t>Colonnes hypothèques / nantissements / gages : à servir depuis les actes de sûretés - la balance ne les porte pas. Indiquer la raison d'être des sûretés.</t>
        </is>
      </c>
    </row>
    <row r="29"/>
    <row r="30">
      <c r="A30" s="4" t="inlineStr">
        <is>
          <t>ENGAGEMENTS FINANCIERS</t>
        </is>
      </c>
    </row>
    <row r="31">
      <c r="A31" s="9" t="inlineStr">
        <is>
          <t>Libellés</t>
        </is>
      </c>
      <c r="B31" s="9" t="inlineStr">
        <is>
          <t>Engagements réciproques</t>
        </is>
      </c>
      <c r="C31" s="9" t="inlineStr">
        <is>
          <t>Engagements donnés</t>
        </is>
      </c>
      <c r="D31" s="9" t="inlineStr">
        <is>
          <t>Engagements reçus</t>
        </is>
      </c>
    </row>
    <row r="32">
      <c r="A32" s="14" t="inlineStr">
        <is>
          <t>Avals, cautions, garanties</t>
        </is>
      </c>
      <c r="B32" s="15" t="n"/>
      <c r="C32" s="15" t="n"/>
      <c r="D32" s="15" t="n"/>
    </row>
    <row r="33">
      <c r="A33" s="12" t="inlineStr">
        <is>
          <t>Hypothèques, nantissements, gages, autres</t>
        </is>
      </c>
      <c r="B33" s="13" t="n"/>
      <c r="C33" s="13" t="n"/>
      <c r="D33" s="13" t="n"/>
    </row>
    <row r="34">
      <c r="A34" s="14" t="inlineStr">
        <is>
          <t>Effets escomptés non échus</t>
        </is>
      </c>
      <c r="B34" s="15" t="n"/>
      <c r="C34" s="15" t="n"/>
      <c r="D34" s="15" t="n"/>
    </row>
    <row r="35">
      <c r="A35" s="10" t="inlineStr">
        <is>
          <t>TOTAL</t>
        </is>
      </c>
      <c r="B35" s="11">
        <f>SUM(B32:B34)</f>
        <v/>
      </c>
      <c r="C35" s="11">
        <f>SUM(C32:C34)</f>
        <v/>
      </c>
      <c r="D35" s="11">
        <f>SUM(D32:D34)</f>
        <v/>
      </c>
    </row>
    <row r="36"/>
    <row r="37">
      <c r="A37" s="4" t="inlineStr">
        <is>
          <t>CONTRIBUTIONS VOLONTAIRES EN NATURE (classe 9)</t>
        </is>
      </c>
    </row>
    <row r="38">
      <c r="A38" s="9" t="inlineStr">
        <is>
          <t>Libellés</t>
        </is>
      </c>
      <c r="B38" s="9" t="inlineStr">
        <is>
          <t>Ressources (91)</t>
        </is>
      </c>
      <c r="C38" s="9" t="inlineStr">
        <is>
          <t>Emplois (90)</t>
        </is>
      </c>
    </row>
    <row r="39">
      <c r="A39" s="12" t="inlineStr">
        <is>
          <t>Dons en nature</t>
        </is>
      </c>
      <c r="B39" s="13">
        <f>SUMIF(BALANCE!$A$2:$A$67,"910*",BALANCE!$G$2:$G$67)-SUMIF(BALANCE!$A$2:$A$67,"910*",BALANCE!$F$2:$F$67)</f>
        <v/>
      </c>
      <c r="C39" s="13">
        <f>SUMIF(BALANCE!$A$2:$A$67,"900*",BALANCE!$F$2:$F$67)-SUMIF(BALANCE!$A$2:$A$67,"900*",BALANCE!$G$2:$G$67)</f>
        <v/>
      </c>
    </row>
    <row r="40">
      <c r="A40" s="14" t="inlineStr">
        <is>
          <t>Mises à disposition gratuite des biens</t>
        </is>
      </c>
      <c r="B40" s="15" t="n"/>
      <c r="C40" s="15">
        <f>SUMIF(BALANCE!$A$2:$A$67,"901*",BALANCE!$F$2:$F$67)-SUMIF(BALANCE!$A$2:$A$67,"901*",BALANCE!$G$2:$G$67)</f>
        <v/>
      </c>
    </row>
    <row r="41">
      <c r="A41" s="12" t="inlineStr">
        <is>
          <t>Prestations en nature</t>
        </is>
      </c>
      <c r="B41" s="13">
        <f>SUMIF(BALANCE!$A$2:$A$67,"911*",BALANCE!$G$2:$G$67)-SUMIF(BALANCE!$A$2:$A$67,"911*",BALANCE!$F$2:$F$67)</f>
        <v/>
      </c>
      <c r="C41" s="13">
        <f>SUMIF(BALANCE!$A$2:$A$67,"902*",BALANCE!$F$2:$F$67)-SUMIF(BALANCE!$A$2:$A$67,"902*",BALANCE!$G$2:$G$67)</f>
        <v/>
      </c>
    </row>
    <row r="42">
      <c r="A42" s="14" t="inlineStr">
        <is>
          <t>Personnel bénévole</t>
        </is>
      </c>
      <c r="B42" s="15">
        <f>SUMIF(BALANCE!$A$2:$A$67,"914*",BALANCE!$G$2:$G$67)-SUMIF(BALANCE!$A$2:$A$67,"914*",BALANCE!$F$2:$F$67)</f>
        <v/>
      </c>
      <c r="C42" s="15">
        <f>SUMIF(BALANCE!$A$2:$A$67,"904*",BALANCE!$F$2:$F$67)-SUMIF(BALANCE!$A$2:$A$67,"904*",BALANCE!$G$2:$G$67)</f>
        <v/>
      </c>
    </row>
    <row r="43">
      <c r="A43" s="10" t="inlineStr">
        <is>
          <t>TOTAL</t>
        </is>
      </c>
      <c r="B43" s="11">
        <f>SUM(B39:B42)</f>
        <v/>
      </c>
      <c r="C43" s="11">
        <f>SUM(C39:C42)</f>
        <v/>
      </c>
    </row>
    <row r="44"/>
    <row r="45">
      <c r="A45" t="inlineStr">
        <is>
          <t>Évaluer les contributions volontaires à la valeur actuelle (cadre conceptuel SYCEBNL).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NOTE 2</t>
        </is>
      </c>
    </row>
    <row r="2">
      <c r="A2" s="2" t="inlineStr">
        <is>
          <t>INFORMATIONS OBLIGATOIRES</t>
        </is>
      </c>
    </row>
    <row r="3"/>
    <row r="4">
      <c r="A4" s="3" t="inlineStr">
        <is>
          <t>Désignation entité : ASSOCIATION ESPOIR</t>
        </is>
      </c>
      <c r="E4" s="3" t="inlineStr">
        <is>
          <t>Exercice clos le : 31/12/2025</t>
        </is>
      </c>
    </row>
    <row r="5">
      <c r="A5" t="inlineStr">
        <is>
          <t>Numéro d'identification : F.92/12.345</t>
        </is>
      </c>
      <c r="E5" t="inlineStr">
        <is>
          <t>Durée (en mois) : 12</t>
        </is>
      </c>
    </row>
    <row r="6"/>
    <row r="7"/>
    <row r="8">
      <c r="A8" s="5" t="inlineStr">
        <is>
          <t>A - IDENTITÉ, ORGANISATION : décrire brièvement l'identité de l'entité (date de création, nature du projet associatif, mission) et l'organisation avec des données chiffrées (effectifs, nombre de bénévoles, total des revenus, moyens utilisés).</t>
        </is>
      </c>
    </row>
    <row r="9"/>
    <row r="10"/>
    <row r="11">
      <c r="A11" s="5" t="inlineStr">
        <is>
          <t>B - DÉCLARATION DE CONFORMITÉ AU SYSTÈME COMPTABLE DES ENTITÉS À BUT NON LUCRATIF ET FAITS MARQUANTS DE L'EXERCICE.</t>
        </is>
      </c>
    </row>
    <row r="12"/>
    <row r="13"/>
    <row r="14">
      <c r="A14" s="5" t="inlineStr">
        <is>
          <t>C - RÈGLES, MÉTHODES COMPTABLES ET DÉROGATION AUX PRINCIPES COMPTABLES.</t>
        </is>
      </c>
    </row>
    <row r="15"/>
    <row r="16"/>
    <row r="17">
      <c r="A17" s="5" t="inlineStr">
        <is>
          <t>D - INFORMATIONS COMPLÉMENTAIRES RELATIVES AU BILAN, AU COMPTE DE RÉSULTAT ET AU TABLEAU DES FLUX DE TRÉSORERIE.</t>
        </is>
      </c>
    </row>
    <row r="18"/>
  </sheetData>
  <mergeCells count="6">
    <mergeCell ref="A2:F2"/>
    <mergeCell ref="A11:F12"/>
    <mergeCell ref="A1:F1"/>
    <mergeCell ref="A14:F15"/>
    <mergeCell ref="A17:F18"/>
    <mergeCell ref="A8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NOTE 3</t>
        </is>
      </c>
    </row>
    <row r="2">
      <c r="A2" s="2" t="inlineStr">
        <is>
          <t>ÉVÈNEMENTS POSTÉRIEURS À LA CLÔTURE DE L'EXERCICE</t>
        </is>
      </c>
    </row>
    <row r="3"/>
    <row r="4">
      <c r="A4" s="3" t="inlineStr">
        <is>
          <t>Désignation entité : ASSOCIATION ESPOIR</t>
        </is>
      </c>
      <c r="E4" s="3" t="inlineStr">
        <is>
          <t>Exercice clos le : 31/12/2025</t>
        </is>
      </c>
    </row>
    <row r="5">
      <c r="A5" t="inlineStr">
        <is>
          <t>Numéro d'identification : F.92/12.345</t>
        </is>
      </c>
      <c r="E5" t="inlineStr">
        <is>
          <t>Durée (en mois) : 12</t>
        </is>
      </c>
    </row>
    <row r="6"/>
    <row r="7"/>
    <row r="8">
      <c r="A8" s="5" t="inlineStr">
        <is>
          <t xml:space="preserve">Date d'arrêté des états financiers : </t>
        </is>
      </c>
    </row>
    <row r="9"/>
    <row r="10"/>
    <row r="11">
      <c r="A11" s="5" t="inlineStr">
        <is>
          <t xml:space="preserve">Organe ayant autorisé la publication des comptes : </t>
        </is>
      </c>
    </row>
    <row r="12"/>
    <row r="13"/>
    <row r="14">
      <c r="A14" s="5" t="inlineStr">
        <is>
          <t>A - ÉVÈNEMENTS POSTÉRIEURS DONNANT LIEU À AJUSTEMENTS : nature des évènements et précisions sur les comptes ajustés.</t>
        </is>
      </c>
    </row>
    <row r="15"/>
    <row r="16"/>
    <row r="17">
      <c r="A17" s="5" t="inlineStr">
        <is>
          <t>B - ÉVÈNEMENTS POSTÉRIEURS NE DONNANT PAS LIEU À AJUSTEMENTS : estimation de l'impact financier ou indication que l'estimation ne peut être fournie.</t>
        </is>
      </c>
    </row>
    <row r="18"/>
    <row r="19"/>
    <row r="20">
      <c r="A20" s="5" t="inlineStr">
        <is>
          <t>C - ÉVÈNEMENTS REMETTANT EN CAUSE LA CONTINUITÉ DE L'EXPLOITATION : nature de l'évènement, valeurs liquidatives retenues.</t>
        </is>
      </c>
    </row>
    <row r="21"/>
  </sheetData>
  <mergeCells count="7">
    <mergeCell ref="A2:F2"/>
    <mergeCell ref="A11:F12"/>
    <mergeCell ref="A1:F1"/>
    <mergeCell ref="A14:F15"/>
    <mergeCell ref="A17:F18"/>
    <mergeCell ref="A8:F9"/>
    <mergeCell ref="A20:F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NOTE 4</t>
        </is>
      </c>
    </row>
    <row r="2">
      <c r="A2" s="2" t="inlineStr">
        <is>
          <t>CHANGEMENTS DE MÉTHODES COMPTABLES, D'ESTIMATIONS ET CORRECTIONS D'ERREURS</t>
        </is>
      </c>
    </row>
    <row r="3"/>
    <row r="4">
      <c r="A4" s="3" t="inlineStr">
        <is>
          <t>Désignation entité : ASSOCIATION ESPOIR</t>
        </is>
      </c>
      <c r="E4" s="3" t="inlineStr">
        <is>
          <t>Exercice clos le : 31/12/2025</t>
        </is>
      </c>
    </row>
    <row r="5">
      <c r="A5" t="inlineStr">
        <is>
          <t>Numéro d'identification : F.92/12.345</t>
        </is>
      </c>
      <c r="E5" t="inlineStr">
        <is>
          <t>Durée (en mois) : 12</t>
        </is>
      </c>
    </row>
    <row r="6"/>
    <row r="7"/>
    <row r="8">
      <c r="A8" s="5" t="inlineStr">
        <is>
          <t>A - CHANGEMENTS DE MÉTHODES COMPTABLES : 1. changement de réglementation comptable ; 2. changement à l'initiative de l'entité (impact à l'ouverture, retraitement rétrospectif ou application prospective).</t>
        </is>
      </c>
    </row>
    <row r="9"/>
    <row r="10"/>
    <row r="11">
      <c r="A11" s="5" t="inlineStr">
        <is>
          <t>B - CHANGEMENTS D'ESTIMATIONS : indiquer et justifier le changement d'estimation.</t>
        </is>
      </c>
    </row>
    <row r="12"/>
    <row r="13"/>
    <row r="14">
      <c r="A14" s="5" t="inlineStr">
        <is>
          <t>C - CORRECTIONS D'ERREURS : nature des erreurs corrigées et principaux postes retraités.</t>
        </is>
      </c>
    </row>
    <row r="15"/>
  </sheetData>
  <mergeCells count="5">
    <mergeCell ref="A2:F2"/>
    <mergeCell ref="A11:F12"/>
    <mergeCell ref="A1:F1"/>
    <mergeCell ref="A14:F15"/>
    <mergeCell ref="A8:F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NOTE 5A</t>
        </is>
      </c>
    </row>
    <row r="2">
      <c r="A2" s="2" t="inlineStr">
        <is>
          <t>DONS ET LEGS D'IMMOBILISATIONS NON REÇUS DESTINÉS À LA VENTE ET USUFRUIT TEMPORAIRE</t>
        </is>
      </c>
    </row>
    <row r="3"/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6"/>
    <row r="7">
      <c r="A7" s="9" t="inlineStr">
        <is>
          <t>RUBRIQUES</t>
        </is>
      </c>
      <c r="B7" s="9" t="inlineStr">
        <is>
          <t>Montant brut à l'ouverture (A)</t>
        </is>
      </c>
      <c r="C7" s="9" t="inlineStr">
        <is>
          <t>Augmentations (B)</t>
        </is>
      </c>
      <c r="D7" s="9" t="inlineStr">
        <is>
          <t>Diminutions (C)</t>
        </is>
      </c>
      <c r="E7" s="9" t="inlineStr">
        <is>
          <t>Montant brut à la clôture (D = A + B - C)</t>
        </is>
      </c>
    </row>
    <row r="8">
      <c r="A8" s="17" t="inlineStr">
        <is>
          <t>IMMOBILISATIONS INCORPORELLES</t>
        </is>
      </c>
      <c r="B8" s="15" t="n"/>
      <c r="C8" s="15" t="n"/>
      <c r="D8" s="15" t="n"/>
      <c r="E8" s="15" t="n"/>
    </row>
    <row r="9">
      <c r="A9" s="12" t="inlineStr">
        <is>
          <t>Usufruit</t>
        </is>
      </c>
      <c r="B9" s="13">
        <f>SUMIF(BALANCE_N1!$A$2:$A$67,"2011*",BALANCE_N1!$F$2:$F$67)-SUMIF(BALANCE_N1!$A$2:$A$67,"2011*",BALANCE_N1!$G$2:$G$67)</f>
        <v/>
      </c>
      <c r="C9" s="13">
        <f>MAX(0,(SUMIF(BALANCE!$A$2:$A$67,"2011*",BALANCE!$F$2:$F$67)-SUMIF(BALANCE!$A$2:$A$67,"2011*",BALANCE!$G$2:$G$67))-(SUMIF(BALANCE_N1!$A$2:$A$67,"2011*",BALANCE_N1!$F$2:$F$67)-SUMIF(BALANCE_N1!$A$2:$A$67,"2011*",BALANCE_N1!$G$2:$G$67)))</f>
        <v/>
      </c>
      <c r="D9" s="13">
        <f>MAX(0,(SUMIF(BALANCE_N1!$A$2:$A$67,"2011*",BALANCE_N1!$F$2:$F$67)-SUMIF(BALANCE_N1!$A$2:$A$67,"2011*",BALANCE_N1!$G$2:$G$67))-(SUMIF(BALANCE!$A$2:$A$67,"2011*",BALANCE!$F$2:$F$67)-SUMIF(BALANCE!$A$2:$A$67,"2011*",BALANCE!$G$2:$G$67)))</f>
        <v/>
      </c>
      <c r="E9" s="13">
        <f>B9+C9-D9</f>
        <v/>
      </c>
    </row>
    <row r="10">
      <c r="A10" s="14" t="inlineStr">
        <is>
          <t>Brevets, licences, logiciels et droits similaires</t>
        </is>
      </c>
      <c r="B10" s="15">
        <f>SUMIF(BALANCE_N1!$A$2:$A$67,"2013*",BALANCE_N1!$F$2:$F$67)-SUMIF(BALANCE_N1!$A$2:$A$67,"2013*",BALANCE_N1!$G$2:$G$67)+SUMIF(BALANCE_N1!$A$2:$A$67,"2012*",BALANCE_N1!$F$2:$F$67)-SUMIF(BALANCE_N1!$A$2:$A$67,"2012*",BALANCE_N1!$G$2:$G$67)</f>
        <v/>
      </c>
      <c r="C10" s="15">
        <f>MAX(0,(SUMIF(BALANCE!$A$2:$A$67,"2013*",BALANCE!$F$2:$F$67)-SUMIF(BALANCE!$A$2:$A$67,"2013*",BALANCE!$G$2:$G$67)+SUMIF(BALANCE!$A$2:$A$67,"2012*",BALANCE!$F$2:$F$67)-SUMIF(BALANCE!$A$2:$A$67,"2012*",BALANCE!$G$2:$G$67))-(SUMIF(BALANCE_N1!$A$2:$A$67,"2013*",BALANCE_N1!$F$2:$F$67)-SUMIF(BALANCE_N1!$A$2:$A$67,"2013*",BALANCE_N1!$G$2:$G$67)+SUMIF(BALANCE_N1!$A$2:$A$67,"2012*",BALANCE_N1!$F$2:$F$67)-SUMIF(BALANCE_N1!$A$2:$A$67,"2012*",BALANCE_N1!$G$2:$G$67)))</f>
        <v/>
      </c>
      <c r="D10" s="15">
        <f>MAX(0,(SUMIF(BALANCE_N1!$A$2:$A$67,"2013*",BALANCE_N1!$F$2:$F$67)-SUMIF(BALANCE_N1!$A$2:$A$67,"2013*",BALANCE_N1!$G$2:$G$67)+SUMIF(BALANCE_N1!$A$2:$A$67,"2012*",BALANCE_N1!$F$2:$F$67)-SUMIF(BALANCE_N1!$A$2:$A$67,"2012*",BALANCE_N1!$G$2:$G$67))-(SUMIF(BALANCE!$A$2:$A$67,"2013*",BALANCE!$F$2:$F$67)-SUMIF(BALANCE!$A$2:$A$67,"2013*",BALANCE!$G$2:$G$67)+SUMIF(BALANCE!$A$2:$A$67,"2012*",BALANCE!$F$2:$F$67)-SUMIF(BALANCE!$A$2:$A$67,"2012*",BALANCE!$G$2:$G$67)))</f>
        <v/>
      </c>
      <c r="E10" s="15">
        <f>B10+C10-D10</f>
        <v/>
      </c>
    </row>
    <row r="11">
      <c r="A11" s="12" t="inlineStr">
        <is>
          <t>Autres immobilisations incorporelles</t>
        </is>
      </c>
      <c r="B11" s="13">
        <f>SUMIF(BALANCE_N1!$A$2:$A$67,"2017*",BALANCE_N1!$F$2:$F$67)-SUMIF(BALANCE_N1!$A$2:$A$67,"2017*",BALANCE_N1!$G$2:$G$67)+SUMIF(BALANCE_N1!$A$2:$A$67,"2014*",BALANCE_N1!$F$2:$F$67)-SUMIF(BALANCE_N1!$A$2:$A$67,"2014*",BALANCE_N1!$G$2:$G$67)</f>
        <v/>
      </c>
      <c r="C11" s="13">
        <f>MAX(0,(SUMIF(BALANCE!$A$2:$A$67,"2017*",BALANCE!$F$2:$F$67)-SUMIF(BALANCE!$A$2:$A$67,"2017*",BALANCE!$G$2:$G$67)+SUMIF(BALANCE!$A$2:$A$67,"2014*",BALANCE!$F$2:$F$67)-SUMIF(BALANCE!$A$2:$A$67,"2014*",BALANCE!$G$2:$G$67))-(SUMIF(BALANCE_N1!$A$2:$A$67,"2017*",BALANCE_N1!$F$2:$F$67)-SUMIF(BALANCE_N1!$A$2:$A$67,"2017*",BALANCE_N1!$G$2:$G$67)+SUMIF(BALANCE_N1!$A$2:$A$67,"2014*",BALANCE_N1!$F$2:$F$67)-SUMIF(BALANCE_N1!$A$2:$A$67,"2014*",BALANCE_N1!$G$2:$G$67)))</f>
        <v/>
      </c>
      <c r="D11" s="13">
        <f>MAX(0,(SUMIF(BALANCE_N1!$A$2:$A$67,"2017*",BALANCE_N1!$F$2:$F$67)-SUMIF(BALANCE_N1!$A$2:$A$67,"2017*",BALANCE_N1!$G$2:$G$67)+SUMIF(BALANCE_N1!$A$2:$A$67,"2014*",BALANCE_N1!$F$2:$F$67)-SUMIF(BALANCE_N1!$A$2:$A$67,"2014*",BALANCE_N1!$G$2:$G$67))-(SUMIF(BALANCE!$A$2:$A$67,"2017*",BALANCE!$F$2:$F$67)-SUMIF(BALANCE!$A$2:$A$67,"2017*",BALANCE!$G$2:$G$67)+SUMIF(BALANCE!$A$2:$A$67,"2014*",BALANCE!$F$2:$F$67)-SUMIF(BALANCE!$A$2:$A$67,"2014*",BALANCE!$G$2:$G$67)))</f>
        <v/>
      </c>
      <c r="E11" s="13">
        <f>B11+C11-D11</f>
        <v/>
      </c>
    </row>
    <row r="12">
      <c r="A12" s="17" t="inlineStr">
        <is>
          <t>IMMOBILISATIONS CORPORELLES</t>
        </is>
      </c>
      <c r="B12" s="15" t="n"/>
      <c r="C12" s="15" t="n"/>
      <c r="D12" s="15" t="n"/>
      <c r="E12" s="15" t="n"/>
    </row>
    <row r="13">
      <c r="A13" s="12" t="inlineStr">
        <is>
          <t>Terrains</t>
        </is>
      </c>
      <c r="B13" s="13">
        <f>SUMIF(BALANCE_N1!$A$2:$A$67,"202*",BALANCE_N1!$F$2:$F$67)-SUMIF(BALANCE_N1!$A$2:$A$67,"202*",BALANCE_N1!$G$2:$G$67)</f>
        <v/>
      </c>
      <c r="C13" s="13">
        <f>MAX(0,(SUMIF(BALANCE!$A$2:$A$67,"202*",BALANCE!$F$2:$F$67)-SUMIF(BALANCE!$A$2:$A$67,"202*",BALANCE!$G$2:$G$67))-(SUMIF(BALANCE_N1!$A$2:$A$67,"202*",BALANCE_N1!$F$2:$F$67)-SUMIF(BALANCE_N1!$A$2:$A$67,"202*",BALANCE_N1!$G$2:$G$67)))</f>
        <v/>
      </c>
      <c r="D13" s="13">
        <f>MAX(0,(SUMIF(BALANCE_N1!$A$2:$A$67,"202*",BALANCE_N1!$F$2:$F$67)-SUMIF(BALANCE_N1!$A$2:$A$67,"202*",BALANCE_N1!$G$2:$G$67))-(SUMIF(BALANCE!$A$2:$A$67,"202*",BALANCE!$F$2:$F$67)-SUMIF(BALANCE!$A$2:$A$67,"202*",BALANCE!$G$2:$G$67)))</f>
        <v/>
      </c>
      <c r="E13" s="13">
        <f>B13+C13-D13</f>
        <v/>
      </c>
    </row>
    <row r="14">
      <c r="A14" s="14" t="inlineStr">
        <is>
          <t>Bâtiments</t>
        </is>
      </c>
      <c r="B14" s="15">
        <f>SUMIF(BALANCE_N1!$A$2:$A$67,"203*",BALANCE_N1!$F$2:$F$67)-SUMIF(BALANCE_N1!$A$2:$A$67,"203*",BALANCE_N1!$G$2:$G$67)</f>
        <v/>
      </c>
      <c r="C14" s="15">
        <f>MAX(0,(SUMIF(BALANCE!$A$2:$A$67,"203*",BALANCE!$F$2:$F$67)-SUMIF(BALANCE!$A$2:$A$67,"203*",BALANCE!$G$2:$G$67))-(SUMIF(BALANCE_N1!$A$2:$A$67,"203*",BALANCE_N1!$F$2:$F$67)-SUMIF(BALANCE_N1!$A$2:$A$67,"203*",BALANCE_N1!$G$2:$G$67)))</f>
        <v/>
      </c>
      <c r="D14" s="15">
        <f>MAX(0,(SUMIF(BALANCE_N1!$A$2:$A$67,"203*",BALANCE_N1!$F$2:$F$67)-SUMIF(BALANCE_N1!$A$2:$A$67,"203*",BALANCE_N1!$G$2:$G$67))-(SUMIF(BALANCE!$A$2:$A$67,"203*",BALANCE!$F$2:$F$67)-SUMIF(BALANCE!$A$2:$A$67,"203*",BALANCE!$G$2:$G$67)))</f>
        <v/>
      </c>
      <c r="E14" s="15">
        <f>B14+C14-D14</f>
        <v/>
      </c>
    </row>
    <row r="15">
      <c r="A15" s="12" t="inlineStr">
        <is>
          <t>Matériels et mobiliers</t>
        </is>
      </c>
      <c r="B15" s="13">
        <f>SUMIF(BALANCE_N1!$A$2:$A$67,"204*",BALANCE_N1!$F$2:$F$67)-SUMIF(BALANCE_N1!$A$2:$A$67,"204*",BALANCE_N1!$G$2:$G$67)</f>
        <v/>
      </c>
      <c r="C15" s="13">
        <f>MAX(0,(SUMIF(BALANCE!$A$2:$A$67,"204*",BALANCE!$F$2:$F$67)-SUMIF(BALANCE!$A$2:$A$67,"204*",BALANCE!$G$2:$G$67))-(SUMIF(BALANCE_N1!$A$2:$A$67,"204*",BALANCE_N1!$F$2:$F$67)-SUMIF(BALANCE_N1!$A$2:$A$67,"204*",BALANCE_N1!$G$2:$G$67)))</f>
        <v/>
      </c>
      <c r="D15" s="13">
        <f>MAX(0,(SUMIF(BALANCE_N1!$A$2:$A$67,"204*",BALANCE_N1!$F$2:$F$67)-SUMIF(BALANCE_N1!$A$2:$A$67,"204*",BALANCE_N1!$G$2:$G$67))-(SUMIF(BALANCE!$A$2:$A$67,"204*",BALANCE!$F$2:$F$67)-SUMIF(BALANCE!$A$2:$A$67,"204*",BALANCE!$G$2:$G$67)))</f>
        <v/>
      </c>
      <c r="E15" s="13">
        <f>B15+C15-D15</f>
        <v/>
      </c>
    </row>
    <row r="16">
      <c r="A16" s="17" t="inlineStr">
        <is>
          <t>IMMOBILISATIONS FINANCIÈRES</t>
        </is>
      </c>
      <c r="B16" s="15" t="n"/>
      <c r="C16" s="15" t="n"/>
      <c r="D16" s="15" t="n"/>
      <c r="E16" s="15" t="n"/>
    </row>
    <row r="17">
      <c r="A17" s="12" t="inlineStr">
        <is>
          <t>Titres de participation</t>
        </is>
      </c>
      <c r="B17" s="13">
        <f>SUMIF(BALANCE_N1!$A$2:$A$67,"205*",BALANCE_N1!$F$2:$F$67)-SUMIF(BALANCE_N1!$A$2:$A$67,"205*",BALANCE_N1!$G$2:$G$67)</f>
        <v/>
      </c>
      <c r="C17" s="13">
        <f>MAX(0,(SUMIF(BALANCE!$A$2:$A$67,"205*",BALANCE!$F$2:$F$67)-SUMIF(BALANCE!$A$2:$A$67,"205*",BALANCE!$G$2:$G$67))-(SUMIF(BALANCE_N1!$A$2:$A$67,"205*",BALANCE_N1!$F$2:$F$67)-SUMIF(BALANCE_N1!$A$2:$A$67,"205*",BALANCE_N1!$G$2:$G$67)))</f>
        <v/>
      </c>
      <c r="D17" s="13">
        <f>MAX(0,(SUMIF(BALANCE_N1!$A$2:$A$67,"205*",BALANCE_N1!$F$2:$F$67)-SUMIF(BALANCE_N1!$A$2:$A$67,"205*",BALANCE_N1!$G$2:$G$67))-(SUMIF(BALANCE!$A$2:$A$67,"205*",BALANCE!$F$2:$F$67)-SUMIF(BALANCE!$A$2:$A$67,"205*",BALANCE!$G$2:$G$67)))</f>
        <v/>
      </c>
      <c r="E17" s="13">
        <f>B17+C17-D17</f>
        <v/>
      </c>
    </row>
    <row r="18">
      <c r="A18" s="10" t="inlineStr">
        <is>
          <t>TOTAL GÉNÉRAL</t>
        </is>
      </c>
      <c r="B18" s="11">
        <f>B9+B10+B11+B13+B14+B15+B17</f>
        <v/>
      </c>
      <c r="C18" s="11">
        <f>C9+C10+C11+C13+C14+C15+C17</f>
        <v/>
      </c>
      <c r="D18" s="11">
        <f>D9+D10+D11+D13+D14+D15+D17</f>
        <v/>
      </c>
      <c r="E18" s="11">
        <f>E9+E10+E11+E13+E14+E15+E17</f>
        <v/>
      </c>
    </row>
    <row r="19"/>
    <row r="20">
      <c r="A20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NOTE 5B</t>
        </is>
      </c>
    </row>
    <row r="2">
      <c r="A2" s="2" t="inlineStr">
        <is>
          <t>IMMOBILISATIONS BRUTES</t>
        </is>
      </c>
    </row>
    <row r="3"/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6"/>
    <row r="7">
      <c r="A7" s="9" t="inlineStr">
        <is>
          <t>RUBRIQUES</t>
        </is>
      </c>
      <c r="B7" s="9" t="inlineStr">
        <is>
          <t>Montant brut à l'ouverture (A)</t>
        </is>
      </c>
      <c r="C7" s="9" t="inlineStr">
        <is>
          <t>Augmentations (B)</t>
        </is>
      </c>
      <c r="D7" s="9" t="inlineStr">
        <is>
          <t>Diminutions (C)</t>
        </is>
      </c>
      <c r="E7" s="9" t="inlineStr">
        <is>
          <t>Montant brut à la clôture (D = A + B - C)</t>
        </is>
      </c>
    </row>
    <row r="8">
      <c r="A8" s="17" t="inlineStr">
        <is>
          <t>IMMOBILISATIONS INCORPORELLES</t>
        </is>
      </c>
      <c r="B8" s="15" t="n"/>
      <c r="C8" s="15" t="n"/>
      <c r="D8" s="15" t="n"/>
      <c r="E8" s="15" t="n"/>
    </row>
    <row r="9">
      <c r="A9" s="12" t="inlineStr">
        <is>
          <t>Brevets, licences et droits similaires</t>
        </is>
      </c>
      <c r="B9" s="13">
        <f>SUMIF(BALANCE_N1!$A$2:$A$67,"212*",BALANCE_N1!$F$2:$F$67)-SUMIF(BALANCE_N1!$A$2:$A$67,"212*",BALANCE_N1!$G$2:$G$67)+SUMIF(BALANCE_N1!$A$2:$A$67,"218*",BALANCE_N1!$F$2:$F$67)-SUMIF(BALANCE_N1!$A$2:$A$67,"218*",BALANCE_N1!$G$2:$G$67)+SUMIF(BALANCE_N1!$A$2:$A$67,"214*",BALANCE_N1!$F$2:$F$67)-SUMIF(BALANCE_N1!$A$2:$A$67,"214*",BALANCE_N1!$G$2:$G$67)</f>
        <v/>
      </c>
      <c r="C9" s="13">
        <f>MAX(0,(SUMIF(BALANCE!$A$2:$A$67,"212*",BALANCE!$F$2:$F$67)-SUMIF(BALANCE!$A$2:$A$67,"212*",BALANCE!$G$2:$G$67)+SUMIF(BALANCE!$A$2:$A$67,"218*",BALANCE!$F$2:$F$67)-SUMIF(BALANCE!$A$2:$A$67,"218*",BALANCE!$G$2:$G$67)+SUMIF(BALANCE!$A$2:$A$67,"214*",BALANCE!$F$2:$F$67)-SUMIF(BALANCE!$A$2:$A$67,"214*",BALANCE!$G$2:$G$67))-(SUMIF(BALANCE_N1!$A$2:$A$67,"212*",BALANCE_N1!$F$2:$F$67)-SUMIF(BALANCE_N1!$A$2:$A$67,"212*",BALANCE_N1!$G$2:$G$67)+SUMIF(BALANCE_N1!$A$2:$A$67,"218*",BALANCE_N1!$F$2:$F$67)-SUMIF(BALANCE_N1!$A$2:$A$67,"218*",BALANCE_N1!$G$2:$G$67)+SUMIF(BALANCE_N1!$A$2:$A$67,"214*",BALANCE_N1!$F$2:$F$67)-SUMIF(BALANCE_N1!$A$2:$A$67,"214*",BALANCE_N1!$G$2:$G$67)))</f>
        <v/>
      </c>
      <c r="D9" s="13">
        <f>MAX(0,(SUMIF(BALANCE_N1!$A$2:$A$67,"212*",BALANCE_N1!$F$2:$F$67)-SUMIF(BALANCE_N1!$A$2:$A$67,"212*",BALANCE_N1!$G$2:$G$67)+SUMIF(BALANCE_N1!$A$2:$A$67,"218*",BALANCE_N1!$F$2:$F$67)-SUMIF(BALANCE_N1!$A$2:$A$67,"218*",BALANCE_N1!$G$2:$G$67)+SUMIF(BALANCE_N1!$A$2:$A$67,"214*",BALANCE_N1!$F$2:$F$67)-SUMIF(BALANCE_N1!$A$2:$A$67,"214*",BALANCE_N1!$G$2:$G$67))-(SUMIF(BALANCE!$A$2:$A$67,"212*",BALANCE!$F$2:$F$67)-SUMIF(BALANCE!$A$2:$A$67,"212*",BALANCE!$G$2:$G$67)+SUMIF(BALANCE!$A$2:$A$67,"218*",BALANCE!$F$2:$F$67)-SUMIF(BALANCE!$A$2:$A$67,"218*",BALANCE!$G$2:$G$67)+SUMIF(BALANCE!$A$2:$A$67,"214*",BALANCE!$F$2:$F$67)-SUMIF(BALANCE!$A$2:$A$67,"214*",BALANCE!$G$2:$G$67)))</f>
        <v/>
      </c>
      <c r="E9" s="13">
        <f>B9+C9-D9</f>
        <v/>
      </c>
    </row>
    <row r="10">
      <c r="A10" s="14" t="inlineStr">
        <is>
          <t>Logiciels et sites internet</t>
        </is>
      </c>
      <c r="B10" s="15">
        <f>SUMIF(BALANCE_N1!$A$2:$A$67,"213*",BALANCE_N1!$F$2:$F$67)-SUMIF(BALANCE_N1!$A$2:$A$67,"213*",BALANCE_N1!$G$2:$G$67)+SUMIF(BALANCE_N1!$A$2:$A$67,"2193*",BALANCE_N1!$F$2:$F$67)-SUMIF(BALANCE_N1!$A$2:$A$67,"2193*",BALANCE_N1!$G$2:$G$67)</f>
        <v/>
      </c>
      <c r="C10" s="15">
        <f>MAX(0,(SUMIF(BALANCE!$A$2:$A$67,"213*",BALANCE!$F$2:$F$67)-SUMIF(BALANCE!$A$2:$A$67,"213*",BALANCE!$G$2:$G$67)+SUMIF(BALANCE!$A$2:$A$67,"2193*",BALANCE!$F$2:$F$67)-SUMIF(BALANCE!$A$2:$A$67,"2193*",BALANCE!$G$2:$G$67))-(SUMIF(BALANCE_N1!$A$2:$A$67,"213*",BALANCE_N1!$F$2:$F$67)-SUMIF(BALANCE_N1!$A$2:$A$67,"213*",BALANCE_N1!$G$2:$G$67)+SUMIF(BALANCE_N1!$A$2:$A$67,"2193*",BALANCE_N1!$F$2:$F$67)-SUMIF(BALANCE_N1!$A$2:$A$67,"2193*",BALANCE_N1!$G$2:$G$67)))</f>
        <v/>
      </c>
      <c r="D10" s="15">
        <f>MAX(0,(SUMIF(BALANCE_N1!$A$2:$A$67,"213*",BALANCE_N1!$F$2:$F$67)-SUMIF(BALANCE_N1!$A$2:$A$67,"213*",BALANCE_N1!$G$2:$G$67)+SUMIF(BALANCE_N1!$A$2:$A$67,"2193*",BALANCE_N1!$F$2:$F$67)-SUMIF(BALANCE_N1!$A$2:$A$67,"2193*",BALANCE_N1!$G$2:$G$67))-(SUMIF(BALANCE!$A$2:$A$67,"213*",BALANCE!$F$2:$F$67)-SUMIF(BALANCE!$A$2:$A$67,"213*",BALANCE!$G$2:$G$67)+SUMIF(BALANCE!$A$2:$A$67,"2193*",BALANCE!$F$2:$F$67)-SUMIF(BALANCE!$A$2:$A$67,"2193*",BALANCE!$G$2:$G$67)))</f>
        <v/>
      </c>
      <c r="E10" s="15">
        <f>B10+C10-D10</f>
        <v/>
      </c>
    </row>
    <row r="11">
      <c r="A11" s="12" t="inlineStr">
        <is>
          <t>Avances et acomptes sur immobilisations incorporelles</t>
        </is>
      </c>
      <c r="B11" s="13">
        <f>SUMIF(BALANCE_N1!$A$2:$A$67,"251*",BALANCE_N1!$F$2:$F$67)-SUMIF(BALANCE_N1!$A$2:$A$67,"251*",BALANCE_N1!$G$2:$G$67)</f>
        <v/>
      </c>
      <c r="C11" s="13">
        <f>MAX(0,(SUMIF(BALANCE!$A$2:$A$67,"251*",BALANCE!$F$2:$F$67)-SUMIF(BALANCE!$A$2:$A$67,"251*",BALANCE!$G$2:$G$67))-(SUMIF(BALANCE_N1!$A$2:$A$67,"251*",BALANCE_N1!$F$2:$F$67)-SUMIF(BALANCE_N1!$A$2:$A$67,"251*",BALANCE_N1!$G$2:$G$67)))</f>
        <v/>
      </c>
      <c r="D11" s="13">
        <f>MAX(0,(SUMIF(BALANCE_N1!$A$2:$A$67,"251*",BALANCE_N1!$F$2:$F$67)-SUMIF(BALANCE_N1!$A$2:$A$67,"251*",BALANCE_N1!$G$2:$G$67))-(SUMIF(BALANCE!$A$2:$A$67,"251*",BALANCE!$F$2:$F$67)-SUMIF(BALANCE!$A$2:$A$67,"251*",BALANCE!$G$2:$G$67)))</f>
        <v/>
      </c>
      <c r="E11" s="13">
        <f>B11+C11-D11</f>
        <v/>
      </c>
    </row>
    <row r="12">
      <c r="A12" s="14" t="inlineStr">
        <is>
          <t>Autres immobilisations incorporelles</t>
        </is>
      </c>
      <c r="B12" s="15">
        <f>SUMIF(BALANCE_N1!$A$2:$A$67,"2198*",BALANCE_N1!$F$2:$F$67)-SUMIF(BALANCE_N1!$A$2:$A$67,"2198*",BALANCE_N1!$G$2:$G$67)</f>
        <v/>
      </c>
      <c r="C12" s="15">
        <f>MAX(0,(SUMIF(BALANCE!$A$2:$A$67,"2198*",BALANCE!$F$2:$F$67)-SUMIF(BALANCE!$A$2:$A$67,"2198*",BALANCE!$G$2:$G$67))-(SUMIF(BALANCE_N1!$A$2:$A$67,"2198*",BALANCE_N1!$F$2:$F$67)-SUMIF(BALANCE_N1!$A$2:$A$67,"2198*",BALANCE_N1!$G$2:$G$67)))</f>
        <v/>
      </c>
      <c r="D12" s="15">
        <f>MAX(0,(SUMIF(BALANCE_N1!$A$2:$A$67,"2198*",BALANCE_N1!$F$2:$F$67)-SUMIF(BALANCE_N1!$A$2:$A$67,"2198*",BALANCE_N1!$G$2:$G$67))-(SUMIF(BALANCE!$A$2:$A$67,"2198*",BALANCE!$F$2:$F$67)-SUMIF(BALANCE!$A$2:$A$67,"2198*",BALANCE!$G$2:$G$67)))</f>
        <v/>
      </c>
      <c r="E12" s="15">
        <f>B12+C12-D12</f>
        <v/>
      </c>
    </row>
    <row r="13">
      <c r="A13" s="16" t="inlineStr">
        <is>
          <t>IMMOBILISATIONS CORPORELLES</t>
        </is>
      </c>
      <c r="B13" s="13" t="n"/>
      <c r="C13" s="13" t="n"/>
      <c r="D13" s="13" t="n"/>
      <c r="E13" s="13" t="n"/>
    </row>
    <row r="14">
      <c r="A14" s="14" t="inlineStr">
        <is>
          <t>Terrains hors immeuble de placement</t>
        </is>
      </c>
      <c r="B14" s="15">
        <f>SUMIF(BALANCE_N1!$A$2:$A$67,"22*",BALANCE_N1!$F$2:$F$67)-SUMIF(BALANCE_N1!$A$2:$A$67,"22*",BALANCE_N1!$G$2:$G$67)-SUMIF(BALANCE_N1!$A$2:$A$67,"2281*",BALANCE_N1!$F$2:$F$67)+SUMIF(BALANCE_N1!$A$2:$A$67,"2281*",BALANCE_N1!$G$2:$G$67)</f>
        <v/>
      </c>
      <c r="C14" s="15">
        <f>MAX(0,(SUMIF(BALANCE!$A$2:$A$67,"22*",BALANCE!$F$2:$F$67)-SUMIF(BALANCE!$A$2:$A$67,"22*",BALANCE!$G$2:$G$67)-SUMIF(BALANCE!$A$2:$A$67,"2281*",BALANCE!$F$2:$F$67)+SUMIF(BALANCE!$A$2:$A$67,"2281*",BALANCE!$G$2:$G$67))-(SUMIF(BALANCE_N1!$A$2:$A$67,"22*",BALANCE_N1!$F$2:$F$67)-SUMIF(BALANCE_N1!$A$2:$A$67,"22*",BALANCE_N1!$G$2:$G$67)-SUMIF(BALANCE_N1!$A$2:$A$67,"2281*",BALANCE_N1!$F$2:$F$67)+SUMIF(BALANCE_N1!$A$2:$A$67,"2281*",BALANCE_N1!$G$2:$G$67)))</f>
        <v/>
      </c>
      <c r="D14" s="15">
        <f>MAX(0,(SUMIF(BALANCE_N1!$A$2:$A$67,"22*",BALANCE_N1!$F$2:$F$67)-SUMIF(BALANCE_N1!$A$2:$A$67,"22*",BALANCE_N1!$G$2:$G$67)-SUMIF(BALANCE_N1!$A$2:$A$67,"2281*",BALANCE_N1!$F$2:$F$67)+SUMIF(BALANCE_N1!$A$2:$A$67,"2281*",BALANCE_N1!$G$2:$G$67))-(SUMIF(BALANCE!$A$2:$A$67,"22*",BALANCE!$F$2:$F$67)-SUMIF(BALANCE!$A$2:$A$67,"22*",BALANCE!$G$2:$G$67)-SUMIF(BALANCE!$A$2:$A$67,"2281*",BALANCE!$F$2:$F$67)+SUMIF(BALANCE!$A$2:$A$67,"2281*",BALANCE!$G$2:$G$67)))</f>
        <v/>
      </c>
      <c r="E14" s="15">
        <f>B14+C14-D14</f>
        <v/>
      </c>
    </row>
    <row r="15">
      <c r="A15" s="12" t="inlineStr">
        <is>
          <t>Terrains - immeuble de placement</t>
        </is>
      </c>
      <c r="B15" s="13">
        <f>SUMIF(BALANCE_N1!$A$2:$A$67,"2281*",BALANCE_N1!$F$2:$F$67)-SUMIF(BALANCE_N1!$A$2:$A$67,"2281*",BALANCE_N1!$G$2:$G$67)</f>
        <v/>
      </c>
      <c r="C15" s="13">
        <f>MAX(0,(SUMIF(BALANCE!$A$2:$A$67,"2281*",BALANCE!$F$2:$F$67)-SUMIF(BALANCE!$A$2:$A$67,"2281*",BALANCE!$G$2:$G$67))-(SUMIF(BALANCE_N1!$A$2:$A$67,"2281*",BALANCE_N1!$F$2:$F$67)-SUMIF(BALANCE_N1!$A$2:$A$67,"2281*",BALANCE_N1!$G$2:$G$67)))</f>
        <v/>
      </c>
      <c r="D15" s="13">
        <f>MAX(0,(SUMIF(BALANCE_N1!$A$2:$A$67,"2281*",BALANCE_N1!$F$2:$F$67)-SUMIF(BALANCE_N1!$A$2:$A$67,"2281*",BALANCE_N1!$G$2:$G$67))-(SUMIF(BALANCE!$A$2:$A$67,"2281*",BALANCE!$F$2:$F$67)-SUMIF(BALANCE!$A$2:$A$67,"2281*",BALANCE!$G$2:$G$67)))</f>
        <v/>
      </c>
      <c r="E15" s="13">
        <f>B15+C15-D15</f>
        <v/>
      </c>
    </row>
    <row r="16">
      <c r="A16" s="14" t="inlineStr">
        <is>
          <t>Bâtiments hors immeuble de placement</t>
        </is>
      </c>
      <c r="B16" s="15">
        <f>SUMIF(BALANCE_N1!$A$2:$A$67,"231*",BALANCE_N1!$F$2:$F$67)-SUMIF(BALANCE_N1!$A$2:$A$67,"231*",BALANCE_N1!$G$2:$G$67)+SUMIF(BALANCE_N1!$A$2:$A$67,"233*",BALANCE_N1!$F$2:$F$67)-SUMIF(BALANCE_N1!$A$2:$A$67,"233*",BALANCE_N1!$G$2:$G$67)+SUMIF(BALANCE_N1!$A$2:$A$67,"232*",BALANCE_N1!$F$2:$F$67)-SUMIF(BALANCE_N1!$A$2:$A$67,"232*",BALANCE_N1!$G$2:$G$67)+SUMIF(BALANCE_N1!$A$2:$A$67,"2391*",BALANCE_N1!$F$2:$F$67)-SUMIF(BALANCE_N1!$A$2:$A$67,"2391*",BALANCE_N1!$G$2:$G$67)+SUMIF(BALANCE_N1!$A$2:$A$67,"2392*",BALANCE_N1!$F$2:$F$67)-SUMIF(BALANCE_N1!$A$2:$A$67,"2392*",BALANCE_N1!$G$2:$G$67)+SUMIF(BALANCE_N1!$A$2:$A$67,"2393*",BALANCE_N1!$F$2:$F$67)-SUMIF(BALANCE_N1!$A$2:$A$67,"2393*",BALANCE_N1!$G$2:$G$67)-SUMIF(BALANCE_N1!$A$2:$A$67,"2325*",BALANCE_N1!$F$2:$F$67)+SUMIF(BALANCE_N1!$A$2:$A$67,"2325*",BALANCE_N1!$G$2:$G$67)-SUMIF(BALANCE_N1!$A$2:$A$67,"2315*",BALANCE_N1!$F$2:$F$67)+SUMIF(BALANCE_N1!$A$2:$A$67,"2315*",BALANCE_N1!$G$2:$G$67)</f>
        <v/>
      </c>
      <c r="C16" s="15">
        <f>MAX(0,(SUMIF(BALANCE!$A$2:$A$67,"231*",BALANCE!$F$2:$F$67)-SUMIF(BALANCE!$A$2:$A$67,"231*",BALANCE!$G$2:$G$67)+SUMIF(BALANCE!$A$2:$A$67,"233*",BALANCE!$F$2:$F$67)-SUMIF(BALANCE!$A$2:$A$67,"233*",BALANCE!$G$2:$G$67)+SUMIF(BALANCE!$A$2:$A$67,"232*",BALANCE!$F$2:$F$67)-SUMIF(BALANCE!$A$2:$A$67,"232*",BALANCE!$G$2:$G$67)+SUMIF(BALANCE!$A$2:$A$67,"2391*",BALANCE!$F$2:$F$67)-SUMIF(BALANCE!$A$2:$A$67,"2391*",BALANCE!$G$2:$G$67)+SUMIF(BALANCE!$A$2:$A$67,"2392*",BALANCE!$F$2:$F$67)-SUMIF(BALANCE!$A$2:$A$67,"2392*",BALANCE!$G$2:$G$67)+SUMIF(BALANCE!$A$2:$A$67,"2393*",BALANCE!$F$2:$F$67)-SUMIF(BALANCE!$A$2:$A$67,"2393*",BALANCE!$G$2:$G$67)-SUMIF(BALANCE!$A$2:$A$67,"2325*",BALANCE!$F$2:$F$67)+SUMIF(BALANCE!$A$2:$A$67,"2325*",BALANCE!$G$2:$G$67)-SUMIF(BALANCE!$A$2:$A$67,"2315*",BALANCE!$F$2:$F$67)+SUMIF(BALANCE!$A$2:$A$67,"2315*",BALANCE!$G$2:$G$67))-(SUMIF(BALANCE_N1!$A$2:$A$67,"231*",BALANCE_N1!$F$2:$F$67)-SUMIF(BALANCE_N1!$A$2:$A$67,"231*",BALANCE_N1!$G$2:$G$67)+SUMIF(BALANCE_N1!$A$2:$A$67,"233*",BALANCE_N1!$F$2:$F$67)-SUMIF(BALANCE_N1!$A$2:$A$67,"233*",BALANCE_N1!$G$2:$G$67)+SUMIF(BALANCE_N1!$A$2:$A$67,"232*",BALANCE_N1!$F$2:$F$67)-SUMIF(BALANCE_N1!$A$2:$A$67,"232*",BALANCE_N1!$G$2:$G$67)+SUMIF(BALANCE_N1!$A$2:$A$67,"2391*",BALANCE_N1!$F$2:$F$67)-SUMIF(BALANCE_N1!$A$2:$A$67,"2391*",BALANCE_N1!$G$2:$G$67)+SUMIF(BALANCE_N1!$A$2:$A$67,"2392*",BALANCE_N1!$F$2:$F$67)-SUMIF(BALANCE_N1!$A$2:$A$67,"2392*",BALANCE_N1!$G$2:$G$67)+SUMIF(BALANCE_N1!$A$2:$A$67,"2393*",BALANCE_N1!$F$2:$F$67)-SUMIF(BALANCE_N1!$A$2:$A$67,"2393*",BALANCE_N1!$G$2:$G$67)-SUMIF(BALANCE_N1!$A$2:$A$67,"2325*",BALANCE_N1!$F$2:$F$67)+SUMIF(BALANCE_N1!$A$2:$A$67,"2325*",BALANCE_N1!$G$2:$G$67)-SUMIF(BALANCE_N1!$A$2:$A$67,"2315*",BALANCE_N1!$F$2:$F$67)+SUMIF(BALANCE_N1!$A$2:$A$67,"2315*",BALANCE_N1!$G$2:$G$67)))</f>
        <v/>
      </c>
      <c r="D16" s="15">
        <f>MAX(0,(SUMIF(BALANCE_N1!$A$2:$A$67,"231*",BALANCE_N1!$F$2:$F$67)-SUMIF(BALANCE_N1!$A$2:$A$67,"231*",BALANCE_N1!$G$2:$G$67)+SUMIF(BALANCE_N1!$A$2:$A$67,"233*",BALANCE_N1!$F$2:$F$67)-SUMIF(BALANCE_N1!$A$2:$A$67,"233*",BALANCE_N1!$G$2:$G$67)+SUMIF(BALANCE_N1!$A$2:$A$67,"232*",BALANCE_N1!$F$2:$F$67)-SUMIF(BALANCE_N1!$A$2:$A$67,"232*",BALANCE_N1!$G$2:$G$67)+SUMIF(BALANCE_N1!$A$2:$A$67,"2391*",BALANCE_N1!$F$2:$F$67)-SUMIF(BALANCE_N1!$A$2:$A$67,"2391*",BALANCE_N1!$G$2:$G$67)+SUMIF(BALANCE_N1!$A$2:$A$67,"2392*",BALANCE_N1!$F$2:$F$67)-SUMIF(BALANCE_N1!$A$2:$A$67,"2392*",BALANCE_N1!$G$2:$G$67)+SUMIF(BALANCE_N1!$A$2:$A$67,"2393*",BALANCE_N1!$F$2:$F$67)-SUMIF(BALANCE_N1!$A$2:$A$67,"2393*",BALANCE_N1!$G$2:$G$67)-SUMIF(BALANCE_N1!$A$2:$A$67,"2325*",BALANCE_N1!$F$2:$F$67)+SUMIF(BALANCE_N1!$A$2:$A$67,"2325*",BALANCE_N1!$G$2:$G$67)-SUMIF(BALANCE_N1!$A$2:$A$67,"2315*",BALANCE_N1!$F$2:$F$67)+SUMIF(BALANCE_N1!$A$2:$A$67,"2315*",BALANCE_N1!$G$2:$G$67))-(SUMIF(BALANCE!$A$2:$A$67,"231*",BALANCE!$F$2:$F$67)-SUMIF(BALANCE!$A$2:$A$67,"231*",BALANCE!$G$2:$G$67)+SUMIF(BALANCE!$A$2:$A$67,"233*",BALANCE!$F$2:$F$67)-SUMIF(BALANCE!$A$2:$A$67,"233*",BALANCE!$G$2:$G$67)+SUMIF(BALANCE!$A$2:$A$67,"232*",BALANCE!$F$2:$F$67)-SUMIF(BALANCE!$A$2:$A$67,"232*",BALANCE!$G$2:$G$67)+SUMIF(BALANCE!$A$2:$A$67,"2391*",BALANCE!$F$2:$F$67)-SUMIF(BALANCE!$A$2:$A$67,"2391*",BALANCE!$G$2:$G$67)+SUMIF(BALANCE!$A$2:$A$67,"2392*",BALANCE!$F$2:$F$67)-SUMIF(BALANCE!$A$2:$A$67,"2392*",BALANCE!$G$2:$G$67)+SUMIF(BALANCE!$A$2:$A$67,"2393*",BALANCE!$F$2:$F$67)-SUMIF(BALANCE!$A$2:$A$67,"2393*",BALANCE!$G$2:$G$67)-SUMIF(BALANCE!$A$2:$A$67,"2325*",BALANCE!$F$2:$F$67)+SUMIF(BALANCE!$A$2:$A$67,"2325*",BALANCE!$G$2:$G$67)-SUMIF(BALANCE!$A$2:$A$67,"2315*",BALANCE!$F$2:$F$67)+SUMIF(BALANCE!$A$2:$A$67,"2315*",BALANCE!$G$2:$G$67)))</f>
        <v/>
      </c>
      <c r="E16" s="15">
        <f>B16+C16-D16</f>
        <v/>
      </c>
    </row>
    <row r="17">
      <c r="A17" s="12" t="inlineStr">
        <is>
          <t>Bâtiments - immeuble de placement</t>
        </is>
      </c>
      <c r="B17" s="13">
        <f>SUMIF(BALANCE_N1!$A$2:$A$67,"2325*",BALANCE_N1!$F$2:$F$67)-SUMIF(BALANCE_N1!$A$2:$A$67,"2325*",BALANCE_N1!$G$2:$G$67)+SUMIF(BALANCE_N1!$A$2:$A$67,"2396*",BALANCE_N1!$F$2:$F$67)-SUMIF(BALANCE_N1!$A$2:$A$67,"2396*",BALANCE_N1!$G$2:$G$67)+SUMIF(BALANCE_N1!$A$2:$A$67,"2315*",BALANCE_N1!$F$2:$F$67)-SUMIF(BALANCE_N1!$A$2:$A$67,"2315*",BALANCE_N1!$G$2:$G$67)</f>
        <v/>
      </c>
      <c r="C17" s="13">
        <f>MAX(0,(SUMIF(BALANCE!$A$2:$A$67,"2325*",BALANCE!$F$2:$F$67)-SUMIF(BALANCE!$A$2:$A$67,"2325*",BALANCE!$G$2:$G$67)+SUMIF(BALANCE!$A$2:$A$67,"2396*",BALANCE!$F$2:$F$67)-SUMIF(BALANCE!$A$2:$A$67,"2396*",BALANCE!$G$2:$G$67)+SUMIF(BALANCE!$A$2:$A$67,"2315*",BALANCE!$F$2:$F$67)-SUMIF(BALANCE!$A$2:$A$67,"2315*",BALANCE!$G$2:$G$67))-(SUMIF(BALANCE_N1!$A$2:$A$67,"2325*",BALANCE_N1!$F$2:$F$67)-SUMIF(BALANCE_N1!$A$2:$A$67,"2325*",BALANCE_N1!$G$2:$G$67)+SUMIF(BALANCE_N1!$A$2:$A$67,"2396*",BALANCE_N1!$F$2:$F$67)-SUMIF(BALANCE_N1!$A$2:$A$67,"2396*",BALANCE_N1!$G$2:$G$67)+SUMIF(BALANCE_N1!$A$2:$A$67,"2315*",BALANCE_N1!$F$2:$F$67)-SUMIF(BALANCE_N1!$A$2:$A$67,"2315*",BALANCE_N1!$G$2:$G$67)))</f>
        <v/>
      </c>
      <c r="D17" s="13">
        <f>MAX(0,(SUMIF(BALANCE_N1!$A$2:$A$67,"2325*",BALANCE_N1!$F$2:$F$67)-SUMIF(BALANCE_N1!$A$2:$A$67,"2325*",BALANCE_N1!$G$2:$G$67)+SUMIF(BALANCE_N1!$A$2:$A$67,"2396*",BALANCE_N1!$F$2:$F$67)-SUMIF(BALANCE_N1!$A$2:$A$67,"2396*",BALANCE_N1!$G$2:$G$67)+SUMIF(BALANCE_N1!$A$2:$A$67,"2315*",BALANCE_N1!$F$2:$F$67)-SUMIF(BALANCE_N1!$A$2:$A$67,"2315*",BALANCE_N1!$G$2:$G$67))-(SUMIF(BALANCE!$A$2:$A$67,"2325*",BALANCE!$F$2:$F$67)-SUMIF(BALANCE!$A$2:$A$67,"2325*",BALANCE!$G$2:$G$67)+SUMIF(BALANCE!$A$2:$A$67,"2396*",BALANCE!$F$2:$F$67)-SUMIF(BALANCE!$A$2:$A$67,"2396*",BALANCE!$G$2:$G$67)+SUMIF(BALANCE!$A$2:$A$67,"2315*",BALANCE!$F$2:$F$67)-SUMIF(BALANCE!$A$2:$A$67,"2315*",BALANCE!$G$2:$G$67)))</f>
        <v/>
      </c>
      <c r="E17" s="13">
        <f>B17+C17-D17</f>
        <v/>
      </c>
    </row>
    <row r="18">
      <c r="A18" s="14" t="inlineStr">
        <is>
          <t>Aménagements, agencements et installations</t>
        </is>
      </c>
      <c r="B18" s="15">
        <f>SUMIF(BALANCE_N1!$A$2:$A$67,"234*",BALANCE_N1!$F$2:$F$67)-SUMIF(BALANCE_N1!$A$2:$A$67,"234*",BALANCE_N1!$G$2:$G$67)+SUMIF(BALANCE_N1!$A$2:$A$67,"238*",BALANCE_N1!$F$2:$F$67)-SUMIF(BALANCE_N1!$A$2:$A$67,"238*",BALANCE_N1!$G$2:$G$67)+SUMIF(BALANCE_N1!$A$2:$A$67,"235*",BALANCE_N1!$F$2:$F$67)-SUMIF(BALANCE_N1!$A$2:$A$67,"235*",BALANCE_N1!$G$2:$G$67)+SUMIF(BALANCE_N1!$A$2:$A$67,"2395*",BALANCE_N1!$F$2:$F$67)-SUMIF(BALANCE_N1!$A$2:$A$67,"2395*",BALANCE_N1!$G$2:$G$67)+SUMIF(BALANCE_N1!$A$2:$A$67,"2394*",BALANCE_N1!$F$2:$F$67)-SUMIF(BALANCE_N1!$A$2:$A$67,"2394*",BALANCE_N1!$G$2:$G$67)+SUMIF(BALANCE_N1!$A$2:$A$67,"2398*",BALANCE_N1!$F$2:$F$67)-SUMIF(BALANCE_N1!$A$2:$A$67,"2398*",BALANCE_N1!$G$2:$G$67)</f>
        <v/>
      </c>
      <c r="C18" s="15">
        <f>MAX(0,(SUMIF(BALANCE!$A$2:$A$67,"234*",BALANCE!$F$2:$F$67)-SUMIF(BALANCE!$A$2:$A$67,"234*",BALANCE!$G$2:$G$67)+SUMIF(BALANCE!$A$2:$A$67,"238*",BALANCE!$F$2:$F$67)-SUMIF(BALANCE!$A$2:$A$67,"238*",BALANCE!$G$2:$G$67)+SUMIF(BALANCE!$A$2:$A$67,"235*",BALANCE!$F$2:$F$67)-SUMIF(BALANCE!$A$2:$A$67,"235*",BALANCE!$G$2:$G$67)+SUMIF(BALANCE!$A$2:$A$67,"2395*",BALANCE!$F$2:$F$67)-SUMIF(BALANCE!$A$2:$A$67,"2395*",BALANCE!$G$2:$G$67)+SUMIF(BALANCE!$A$2:$A$67,"2394*",BALANCE!$F$2:$F$67)-SUMIF(BALANCE!$A$2:$A$67,"2394*",BALANCE!$G$2:$G$67)+SUMIF(BALANCE!$A$2:$A$67,"2398*",BALANCE!$F$2:$F$67)-SUMIF(BALANCE!$A$2:$A$67,"2398*",BALANCE!$G$2:$G$67))-(SUMIF(BALANCE_N1!$A$2:$A$67,"234*",BALANCE_N1!$F$2:$F$67)-SUMIF(BALANCE_N1!$A$2:$A$67,"234*",BALANCE_N1!$G$2:$G$67)+SUMIF(BALANCE_N1!$A$2:$A$67,"238*",BALANCE_N1!$F$2:$F$67)-SUMIF(BALANCE_N1!$A$2:$A$67,"238*",BALANCE_N1!$G$2:$G$67)+SUMIF(BALANCE_N1!$A$2:$A$67,"235*",BALANCE_N1!$F$2:$F$67)-SUMIF(BALANCE_N1!$A$2:$A$67,"235*",BALANCE_N1!$G$2:$G$67)+SUMIF(BALANCE_N1!$A$2:$A$67,"2395*",BALANCE_N1!$F$2:$F$67)-SUMIF(BALANCE_N1!$A$2:$A$67,"2395*",BALANCE_N1!$G$2:$G$67)+SUMIF(BALANCE_N1!$A$2:$A$67,"2394*",BALANCE_N1!$F$2:$F$67)-SUMIF(BALANCE_N1!$A$2:$A$67,"2394*",BALANCE_N1!$G$2:$G$67)+SUMIF(BALANCE_N1!$A$2:$A$67,"2398*",BALANCE_N1!$F$2:$F$67)-SUMIF(BALANCE_N1!$A$2:$A$67,"2398*",BALANCE_N1!$G$2:$G$67)))</f>
        <v/>
      </c>
      <c r="D18" s="15">
        <f>MAX(0,(SUMIF(BALANCE_N1!$A$2:$A$67,"234*",BALANCE_N1!$F$2:$F$67)-SUMIF(BALANCE_N1!$A$2:$A$67,"234*",BALANCE_N1!$G$2:$G$67)+SUMIF(BALANCE_N1!$A$2:$A$67,"238*",BALANCE_N1!$F$2:$F$67)-SUMIF(BALANCE_N1!$A$2:$A$67,"238*",BALANCE_N1!$G$2:$G$67)+SUMIF(BALANCE_N1!$A$2:$A$67,"235*",BALANCE_N1!$F$2:$F$67)-SUMIF(BALANCE_N1!$A$2:$A$67,"235*",BALANCE_N1!$G$2:$G$67)+SUMIF(BALANCE_N1!$A$2:$A$67,"2395*",BALANCE_N1!$F$2:$F$67)-SUMIF(BALANCE_N1!$A$2:$A$67,"2395*",BALANCE_N1!$G$2:$G$67)+SUMIF(BALANCE_N1!$A$2:$A$67,"2394*",BALANCE_N1!$F$2:$F$67)-SUMIF(BALANCE_N1!$A$2:$A$67,"2394*",BALANCE_N1!$G$2:$G$67)+SUMIF(BALANCE_N1!$A$2:$A$67,"2398*",BALANCE_N1!$F$2:$F$67)-SUMIF(BALANCE_N1!$A$2:$A$67,"2398*",BALANCE_N1!$G$2:$G$67))-(SUMIF(BALANCE!$A$2:$A$67,"234*",BALANCE!$F$2:$F$67)-SUMIF(BALANCE!$A$2:$A$67,"234*",BALANCE!$G$2:$G$67)+SUMIF(BALANCE!$A$2:$A$67,"238*",BALANCE!$F$2:$F$67)-SUMIF(BALANCE!$A$2:$A$67,"238*",BALANCE!$G$2:$G$67)+SUMIF(BALANCE!$A$2:$A$67,"235*",BALANCE!$F$2:$F$67)-SUMIF(BALANCE!$A$2:$A$67,"235*",BALANCE!$G$2:$G$67)+SUMIF(BALANCE!$A$2:$A$67,"2395*",BALANCE!$F$2:$F$67)-SUMIF(BALANCE!$A$2:$A$67,"2395*",BALANCE!$G$2:$G$67)+SUMIF(BALANCE!$A$2:$A$67,"2394*",BALANCE!$F$2:$F$67)-SUMIF(BALANCE!$A$2:$A$67,"2394*",BALANCE!$G$2:$G$67)+SUMIF(BALANCE!$A$2:$A$67,"2398*",BALANCE!$F$2:$F$67)-SUMIF(BALANCE!$A$2:$A$67,"2398*",BALANCE!$G$2:$G$67)))</f>
        <v/>
      </c>
      <c r="E18" s="15">
        <f>B18+C18-D18</f>
        <v/>
      </c>
    </row>
    <row r="19">
      <c r="A19" s="12" t="inlineStr">
        <is>
          <t>Matériel, mobilier et actifs biologiques</t>
        </is>
      </c>
      <c r="B19" s="13">
        <f>SUMIF(BALANCE_N1!$A$2:$A$67,"24*",BALANCE_N1!$F$2:$F$67)-SUMIF(BALANCE_N1!$A$2:$A$67,"24*",BALANCE_N1!$G$2:$G$67)-SUMIF(BALANCE_N1!$A$2:$A$67,"245*",BALANCE_N1!$F$2:$F$67)+SUMIF(BALANCE_N1!$A$2:$A$67,"245*",BALANCE_N1!$G$2:$G$67)-SUMIF(BALANCE_N1!$A$2:$A$67,"2495*",BALANCE_N1!$F$2:$F$67)+SUMIF(BALANCE_N1!$A$2:$A$67,"2495*",BALANCE_N1!$G$2:$G$67)</f>
        <v/>
      </c>
      <c r="C19" s="13">
        <f>MAX(0,(SUMIF(BALANCE!$A$2:$A$67,"24*",BALANCE!$F$2:$F$67)-SUMIF(BALANCE!$A$2:$A$67,"24*",BALANCE!$G$2:$G$67)-SUMIF(BALANCE!$A$2:$A$67,"245*",BALANCE!$F$2:$F$67)+SUMIF(BALANCE!$A$2:$A$67,"245*",BALANCE!$G$2:$G$67)-SUMIF(BALANCE!$A$2:$A$67,"2495*",BALANCE!$F$2:$F$67)+SUMIF(BALANCE!$A$2:$A$67,"2495*",BALANCE!$G$2:$G$67))-(SUMIF(BALANCE_N1!$A$2:$A$67,"24*",BALANCE_N1!$F$2:$F$67)-SUMIF(BALANCE_N1!$A$2:$A$67,"24*",BALANCE_N1!$G$2:$G$67)-SUMIF(BALANCE_N1!$A$2:$A$67,"245*",BALANCE_N1!$F$2:$F$67)+SUMIF(BALANCE_N1!$A$2:$A$67,"245*",BALANCE_N1!$G$2:$G$67)-SUMIF(BALANCE_N1!$A$2:$A$67,"2495*",BALANCE_N1!$F$2:$F$67)+SUMIF(BALANCE_N1!$A$2:$A$67,"2495*",BALANCE_N1!$G$2:$G$67)))</f>
        <v/>
      </c>
      <c r="D19" s="13">
        <f>MAX(0,(SUMIF(BALANCE_N1!$A$2:$A$67,"24*",BALANCE_N1!$F$2:$F$67)-SUMIF(BALANCE_N1!$A$2:$A$67,"24*",BALANCE_N1!$G$2:$G$67)-SUMIF(BALANCE_N1!$A$2:$A$67,"245*",BALANCE_N1!$F$2:$F$67)+SUMIF(BALANCE_N1!$A$2:$A$67,"245*",BALANCE_N1!$G$2:$G$67)-SUMIF(BALANCE_N1!$A$2:$A$67,"2495*",BALANCE_N1!$F$2:$F$67)+SUMIF(BALANCE_N1!$A$2:$A$67,"2495*",BALANCE_N1!$G$2:$G$67))-(SUMIF(BALANCE!$A$2:$A$67,"24*",BALANCE!$F$2:$F$67)-SUMIF(BALANCE!$A$2:$A$67,"24*",BALANCE!$G$2:$G$67)-SUMIF(BALANCE!$A$2:$A$67,"245*",BALANCE!$F$2:$F$67)+SUMIF(BALANCE!$A$2:$A$67,"245*",BALANCE!$G$2:$G$67)-SUMIF(BALANCE!$A$2:$A$67,"2495*",BALANCE!$F$2:$F$67)+SUMIF(BALANCE!$A$2:$A$67,"2495*",BALANCE!$G$2:$G$67)))</f>
        <v/>
      </c>
      <c r="E19" s="13">
        <f>B19+C19-D19</f>
        <v/>
      </c>
    </row>
    <row r="20">
      <c r="A20" s="14" t="inlineStr">
        <is>
          <t>Matériel de transport</t>
        </is>
      </c>
      <c r="B20" s="15">
        <f>SUMIF(BALANCE_N1!$A$2:$A$67,"245*",BALANCE_N1!$F$2:$F$67)-SUMIF(BALANCE_N1!$A$2:$A$67,"245*",BALANCE_N1!$G$2:$G$67)+SUMIF(BALANCE_N1!$A$2:$A$67,"2495*",BALANCE_N1!$F$2:$F$67)-SUMIF(BALANCE_N1!$A$2:$A$67,"2495*",BALANCE_N1!$G$2:$G$67)</f>
        <v/>
      </c>
      <c r="C20" s="15">
        <f>MAX(0,(SUMIF(BALANCE!$A$2:$A$67,"245*",BALANCE!$F$2:$F$67)-SUMIF(BALANCE!$A$2:$A$67,"245*",BALANCE!$G$2:$G$67)+SUMIF(BALANCE!$A$2:$A$67,"2495*",BALANCE!$F$2:$F$67)-SUMIF(BALANCE!$A$2:$A$67,"2495*",BALANCE!$G$2:$G$67))-(SUMIF(BALANCE_N1!$A$2:$A$67,"245*",BALANCE_N1!$F$2:$F$67)-SUMIF(BALANCE_N1!$A$2:$A$67,"245*",BALANCE_N1!$G$2:$G$67)+SUMIF(BALANCE_N1!$A$2:$A$67,"2495*",BALANCE_N1!$F$2:$F$67)-SUMIF(BALANCE_N1!$A$2:$A$67,"2495*",BALANCE_N1!$G$2:$G$67)))</f>
        <v/>
      </c>
      <c r="D20" s="15">
        <f>MAX(0,(SUMIF(BALANCE_N1!$A$2:$A$67,"245*",BALANCE_N1!$F$2:$F$67)-SUMIF(BALANCE_N1!$A$2:$A$67,"245*",BALANCE_N1!$G$2:$G$67)+SUMIF(BALANCE_N1!$A$2:$A$67,"2495*",BALANCE_N1!$F$2:$F$67)-SUMIF(BALANCE_N1!$A$2:$A$67,"2495*",BALANCE_N1!$G$2:$G$67))-(SUMIF(BALANCE!$A$2:$A$67,"245*",BALANCE!$F$2:$F$67)-SUMIF(BALANCE!$A$2:$A$67,"245*",BALANCE!$G$2:$G$67)+SUMIF(BALANCE!$A$2:$A$67,"2495*",BALANCE!$F$2:$F$67)-SUMIF(BALANCE!$A$2:$A$67,"2495*",BALANCE!$G$2:$G$67)))</f>
        <v/>
      </c>
      <c r="E20" s="15">
        <f>B20+C20-D20</f>
        <v/>
      </c>
    </row>
    <row r="21">
      <c r="A21" s="12" t="inlineStr">
        <is>
          <t>Avances et acomptes sur immobilisations corporelles</t>
        </is>
      </c>
      <c r="B21" s="13">
        <f>SUMIF(BALANCE_N1!$A$2:$A$67,"252*",BALANCE_N1!$F$2:$F$67)-SUMIF(BALANCE_N1!$A$2:$A$67,"252*",BALANCE_N1!$G$2:$G$67)</f>
        <v/>
      </c>
      <c r="C21" s="13">
        <f>MAX(0,(SUMIF(BALANCE!$A$2:$A$67,"252*",BALANCE!$F$2:$F$67)-SUMIF(BALANCE!$A$2:$A$67,"252*",BALANCE!$G$2:$G$67))-(SUMIF(BALANCE_N1!$A$2:$A$67,"252*",BALANCE_N1!$F$2:$F$67)-SUMIF(BALANCE_N1!$A$2:$A$67,"252*",BALANCE_N1!$G$2:$G$67)))</f>
        <v/>
      </c>
      <c r="D21" s="13">
        <f>MAX(0,(SUMIF(BALANCE_N1!$A$2:$A$67,"252*",BALANCE_N1!$F$2:$F$67)-SUMIF(BALANCE_N1!$A$2:$A$67,"252*",BALANCE_N1!$G$2:$G$67))-(SUMIF(BALANCE!$A$2:$A$67,"252*",BALANCE!$F$2:$F$67)-SUMIF(BALANCE!$A$2:$A$67,"252*",BALANCE!$G$2:$G$67)))</f>
        <v/>
      </c>
      <c r="E21" s="13">
        <f>B21+C21-D21</f>
        <v/>
      </c>
    </row>
    <row r="22">
      <c r="A22" s="17" t="inlineStr">
        <is>
          <t>IMMOBILISATIONS FINANCIÈRES</t>
        </is>
      </c>
      <c r="B22" s="15" t="n"/>
      <c r="C22" s="15" t="n"/>
      <c r="D22" s="15" t="n"/>
      <c r="E22" s="15" t="n"/>
    </row>
    <row r="23">
      <c r="A23" s="12" t="inlineStr">
        <is>
          <t>Titres de participation</t>
        </is>
      </c>
      <c r="B23" s="13">
        <f>SUMIF(BALANCE_N1!$A$2:$A$67,"26*",BALANCE_N1!$F$2:$F$67)-SUMIF(BALANCE_N1!$A$2:$A$67,"26*",BALANCE_N1!$G$2:$G$67)</f>
        <v/>
      </c>
      <c r="C23" s="13">
        <f>MAX(0,(SUMIF(BALANCE!$A$2:$A$67,"26*",BALANCE!$F$2:$F$67)-SUMIF(BALANCE!$A$2:$A$67,"26*",BALANCE!$G$2:$G$67))-(SUMIF(BALANCE_N1!$A$2:$A$67,"26*",BALANCE_N1!$F$2:$F$67)-SUMIF(BALANCE_N1!$A$2:$A$67,"26*",BALANCE_N1!$G$2:$G$67)))</f>
        <v/>
      </c>
      <c r="D23" s="13">
        <f>MAX(0,(SUMIF(BALANCE_N1!$A$2:$A$67,"26*",BALANCE_N1!$F$2:$F$67)-SUMIF(BALANCE_N1!$A$2:$A$67,"26*",BALANCE_N1!$G$2:$G$67))-(SUMIF(BALANCE!$A$2:$A$67,"26*",BALANCE!$F$2:$F$67)-SUMIF(BALANCE!$A$2:$A$67,"26*",BALANCE!$G$2:$G$67)))</f>
        <v/>
      </c>
      <c r="E23" s="13">
        <f>B23+C23-D23</f>
        <v/>
      </c>
    </row>
    <row r="24">
      <c r="A24" s="14" t="inlineStr">
        <is>
          <t>Autres immobilisations financières</t>
        </is>
      </c>
      <c r="B24" s="15">
        <f>SUMIF(BALANCE_N1!$A$2:$A$67,"27*",BALANCE_N1!$F$2:$F$67)-SUMIF(BALANCE_N1!$A$2:$A$67,"27*",BALANCE_N1!$G$2:$G$67)</f>
        <v/>
      </c>
      <c r="C24" s="15">
        <f>MAX(0,(SUMIF(BALANCE!$A$2:$A$67,"27*",BALANCE!$F$2:$F$67)-SUMIF(BALANCE!$A$2:$A$67,"27*",BALANCE!$G$2:$G$67))-(SUMIF(BALANCE_N1!$A$2:$A$67,"27*",BALANCE_N1!$F$2:$F$67)-SUMIF(BALANCE_N1!$A$2:$A$67,"27*",BALANCE_N1!$G$2:$G$67)))</f>
        <v/>
      </c>
      <c r="D24" s="15">
        <f>MAX(0,(SUMIF(BALANCE_N1!$A$2:$A$67,"27*",BALANCE_N1!$F$2:$F$67)-SUMIF(BALANCE_N1!$A$2:$A$67,"27*",BALANCE_N1!$G$2:$G$67))-(SUMIF(BALANCE!$A$2:$A$67,"27*",BALANCE!$F$2:$F$67)-SUMIF(BALANCE!$A$2:$A$67,"27*",BALANCE!$G$2:$G$67)))</f>
        <v/>
      </c>
      <c r="E24" s="15">
        <f>B24+C24-D24</f>
        <v/>
      </c>
    </row>
    <row r="25">
      <c r="A25" s="10" t="inlineStr">
        <is>
          <t>TOTAL GÉNÉRAL</t>
        </is>
      </c>
      <c r="B25" s="11">
        <f>B9+B10+B11+B12+B14+B15+B16+B17+B18+B19+B20+B21+B23+B24</f>
        <v/>
      </c>
      <c r="C25" s="11">
        <f>C9+C10+C11+C12+C14+C15+C16+C17+C18+C19+C20+C21+C23+C24</f>
        <v/>
      </c>
      <c r="D25" s="11">
        <f>D9+D10+D11+D12+D14+D15+D16+D17+D18+D19+D20+D21+D23+D24</f>
        <v/>
      </c>
      <c r="E25" s="11">
        <f>E9+E10+E11+E12+E14+E15+E16+E17+E18+E19+E20+E21+E23+E24</f>
        <v/>
      </c>
    </row>
    <row r="26"/>
    <row r="27">
      <c r="A27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NOTE 5C</t>
        </is>
      </c>
    </row>
    <row r="2">
      <c r="A2" s="2" t="inlineStr">
        <is>
          <t>BIENS PRIS EN LOCATION-ACQUISITION</t>
        </is>
      </c>
    </row>
    <row r="3">
      <c r="A3" s="18" t="inlineStr">
        <is>
          <t>I : crédit-bail immobilier ; M : crédit-bail mobilier ; A : autres contrats</t>
        </is>
      </c>
    </row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6"/>
    <row r="7">
      <c r="A7" s="9" t="inlineStr">
        <is>
          <t>RUBRIQUES</t>
        </is>
      </c>
      <c r="B7" s="9" t="inlineStr">
        <is>
          <t>Montant brut à l'ouverture (A)</t>
        </is>
      </c>
      <c r="C7" s="9" t="inlineStr">
        <is>
          <t>Augmentations (B)</t>
        </is>
      </c>
      <c r="D7" s="9" t="inlineStr">
        <is>
          <t>Diminutions (C)</t>
        </is>
      </c>
      <c r="E7" s="9" t="inlineStr">
        <is>
          <t>Montant brut à la clôture (D = A + B - C)</t>
        </is>
      </c>
    </row>
    <row r="8">
      <c r="A8" s="14" t="inlineStr">
        <is>
          <t>Terrains</t>
        </is>
      </c>
      <c r="B8" s="15">
        <f>SUMIF(BALANCE_N1!$A$2:$A$67,"2286*",BALANCE_N1!$F$2:$F$67)-SUMIF(BALANCE_N1!$A$2:$A$67,"2286*",BALANCE_N1!$G$2:$G$67)</f>
        <v/>
      </c>
      <c r="C8" s="15">
        <f>MAX(0,(SUMIF(BALANCE!$A$2:$A$67,"2286*",BALANCE!$F$2:$F$67)-SUMIF(BALANCE!$A$2:$A$67,"2286*",BALANCE!$G$2:$G$67))-(SUMIF(BALANCE_N1!$A$2:$A$67,"2286*",BALANCE_N1!$F$2:$F$67)-SUMIF(BALANCE_N1!$A$2:$A$67,"2286*",BALANCE_N1!$G$2:$G$67)))</f>
        <v/>
      </c>
      <c r="D8" s="15">
        <f>MAX(0,(SUMIF(BALANCE_N1!$A$2:$A$67,"2286*",BALANCE_N1!$F$2:$F$67)-SUMIF(BALANCE_N1!$A$2:$A$67,"2286*",BALANCE_N1!$G$2:$G$67))-(SUMIF(BALANCE!$A$2:$A$67,"2286*",BALANCE!$F$2:$F$67)-SUMIF(BALANCE!$A$2:$A$67,"2286*",BALANCE!$G$2:$G$67)))</f>
        <v/>
      </c>
      <c r="E8" s="15">
        <f>B8+C8-D8</f>
        <v/>
      </c>
    </row>
    <row r="9">
      <c r="A9" s="12" t="inlineStr">
        <is>
          <t>Bâtiments</t>
        </is>
      </c>
      <c r="B9" s="13">
        <f>SUMIF(BALANCE_N1!$A$2:$A$67,"2316*",BALANCE_N1!$F$2:$F$67)-SUMIF(BALANCE_N1!$A$2:$A$67,"2316*",BALANCE_N1!$G$2:$G$67)</f>
        <v/>
      </c>
      <c r="C9" s="13">
        <f>MAX(0,(SUMIF(BALANCE!$A$2:$A$67,"2316*",BALANCE!$F$2:$F$67)-SUMIF(BALANCE!$A$2:$A$67,"2316*",BALANCE!$G$2:$G$67))-(SUMIF(BALANCE_N1!$A$2:$A$67,"2316*",BALANCE_N1!$F$2:$F$67)-SUMIF(BALANCE_N1!$A$2:$A$67,"2316*",BALANCE_N1!$G$2:$G$67)))</f>
        <v/>
      </c>
      <c r="D9" s="13">
        <f>MAX(0,(SUMIF(BALANCE_N1!$A$2:$A$67,"2316*",BALANCE_N1!$F$2:$F$67)-SUMIF(BALANCE_N1!$A$2:$A$67,"2316*",BALANCE_N1!$G$2:$G$67))-(SUMIF(BALANCE!$A$2:$A$67,"2316*",BALANCE!$F$2:$F$67)-SUMIF(BALANCE!$A$2:$A$67,"2316*",BALANCE!$G$2:$G$67)))</f>
        <v/>
      </c>
      <c r="E9" s="13">
        <f>B9+C9-D9</f>
        <v/>
      </c>
    </row>
    <row r="10">
      <c r="A10" s="14" t="inlineStr">
        <is>
          <t>Matériel, mobilier</t>
        </is>
      </c>
      <c r="B10" s="15">
        <f>SUMIF(BALANCE_N1!$A$2:$A$67,"2446*",BALANCE_N1!$F$2:$F$67)-SUMIF(BALANCE_N1!$A$2:$A$67,"2446*",BALANCE_N1!$G$2:$G$67)+SUMIF(BALANCE_N1!$A$2:$A$67,"2426*",BALANCE_N1!$F$2:$F$67)-SUMIF(BALANCE_N1!$A$2:$A$67,"2426*",BALANCE_N1!$G$2:$G$67)+SUMIF(BALANCE_N1!$A$2:$A$67,"2416*",BALANCE_N1!$F$2:$F$67)-SUMIF(BALANCE_N1!$A$2:$A$67,"2416*",BALANCE_N1!$G$2:$G$67)</f>
        <v/>
      </c>
      <c r="C10" s="15">
        <f>MAX(0,(SUMIF(BALANCE!$A$2:$A$67,"2446*",BALANCE!$F$2:$F$67)-SUMIF(BALANCE!$A$2:$A$67,"2446*",BALANCE!$G$2:$G$67)+SUMIF(BALANCE!$A$2:$A$67,"2426*",BALANCE!$F$2:$F$67)-SUMIF(BALANCE!$A$2:$A$67,"2426*",BALANCE!$G$2:$G$67)+SUMIF(BALANCE!$A$2:$A$67,"2416*",BALANCE!$F$2:$F$67)-SUMIF(BALANCE!$A$2:$A$67,"2416*",BALANCE!$G$2:$G$67))-(SUMIF(BALANCE_N1!$A$2:$A$67,"2446*",BALANCE_N1!$F$2:$F$67)-SUMIF(BALANCE_N1!$A$2:$A$67,"2446*",BALANCE_N1!$G$2:$G$67)+SUMIF(BALANCE_N1!$A$2:$A$67,"2426*",BALANCE_N1!$F$2:$F$67)-SUMIF(BALANCE_N1!$A$2:$A$67,"2426*",BALANCE_N1!$G$2:$G$67)+SUMIF(BALANCE_N1!$A$2:$A$67,"2416*",BALANCE_N1!$F$2:$F$67)-SUMIF(BALANCE_N1!$A$2:$A$67,"2416*",BALANCE_N1!$G$2:$G$67)))</f>
        <v/>
      </c>
      <c r="D10" s="15">
        <f>MAX(0,(SUMIF(BALANCE_N1!$A$2:$A$67,"2446*",BALANCE_N1!$F$2:$F$67)-SUMIF(BALANCE_N1!$A$2:$A$67,"2446*",BALANCE_N1!$G$2:$G$67)+SUMIF(BALANCE_N1!$A$2:$A$67,"2426*",BALANCE_N1!$F$2:$F$67)-SUMIF(BALANCE_N1!$A$2:$A$67,"2426*",BALANCE_N1!$G$2:$G$67)+SUMIF(BALANCE_N1!$A$2:$A$67,"2416*",BALANCE_N1!$F$2:$F$67)-SUMIF(BALANCE_N1!$A$2:$A$67,"2416*",BALANCE_N1!$G$2:$G$67))-(SUMIF(BALANCE!$A$2:$A$67,"2446*",BALANCE!$F$2:$F$67)-SUMIF(BALANCE!$A$2:$A$67,"2446*",BALANCE!$G$2:$G$67)+SUMIF(BALANCE!$A$2:$A$67,"2426*",BALANCE!$F$2:$F$67)-SUMIF(BALANCE!$A$2:$A$67,"2426*",BALANCE!$G$2:$G$67)+SUMIF(BALANCE!$A$2:$A$67,"2416*",BALANCE!$F$2:$F$67)-SUMIF(BALANCE!$A$2:$A$67,"2416*",BALANCE!$G$2:$G$67)))</f>
        <v/>
      </c>
      <c r="E10" s="15">
        <f>B10+C10-D10</f>
        <v/>
      </c>
    </row>
    <row r="11">
      <c r="A11" s="12" t="inlineStr">
        <is>
          <t>Matériel de transport</t>
        </is>
      </c>
      <c r="B11" s="13">
        <f>SUMIF(BALANCE_N1!$A$2:$A$67,"2456*",BALANCE_N1!$F$2:$F$67)-SUMIF(BALANCE_N1!$A$2:$A$67,"2456*",BALANCE_N1!$G$2:$G$67)</f>
        <v/>
      </c>
      <c r="C11" s="13">
        <f>MAX(0,(SUMIF(BALANCE!$A$2:$A$67,"2456*",BALANCE!$F$2:$F$67)-SUMIF(BALANCE!$A$2:$A$67,"2456*",BALANCE!$G$2:$G$67))-(SUMIF(BALANCE_N1!$A$2:$A$67,"2456*",BALANCE_N1!$F$2:$F$67)-SUMIF(BALANCE_N1!$A$2:$A$67,"2456*",BALANCE_N1!$G$2:$G$67)))</f>
        <v/>
      </c>
      <c r="D11" s="13">
        <f>MAX(0,(SUMIF(BALANCE_N1!$A$2:$A$67,"2456*",BALANCE_N1!$F$2:$F$67)-SUMIF(BALANCE_N1!$A$2:$A$67,"2456*",BALANCE_N1!$G$2:$G$67))-(SUMIF(BALANCE!$A$2:$A$67,"2456*",BALANCE!$F$2:$F$67)-SUMIF(BALANCE!$A$2:$A$67,"2456*",BALANCE!$G$2:$G$67)))</f>
        <v/>
      </c>
      <c r="E11" s="13">
        <f>B11+C11-D11</f>
        <v/>
      </c>
    </row>
    <row r="12">
      <c r="A12" s="10" t="inlineStr">
        <is>
          <t>TOTAL GÉNÉRAL</t>
        </is>
      </c>
      <c r="B12" s="11">
        <f>B8+B9+B10+B11</f>
        <v/>
      </c>
      <c r="C12" s="11">
        <f>C8+C9+C10+C11</f>
        <v/>
      </c>
      <c r="D12" s="11">
        <f>D8+D9+D10+D11</f>
        <v/>
      </c>
      <c r="E12" s="11">
        <f>E8+E9+E10+E11</f>
        <v/>
      </c>
    </row>
    <row r="13"/>
    <row r="14">
      <c r="A14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</sheetData>
  <mergeCells count="3">
    <mergeCell ref="A2:E2"/>
    <mergeCell ref="A1:E1"/>
    <mergeCell ref="A3:E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NOTE 5D</t>
        </is>
      </c>
    </row>
    <row r="2">
      <c r="A2" s="2" t="inlineStr">
        <is>
          <t>DONS ET LEGS D'IMMOBILISATIONS NON REÇUS DESTINÉS À LA VENTE ET USUFRUIT TEMPORAIRE (AMORTISSEMENTS ET DÉPRÉCIATIONS)</t>
        </is>
      </c>
    </row>
    <row r="3"/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6"/>
    <row r="7">
      <c r="A7" s="9" t="inlineStr">
        <is>
          <t>RUBRIQUES</t>
        </is>
      </c>
      <c r="B7" s="9" t="inlineStr">
        <is>
          <t>Cumul à l'ouverture (A)</t>
        </is>
      </c>
      <c r="C7" s="9" t="inlineStr">
        <is>
          <t>Augmentations : dotations (B)</t>
        </is>
      </c>
      <c r="D7" s="9" t="inlineStr">
        <is>
          <t>Diminutions : reprises et sorties (C)</t>
        </is>
      </c>
      <c r="E7" s="9" t="inlineStr">
        <is>
          <t>Cumul à la clôture (D = A + B - C)</t>
        </is>
      </c>
    </row>
    <row r="8">
      <c r="A8" s="14" t="inlineStr">
        <is>
          <t>Usufruit</t>
        </is>
      </c>
      <c r="B8" s="15">
        <f>SUMIF(BALANCE_N1!$A$2:$A$67,"280*",BALANCE_N1!$G$2:$G$67)-SUMIF(BALANCE_N1!$A$2:$A$67,"280*",BALANCE_N1!$F$2:$F$67)+SUMIF(BALANCE_N1!$A$2:$A$67,"2901*",BALANCE_N1!$G$2:$G$67)-SUMIF(BALANCE_N1!$A$2:$A$67,"2901*",BALANCE_N1!$F$2:$F$67)</f>
        <v/>
      </c>
      <c r="C8" s="15">
        <f>MAX(0,(SUMIF(BALANCE!$A$2:$A$67,"280*",BALANCE!$G$2:$G$67)-SUMIF(BALANCE!$A$2:$A$67,"280*",BALANCE!$F$2:$F$67)+SUMIF(BALANCE!$A$2:$A$67,"2901*",BALANCE!$G$2:$G$67)-SUMIF(BALANCE!$A$2:$A$67,"2901*",BALANCE!$F$2:$F$67))-(SUMIF(BALANCE_N1!$A$2:$A$67,"280*",BALANCE_N1!$G$2:$G$67)-SUMIF(BALANCE_N1!$A$2:$A$67,"280*",BALANCE_N1!$F$2:$F$67)+SUMIF(BALANCE_N1!$A$2:$A$67,"2901*",BALANCE_N1!$G$2:$G$67)-SUMIF(BALANCE_N1!$A$2:$A$67,"2901*",BALANCE_N1!$F$2:$F$67)))</f>
        <v/>
      </c>
      <c r="D8" s="15">
        <f>MAX(0,(SUMIF(BALANCE_N1!$A$2:$A$67,"280*",BALANCE_N1!$G$2:$G$67)-SUMIF(BALANCE_N1!$A$2:$A$67,"280*",BALANCE_N1!$F$2:$F$67)+SUMIF(BALANCE_N1!$A$2:$A$67,"2901*",BALANCE_N1!$G$2:$G$67)-SUMIF(BALANCE_N1!$A$2:$A$67,"2901*",BALANCE_N1!$F$2:$F$67))-(SUMIF(BALANCE!$A$2:$A$67,"280*",BALANCE!$G$2:$G$67)-SUMIF(BALANCE!$A$2:$A$67,"280*",BALANCE!$F$2:$F$67)+SUMIF(BALANCE!$A$2:$A$67,"2901*",BALANCE!$G$2:$G$67)-SUMIF(BALANCE!$A$2:$A$67,"2901*",BALANCE!$F$2:$F$67)))</f>
        <v/>
      </c>
      <c r="E8" s="15">
        <f>B8+C8-D8</f>
        <v/>
      </c>
    </row>
    <row r="9">
      <c r="A9" s="12" t="inlineStr">
        <is>
          <t>Immobilisations destinées à la vente (dons et legs)</t>
        </is>
      </c>
      <c r="B9" s="13">
        <f>SUMIF(BALANCE_N1!$A$2:$A$67,"2902*",BALANCE_N1!$G$2:$G$67)-SUMIF(BALANCE_N1!$A$2:$A$67,"2902*",BALANCE_N1!$F$2:$F$67)</f>
        <v/>
      </c>
      <c r="C9" s="13">
        <f>MAX(0,(SUMIF(BALANCE!$A$2:$A$67,"2902*",BALANCE!$G$2:$G$67)-SUMIF(BALANCE!$A$2:$A$67,"2902*",BALANCE!$F$2:$F$67))-(SUMIF(BALANCE_N1!$A$2:$A$67,"2902*",BALANCE_N1!$G$2:$G$67)-SUMIF(BALANCE_N1!$A$2:$A$67,"2902*",BALANCE_N1!$F$2:$F$67)))</f>
        <v/>
      </c>
      <c r="D9" s="13">
        <f>MAX(0,(SUMIF(BALANCE_N1!$A$2:$A$67,"2902*",BALANCE_N1!$G$2:$G$67)-SUMIF(BALANCE_N1!$A$2:$A$67,"2902*",BALANCE_N1!$F$2:$F$67))-(SUMIF(BALANCE!$A$2:$A$67,"2902*",BALANCE!$G$2:$G$67)-SUMIF(BALANCE!$A$2:$A$67,"2902*",BALANCE!$F$2:$F$67)))</f>
        <v/>
      </c>
      <c r="E9" s="13">
        <f>B9+C9-D9</f>
        <v/>
      </c>
    </row>
    <row r="10">
      <c r="A10" s="10" t="inlineStr">
        <is>
          <t>TOTAL GÉNÉRAL</t>
        </is>
      </c>
      <c r="B10" s="11">
        <f>B8+B9</f>
        <v/>
      </c>
      <c r="C10" s="11">
        <f>C8+C9</f>
        <v/>
      </c>
      <c r="D10" s="11">
        <f>D8+D9</f>
        <v/>
      </c>
      <c r="E10" s="11">
        <f>E8+E9</f>
        <v/>
      </c>
    </row>
    <row r="11"/>
    <row r="12">
      <c r="A12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NOTE 5E</t>
        </is>
      </c>
    </row>
    <row r="2">
      <c r="A2" s="2" t="inlineStr">
        <is>
          <t>IMMOBILISATIONS : AMORTISSEMENTS</t>
        </is>
      </c>
    </row>
    <row r="3"/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6"/>
    <row r="7">
      <c r="A7" s="9" t="inlineStr">
        <is>
          <t>RUBRIQUES</t>
        </is>
      </c>
      <c r="B7" s="9" t="inlineStr">
        <is>
          <t>Cumul à l'ouverture (A)</t>
        </is>
      </c>
      <c r="C7" s="9" t="inlineStr">
        <is>
          <t>Augmentations : dotations (B)</t>
        </is>
      </c>
      <c r="D7" s="9" t="inlineStr">
        <is>
          <t>Diminutions : reprises et sorties (C)</t>
        </is>
      </c>
      <c r="E7" s="9" t="inlineStr">
        <is>
          <t>Cumul à la clôture (D = A + B - C)</t>
        </is>
      </c>
    </row>
    <row r="8">
      <c r="A8" s="17" t="inlineStr">
        <is>
          <t>IMMOBILISATIONS INCORPORELLES</t>
        </is>
      </c>
      <c r="B8" s="15" t="n"/>
      <c r="C8" s="15" t="n"/>
      <c r="D8" s="15" t="n"/>
      <c r="E8" s="15" t="n"/>
    </row>
    <row r="9">
      <c r="A9" s="12" t="inlineStr">
        <is>
          <t>Brevets, licences et droits similaires</t>
        </is>
      </c>
      <c r="B9" s="13">
        <f>SUMIF(BALANCE_N1!$A$2:$A$67,"2812*",BALANCE_N1!$G$2:$G$67)-SUMIF(BALANCE_N1!$A$2:$A$67,"2812*",BALANCE_N1!$F$2:$F$67)+SUMIF(BALANCE_N1!$A$2:$A$67,"2814*",BALANCE_N1!$G$2:$G$67)-SUMIF(BALANCE_N1!$A$2:$A$67,"2814*",BALANCE_N1!$F$2:$F$67)+SUMIF(BALANCE_N1!$A$2:$A$67,"2817*",BALANCE_N1!$G$2:$G$67)-SUMIF(BALANCE_N1!$A$2:$A$67,"2817*",BALANCE_N1!$F$2:$F$67)</f>
        <v/>
      </c>
      <c r="C9" s="13">
        <f>MAX(0,(SUMIF(BALANCE!$A$2:$A$67,"2812*",BALANCE!$G$2:$G$67)-SUMIF(BALANCE!$A$2:$A$67,"2812*",BALANCE!$F$2:$F$67)+SUMIF(BALANCE!$A$2:$A$67,"2814*",BALANCE!$G$2:$G$67)-SUMIF(BALANCE!$A$2:$A$67,"2814*",BALANCE!$F$2:$F$67)+SUMIF(BALANCE!$A$2:$A$67,"2817*",BALANCE!$G$2:$G$67)-SUMIF(BALANCE!$A$2:$A$67,"2817*",BALANCE!$F$2:$F$67))-(SUMIF(BALANCE_N1!$A$2:$A$67,"2812*",BALANCE_N1!$G$2:$G$67)-SUMIF(BALANCE_N1!$A$2:$A$67,"2812*",BALANCE_N1!$F$2:$F$67)+SUMIF(BALANCE_N1!$A$2:$A$67,"2814*",BALANCE_N1!$G$2:$G$67)-SUMIF(BALANCE_N1!$A$2:$A$67,"2814*",BALANCE_N1!$F$2:$F$67)+SUMIF(BALANCE_N1!$A$2:$A$67,"2817*",BALANCE_N1!$G$2:$G$67)-SUMIF(BALANCE_N1!$A$2:$A$67,"2817*",BALANCE_N1!$F$2:$F$67)))</f>
        <v/>
      </c>
      <c r="D9" s="13">
        <f>MAX(0,(SUMIF(BALANCE_N1!$A$2:$A$67,"2812*",BALANCE_N1!$G$2:$G$67)-SUMIF(BALANCE_N1!$A$2:$A$67,"2812*",BALANCE_N1!$F$2:$F$67)+SUMIF(BALANCE_N1!$A$2:$A$67,"2814*",BALANCE_N1!$G$2:$G$67)-SUMIF(BALANCE_N1!$A$2:$A$67,"2814*",BALANCE_N1!$F$2:$F$67)+SUMIF(BALANCE_N1!$A$2:$A$67,"2817*",BALANCE_N1!$G$2:$G$67)-SUMIF(BALANCE_N1!$A$2:$A$67,"2817*",BALANCE_N1!$F$2:$F$67))-(SUMIF(BALANCE!$A$2:$A$67,"2812*",BALANCE!$G$2:$G$67)-SUMIF(BALANCE!$A$2:$A$67,"2812*",BALANCE!$F$2:$F$67)+SUMIF(BALANCE!$A$2:$A$67,"2814*",BALANCE!$G$2:$G$67)-SUMIF(BALANCE!$A$2:$A$67,"2814*",BALANCE!$F$2:$F$67)+SUMIF(BALANCE!$A$2:$A$67,"2817*",BALANCE!$G$2:$G$67)-SUMIF(BALANCE!$A$2:$A$67,"2817*",BALANCE!$F$2:$F$67)))</f>
        <v/>
      </c>
      <c r="E9" s="13">
        <f>B9+C9-D9</f>
        <v/>
      </c>
    </row>
    <row r="10">
      <c r="A10" s="14" t="inlineStr">
        <is>
          <t>Logiciels et sites internet</t>
        </is>
      </c>
      <c r="B10" s="15">
        <f>SUMIF(BALANCE_N1!$A$2:$A$67,"2813*",BALANCE_N1!$G$2:$G$67)-SUMIF(BALANCE_N1!$A$2:$A$67,"2813*",BALANCE_N1!$F$2:$F$67)</f>
        <v/>
      </c>
      <c r="C10" s="15">
        <f>MAX(0,(SUMIF(BALANCE!$A$2:$A$67,"2813*",BALANCE!$G$2:$G$67)-SUMIF(BALANCE!$A$2:$A$67,"2813*",BALANCE!$F$2:$F$67))-(SUMIF(BALANCE_N1!$A$2:$A$67,"2813*",BALANCE_N1!$G$2:$G$67)-SUMIF(BALANCE_N1!$A$2:$A$67,"2813*",BALANCE_N1!$F$2:$F$67)))</f>
        <v/>
      </c>
      <c r="D10" s="15">
        <f>MAX(0,(SUMIF(BALANCE_N1!$A$2:$A$67,"2813*",BALANCE_N1!$G$2:$G$67)-SUMIF(BALANCE_N1!$A$2:$A$67,"2813*",BALANCE_N1!$F$2:$F$67))-(SUMIF(BALANCE!$A$2:$A$67,"2813*",BALANCE!$G$2:$G$67)-SUMIF(BALANCE!$A$2:$A$67,"2813*",BALANCE!$F$2:$F$67)))</f>
        <v/>
      </c>
      <c r="E10" s="15">
        <f>B10+C10-D10</f>
        <v/>
      </c>
    </row>
    <row r="11">
      <c r="A11" s="12" t="inlineStr">
        <is>
          <t>Autres immobilisations incorporelles</t>
        </is>
      </c>
      <c r="B11" s="13">
        <f>SUMIF(BALANCE_N1!$A$2:$A$67,"2818*",BALANCE_N1!$G$2:$G$67)-SUMIF(BALANCE_N1!$A$2:$A$67,"2818*",BALANCE_N1!$F$2:$F$67)</f>
        <v/>
      </c>
      <c r="C11" s="13">
        <f>MAX(0,(SUMIF(BALANCE!$A$2:$A$67,"2818*",BALANCE!$G$2:$G$67)-SUMIF(BALANCE!$A$2:$A$67,"2818*",BALANCE!$F$2:$F$67))-(SUMIF(BALANCE_N1!$A$2:$A$67,"2818*",BALANCE_N1!$G$2:$G$67)-SUMIF(BALANCE_N1!$A$2:$A$67,"2818*",BALANCE_N1!$F$2:$F$67)))</f>
        <v/>
      </c>
      <c r="D11" s="13">
        <f>MAX(0,(SUMIF(BALANCE_N1!$A$2:$A$67,"2818*",BALANCE_N1!$G$2:$G$67)-SUMIF(BALANCE_N1!$A$2:$A$67,"2818*",BALANCE_N1!$F$2:$F$67))-(SUMIF(BALANCE!$A$2:$A$67,"2818*",BALANCE!$G$2:$G$67)-SUMIF(BALANCE!$A$2:$A$67,"2818*",BALANCE!$F$2:$F$67)))</f>
        <v/>
      </c>
      <c r="E11" s="13">
        <f>B11+C11-D11</f>
        <v/>
      </c>
    </row>
    <row r="12">
      <c r="A12" s="17" t="inlineStr">
        <is>
          <t>IMMOBILISATIONS CORPORELLES</t>
        </is>
      </c>
      <c r="B12" s="15" t="n"/>
      <c r="C12" s="15" t="n"/>
      <c r="D12" s="15" t="n"/>
      <c r="E12" s="15" t="n"/>
    </row>
    <row r="13">
      <c r="A13" s="12" t="inlineStr">
        <is>
          <t>Terrains</t>
        </is>
      </c>
      <c r="B13" s="13">
        <f>SUMIF(BALANCE_N1!$A$2:$A$67,"282*",BALANCE_N1!$G$2:$G$67)-SUMIF(BALANCE_N1!$A$2:$A$67,"282*",BALANCE_N1!$F$2:$F$67)</f>
        <v/>
      </c>
      <c r="C13" s="13">
        <f>MAX(0,(SUMIF(BALANCE!$A$2:$A$67,"282*",BALANCE!$G$2:$G$67)-SUMIF(BALANCE!$A$2:$A$67,"282*",BALANCE!$F$2:$F$67))-(SUMIF(BALANCE_N1!$A$2:$A$67,"282*",BALANCE_N1!$G$2:$G$67)-SUMIF(BALANCE_N1!$A$2:$A$67,"282*",BALANCE_N1!$F$2:$F$67)))</f>
        <v/>
      </c>
      <c r="D13" s="13">
        <f>MAX(0,(SUMIF(BALANCE_N1!$A$2:$A$67,"282*",BALANCE_N1!$G$2:$G$67)-SUMIF(BALANCE_N1!$A$2:$A$67,"282*",BALANCE_N1!$F$2:$F$67))-(SUMIF(BALANCE!$A$2:$A$67,"282*",BALANCE!$G$2:$G$67)-SUMIF(BALANCE!$A$2:$A$67,"282*",BALANCE!$F$2:$F$67)))</f>
        <v/>
      </c>
      <c r="E13" s="13">
        <f>B13+C13-D13</f>
        <v/>
      </c>
    </row>
    <row r="14">
      <c r="A14" s="14" t="inlineStr">
        <is>
          <t>Bâtiments et ouvrages d'infrastructure</t>
        </is>
      </c>
      <c r="B14" s="15">
        <f>SUMIF(BALANCE_N1!$A$2:$A$67,"2833*",BALANCE_N1!$G$2:$G$67)-SUMIF(BALANCE_N1!$A$2:$A$67,"2833*",BALANCE_N1!$F$2:$F$67)+SUMIF(BALANCE_N1!$A$2:$A$67,"2831*",BALANCE_N1!$G$2:$G$67)-SUMIF(BALANCE_N1!$A$2:$A$67,"2831*",BALANCE_N1!$F$2:$F$67)+SUMIF(BALANCE_N1!$A$2:$A$67,"2832*",BALANCE_N1!$G$2:$G$67)-SUMIF(BALANCE_N1!$A$2:$A$67,"2832*",BALANCE_N1!$F$2:$F$67)</f>
        <v/>
      </c>
      <c r="C14" s="15">
        <f>MAX(0,(SUMIF(BALANCE!$A$2:$A$67,"2833*",BALANCE!$G$2:$G$67)-SUMIF(BALANCE!$A$2:$A$67,"2833*",BALANCE!$F$2:$F$67)+SUMIF(BALANCE!$A$2:$A$67,"2831*",BALANCE!$G$2:$G$67)-SUMIF(BALANCE!$A$2:$A$67,"2831*",BALANCE!$F$2:$F$67)+SUMIF(BALANCE!$A$2:$A$67,"2832*",BALANCE!$G$2:$G$67)-SUMIF(BALANCE!$A$2:$A$67,"2832*",BALANCE!$F$2:$F$67))-(SUMIF(BALANCE_N1!$A$2:$A$67,"2833*",BALANCE_N1!$G$2:$G$67)-SUMIF(BALANCE_N1!$A$2:$A$67,"2833*",BALANCE_N1!$F$2:$F$67)+SUMIF(BALANCE_N1!$A$2:$A$67,"2831*",BALANCE_N1!$G$2:$G$67)-SUMIF(BALANCE_N1!$A$2:$A$67,"2831*",BALANCE_N1!$F$2:$F$67)+SUMIF(BALANCE_N1!$A$2:$A$67,"2832*",BALANCE_N1!$G$2:$G$67)-SUMIF(BALANCE_N1!$A$2:$A$67,"2832*",BALANCE_N1!$F$2:$F$67)))</f>
        <v/>
      </c>
      <c r="D14" s="15">
        <f>MAX(0,(SUMIF(BALANCE_N1!$A$2:$A$67,"2833*",BALANCE_N1!$G$2:$G$67)-SUMIF(BALANCE_N1!$A$2:$A$67,"2833*",BALANCE_N1!$F$2:$F$67)+SUMIF(BALANCE_N1!$A$2:$A$67,"2831*",BALANCE_N1!$G$2:$G$67)-SUMIF(BALANCE_N1!$A$2:$A$67,"2831*",BALANCE_N1!$F$2:$F$67)+SUMIF(BALANCE_N1!$A$2:$A$67,"2832*",BALANCE_N1!$G$2:$G$67)-SUMIF(BALANCE_N1!$A$2:$A$67,"2832*",BALANCE_N1!$F$2:$F$67))-(SUMIF(BALANCE!$A$2:$A$67,"2833*",BALANCE!$G$2:$G$67)-SUMIF(BALANCE!$A$2:$A$67,"2833*",BALANCE!$F$2:$F$67)+SUMIF(BALANCE!$A$2:$A$67,"2831*",BALANCE!$G$2:$G$67)-SUMIF(BALANCE!$A$2:$A$67,"2831*",BALANCE!$F$2:$F$67)+SUMIF(BALANCE!$A$2:$A$67,"2832*",BALANCE!$G$2:$G$67)-SUMIF(BALANCE!$A$2:$A$67,"2832*",BALANCE!$F$2:$F$67)))</f>
        <v/>
      </c>
      <c r="E14" s="15">
        <f>B14+C14-D14</f>
        <v/>
      </c>
    </row>
    <row r="15">
      <c r="A15" s="12" t="inlineStr">
        <is>
          <t>Aménagements, agencements et installations</t>
        </is>
      </c>
      <c r="B15" s="13">
        <f>SUMIF(BALANCE_N1!$A$2:$A$67,"2838*",BALANCE_N1!$G$2:$G$67)-SUMIF(BALANCE_N1!$A$2:$A$67,"2838*",BALANCE_N1!$F$2:$F$67)+SUMIF(BALANCE_N1!$A$2:$A$67,"2834*",BALANCE_N1!$G$2:$G$67)-SUMIF(BALANCE_N1!$A$2:$A$67,"2834*",BALANCE_N1!$F$2:$F$67)+SUMIF(BALANCE_N1!$A$2:$A$67,"2835*",BALANCE_N1!$G$2:$G$67)-SUMIF(BALANCE_N1!$A$2:$A$67,"2835*",BALANCE_N1!$F$2:$F$67)</f>
        <v/>
      </c>
      <c r="C15" s="13">
        <f>MAX(0,(SUMIF(BALANCE!$A$2:$A$67,"2838*",BALANCE!$G$2:$G$67)-SUMIF(BALANCE!$A$2:$A$67,"2838*",BALANCE!$F$2:$F$67)+SUMIF(BALANCE!$A$2:$A$67,"2834*",BALANCE!$G$2:$G$67)-SUMIF(BALANCE!$A$2:$A$67,"2834*",BALANCE!$F$2:$F$67)+SUMIF(BALANCE!$A$2:$A$67,"2835*",BALANCE!$G$2:$G$67)-SUMIF(BALANCE!$A$2:$A$67,"2835*",BALANCE!$F$2:$F$67))-(SUMIF(BALANCE_N1!$A$2:$A$67,"2838*",BALANCE_N1!$G$2:$G$67)-SUMIF(BALANCE_N1!$A$2:$A$67,"2838*",BALANCE_N1!$F$2:$F$67)+SUMIF(BALANCE_N1!$A$2:$A$67,"2834*",BALANCE_N1!$G$2:$G$67)-SUMIF(BALANCE_N1!$A$2:$A$67,"2834*",BALANCE_N1!$F$2:$F$67)+SUMIF(BALANCE_N1!$A$2:$A$67,"2835*",BALANCE_N1!$G$2:$G$67)-SUMIF(BALANCE_N1!$A$2:$A$67,"2835*",BALANCE_N1!$F$2:$F$67)))</f>
        <v/>
      </c>
      <c r="D15" s="13">
        <f>MAX(0,(SUMIF(BALANCE_N1!$A$2:$A$67,"2838*",BALANCE_N1!$G$2:$G$67)-SUMIF(BALANCE_N1!$A$2:$A$67,"2838*",BALANCE_N1!$F$2:$F$67)+SUMIF(BALANCE_N1!$A$2:$A$67,"2834*",BALANCE_N1!$G$2:$G$67)-SUMIF(BALANCE_N1!$A$2:$A$67,"2834*",BALANCE_N1!$F$2:$F$67)+SUMIF(BALANCE_N1!$A$2:$A$67,"2835*",BALANCE_N1!$G$2:$G$67)-SUMIF(BALANCE_N1!$A$2:$A$67,"2835*",BALANCE_N1!$F$2:$F$67))-(SUMIF(BALANCE!$A$2:$A$67,"2838*",BALANCE!$G$2:$G$67)-SUMIF(BALANCE!$A$2:$A$67,"2838*",BALANCE!$F$2:$F$67)+SUMIF(BALANCE!$A$2:$A$67,"2834*",BALANCE!$G$2:$G$67)-SUMIF(BALANCE!$A$2:$A$67,"2834*",BALANCE!$F$2:$F$67)+SUMIF(BALANCE!$A$2:$A$67,"2835*",BALANCE!$G$2:$G$67)-SUMIF(BALANCE!$A$2:$A$67,"2835*",BALANCE!$F$2:$F$67)))</f>
        <v/>
      </c>
      <c r="E15" s="13">
        <f>B15+C15-D15</f>
        <v/>
      </c>
    </row>
    <row r="16">
      <c r="A16" s="14" t="inlineStr">
        <is>
          <t>Matériel, mobilier et actifs biologiques</t>
        </is>
      </c>
      <c r="B16" s="15">
        <f>SUMIF(BALANCE_N1!$A$2:$A$67,"284*",BALANCE_N1!$G$2:$G$67)-SUMIF(BALANCE_N1!$A$2:$A$67,"284*",BALANCE_N1!$F$2:$F$67)-SUMIF(BALANCE_N1!$A$2:$A$67,"2845*",BALANCE_N1!$G$2:$G$67)+SUMIF(BALANCE_N1!$A$2:$A$67,"2845*",BALANCE_N1!$F$2:$F$67)</f>
        <v/>
      </c>
      <c r="C16" s="15">
        <f>MAX(0,(SUMIF(BALANCE!$A$2:$A$67,"284*",BALANCE!$G$2:$G$67)-SUMIF(BALANCE!$A$2:$A$67,"284*",BALANCE!$F$2:$F$67)-SUMIF(BALANCE!$A$2:$A$67,"2845*",BALANCE!$G$2:$G$67)+SUMIF(BALANCE!$A$2:$A$67,"2845*",BALANCE!$F$2:$F$67))-(SUMIF(BALANCE_N1!$A$2:$A$67,"284*",BALANCE_N1!$G$2:$G$67)-SUMIF(BALANCE_N1!$A$2:$A$67,"284*",BALANCE_N1!$F$2:$F$67)-SUMIF(BALANCE_N1!$A$2:$A$67,"2845*",BALANCE_N1!$G$2:$G$67)+SUMIF(BALANCE_N1!$A$2:$A$67,"2845*",BALANCE_N1!$F$2:$F$67)))</f>
        <v/>
      </c>
      <c r="D16" s="15">
        <f>MAX(0,(SUMIF(BALANCE_N1!$A$2:$A$67,"284*",BALANCE_N1!$G$2:$G$67)-SUMIF(BALANCE_N1!$A$2:$A$67,"284*",BALANCE_N1!$F$2:$F$67)-SUMIF(BALANCE_N1!$A$2:$A$67,"2845*",BALANCE_N1!$G$2:$G$67)+SUMIF(BALANCE_N1!$A$2:$A$67,"2845*",BALANCE_N1!$F$2:$F$67))-(SUMIF(BALANCE!$A$2:$A$67,"284*",BALANCE!$G$2:$G$67)-SUMIF(BALANCE!$A$2:$A$67,"284*",BALANCE!$F$2:$F$67)-SUMIF(BALANCE!$A$2:$A$67,"2845*",BALANCE!$G$2:$G$67)+SUMIF(BALANCE!$A$2:$A$67,"2845*",BALANCE!$F$2:$F$67)))</f>
        <v/>
      </c>
      <c r="E16" s="15">
        <f>B16+C16-D16</f>
        <v/>
      </c>
    </row>
    <row r="17">
      <c r="A17" s="12" t="inlineStr">
        <is>
          <t>Matériel de transport</t>
        </is>
      </c>
      <c r="B17" s="13">
        <f>SUMIF(BALANCE_N1!$A$2:$A$67,"2845*",BALANCE_N1!$G$2:$G$67)-SUMIF(BALANCE_N1!$A$2:$A$67,"2845*",BALANCE_N1!$F$2:$F$67)</f>
        <v/>
      </c>
      <c r="C17" s="13">
        <f>MAX(0,(SUMIF(BALANCE!$A$2:$A$67,"2845*",BALANCE!$G$2:$G$67)-SUMIF(BALANCE!$A$2:$A$67,"2845*",BALANCE!$F$2:$F$67))-(SUMIF(BALANCE_N1!$A$2:$A$67,"2845*",BALANCE_N1!$G$2:$G$67)-SUMIF(BALANCE_N1!$A$2:$A$67,"2845*",BALANCE_N1!$F$2:$F$67)))</f>
        <v/>
      </c>
      <c r="D17" s="13">
        <f>MAX(0,(SUMIF(BALANCE_N1!$A$2:$A$67,"2845*",BALANCE_N1!$G$2:$G$67)-SUMIF(BALANCE_N1!$A$2:$A$67,"2845*",BALANCE_N1!$F$2:$F$67))-(SUMIF(BALANCE!$A$2:$A$67,"2845*",BALANCE!$G$2:$G$67)-SUMIF(BALANCE!$A$2:$A$67,"2845*",BALANCE!$F$2:$F$67)))</f>
        <v/>
      </c>
      <c r="E17" s="13">
        <f>B17+C17-D17</f>
        <v/>
      </c>
    </row>
    <row r="18">
      <c r="A18" s="10" t="inlineStr">
        <is>
          <t>TOTAL GÉNÉRAL</t>
        </is>
      </c>
      <c r="B18" s="11">
        <f>B9+B10+B11+B13+B14+B15+B16+B17</f>
        <v/>
      </c>
      <c r="C18" s="11">
        <f>C9+C10+C11+C13+C14+C15+C16+C17</f>
        <v/>
      </c>
      <c r="D18" s="11">
        <f>D9+D10+D11+D13+D14+D15+D16+D17</f>
        <v/>
      </c>
      <c r="E18" s="11">
        <f>E9+E10+E11+E13+E14+E15+E16+E17</f>
        <v/>
      </c>
    </row>
    <row r="19"/>
    <row r="20">
      <c r="A20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NOTE 5F</t>
        </is>
      </c>
    </row>
    <row r="2">
      <c r="A2" s="2" t="inlineStr">
        <is>
          <t>IMMOBILISATIONS : DÉPRÉCIATIONS</t>
        </is>
      </c>
    </row>
    <row r="3"/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6"/>
    <row r="7">
      <c r="A7" s="9" t="inlineStr">
        <is>
          <t>RUBRIQUES</t>
        </is>
      </c>
      <c r="B7" s="9" t="inlineStr">
        <is>
          <t>Cumul à l'ouverture (A)</t>
        </is>
      </c>
      <c r="C7" s="9" t="inlineStr">
        <is>
          <t>Augmentations : dotations (B)</t>
        </is>
      </c>
      <c r="D7" s="9" t="inlineStr">
        <is>
          <t>Diminutions : reprises et sorties (C)</t>
        </is>
      </c>
      <c r="E7" s="9" t="inlineStr">
        <is>
          <t>Cumul à la clôture (D = A + B - C)</t>
        </is>
      </c>
    </row>
    <row r="8">
      <c r="A8" s="17" t="inlineStr">
        <is>
          <t>IMMOBILISATIONS INCORPORELLES</t>
        </is>
      </c>
      <c r="B8" s="15" t="n"/>
      <c r="C8" s="15" t="n"/>
      <c r="D8" s="15" t="n"/>
      <c r="E8" s="15" t="n"/>
    </row>
    <row r="9">
      <c r="A9" s="12" t="inlineStr">
        <is>
          <t>Immobilisations incorporelles</t>
        </is>
      </c>
      <c r="B9" s="13">
        <f>SUMIF(BALANCE_N1!$A$2:$A$67,"291*",BALANCE_N1!$G$2:$G$67)-SUMIF(BALANCE_N1!$A$2:$A$67,"291*",BALANCE_N1!$F$2:$F$67)</f>
        <v/>
      </c>
      <c r="C9" s="13">
        <f>MAX(0,(SUMIF(BALANCE!$A$2:$A$67,"291*",BALANCE!$G$2:$G$67)-SUMIF(BALANCE!$A$2:$A$67,"291*",BALANCE!$F$2:$F$67))-(SUMIF(BALANCE_N1!$A$2:$A$67,"291*",BALANCE_N1!$G$2:$G$67)-SUMIF(BALANCE_N1!$A$2:$A$67,"291*",BALANCE_N1!$F$2:$F$67)))</f>
        <v/>
      </c>
      <c r="D9" s="13">
        <f>MAX(0,(SUMIF(BALANCE_N1!$A$2:$A$67,"291*",BALANCE_N1!$G$2:$G$67)-SUMIF(BALANCE_N1!$A$2:$A$67,"291*",BALANCE_N1!$F$2:$F$67))-(SUMIF(BALANCE!$A$2:$A$67,"291*",BALANCE!$G$2:$G$67)-SUMIF(BALANCE!$A$2:$A$67,"291*",BALANCE!$F$2:$F$67)))</f>
        <v/>
      </c>
      <c r="E9" s="13">
        <f>B9+C9-D9</f>
        <v/>
      </c>
    </row>
    <row r="10">
      <c r="A10" s="17" t="inlineStr">
        <is>
          <t>IMMOBILISATIONS CORPORELLES</t>
        </is>
      </c>
      <c r="B10" s="15" t="n"/>
      <c r="C10" s="15" t="n"/>
      <c r="D10" s="15" t="n"/>
      <c r="E10" s="15" t="n"/>
    </row>
    <row r="11">
      <c r="A11" s="12" t="inlineStr">
        <is>
          <t>Terrains</t>
        </is>
      </c>
      <c r="B11" s="13">
        <f>SUMIF(BALANCE_N1!$A$2:$A$67,"292*",BALANCE_N1!$G$2:$G$67)-SUMIF(BALANCE_N1!$A$2:$A$67,"292*",BALANCE_N1!$F$2:$F$67)</f>
        <v/>
      </c>
      <c r="C11" s="13">
        <f>MAX(0,(SUMIF(BALANCE!$A$2:$A$67,"292*",BALANCE!$G$2:$G$67)-SUMIF(BALANCE!$A$2:$A$67,"292*",BALANCE!$F$2:$F$67))-(SUMIF(BALANCE_N1!$A$2:$A$67,"292*",BALANCE_N1!$G$2:$G$67)-SUMIF(BALANCE_N1!$A$2:$A$67,"292*",BALANCE_N1!$F$2:$F$67)))</f>
        <v/>
      </c>
      <c r="D11" s="13">
        <f>MAX(0,(SUMIF(BALANCE_N1!$A$2:$A$67,"292*",BALANCE_N1!$G$2:$G$67)-SUMIF(BALANCE_N1!$A$2:$A$67,"292*",BALANCE_N1!$F$2:$F$67))-(SUMIF(BALANCE!$A$2:$A$67,"292*",BALANCE!$G$2:$G$67)-SUMIF(BALANCE!$A$2:$A$67,"292*",BALANCE!$F$2:$F$67)))</f>
        <v/>
      </c>
      <c r="E11" s="13">
        <f>B11+C11-D11</f>
        <v/>
      </c>
    </row>
    <row r="12">
      <c r="A12" s="14" t="inlineStr">
        <is>
          <t>Bâtiments et installations</t>
        </is>
      </c>
      <c r="B12" s="15">
        <f>SUMIF(BALANCE_N1!$A$2:$A$67,"293*",BALANCE_N1!$G$2:$G$67)-SUMIF(BALANCE_N1!$A$2:$A$67,"293*",BALANCE_N1!$F$2:$F$67)</f>
        <v/>
      </c>
      <c r="C12" s="15">
        <f>MAX(0,(SUMIF(BALANCE!$A$2:$A$67,"293*",BALANCE!$G$2:$G$67)-SUMIF(BALANCE!$A$2:$A$67,"293*",BALANCE!$F$2:$F$67))-(SUMIF(BALANCE_N1!$A$2:$A$67,"293*",BALANCE_N1!$G$2:$G$67)-SUMIF(BALANCE_N1!$A$2:$A$67,"293*",BALANCE_N1!$F$2:$F$67)))</f>
        <v/>
      </c>
      <c r="D12" s="15">
        <f>MAX(0,(SUMIF(BALANCE_N1!$A$2:$A$67,"293*",BALANCE_N1!$G$2:$G$67)-SUMIF(BALANCE_N1!$A$2:$A$67,"293*",BALANCE_N1!$F$2:$F$67))-(SUMIF(BALANCE!$A$2:$A$67,"293*",BALANCE!$G$2:$G$67)-SUMIF(BALANCE!$A$2:$A$67,"293*",BALANCE!$F$2:$F$67)))</f>
        <v/>
      </c>
      <c r="E12" s="15">
        <f>B12+C12-D12</f>
        <v/>
      </c>
    </row>
    <row r="13">
      <c r="A13" s="12" t="inlineStr">
        <is>
          <t>Matériel, mobilier et actifs biologiques</t>
        </is>
      </c>
      <c r="B13" s="13">
        <f>SUMIF(BALANCE_N1!$A$2:$A$67,"294*",BALANCE_N1!$G$2:$G$67)-SUMIF(BALANCE_N1!$A$2:$A$67,"294*",BALANCE_N1!$F$2:$F$67)-SUMIF(BALANCE_N1!$A$2:$A$67,"2945*",BALANCE_N1!$G$2:$G$67)+SUMIF(BALANCE_N1!$A$2:$A$67,"2945*",BALANCE_N1!$F$2:$F$67)</f>
        <v/>
      </c>
      <c r="C13" s="13">
        <f>MAX(0,(SUMIF(BALANCE!$A$2:$A$67,"294*",BALANCE!$G$2:$G$67)-SUMIF(BALANCE!$A$2:$A$67,"294*",BALANCE!$F$2:$F$67)-SUMIF(BALANCE!$A$2:$A$67,"2945*",BALANCE!$G$2:$G$67)+SUMIF(BALANCE!$A$2:$A$67,"2945*",BALANCE!$F$2:$F$67))-(SUMIF(BALANCE_N1!$A$2:$A$67,"294*",BALANCE_N1!$G$2:$G$67)-SUMIF(BALANCE_N1!$A$2:$A$67,"294*",BALANCE_N1!$F$2:$F$67)-SUMIF(BALANCE_N1!$A$2:$A$67,"2945*",BALANCE_N1!$G$2:$G$67)+SUMIF(BALANCE_N1!$A$2:$A$67,"2945*",BALANCE_N1!$F$2:$F$67)))</f>
        <v/>
      </c>
      <c r="D13" s="13">
        <f>MAX(0,(SUMIF(BALANCE_N1!$A$2:$A$67,"294*",BALANCE_N1!$G$2:$G$67)-SUMIF(BALANCE_N1!$A$2:$A$67,"294*",BALANCE_N1!$F$2:$F$67)-SUMIF(BALANCE_N1!$A$2:$A$67,"2945*",BALANCE_N1!$G$2:$G$67)+SUMIF(BALANCE_N1!$A$2:$A$67,"2945*",BALANCE_N1!$F$2:$F$67))-(SUMIF(BALANCE!$A$2:$A$67,"294*",BALANCE!$G$2:$G$67)-SUMIF(BALANCE!$A$2:$A$67,"294*",BALANCE!$F$2:$F$67)-SUMIF(BALANCE!$A$2:$A$67,"2945*",BALANCE!$G$2:$G$67)+SUMIF(BALANCE!$A$2:$A$67,"2945*",BALANCE!$F$2:$F$67)))</f>
        <v/>
      </c>
      <c r="E13" s="13">
        <f>B13+C13-D13</f>
        <v/>
      </c>
    </row>
    <row r="14">
      <c r="A14" s="14" t="inlineStr">
        <is>
          <t>Matériel de transport</t>
        </is>
      </c>
      <c r="B14" s="15">
        <f>SUMIF(BALANCE_N1!$A$2:$A$67,"2945*",BALANCE_N1!$G$2:$G$67)-SUMIF(BALANCE_N1!$A$2:$A$67,"2945*",BALANCE_N1!$F$2:$F$67)</f>
        <v/>
      </c>
      <c r="C14" s="15">
        <f>MAX(0,(SUMIF(BALANCE!$A$2:$A$67,"2945*",BALANCE!$G$2:$G$67)-SUMIF(BALANCE!$A$2:$A$67,"2945*",BALANCE!$F$2:$F$67))-(SUMIF(BALANCE_N1!$A$2:$A$67,"2945*",BALANCE_N1!$G$2:$G$67)-SUMIF(BALANCE_N1!$A$2:$A$67,"2945*",BALANCE_N1!$F$2:$F$67)))</f>
        <v/>
      </c>
      <c r="D14" s="15">
        <f>MAX(0,(SUMIF(BALANCE_N1!$A$2:$A$67,"2945*",BALANCE_N1!$G$2:$G$67)-SUMIF(BALANCE_N1!$A$2:$A$67,"2945*",BALANCE_N1!$F$2:$F$67))-(SUMIF(BALANCE!$A$2:$A$67,"2945*",BALANCE!$G$2:$G$67)-SUMIF(BALANCE!$A$2:$A$67,"2945*",BALANCE!$F$2:$F$67)))</f>
        <v/>
      </c>
      <c r="E14" s="15">
        <f>B14+C14-D14</f>
        <v/>
      </c>
    </row>
    <row r="15">
      <c r="A15" s="12" t="inlineStr">
        <is>
          <t>Avances et acomptes versés sur immobilisations</t>
        </is>
      </c>
      <c r="B15" s="13">
        <f>SUMIF(BALANCE_N1!$A$2:$A$67,"295*",BALANCE_N1!$G$2:$G$67)-SUMIF(BALANCE_N1!$A$2:$A$67,"295*",BALANCE_N1!$F$2:$F$67)</f>
        <v/>
      </c>
      <c r="C15" s="13">
        <f>MAX(0,(SUMIF(BALANCE!$A$2:$A$67,"295*",BALANCE!$G$2:$G$67)-SUMIF(BALANCE!$A$2:$A$67,"295*",BALANCE!$F$2:$F$67))-(SUMIF(BALANCE_N1!$A$2:$A$67,"295*",BALANCE_N1!$G$2:$G$67)-SUMIF(BALANCE_N1!$A$2:$A$67,"295*",BALANCE_N1!$F$2:$F$67)))</f>
        <v/>
      </c>
      <c r="D15" s="13">
        <f>MAX(0,(SUMIF(BALANCE_N1!$A$2:$A$67,"295*",BALANCE_N1!$G$2:$G$67)-SUMIF(BALANCE_N1!$A$2:$A$67,"295*",BALANCE_N1!$F$2:$F$67))-(SUMIF(BALANCE!$A$2:$A$67,"295*",BALANCE!$G$2:$G$67)-SUMIF(BALANCE!$A$2:$A$67,"295*",BALANCE!$F$2:$F$67)))</f>
        <v/>
      </c>
      <c r="E15" s="13">
        <f>B15+C15-D15</f>
        <v/>
      </c>
    </row>
    <row r="16">
      <c r="A16" s="17" t="inlineStr">
        <is>
          <t>IMMOBILISATIONS FINANCIÈRES</t>
        </is>
      </c>
      <c r="B16" s="15" t="n"/>
      <c r="C16" s="15" t="n"/>
      <c r="D16" s="15" t="n"/>
      <c r="E16" s="15" t="n"/>
    </row>
    <row r="17">
      <c r="A17" s="12" t="inlineStr">
        <is>
          <t>Titres de participation</t>
        </is>
      </c>
      <c r="B17" s="13">
        <f>SUMIF(BALANCE_N1!$A$2:$A$67,"296*",BALANCE_N1!$G$2:$G$67)-SUMIF(BALANCE_N1!$A$2:$A$67,"296*",BALANCE_N1!$F$2:$F$67)</f>
        <v/>
      </c>
      <c r="C17" s="13">
        <f>MAX(0,(SUMIF(BALANCE!$A$2:$A$67,"296*",BALANCE!$G$2:$G$67)-SUMIF(BALANCE!$A$2:$A$67,"296*",BALANCE!$F$2:$F$67))-(SUMIF(BALANCE_N1!$A$2:$A$67,"296*",BALANCE_N1!$G$2:$G$67)-SUMIF(BALANCE_N1!$A$2:$A$67,"296*",BALANCE_N1!$F$2:$F$67)))</f>
        <v/>
      </c>
      <c r="D17" s="13">
        <f>MAX(0,(SUMIF(BALANCE_N1!$A$2:$A$67,"296*",BALANCE_N1!$G$2:$G$67)-SUMIF(BALANCE_N1!$A$2:$A$67,"296*",BALANCE_N1!$F$2:$F$67))-(SUMIF(BALANCE!$A$2:$A$67,"296*",BALANCE!$G$2:$G$67)-SUMIF(BALANCE!$A$2:$A$67,"296*",BALANCE!$F$2:$F$67)))</f>
        <v/>
      </c>
      <c r="E17" s="13">
        <f>B17+C17-D17</f>
        <v/>
      </c>
    </row>
    <row r="18">
      <c r="A18" s="14" t="inlineStr">
        <is>
          <t>Autres immobilisations financières</t>
        </is>
      </c>
      <c r="B18" s="15">
        <f>SUMIF(BALANCE_N1!$A$2:$A$67,"297*",BALANCE_N1!$G$2:$G$67)-SUMIF(BALANCE_N1!$A$2:$A$67,"297*",BALANCE_N1!$F$2:$F$67)</f>
        <v/>
      </c>
      <c r="C18" s="15">
        <f>MAX(0,(SUMIF(BALANCE!$A$2:$A$67,"297*",BALANCE!$G$2:$G$67)-SUMIF(BALANCE!$A$2:$A$67,"297*",BALANCE!$F$2:$F$67))-(SUMIF(BALANCE_N1!$A$2:$A$67,"297*",BALANCE_N1!$G$2:$G$67)-SUMIF(BALANCE_N1!$A$2:$A$67,"297*",BALANCE_N1!$F$2:$F$67)))</f>
        <v/>
      </c>
      <c r="D18" s="15">
        <f>MAX(0,(SUMIF(BALANCE_N1!$A$2:$A$67,"297*",BALANCE_N1!$G$2:$G$67)-SUMIF(BALANCE_N1!$A$2:$A$67,"297*",BALANCE_N1!$F$2:$F$67))-(SUMIF(BALANCE!$A$2:$A$67,"297*",BALANCE!$G$2:$G$67)-SUMIF(BALANCE!$A$2:$A$67,"297*",BALANCE!$F$2:$F$67)))</f>
        <v/>
      </c>
      <c r="E18" s="15">
        <f>B18+C18-D18</f>
        <v/>
      </c>
    </row>
    <row r="19">
      <c r="A19" s="10" t="inlineStr">
        <is>
          <t>TOTAL GÉNÉRAL</t>
        </is>
      </c>
      <c r="B19" s="11">
        <f>B9+B11+B12+B13+B14+B15+B17+B18</f>
        <v/>
      </c>
      <c r="C19" s="11">
        <f>C9+C11+C12+C13+C14+C15+C17+C18</f>
        <v/>
      </c>
      <c r="D19" s="11">
        <f>D9+D11+D12+D13+D14+D15+D17+D18</f>
        <v/>
      </c>
      <c r="E19" s="11">
        <f>E9+E11+E12+E13+E14+E15+E17+E18</f>
        <v/>
      </c>
    </row>
    <row r="20"/>
    <row r="21">
      <c r="A2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7" customWidth="1" min="3" max="3"/>
    <col width="17" customWidth="1" min="4" max="4"/>
    <col width="15" customWidth="1" min="5" max="5"/>
    <col width="17" customWidth="1" min="6" max="6"/>
  </cols>
  <sheetData>
    <row r="1">
      <c r="A1" s="1" t="inlineStr">
        <is>
          <t>NOTE 5G</t>
        </is>
      </c>
    </row>
    <row r="2">
      <c r="A2" s="2" t="inlineStr">
        <is>
          <t>IMMOBILISATIONS : PLUS-VALUES ET MOINS-VALUES DE CESSION</t>
        </is>
      </c>
    </row>
    <row r="3"/>
    <row r="4">
      <c r="A4" s="3" t="inlineStr">
        <is>
          <t>Désignation entité : ASSOCIATION ESPOIR</t>
        </is>
      </c>
      <c r="E4" s="3" t="inlineStr">
        <is>
          <t>Exercice clos le : 31/12/2025</t>
        </is>
      </c>
    </row>
    <row r="5">
      <c r="A5" t="inlineStr">
        <is>
          <t>Numéro d'identification : F.92/12.345</t>
        </is>
      </c>
      <c r="E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Montant brut (A)</t>
        </is>
      </c>
      <c r="C7" s="9" t="inlineStr">
        <is>
          <t>Amortissements pratiqués (B)</t>
        </is>
      </c>
      <c r="D7" s="9" t="inlineStr">
        <is>
          <t>Valeur comptable nette (C = A - B)</t>
        </is>
      </c>
      <c r="E7" s="9" t="inlineStr">
        <is>
          <t>Prix de cession (D)</t>
        </is>
      </c>
      <c r="F7" s="9" t="inlineStr">
        <is>
          <t>Plus ou moins-value (E = D - C)</t>
        </is>
      </c>
    </row>
    <row r="8">
      <c r="A8" s="14" t="inlineStr">
        <is>
          <t>Immobilisations incorporelles</t>
        </is>
      </c>
      <c r="B8" s="15" t="n"/>
      <c r="C8" s="15" t="n"/>
      <c r="D8" s="15">
        <f>SUMIF(BALANCE!$A$2:$A$67,"811*",BALANCE!$F$2:$F$67)-SUMIF(BALANCE!$A$2:$A$67,"811*",BALANCE!$G$2:$G$67)</f>
        <v/>
      </c>
      <c r="E8" s="15">
        <f>SUMIF(BALANCE!$A$2:$A$67,"821*",BALANCE!$G$2:$G$67)-SUMIF(BALANCE!$A$2:$A$67,"821*",BALANCE!$F$2:$F$67)</f>
        <v/>
      </c>
      <c r="F8" s="15">
        <f>E8-D8</f>
        <v/>
      </c>
    </row>
    <row r="9">
      <c r="A9" s="12" t="inlineStr">
        <is>
          <t>Immobilisations corporelles</t>
        </is>
      </c>
      <c r="B9" s="13" t="n"/>
      <c r="C9" s="13" t="n"/>
      <c r="D9" s="13">
        <f>SUMIF(BALANCE!$A$2:$A$67,"812*",BALANCE!$F$2:$F$67)-SUMIF(BALANCE!$A$2:$A$67,"812*",BALANCE!$G$2:$G$67)</f>
        <v/>
      </c>
      <c r="E9" s="13">
        <f>SUMIF(BALANCE!$A$2:$A$67,"822*",BALANCE!$G$2:$G$67)-SUMIF(BALANCE!$A$2:$A$67,"822*",BALANCE!$F$2:$F$67)</f>
        <v/>
      </c>
      <c r="F9" s="13">
        <f>E9-D9</f>
        <v/>
      </c>
    </row>
    <row r="10">
      <c r="A10" s="14" t="inlineStr">
        <is>
          <t>Immobilisations financières</t>
        </is>
      </c>
      <c r="B10" s="15" t="n"/>
      <c r="C10" s="15" t="n"/>
      <c r="D10" s="15">
        <f>SUMIF(BALANCE!$A$2:$A$67,"816*",BALANCE!$F$2:$F$67)-SUMIF(BALANCE!$A$2:$A$67,"816*",BALANCE!$G$2:$G$67)</f>
        <v/>
      </c>
      <c r="E10" s="15">
        <f>SUMIF(BALANCE!$A$2:$A$67,"826*",BALANCE!$G$2:$G$67)-SUMIF(BALANCE!$A$2:$A$67,"826*",BALANCE!$F$2:$F$67)</f>
        <v/>
      </c>
      <c r="F10" s="15">
        <f>E10-D10</f>
        <v/>
      </c>
    </row>
    <row r="11">
      <c r="A11" s="12" t="inlineStr">
        <is>
          <t>Immobilisations reçues destinées à la vente (dons et legs)</t>
        </is>
      </c>
      <c r="B11" s="13" t="n"/>
      <c r="C11" s="13" t="n"/>
      <c r="D11" s="13">
        <f>SUMIF(BALANCE!$A$2:$A$67,"818*",BALANCE!$F$2:$F$67)-SUMIF(BALANCE!$A$2:$A$67,"818*",BALANCE!$G$2:$G$67)</f>
        <v/>
      </c>
      <c r="E11" s="13">
        <f>SUMIF(BALANCE!$A$2:$A$67,"828*",BALANCE!$G$2:$G$67)-SUMIF(BALANCE!$A$2:$A$67,"828*",BALANCE!$F$2:$F$67)</f>
        <v/>
      </c>
      <c r="F11" s="13">
        <f>E11-D11</f>
        <v/>
      </c>
    </row>
    <row r="12">
      <c r="A12" s="10" t="inlineStr">
        <is>
          <t>TOTAL GÉNÉRAL</t>
        </is>
      </c>
      <c r="B12" s="11">
        <f>SUM(B8:B11)</f>
        <v/>
      </c>
      <c r="C12" s="11">
        <f>SUM(C8:C11)</f>
        <v/>
      </c>
      <c r="D12" s="11">
        <f>SUM(D8:D11)</f>
        <v/>
      </c>
      <c r="E12" s="11">
        <f>SUM(E8:E11)</f>
        <v/>
      </c>
      <c r="F12" s="11">
        <f>SUM(F8:F11)</f>
        <v/>
      </c>
    </row>
    <row r="13"/>
    <row r="14">
      <c r="A14" t="inlineStr">
        <is>
          <t>Colonnes A et B à compléter depuis l'inventaire ; la valeur comptable (81x) et le prix de cession (82x) sortent de la balance. Mentionner la justification de la cession, la date d'acquisition et la date de sortie.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NOTE 5H</t>
        </is>
      </c>
    </row>
    <row r="2">
      <c r="A2" s="2" t="inlineStr">
        <is>
          <t>INFORMATIONS SUR LES RÉÉVALUATIONS EFFECTUÉES PAR L'ENTITÉ</t>
        </is>
      </c>
    </row>
    <row r="3"/>
    <row r="4">
      <c r="A4" s="3" t="inlineStr">
        <is>
          <t>Désignation entité : ASSOCIATION ESPOIR</t>
        </is>
      </c>
      <c r="E4" s="3" t="inlineStr">
        <is>
          <t>Exercice clos le : 31/12/2025</t>
        </is>
      </c>
    </row>
    <row r="5">
      <c r="A5" t="inlineStr">
        <is>
          <t>Numéro d'identification : F.92/12.345</t>
        </is>
      </c>
      <c r="E5" t="inlineStr">
        <is>
          <t>Durée (en mois) : 12</t>
        </is>
      </c>
    </row>
    <row r="6"/>
    <row r="7"/>
    <row r="8">
      <c r="A8" s="5" t="inlineStr">
        <is>
          <t xml:space="preserve">Nature et date des réévaluations : </t>
        </is>
      </c>
    </row>
    <row r="9"/>
    <row r="10"/>
    <row r="11">
      <c r="A11" s="5" t="inlineStr">
        <is>
          <t>Éléments réévalués par postes du bilan | Montants en coûts historiques | Montants réévalués | Écarts et provisions spéciales de réévaluation.</t>
        </is>
      </c>
    </row>
    <row r="12"/>
    <row r="13"/>
    <row r="14">
      <c r="A14" s="5" t="inlineStr">
        <is>
          <t xml:space="preserve">Méthode de réévaluation utilisée : </t>
        </is>
      </c>
    </row>
    <row r="15"/>
    <row r="16"/>
    <row r="17">
      <c r="A17" s="5" t="inlineStr">
        <is>
          <t xml:space="preserve">Traitement fiscal de l'écart de réévaluation et des amortissements supplémentaires : </t>
        </is>
      </c>
    </row>
    <row r="18"/>
    <row r="19"/>
    <row r="20">
      <c r="A20" s="5" t="inlineStr">
        <is>
          <t xml:space="preserve">Montant de l'écart incorporé à la dotation : </t>
        </is>
      </c>
    </row>
    <row r="21"/>
  </sheetData>
  <mergeCells count="7">
    <mergeCell ref="A2:F2"/>
    <mergeCell ref="A11:F12"/>
    <mergeCell ref="A1:F1"/>
    <mergeCell ref="A14:F15"/>
    <mergeCell ref="A17:F18"/>
    <mergeCell ref="A8:F9"/>
    <mergeCell ref="A20:F2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6</t>
        </is>
      </c>
    </row>
    <row r="2">
      <c r="A2" s="2" t="inlineStr">
        <is>
          <t>IMMOBILISATIONS FINANCIÈRES</t>
        </is>
      </c>
    </row>
    <row r="3"/>
    <row r="4">
      <c r="A4" s="3" t="inlineStr">
        <is>
          <t>Désignation entité : ASSOCIATION ESPOIR</t>
        </is>
      </c>
      <c r="G4" s="3" t="inlineStr">
        <is>
          <t>Exercice clos le : 31/12/2025</t>
        </is>
      </c>
    </row>
    <row r="5">
      <c r="A5" t="inlineStr">
        <is>
          <t>Numéro d'identification : F.92/12.345</t>
        </is>
      </c>
      <c r="G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  <c r="F7" s="9" t="inlineStr">
        <is>
          <t>À un an au plus</t>
        </is>
      </c>
      <c r="G7" s="9" t="inlineStr">
        <is>
          <t>À plus d'un an et deux ans au plus</t>
        </is>
      </c>
      <c r="H7" s="9" t="inlineStr">
        <is>
          <t>À plus de deux ans</t>
        </is>
      </c>
    </row>
    <row r="8">
      <c r="A8" s="14" t="inlineStr">
        <is>
          <t>Titres de participation</t>
        </is>
      </c>
      <c r="B8" s="15">
        <f>SUMIF(BALANCE!$A$2:$A$67,"26*",BALANCE!$F$2:$F$67)-SUMIF(BALANCE!$A$2:$A$67,"26*",BALANCE!$G$2:$G$67)</f>
        <v/>
      </c>
      <c r="C8" s="15">
        <f>SUMIF(BALANCE_N1!$A$2:$A$67,"26*",BALANCE_N1!$F$2:$F$67)-SUMIF(BALANCE_N1!$A$2:$A$67,"26*",BALANCE_N1!$G$2:$G$67)</f>
        <v/>
      </c>
      <c r="D8" s="15">
        <f>B8-C8</f>
        <v/>
      </c>
      <c r="E8" s="19">
        <f>IF(C8=0,"",(B8-C8)/C8)</f>
        <v/>
      </c>
      <c r="F8" s="14" t="n"/>
      <c r="G8" s="14" t="n"/>
      <c r="H8" s="14" t="n"/>
    </row>
    <row r="9">
      <c r="A9" s="12" t="inlineStr">
        <is>
          <t>Prêts et créances</t>
        </is>
      </c>
      <c r="B9" s="13">
        <f>SUMIF(BALANCE!$A$2:$A$67,"271*",BALANCE!$F$2:$F$67)-SUMIF(BALANCE!$A$2:$A$67,"271*",BALANCE!$G$2:$G$67)+SUMIF(BALANCE!$A$2:$A$67,"278*",BALANCE!$F$2:$F$67)-SUMIF(BALANCE!$A$2:$A$67,"278*",BALANCE!$G$2:$G$67)</f>
        <v/>
      </c>
      <c r="C9" s="13">
        <f>SUMIF(BALANCE_N1!$A$2:$A$67,"271*",BALANCE_N1!$F$2:$F$67)-SUMIF(BALANCE_N1!$A$2:$A$67,"271*",BALANCE_N1!$G$2:$G$67)+SUMIF(BALANCE_N1!$A$2:$A$67,"278*",BALANCE_N1!$F$2:$F$67)-SUMIF(BALANCE_N1!$A$2:$A$67,"278*",BALANCE_N1!$G$2:$G$67)</f>
        <v/>
      </c>
      <c r="D9" s="13">
        <f>B9-C9</f>
        <v/>
      </c>
      <c r="E9" s="20">
        <f>IF(C9=0,"",(B9-C9)/C9)</f>
        <v/>
      </c>
      <c r="F9" s="12" t="n"/>
      <c r="G9" s="12" t="n"/>
      <c r="H9" s="12" t="n"/>
    </row>
    <row r="10">
      <c r="A10" s="14" t="inlineStr">
        <is>
          <t>Prêt au personnel</t>
        </is>
      </c>
      <c r="B10" s="15">
        <f>SUMIF(BALANCE!$A$2:$A$67,"272*",BALANCE!$F$2:$F$67)-SUMIF(BALANCE!$A$2:$A$67,"272*",BALANCE!$G$2:$G$67)</f>
        <v/>
      </c>
      <c r="C10" s="15">
        <f>SUMIF(BALANCE_N1!$A$2:$A$67,"272*",BALANCE_N1!$F$2:$F$67)-SUMIF(BALANCE_N1!$A$2:$A$67,"272*",BALANCE_N1!$G$2:$G$67)</f>
        <v/>
      </c>
      <c r="D10" s="15">
        <f>B10-C10</f>
        <v/>
      </c>
      <c r="E10" s="19">
        <f>IF(C10=0,"",(B10-C10)/C10)</f>
        <v/>
      </c>
      <c r="F10" s="14" t="n"/>
      <c r="G10" s="14" t="n"/>
      <c r="H10" s="14" t="n"/>
    </row>
    <row r="11">
      <c r="A11" s="12" t="inlineStr">
        <is>
          <t>Créances sur l'État</t>
        </is>
      </c>
      <c r="B11" s="13">
        <f>SUMIF(BALANCE!$A$2:$A$67,"273*",BALANCE!$F$2:$F$67)-SUMIF(BALANCE!$A$2:$A$67,"273*",BALANCE!$G$2:$G$67)</f>
        <v/>
      </c>
      <c r="C11" s="13">
        <f>SUMIF(BALANCE_N1!$A$2:$A$67,"273*",BALANCE_N1!$F$2:$F$67)-SUMIF(BALANCE_N1!$A$2:$A$67,"273*",BALANCE_N1!$G$2:$G$67)</f>
        <v/>
      </c>
      <c r="D11" s="13">
        <f>B11-C11</f>
        <v/>
      </c>
      <c r="E11" s="20">
        <f>IF(C11=0,"",(B11-C11)/C11)</f>
        <v/>
      </c>
      <c r="F11" s="12" t="n"/>
      <c r="G11" s="12" t="n"/>
      <c r="H11" s="12" t="n"/>
    </row>
    <row r="12">
      <c r="A12" s="14" t="inlineStr">
        <is>
          <t>Titres immobilisés</t>
        </is>
      </c>
      <c r="B12" s="15">
        <f>SUMIF(BALANCE!$A$2:$A$67,"274*",BALANCE!$F$2:$F$67)-SUMIF(BALANCE!$A$2:$A$67,"274*",BALANCE!$G$2:$G$67)</f>
        <v/>
      </c>
      <c r="C12" s="15">
        <f>SUMIF(BALANCE_N1!$A$2:$A$67,"274*",BALANCE_N1!$F$2:$F$67)-SUMIF(BALANCE_N1!$A$2:$A$67,"274*",BALANCE_N1!$G$2:$G$67)</f>
        <v/>
      </c>
      <c r="D12" s="15">
        <f>B12-C12</f>
        <v/>
      </c>
      <c r="E12" s="19">
        <f>IF(C12=0,"",(B12-C12)/C12)</f>
        <v/>
      </c>
      <c r="F12" s="14" t="n"/>
      <c r="G12" s="14" t="n"/>
      <c r="H12" s="14" t="n"/>
    </row>
    <row r="13">
      <c r="A13" s="12" t="inlineStr">
        <is>
          <t>Dépôts et cautionnements</t>
        </is>
      </c>
      <c r="B13" s="13">
        <f>SUMIF(BALANCE!$A$2:$A$67,"275*",BALANCE!$F$2:$F$67)-SUMIF(BALANCE!$A$2:$A$67,"275*",BALANCE!$G$2:$G$67)</f>
        <v/>
      </c>
      <c r="C13" s="13">
        <f>SUMIF(BALANCE_N1!$A$2:$A$67,"275*",BALANCE_N1!$F$2:$F$67)-SUMIF(BALANCE_N1!$A$2:$A$67,"275*",BALANCE_N1!$G$2:$G$67)</f>
        <v/>
      </c>
      <c r="D13" s="13">
        <f>B13-C13</f>
        <v/>
      </c>
      <c r="E13" s="20">
        <f>IF(C13=0,"",(B13-C13)/C13)</f>
        <v/>
      </c>
      <c r="F13" s="12" t="n"/>
      <c r="G13" s="12" t="n"/>
      <c r="H13" s="12" t="n"/>
    </row>
    <row r="14">
      <c r="A14" s="14" t="inlineStr">
        <is>
          <t>Intérêts courus</t>
        </is>
      </c>
      <c r="B14" s="15">
        <f>SUMIF(BALANCE!$A$2:$A$67,"276*",BALANCE!$F$2:$F$67)-SUMIF(BALANCE!$A$2:$A$67,"276*",BALANCE!$G$2:$G$67)</f>
        <v/>
      </c>
      <c r="C14" s="15">
        <f>SUMIF(BALANCE_N1!$A$2:$A$67,"276*",BALANCE_N1!$F$2:$F$67)-SUMIF(BALANCE_N1!$A$2:$A$67,"276*",BALANCE_N1!$G$2:$G$67)</f>
        <v/>
      </c>
      <c r="D14" s="15">
        <f>B14-C14</f>
        <v/>
      </c>
      <c r="E14" s="19">
        <f>IF(C14=0,"",(B14-C14)/C14)</f>
        <v/>
      </c>
      <c r="F14" s="14" t="n"/>
      <c r="G14" s="14" t="n"/>
      <c r="H14" s="14" t="n"/>
    </row>
    <row r="15">
      <c r="A15" s="10" t="inlineStr">
        <is>
          <t>TOTAL BRUT</t>
        </is>
      </c>
      <c r="B15" s="11">
        <f>SUM(B8:B14)</f>
        <v/>
      </c>
      <c r="C15" s="11">
        <f>SUM(C8:C14)</f>
        <v/>
      </c>
      <c r="D15" s="11">
        <f>B15-C15</f>
        <v/>
      </c>
      <c r="E15" s="21">
        <f>IF(C15=0,"",(B15-C15)/C15)</f>
        <v/>
      </c>
      <c r="F15" s="11" t="n"/>
      <c r="G15" s="11" t="n"/>
      <c r="H15" s="11" t="n"/>
    </row>
    <row r="16">
      <c r="A16" s="14" t="inlineStr">
        <is>
          <t>Dépréciations des titres de participation</t>
        </is>
      </c>
      <c r="B16" s="15">
        <f>SUMIF(BALANCE!$A$2:$A$67,"296*",BALANCE!$G$2:$G$67)-SUMIF(BALANCE!$A$2:$A$67,"296*",BALANCE!$F$2:$F$67)</f>
        <v/>
      </c>
      <c r="C16" s="15">
        <f>SUMIF(BALANCE_N1!$A$2:$A$67,"296*",BALANCE_N1!$G$2:$G$67)-SUMIF(BALANCE_N1!$A$2:$A$67,"296*",BALANCE_N1!$F$2:$F$67)</f>
        <v/>
      </c>
      <c r="D16" s="15">
        <f>B16-C16</f>
        <v/>
      </c>
      <c r="E16" s="19">
        <f>IF(C16=0,"",(B16-C16)/C16)</f>
        <v/>
      </c>
      <c r="F16" s="14" t="n"/>
      <c r="G16" s="14" t="n"/>
      <c r="H16" s="14" t="n"/>
    </row>
    <row r="17">
      <c r="A17" s="12" t="inlineStr">
        <is>
          <t>Dépréciations des autres immobilisations financières</t>
        </is>
      </c>
      <c r="B17" s="13">
        <f>SUMIF(BALANCE!$A$2:$A$67,"297*",BALANCE!$G$2:$G$67)-SUMIF(BALANCE!$A$2:$A$67,"297*",BALANCE!$F$2:$F$67)</f>
        <v/>
      </c>
      <c r="C17" s="13">
        <f>SUMIF(BALANCE_N1!$A$2:$A$67,"297*",BALANCE_N1!$G$2:$G$67)-SUMIF(BALANCE_N1!$A$2:$A$67,"297*",BALANCE_N1!$F$2:$F$67)</f>
        <v/>
      </c>
      <c r="D17" s="13">
        <f>B17-C17</f>
        <v/>
      </c>
      <c r="E17" s="20">
        <f>IF(C17=0,"",(B17-C17)/C17)</f>
        <v/>
      </c>
      <c r="F17" s="12" t="n"/>
      <c r="G17" s="12" t="n"/>
      <c r="H17" s="12" t="n"/>
    </row>
    <row r="18">
      <c r="A18" s="10" t="inlineStr"/>
      <c r="B18" s="11">
        <f>SUM(B16:B17)</f>
        <v/>
      </c>
      <c r="C18" s="11">
        <f>SUM(C16:C17)</f>
        <v/>
      </c>
      <c r="D18" s="11">
        <f>B18-C18</f>
        <v/>
      </c>
      <c r="E18" s="21">
        <f>IF(C18=0,"",(B18-C18)/C18)</f>
        <v/>
      </c>
      <c r="F18" s="11" t="n"/>
      <c r="G18" s="11" t="n"/>
      <c r="H18" s="11" t="n"/>
    </row>
    <row r="19">
      <c r="A19" s="10" t="inlineStr">
        <is>
          <t>TOTAL NET DE DÉPRÉCIATIONS</t>
        </is>
      </c>
      <c r="B19" s="11">
        <f>B15-B18</f>
        <v/>
      </c>
      <c r="C19" s="11">
        <f>C15-C18</f>
        <v/>
      </c>
      <c r="D19" s="11">
        <f>B19-C19</f>
        <v/>
      </c>
      <c r="E19" s="21">
        <f>IF(C19=0,"",(B19-C19)/C19)</f>
        <v/>
      </c>
      <c r="F19" s="11" t="n"/>
      <c r="G19" s="11" t="n"/>
      <c r="H19" s="11" t="n"/>
    </row>
    <row r="20"/>
    <row r="21">
      <c r="A21" s="3" t="inlineStr">
        <is>
          <t>Commentaires :</t>
        </is>
      </c>
    </row>
    <row r="22">
      <c r="A22" s="5" t="inlineStr">
        <is>
          <t>• Justifier toute variation significative ; commenter les créances anciennes ; indiquer le nombre et la date d'acquisition des actions ou parts ; pour les dépréciations, indiquer les évènements et circonstances.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7</t>
        </is>
      </c>
    </row>
    <row r="2">
      <c r="A2" s="2" t="inlineStr">
        <is>
          <t>ACTIF CIRCULANT ET DETTES CIRCULANTES HAO</t>
        </is>
      </c>
    </row>
    <row r="3"/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7" t="inlineStr">
        <is>
          <t>ACTIF CIRCULANT HAO</t>
        </is>
      </c>
      <c r="B8" s="15" t="n"/>
      <c r="C8" s="15" t="n"/>
      <c r="D8" s="15" t="n"/>
      <c r="E8" s="14" t="n"/>
    </row>
    <row r="9">
      <c r="A9" s="12" t="inlineStr">
        <is>
          <t>Créances sur cessions d'immobilisations</t>
        </is>
      </c>
      <c r="B9" s="13">
        <f>SUMIF(BALANCE!$A$2:$A$67,"485*",BALANCE!$F$2:$F$67)-SUMIF(BALANCE!$A$2:$A$67,"485*",BALANCE!$G$2:$G$67)</f>
        <v/>
      </c>
      <c r="C9" s="13">
        <f>SUMIF(BALANCE_N1!$A$2:$A$67,"485*",BALANCE_N1!$F$2:$F$67)-SUMIF(BALANCE_N1!$A$2:$A$67,"485*",BALANCE_N1!$G$2:$G$67)</f>
        <v/>
      </c>
      <c r="D9" s="13">
        <f>B9-C9</f>
        <v/>
      </c>
      <c r="E9" s="20">
        <f>IF(C9=0,"",(B9-C9)/C9)</f>
        <v/>
      </c>
    </row>
    <row r="10">
      <c r="A10" s="14" t="inlineStr">
        <is>
          <t>Créances reçues par dons et legs d'immobilisations</t>
        </is>
      </c>
      <c r="B10" s="15">
        <f>SUMIF(BALANCE!$A$2:$A$67,"4865*",BALANCE!$F$2:$F$67)-SUMIF(BALANCE!$A$2:$A$67,"4865*",BALANCE!$G$2:$G$67)</f>
        <v/>
      </c>
      <c r="C10" s="15">
        <f>SUMIF(BALANCE_N1!$A$2:$A$67,"4865*",BALANCE_N1!$F$2:$F$67)-SUMIF(BALANCE_N1!$A$2:$A$67,"4865*",BALANCE_N1!$G$2:$G$67)</f>
        <v/>
      </c>
      <c r="D10" s="15">
        <f>B10-C10</f>
        <v/>
      </c>
      <c r="E10" s="19">
        <f>IF(C10=0,"",(B10-C10)/C10)</f>
        <v/>
      </c>
    </row>
    <row r="11">
      <c r="A11" s="10" t="inlineStr">
        <is>
          <t>TOTAL BRUT</t>
        </is>
      </c>
      <c r="B11" s="11">
        <f>SUM(B9:B10)</f>
        <v/>
      </c>
      <c r="C11" s="11">
        <f>SUM(C9:C10)</f>
        <v/>
      </c>
      <c r="D11" s="11">
        <f>B11-C11</f>
        <v/>
      </c>
      <c r="E11" s="21">
        <f>IF(C11=0,"",(B11-C11)/C11)</f>
        <v/>
      </c>
    </row>
    <row r="12">
      <c r="A12" s="14" t="inlineStr">
        <is>
          <t>Dépréciations des créances HAO</t>
        </is>
      </c>
      <c r="B12" s="15">
        <f>SUMIF(BALANCE!$A$2:$A$67,"498*",BALANCE!$G$2:$G$67)-SUMIF(BALANCE!$A$2:$A$67,"498*",BALANCE!$F$2:$F$67)</f>
        <v/>
      </c>
      <c r="C12" s="15">
        <f>SUMIF(BALANCE_N1!$A$2:$A$67,"498*",BALANCE_N1!$G$2:$G$67)-SUMIF(BALANCE_N1!$A$2:$A$67,"498*",BALANCE_N1!$F$2:$F$67)</f>
        <v/>
      </c>
      <c r="D12" s="15">
        <f>B12-C12</f>
        <v/>
      </c>
      <c r="E12" s="19">
        <f>IF(C12=0,"",(B12-C12)/C12)</f>
        <v/>
      </c>
    </row>
    <row r="13">
      <c r="A13" s="10" t="inlineStr"/>
      <c r="B13" s="11">
        <f>SUM(B12:B12)</f>
        <v/>
      </c>
      <c r="C13" s="11">
        <f>SUM(C12:C12)</f>
        <v/>
      </c>
      <c r="D13" s="11">
        <f>B13-C13</f>
        <v/>
      </c>
      <c r="E13" s="21">
        <f>IF(C13=0,"",(B13-C13)/C13)</f>
        <v/>
      </c>
    </row>
    <row r="14">
      <c r="A14" s="10" t="inlineStr">
        <is>
          <t>TOTAL NET DE DÉPRÉCIATIONS</t>
        </is>
      </c>
      <c r="B14" s="11">
        <f>B11-B13</f>
        <v/>
      </c>
      <c r="C14" s="11">
        <f>C11-C13</f>
        <v/>
      </c>
      <c r="D14" s="11">
        <f>B14-C14</f>
        <v/>
      </c>
      <c r="E14" s="21">
        <f>IF(C14=0,"",(B14-C14)/C14)</f>
        <v/>
      </c>
    </row>
    <row r="15">
      <c r="A15" s="12" t="n"/>
      <c r="B15" s="13" t="n"/>
      <c r="C15" s="13" t="n"/>
      <c r="D15" s="13" t="n"/>
      <c r="E15" s="12" t="n"/>
    </row>
    <row r="16">
      <c r="A16" s="17" t="inlineStr">
        <is>
          <t>DETTES CIRCULANTES HAO</t>
        </is>
      </c>
      <c r="B16" s="15" t="n"/>
      <c r="C16" s="15" t="n"/>
      <c r="D16" s="15" t="n"/>
      <c r="E16" s="14" t="n"/>
    </row>
    <row r="17">
      <c r="A17" s="12" t="inlineStr">
        <is>
          <t>Fournisseurs d'investissements</t>
        </is>
      </c>
      <c r="B17" s="13">
        <f>SUMIF(BALANCE!$A$2:$A$67,"481*",BALANCE!$G$2:$G$67)-SUMIF(BALANCE!$A$2:$A$67,"481*",BALANCE!$F$2:$F$67)</f>
        <v/>
      </c>
      <c r="C17" s="13">
        <f>SUMIF(BALANCE_N1!$A$2:$A$67,"481*",BALANCE_N1!$G$2:$G$67)-SUMIF(BALANCE_N1!$A$2:$A$67,"481*",BALANCE_N1!$F$2:$F$67)</f>
        <v/>
      </c>
      <c r="D17" s="13">
        <f>B17-C17</f>
        <v/>
      </c>
      <c r="E17" s="20">
        <f>IF(C17=0,"",(B17-C17)/C17)</f>
        <v/>
      </c>
    </row>
    <row r="18">
      <c r="A18" s="14" t="inlineStr">
        <is>
          <t>Dettes des dons et legs d'immobilisations</t>
        </is>
      </c>
      <c r="B18" s="15">
        <f>SUMIF(BALANCE!$A$2:$A$67,"4861*",BALANCE!$G$2:$G$67)-SUMIF(BALANCE!$A$2:$A$67,"4861*",BALANCE!$F$2:$F$67)</f>
        <v/>
      </c>
      <c r="C18" s="15">
        <f>SUMIF(BALANCE_N1!$A$2:$A$67,"4861*",BALANCE_N1!$G$2:$G$67)-SUMIF(BALANCE_N1!$A$2:$A$67,"4861*",BALANCE_N1!$F$2:$F$67)</f>
        <v/>
      </c>
      <c r="D18" s="15">
        <f>B18-C18</f>
        <v/>
      </c>
      <c r="E18" s="19">
        <f>IF(C18=0,"",(B18-C18)/C18)</f>
        <v/>
      </c>
    </row>
    <row r="19">
      <c r="A19" s="12" t="inlineStr">
        <is>
          <t>Créditeurs, dons nature HAO non consommés</t>
        </is>
      </c>
      <c r="B19" s="13">
        <f>SUMIF(BALANCE!$A$2:$A$67,"4881*",BALANCE!$G$2:$G$67)-SUMIF(BALANCE!$A$2:$A$67,"4881*",BALANCE!$F$2:$F$67)</f>
        <v/>
      </c>
      <c r="C19" s="13">
        <f>SUMIF(BALANCE_N1!$A$2:$A$67,"4881*",BALANCE_N1!$G$2:$G$67)-SUMIF(BALANCE_N1!$A$2:$A$67,"4881*",BALANCE_N1!$F$2:$F$67)</f>
        <v/>
      </c>
      <c r="D19" s="13">
        <f>B19-C19</f>
        <v/>
      </c>
      <c r="E19" s="20">
        <f>IF(C19=0,"",(B19-C19)/C19)</f>
        <v/>
      </c>
    </row>
    <row r="20">
      <c r="A20" s="14" t="inlineStr">
        <is>
          <t>Autres dettes hors activités ordinaires</t>
        </is>
      </c>
      <c r="B20" s="15">
        <f>SUMIF(BALANCE!$A$2:$A$67,"488*",BALANCE!$G$2:$G$67)-SUMIF(BALANCE!$A$2:$A$67,"488*",BALANCE!$F$2:$F$67)+SUMIF(BALANCE!$A$2:$A$67,"484*",BALANCE!$G$2:$G$67)-SUMIF(BALANCE!$A$2:$A$67,"484*",BALANCE!$F$2:$F$67)+SUMIF(BALANCE!$A$2:$A$67,"4998*",BALANCE!$G$2:$G$67)-SUMIF(BALANCE!$A$2:$A$67,"4998*",BALANCE!$F$2:$F$67)-SUMIF(BALANCE!$A$2:$A$67,"4881*",BALANCE!$G$2:$G$67)+SUMIF(BALANCE!$A$2:$A$67,"4881*",BALANCE!$F$2:$F$67)</f>
        <v/>
      </c>
      <c r="C20" s="15">
        <f>SUMIF(BALANCE_N1!$A$2:$A$67,"488*",BALANCE_N1!$G$2:$G$67)-SUMIF(BALANCE_N1!$A$2:$A$67,"488*",BALANCE_N1!$F$2:$F$67)+SUMIF(BALANCE_N1!$A$2:$A$67,"484*",BALANCE_N1!$G$2:$G$67)-SUMIF(BALANCE_N1!$A$2:$A$67,"484*",BALANCE_N1!$F$2:$F$67)+SUMIF(BALANCE_N1!$A$2:$A$67,"4998*",BALANCE_N1!$G$2:$G$67)-SUMIF(BALANCE_N1!$A$2:$A$67,"4998*",BALANCE_N1!$F$2:$F$67)-SUMIF(BALANCE_N1!$A$2:$A$67,"4881*",BALANCE_N1!$G$2:$G$67)+SUMIF(BALANCE_N1!$A$2:$A$67,"4881*",BALANCE_N1!$F$2:$F$67)</f>
        <v/>
      </c>
      <c r="D20" s="15">
        <f>B20-C20</f>
        <v/>
      </c>
      <c r="E20" s="19">
        <f>IF(C20=0,"",(B20-C20)/C20)</f>
        <v/>
      </c>
    </row>
    <row r="21">
      <c r="A21" s="10" t="inlineStr">
        <is>
          <t>TOTAL DETTES CIRCULANTES HAO</t>
        </is>
      </c>
      <c r="B21" s="11">
        <f>SUM(B17:B20)</f>
        <v/>
      </c>
      <c r="C21" s="11">
        <f>SUM(C17:C20)</f>
        <v/>
      </c>
      <c r="D21" s="11">
        <f>B21-C21</f>
        <v/>
      </c>
      <c r="E21" s="21">
        <f>IF(C21=0,"",(B21-C21)/C21)</f>
        <v/>
      </c>
    </row>
    <row r="22"/>
    <row r="23">
      <c r="A23" s="3" t="inlineStr">
        <is>
          <t>Commentaires :</t>
        </is>
      </c>
    </row>
    <row r="24">
      <c r="A24" s="5" t="inlineStr">
        <is>
          <t>• Commenter toute variation significative ; indiquer la date et la nature de l'immobilisation achetée et/ou cédée.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8</t>
        </is>
      </c>
    </row>
    <row r="2">
      <c r="A2" s="2" t="inlineStr">
        <is>
          <t>STOCKS ET ENCOURS</t>
        </is>
      </c>
    </row>
    <row r="3"/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Biens et services liés à l'activité</t>
        </is>
      </c>
      <c r="B8" s="15">
        <f>SUMIF(BALANCE!$A$2:$A$67,"31*",BALANCE!$F$2:$F$67)-SUMIF(BALANCE!$A$2:$A$67,"31*",BALANCE!$G$2:$G$67)</f>
        <v/>
      </c>
      <c r="C8" s="15">
        <f>SUMIF(BALANCE_N1!$A$2:$A$67,"31*",BALANCE_N1!$F$2:$F$67)-SUMIF(BALANCE_N1!$A$2:$A$67,"31*",BALANCE_N1!$G$2:$G$67)</f>
        <v/>
      </c>
      <c r="D8" s="15">
        <f>B8-C8</f>
        <v/>
      </c>
      <c r="E8" s="19">
        <f>IF(C8=0,"",(B8-C8)/C8)</f>
        <v/>
      </c>
    </row>
    <row r="9">
      <c r="A9" s="12" t="inlineStr">
        <is>
          <t>Marchandises, matières premières</t>
        </is>
      </c>
      <c r="B9" s="13">
        <f>SUMIF(BALANCE!$A$2:$A$67,"32*",BALANCE!$F$2:$F$67)-SUMIF(BALANCE!$A$2:$A$67,"32*",BALANCE!$G$2:$G$67)</f>
        <v/>
      </c>
      <c r="C9" s="13">
        <f>SUMIF(BALANCE_N1!$A$2:$A$67,"32*",BALANCE_N1!$F$2:$F$67)-SUMIF(BALANCE_N1!$A$2:$A$67,"32*",BALANCE_N1!$G$2:$G$67)</f>
        <v/>
      </c>
      <c r="D9" s="13">
        <f>B9-C9</f>
        <v/>
      </c>
      <c r="E9" s="20">
        <f>IF(C9=0,"",(B9-C9)/C9)</f>
        <v/>
      </c>
    </row>
    <row r="10">
      <c r="A10" s="14" t="inlineStr">
        <is>
          <t>Autres approvisionnements</t>
        </is>
      </c>
      <c r="B10" s="15">
        <f>SUMIF(BALANCE!$A$2:$A$67,"33*",BALANCE!$F$2:$F$67)-SUMIF(BALANCE!$A$2:$A$67,"33*",BALANCE!$G$2:$G$67)</f>
        <v/>
      </c>
      <c r="C10" s="15">
        <f>SUMIF(BALANCE_N1!$A$2:$A$67,"33*",BALANCE_N1!$F$2:$F$67)-SUMIF(BALANCE_N1!$A$2:$A$67,"33*",BALANCE_N1!$G$2:$G$67)</f>
        <v/>
      </c>
      <c r="D10" s="15">
        <f>B10-C10</f>
        <v/>
      </c>
      <c r="E10" s="19">
        <f>IF(C10=0,"",(B10-C10)/C10)</f>
        <v/>
      </c>
    </row>
    <row r="11">
      <c r="A11" s="12" t="inlineStr">
        <is>
          <t>Dons en nature</t>
        </is>
      </c>
      <c r="B11" s="13">
        <f>SUMIF(BALANCE!$A$2:$A$67,"34*",BALANCE!$F$2:$F$67)-SUMIF(BALANCE!$A$2:$A$67,"34*",BALANCE!$G$2:$G$67)</f>
        <v/>
      </c>
      <c r="C11" s="13">
        <f>SUMIF(BALANCE_N1!$A$2:$A$67,"34*",BALANCE_N1!$F$2:$F$67)-SUMIF(BALANCE_N1!$A$2:$A$67,"34*",BALANCE_N1!$G$2:$G$67)</f>
        <v/>
      </c>
      <c r="D11" s="13">
        <f>B11-C11</f>
        <v/>
      </c>
      <c r="E11" s="20">
        <f>IF(C11=0,"",(B11-C11)/C11)</f>
        <v/>
      </c>
    </row>
    <row r="12">
      <c r="A12" s="14" t="inlineStr">
        <is>
          <t>Produits finis et en cours</t>
        </is>
      </c>
      <c r="B12" s="15">
        <f>SUMIF(BALANCE!$A$2:$A$67,"35*",BALANCE!$F$2:$F$67)-SUMIF(BALANCE!$A$2:$A$67,"35*",BALANCE!$G$2:$G$67)+SUMIF(BALANCE!$A$2:$A$67,"36*",BALANCE!$F$2:$F$67)-SUMIF(BALANCE!$A$2:$A$67,"36*",BALANCE!$G$2:$G$67)</f>
        <v/>
      </c>
      <c r="C12" s="15">
        <f>SUMIF(BALANCE_N1!$A$2:$A$67,"35*",BALANCE_N1!$F$2:$F$67)-SUMIF(BALANCE_N1!$A$2:$A$67,"35*",BALANCE_N1!$G$2:$G$67)+SUMIF(BALANCE_N1!$A$2:$A$67,"36*",BALANCE_N1!$F$2:$F$67)-SUMIF(BALANCE_N1!$A$2:$A$67,"36*",BALANCE_N1!$G$2:$G$67)</f>
        <v/>
      </c>
      <c r="D12" s="15">
        <f>B12-C12</f>
        <v/>
      </c>
      <c r="E12" s="19">
        <f>IF(C12=0,"",(B12-C12)/C12)</f>
        <v/>
      </c>
    </row>
    <row r="13">
      <c r="A13" s="12" t="inlineStr">
        <is>
          <t>Dons en nature HAO</t>
        </is>
      </c>
      <c r="B13" s="13">
        <f>SUMIF(BALANCE!$A$2:$A$67,"38*",BALANCE!$F$2:$F$67)-SUMIF(BALANCE!$A$2:$A$67,"38*",BALANCE!$G$2:$G$67)</f>
        <v/>
      </c>
      <c r="C13" s="13">
        <f>SUMIF(BALANCE_N1!$A$2:$A$67,"38*",BALANCE_N1!$F$2:$F$67)-SUMIF(BALANCE_N1!$A$2:$A$67,"38*",BALANCE_N1!$G$2:$G$67)</f>
        <v/>
      </c>
      <c r="D13" s="13">
        <f>B13-C13</f>
        <v/>
      </c>
      <c r="E13" s="20">
        <f>IF(C13=0,"",(B13-C13)/C13)</f>
        <v/>
      </c>
    </row>
    <row r="14">
      <c r="A14" s="14" t="inlineStr">
        <is>
          <t>Stocks en cours de route, en consignation ou en dépôt</t>
        </is>
      </c>
      <c r="B14" s="15">
        <f>SUMIF(BALANCE!$A$2:$A$67,"37*",BALANCE!$F$2:$F$67)-SUMIF(BALANCE!$A$2:$A$67,"37*",BALANCE!$G$2:$G$67)</f>
        <v/>
      </c>
      <c r="C14" s="15">
        <f>SUMIF(BALANCE_N1!$A$2:$A$67,"37*",BALANCE_N1!$F$2:$F$67)-SUMIF(BALANCE_N1!$A$2:$A$67,"37*",BALANCE_N1!$G$2:$G$67)</f>
        <v/>
      </c>
      <c r="D14" s="15">
        <f>B14-C14</f>
        <v/>
      </c>
      <c r="E14" s="19">
        <f>IF(C14=0,"",(B14-C14)/C14)</f>
        <v/>
      </c>
    </row>
    <row r="15">
      <c r="A15" s="10" t="inlineStr">
        <is>
          <t>TOTAL STOCKS ET ENCOURS</t>
        </is>
      </c>
      <c r="B15" s="11">
        <f>SUM(B8:B14)</f>
        <v/>
      </c>
      <c r="C15" s="11">
        <f>SUM(C8:C14)</f>
        <v/>
      </c>
      <c r="D15" s="11">
        <f>B15-C15</f>
        <v/>
      </c>
      <c r="E15" s="21">
        <f>IF(C15=0,"",(B15-C15)/C15)</f>
        <v/>
      </c>
    </row>
    <row r="16">
      <c r="A16" s="14" t="inlineStr">
        <is>
          <t>Dépréciations des stocks</t>
        </is>
      </c>
      <c r="B16" s="15">
        <f>SUMIF(BALANCE!$A$2:$A$67,"39*",BALANCE!$G$2:$G$67)-SUMIF(BALANCE!$A$2:$A$67,"39*",BALANCE!$F$2:$F$67)</f>
        <v/>
      </c>
      <c r="C16" s="15">
        <f>SUMIF(BALANCE_N1!$A$2:$A$67,"39*",BALANCE_N1!$G$2:$G$67)-SUMIF(BALANCE_N1!$A$2:$A$67,"39*",BALANCE_N1!$F$2:$F$67)</f>
        <v/>
      </c>
      <c r="D16" s="15">
        <f>B16-C16</f>
        <v/>
      </c>
      <c r="E16" s="19">
        <f>IF(C16=0,"",(B16-C16)/C16)</f>
        <v/>
      </c>
    </row>
    <row r="17">
      <c r="A17" s="10" t="inlineStr"/>
      <c r="B17" s="11">
        <f>SUM(B16:B16)</f>
        <v/>
      </c>
      <c r="C17" s="11">
        <f>SUM(C16:C16)</f>
        <v/>
      </c>
      <c r="D17" s="11">
        <f>B17-C17</f>
        <v/>
      </c>
      <c r="E17" s="21">
        <f>IF(C17=0,"",(B17-C17)/C17)</f>
        <v/>
      </c>
    </row>
    <row r="18">
      <c r="A18" s="10" t="inlineStr">
        <is>
          <t>TOTAL NET DE DÉPRÉCIATIONS</t>
        </is>
      </c>
      <c r="B18" s="11">
        <f>B15-B17</f>
        <v/>
      </c>
      <c r="C18" s="11">
        <f>C15-C17</f>
        <v/>
      </c>
      <c r="D18" s="11">
        <f>B18-C18</f>
        <v/>
      </c>
      <c r="E18" s="21">
        <f>IF(C18=0,"",(B18-C18)/C18)</f>
        <v/>
      </c>
    </row>
    <row r="19"/>
    <row r="20">
      <c r="A20" s="3" t="inlineStr">
        <is>
          <t>Commentaires :</t>
        </is>
      </c>
    </row>
    <row r="21">
      <c r="A21" s="5" t="inlineStr">
        <is>
          <t>• Indiquer la date de prise d'inventaire, la procédure et les méthodes d'évaluation ; commenter toute variation significative ; détailler les stocks dépréciés.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9</t>
        </is>
      </c>
    </row>
    <row r="2">
      <c r="A2" s="2" t="inlineStr">
        <is>
          <t>ADHÉRENTS, CLIENTS-USAGERS</t>
        </is>
      </c>
    </row>
    <row r="3"/>
    <row r="4">
      <c r="A4" s="3" t="inlineStr">
        <is>
          <t>Désignation entité : ASSOCIATION ESPOIR</t>
        </is>
      </c>
      <c r="G4" s="3" t="inlineStr">
        <is>
          <t>Exercice clos le : 31/12/2025</t>
        </is>
      </c>
    </row>
    <row r="5">
      <c r="A5" t="inlineStr">
        <is>
          <t>Numéro d'identification : F.92/12.345</t>
        </is>
      </c>
      <c r="G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  <c r="F7" s="9" t="inlineStr">
        <is>
          <t>À un an au plus</t>
        </is>
      </c>
      <c r="G7" s="9" t="inlineStr">
        <is>
          <t>À plus d'un an et deux ans au plus</t>
        </is>
      </c>
      <c r="H7" s="9" t="inlineStr">
        <is>
          <t>À plus de deux ans</t>
        </is>
      </c>
    </row>
    <row r="8">
      <c r="A8" s="14" t="inlineStr">
        <is>
          <t>Adhérents</t>
        </is>
      </c>
      <c r="B8" s="15">
        <f>SUMIF(BALANCE!$A$2:$A$67,"411*",BALANCE!$F$2:$F$67)-SUMIF(BALANCE!$A$2:$A$67,"411*",BALANCE!$G$2:$G$67)</f>
        <v/>
      </c>
      <c r="C8" s="15">
        <f>SUMIF(BALANCE_N1!$A$2:$A$67,"411*",BALANCE_N1!$F$2:$F$67)-SUMIF(BALANCE_N1!$A$2:$A$67,"411*",BALANCE_N1!$G$2:$G$67)</f>
        <v/>
      </c>
      <c r="D8" s="15">
        <f>B8-C8</f>
        <v/>
      </c>
      <c r="E8" s="19">
        <f>IF(C8=0,"",(B8-C8)/C8)</f>
        <v/>
      </c>
      <c r="F8" s="14" t="n"/>
      <c r="G8" s="14" t="n"/>
      <c r="H8" s="14" t="n"/>
    </row>
    <row r="9">
      <c r="A9" s="12" t="inlineStr">
        <is>
          <t>Clients-usagers</t>
        </is>
      </c>
      <c r="B9" s="13">
        <f>SUMIF(BALANCE!$A$2:$A$67,"412*",BALANCE!$F$2:$F$67)-SUMIF(BALANCE!$A$2:$A$67,"412*",BALANCE!$G$2:$G$67)</f>
        <v/>
      </c>
      <c r="C9" s="13">
        <f>SUMIF(BALANCE_N1!$A$2:$A$67,"412*",BALANCE_N1!$F$2:$F$67)-SUMIF(BALANCE_N1!$A$2:$A$67,"412*",BALANCE_N1!$G$2:$G$67)</f>
        <v/>
      </c>
      <c r="D9" s="13">
        <f>B9-C9</f>
        <v/>
      </c>
      <c r="E9" s="20">
        <f>IF(C9=0,"",(B9-C9)/C9)</f>
        <v/>
      </c>
      <c r="F9" s="12" t="n"/>
      <c r="G9" s="12" t="n"/>
      <c r="H9" s="12" t="n"/>
    </row>
    <row r="10">
      <c r="A10" s="14" t="inlineStr">
        <is>
          <t>Adhérents, clients-usagers, chèques, effets et autres valeurs impayés</t>
        </is>
      </c>
      <c r="B10" s="15">
        <f>SUMIF(BALANCE!$A$2:$A$67,"413*",BALANCE!$F$2:$F$67)-SUMIF(BALANCE!$A$2:$A$67,"413*",BALANCE!$G$2:$G$67)</f>
        <v/>
      </c>
      <c r="C10" s="15">
        <f>SUMIF(BALANCE_N1!$A$2:$A$67,"413*",BALANCE_N1!$F$2:$F$67)-SUMIF(BALANCE_N1!$A$2:$A$67,"413*",BALANCE_N1!$G$2:$G$67)</f>
        <v/>
      </c>
      <c r="D10" s="15">
        <f>B10-C10</f>
        <v/>
      </c>
      <c r="E10" s="19">
        <f>IF(C10=0,"",(B10-C10)/C10)</f>
        <v/>
      </c>
      <c r="F10" s="14" t="n"/>
      <c r="G10" s="14" t="n"/>
      <c r="H10" s="14" t="n"/>
    </row>
    <row r="11">
      <c r="A11" s="12" t="inlineStr">
        <is>
          <t>Adhérents, créances litigieuses ou douteuses</t>
        </is>
      </c>
      <c r="B11" s="13">
        <f>SUMIF(BALANCE!$A$2:$A$67,"416*",BALANCE!$F$2:$F$67)-SUMIF(BALANCE!$A$2:$A$67,"416*",BALANCE!$G$2:$G$67)</f>
        <v/>
      </c>
      <c r="C11" s="13">
        <f>SUMIF(BALANCE_N1!$A$2:$A$67,"416*",BALANCE_N1!$F$2:$F$67)-SUMIF(BALANCE_N1!$A$2:$A$67,"416*",BALANCE_N1!$G$2:$G$67)</f>
        <v/>
      </c>
      <c r="D11" s="13">
        <f>B11-C11</f>
        <v/>
      </c>
      <c r="E11" s="20">
        <f>IF(C11=0,"",(B11-C11)/C11)</f>
        <v/>
      </c>
      <c r="F11" s="12" t="n"/>
      <c r="G11" s="12" t="n"/>
      <c r="H11" s="12" t="n"/>
    </row>
    <row r="12">
      <c r="A12" s="14" t="inlineStr">
        <is>
          <t>Adhérents, clients-usagers, produits à recevoir</t>
        </is>
      </c>
      <c r="B12" s="15">
        <f>SUMIF(BALANCE!$A$2:$A$67,"418*",BALANCE!$F$2:$F$67)-SUMIF(BALANCE!$A$2:$A$67,"418*",BALANCE!$G$2:$G$67)</f>
        <v/>
      </c>
      <c r="C12" s="15">
        <f>SUMIF(BALANCE_N1!$A$2:$A$67,"418*",BALANCE_N1!$F$2:$F$67)-SUMIF(BALANCE_N1!$A$2:$A$67,"418*",BALANCE_N1!$G$2:$G$67)</f>
        <v/>
      </c>
      <c r="D12" s="15">
        <f>B12-C12</f>
        <v/>
      </c>
      <c r="E12" s="19">
        <f>IF(C12=0,"",(B12-C12)/C12)</f>
        <v/>
      </c>
      <c r="F12" s="14" t="n"/>
      <c r="G12" s="14" t="n"/>
      <c r="H12" s="14" t="n"/>
    </row>
    <row r="13">
      <c r="A13" s="10" t="inlineStr">
        <is>
          <t>TOTAL BRUT ADHÉRENTS, CLIENTS-USAGERS</t>
        </is>
      </c>
      <c r="B13" s="11">
        <f>SUM(B8:B12)</f>
        <v/>
      </c>
      <c r="C13" s="11">
        <f>SUM(C8:C12)</f>
        <v/>
      </c>
      <c r="D13" s="11">
        <f>B13-C13</f>
        <v/>
      </c>
      <c r="E13" s="21">
        <f>IF(C13=0,"",(B13-C13)/C13)</f>
        <v/>
      </c>
      <c r="F13" s="11" t="n"/>
      <c r="G13" s="11" t="n"/>
      <c r="H13" s="11" t="n"/>
    </row>
    <row r="14">
      <c r="A14" s="14" t="inlineStr">
        <is>
          <t>Dépréciations des comptes adhérents et clients-usagers</t>
        </is>
      </c>
      <c r="B14" s="15">
        <f>SUMIF(BALANCE!$A$2:$A$67,"491*",BALANCE!$G$2:$G$67)-SUMIF(BALANCE!$A$2:$A$67,"491*",BALANCE!$F$2:$F$67)</f>
        <v/>
      </c>
      <c r="C14" s="15">
        <f>SUMIF(BALANCE_N1!$A$2:$A$67,"491*",BALANCE_N1!$G$2:$G$67)-SUMIF(BALANCE_N1!$A$2:$A$67,"491*",BALANCE_N1!$F$2:$F$67)</f>
        <v/>
      </c>
      <c r="D14" s="15">
        <f>B14-C14</f>
        <v/>
      </c>
      <c r="E14" s="19">
        <f>IF(C14=0,"",(B14-C14)/C14)</f>
        <v/>
      </c>
      <c r="F14" s="14" t="n"/>
      <c r="G14" s="14" t="n"/>
      <c r="H14" s="14" t="n"/>
    </row>
    <row r="15">
      <c r="A15" s="10" t="inlineStr"/>
      <c r="B15" s="11">
        <f>SUM(B14:B14)</f>
        <v/>
      </c>
      <c r="C15" s="11">
        <f>SUM(C14:C14)</f>
        <v/>
      </c>
      <c r="D15" s="11">
        <f>B15-C15</f>
        <v/>
      </c>
      <c r="E15" s="21">
        <f>IF(C15=0,"",(B15-C15)/C15)</f>
        <v/>
      </c>
      <c r="F15" s="11" t="n"/>
      <c r="G15" s="11" t="n"/>
      <c r="H15" s="11" t="n"/>
    </row>
    <row r="16">
      <c r="A16" s="10" t="inlineStr">
        <is>
          <t>TOTAL NET DE DÉPRÉCIATIONS</t>
        </is>
      </c>
      <c r="B16" s="11">
        <f>B13-B15</f>
        <v/>
      </c>
      <c r="C16" s="11">
        <f>C13-C15</f>
        <v/>
      </c>
      <c r="D16" s="11">
        <f>B16-C16</f>
        <v/>
      </c>
      <c r="E16" s="21">
        <f>IF(C16=0,"",(B16-C16)/C16)</f>
        <v/>
      </c>
      <c r="F16" s="11" t="n"/>
      <c r="G16" s="11" t="n"/>
      <c r="H16" s="11" t="n"/>
    </row>
    <row r="17">
      <c r="A17" s="12" t="n"/>
      <c r="B17" s="13" t="n"/>
      <c r="C17" s="13" t="n"/>
      <c r="D17" s="13" t="n"/>
      <c r="E17" s="12" t="n"/>
      <c r="F17" s="12" t="n"/>
      <c r="G17" s="12" t="n"/>
      <c r="H17" s="12" t="n"/>
    </row>
    <row r="18">
      <c r="A18" s="14" t="inlineStr">
        <is>
          <t>Adhérents, avances reçues</t>
        </is>
      </c>
      <c r="B18" s="15">
        <f>SUMIF(BALANCE!$A$2:$A$67,"4191*",BALANCE!$G$2:$G$67)</f>
        <v/>
      </c>
      <c r="C18" s="15">
        <f>SUMIF(BALANCE_N1!$A$2:$A$67,"4191*",BALANCE_N1!$G$2:$G$67)</f>
        <v/>
      </c>
      <c r="D18" s="15">
        <f>B18-C18</f>
        <v/>
      </c>
      <c r="E18" s="19">
        <f>IF(C18=0,"",(B18-C18)/C18)</f>
        <v/>
      </c>
      <c r="F18" s="14" t="n"/>
      <c r="G18" s="14" t="n"/>
      <c r="H18" s="14" t="n"/>
    </row>
    <row r="19">
      <c r="A19" s="12" t="inlineStr">
        <is>
          <t>Clients-usagers, avances et acomptes reçus</t>
        </is>
      </c>
      <c r="B19" s="13">
        <f>SUMIF(BALANCE!$A$2:$A$67,"4192*",BALANCE!$G$2:$G$67)</f>
        <v/>
      </c>
      <c r="C19" s="13">
        <f>SUMIF(BALANCE_N1!$A$2:$A$67,"4192*",BALANCE_N1!$G$2:$G$67)</f>
        <v/>
      </c>
      <c r="D19" s="13">
        <f>B19-C19</f>
        <v/>
      </c>
      <c r="E19" s="20">
        <f>IF(C19=0,"",(B19-C19)/C19)</f>
        <v/>
      </c>
      <c r="F19" s="12" t="n"/>
      <c r="G19" s="12" t="n"/>
      <c r="H19" s="12" t="n"/>
    </row>
    <row r="20">
      <c r="A20" s="14" t="inlineStr">
        <is>
          <t>Autres clients créditeurs</t>
        </is>
      </c>
      <c r="B20" s="15">
        <f>SUMIF(BALANCE!$A$2:$A$67,"419*",BALANCE!$G$2:$G$67)-SUMIF(BALANCE!$A$2:$A$67,"4191*",BALANCE!$G$2:$G$67)-SUMIF(BALANCE!$A$2:$A$67,"4192*",BALANCE!$G$2:$G$67)</f>
        <v/>
      </c>
      <c r="C20" s="15">
        <f>SUMIF(BALANCE_N1!$A$2:$A$67,"419*",BALANCE_N1!$G$2:$G$67)-SUMIF(BALANCE_N1!$A$2:$A$67,"4191*",BALANCE_N1!$G$2:$G$67)-SUMIF(BALANCE_N1!$A$2:$A$67,"4192*",BALANCE_N1!$G$2:$G$67)</f>
        <v/>
      </c>
      <c r="D20" s="15">
        <f>B20-C20</f>
        <v/>
      </c>
      <c r="E20" s="19">
        <f>IF(C20=0,"",(B20-C20)/C20)</f>
        <v/>
      </c>
      <c r="F20" s="14" t="n"/>
      <c r="G20" s="14" t="n"/>
      <c r="H20" s="14" t="n"/>
    </row>
    <row r="21">
      <c r="A21" s="10" t="inlineStr">
        <is>
          <t>TOTAL CLIENTS CRÉDITEURS</t>
        </is>
      </c>
      <c r="B21" s="11">
        <f>SUM(B18:B20)</f>
        <v/>
      </c>
      <c r="C21" s="11">
        <f>SUM(C18:C20)</f>
        <v/>
      </c>
      <c r="D21" s="11">
        <f>B21-C21</f>
        <v/>
      </c>
      <c r="E21" s="21">
        <f>IF(C21=0,"",(B21-C21)/C21)</f>
        <v/>
      </c>
      <c r="F21" s="11" t="n"/>
      <c r="G21" s="11" t="n"/>
      <c r="H21" s="11" t="n"/>
    </row>
    <row r="22"/>
    <row r="23">
      <c r="A23" s="3" t="inlineStr">
        <is>
          <t>Commentaires :</t>
        </is>
      </c>
    </row>
    <row r="24">
      <c r="A24" s="5" t="inlineStr">
        <is>
          <t>• Commenter toute variation significative et les créances anciennes ; indiquer les évènements motivant dépréciation et reprise.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10</t>
        </is>
      </c>
    </row>
    <row r="2">
      <c r="A2" s="2" t="inlineStr">
        <is>
          <t>AUTRES CRÉANCES</t>
        </is>
      </c>
    </row>
    <row r="3"/>
    <row r="4">
      <c r="A4" s="3" t="inlineStr">
        <is>
          <t>Désignation entité : ASSOCIATION ESPOIR</t>
        </is>
      </c>
      <c r="G4" s="3" t="inlineStr">
        <is>
          <t>Exercice clos le : 31/12/2025</t>
        </is>
      </c>
    </row>
    <row r="5">
      <c r="A5" t="inlineStr">
        <is>
          <t>Numéro d'identification : F.92/12.345</t>
        </is>
      </c>
      <c r="G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  <c r="F7" s="9" t="inlineStr">
        <is>
          <t>À un an au plus</t>
        </is>
      </c>
      <c r="G7" s="9" t="inlineStr">
        <is>
          <t>À plus d'un an et deux ans au plus</t>
        </is>
      </c>
      <c r="H7" s="9" t="inlineStr">
        <is>
          <t>À plus de deux ans</t>
        </is>
      </c>
    </row>
    <row r="8">
      <c r="A8" s="14" t="inlineStr">
        <is>
          <t>Personnel</t>
        </is>
      </c>
      <c r="B8" s="15">
        <f>SUMIF(BALANCE!$A$2:$A$67,"42*",BALANCE!$F$2:$F$67)</f>
        <v/>
      </c>
      <c r="C8" s="15">
        <f>SUMIF(BALANCE_N1!$A$2:$A$67,"42*",BALANCE_N1!$F$2:$F$67)</f>
        <v/>
      </c>
      <c r="D8" s="15">
        <f>B8-C8</f>
        <v/>
      </c>
      <c r="E8" s="19">
        <f>IF(C8=0,"",(B8-C8)/C8)</f>
        <v/>
      </c>
      <c r="F8" s="14" t="n"/>
      <c r="G8" s="14" t="n"/>
      <c r="H8" s="14" t="n"/>
    </row>
    <row r="9">
      <c r="A9" s="12" t="inlineStr">
        <is>
          <t>Organismes sociaux</t>
        </is>
      </c>
      <c r="B9" s="13">
        <f>SUMIF(BALANCE!$A$2:$A$67,"43*",BALANCE!$F$2:$F$67)</f>
        <v/>
      </c>
      <c r="C9" s="13">
        <f>SUMIF(BALANCE_N1!$A$2:$A$67,"43*",BALANCE_N1!$F$2:$F$67)</f>
        <v/>
      </c>
      <c r="D9" s="13">
        <f>B9-C9</f>
        <v/>
      </c>
      <c r="E9" s="20">
        <f>IF(C9=0,"",(B9-C9)/C9)</f>
        <v/>
      </c>
      <c r="F9" s="12" t="n"/>
      <c r="G9" s="12" t="n"/>
      <c r="H9" s="12" t="n"/>
    </row>
    <row r="10">
      <c r="A10" s="14" t="inlineStr">
        <is>
          <t>État et collectivités publiques</t>
        </is>
      </c>
      <c r="B10" s="15">
        <f>SUMIF(BALANCE!$A$2:$A$67,"44*",BALANCE!$F$2:$F$67)</f>
        <v/>
      </c>
      <c r="C10" s="15">
        <f>SUMIF(BALANCE_N1!$A$2:$A$67,"44*",BALANCE_N1!$F$2:$F$67)</f>
        <v/>
      </c>
      <c r="D10" s="15">
        <f>B10-C10</f>
        <v/>
      </c>
      <c r="E10" s="19">
        <f>IF(C10=0,"",(B10-C10)/C10)</f>
        <v/>
      </c>
      <c r="F10" s="14" t="n"/>
      <c r="G10" s="14" t="n"/>
      <c r="H10" s="14" t="n"/>
    </row>
    <row r="11">
      <c r="A11" s="12" t="inlineStr">
        <is>
          <t>Fondateurs, apporteurs et comptes courants</t>
        </is>
      </c>
      <c r="B11" s="13">
        <f>SUMIF(BALANCE!$A$2:$A$67,"45*",BALANCE!$F$2:$F$67)</f>
        <v/>
      </c>
      <c r="C11" s="13">
        <f>SUMIF(BALANCE_N1!$A$2:$A$67,"45*",BALANCE_N1!$F$2:$F$67)</f>
        <v/>
      </c>
      <c r="D11" s="13">
        <f>B11-C11</f>
        <v/>
      </c>
      <c r="E11" s="20">
        <f>IF(C11=0,"",(B11-C11)/C11)</f>
        <v/>
      </c>
      <c r="F11" s="12" t="n"/>
      <c r="G11" s="12" t="n"/>
      <c r="H11" s="12" t="n"/>
    </row>
    <row r="12">
      <c r="A12" s="14" t="inlineStr">
        <is>
          <t>Bailleurs, État et autres organismes, fonds d'administration</t>
        </is>
      </c>
      <c r="B12" s="15">
        <f>SUMIF(BALANCE!$A$2:$A$67,"46*",BALANCE!$F$2:$F$67)</f>
        <v/>
      </c>
      <c r="C12" s="15">
        <f>SUMIF(BALANCE_N1!$A$2:$A$67,"46*",BALANCE_N1!$F$2:$F$67)</f>
        <v/>
      </c>
      <c r="D12" s="15">
        <f>B12-C12</f>
        <v/>
      </c>
      <c r="E12" s="19">
        <f>IF(C12=0,"",(B12-C12)/C12)</f>
        <v/>
      </c>
      <c r="F12" s="14" t="n"/>
      <c r="G12" s="14" t="n"/>
      <c r="H12" s="14" t="n"/>
    </row>
    <row r="13">
      <c r="A13" s="12" t="inlineStr">
        <is>
          <t>Débiteurs divers</t>
        </is>
      </c>
      <c r="B13" s="13">
        <f>SUMIF(BALANCE!$A$2:$A$67,"471*",BALANCE!$F$2:$F$67)+SUMIF(BALANCE!$A$2:$A$67,"473*",BALANCE!$F$2:$F$67)+SUMIF(BALANCE!$A$2:$A$67,"472*",BALANCE!$F$2:$F$67)+SUMIF(BALANCE!$A$2:$A$67,"475*",BALANCE!$F$2:$F$67)</f>
        <v/>
      </c>
      <c r="C13" s="13">
        <f>SUMIF(BALANCE_N1!$A$2:$A$67,"471*",BALANCE_N1!$F$2:$F$67)+SUMIF(BALANCE_N1!$A$2:$A$67,"473*",BALANCE_N1!$F$2:$F$67)+SUMIF(BALANCE_N1!$A$2:$A$67,"472*",BALANCE_N1!$F$2:$F$67)+SUMIF(BALANCE_N1!$A$2:$A$67,"475*",BALANCE_N1!$F$2:$F$67)</f>
        <v/>
      </c>
      <c r="D13" s="13">
        <f>B13-C13</f>
        <v/>
      </c>
      <c r="E13" s="20">
        <f>IF(C13=0,"",(B13-C13)/C13)</f>
        <v/>
      </c>
      <c r="F13" s="12" t="n"/>
      <c r="G13" s="12" t="n"/>
      <c r="H13" s="12" t="n"/>
    </row>
    <row r="14">
      <c r="A14" s="14" t="inlineStr">
        <is>
          <t>Autres débiteurs divers</t>
        </is>
      </c>
      <c r="B14" s="15">
        <f>SUMIF(BALANCE!$A$2:$A$67,"476*",BALANCE!$F$2:$F$67)+SUMIF(BALANCE!$A$2:$A$67,"477*",BALANCE!$F$2:$F$67)+SUMIF(BALANCE!$A$2:$A$67,"474*",BALANCE!$F$2:$F$67)</f>
        <v/>
      </c>
      <c r="C14" s="15">
        <f>SUMIF(BALANCE_N1!$A$2:$A$67,"476*",BALANCE_N1!$F$2:$F$67)+SUMIF(BALANCE_N1!$A$2:$A$67,"477*",BALANCE_N1!$F$2:$F$67)+SUMIF(BALANCE_N1!$A$2:$A$67,"474*",BALANCE_N1!$F$2:$F$67)</f>
        <v/>
      </c>
      <c r="D14" s="15">
        <f>B14-C14</f>
        <v/>
      </c>
      <c r="E14" s="19">
        <f>IF(C14=0,"",(B14-C14)/C14)</f>
        <v/>
      </c>
      <c r="F14" s="14" t="n"/>
      <c r="G14" s="14" t="n"/>
      <c r="H14" s="14" t="n"/>
    </row>
    <row r="15">
      <c r="A15" s="10" t="inlineStr">
        <is>
          <t>TOTAL BRUT</t>
        </is>
      </c>
      <c r="B15" s="11">
        <f>SUM(B8:B14)</f>
        <v/>
      </c>
      <c r="C15" s="11">
        <f>SUM(C8:C14)</f>
        <v/>
      </c>
      <c r="D15" s="11">
        <f>B15-C15</f>
        <v/>
      </c>
      <c r="E15" s="21">
        <f>IF(C15=0,"",(B15-C15)/C15)</f>
        <v/>
      </c>
      <c r="F15" s="11" t="n"/>
      <c r="G15" s="11" t="n"/>
      <c r="H15" s="11" t="n"/>
    </row>
    <row r="16">
      <c r="A16" s="14" t="inlineStr">
        <is>
          <t>Dépréciations des autres créances</t>
        </is>
      </c>
      <c r="B16" s="15">
        <f>SUMIF(BALANCE!$A$2:$A$67,"497*",BALANCE!$G$2:$G$67)-SUMIF(BALANCE!$A$2:$A$67,"497*",BALANCE!$F$2:$F$67)+SUMIF(BALANCE!$A$2:$A$67,"493*",BALANCE!$G$2:$G$67)-SUMIF(BALANCE!$A$2:$A$67,"493*",BALANCE!$F$2:$F$67)+SUMIF(BALANCE!$A$2:$A$67,"492*",BALANCE!$G$2:$G$67)-SUMIF(BALANCE!$A$2:$A$67,"492*",BALANCE!$F$2:$F$67)+SUMIF(BALANCE!$A$2:$A$67,"494*",BALANCE!$G$2:$G$67)-SUMIF(BALANCE!$A$2:$A$67,"494*",BALANCE!$F$2:$F$67)</f>
        <v/>
      </c>
      <c r="C16" s="15">
        <f>SUMIF(BALANCE_N1!$A$2:$A$67,"497*",BALANCE_N1!$G$2:$G$67)-SUMIF(BALANCE_N1!$A$2:$A$67,"497*",BALANCE_N1!$F$2:$F$67)+SUMIF(BALANCE_N1!$A$2:$A$67,"493*",BALANCE_N1!$G$2:$G$67)-SUMIF(BALANCE_N1!$A$2:$A$67,"493*",BALANCE_N1!$F$2:$F$67)+SUMIF(BALANCE_N1!$A$2:$A$67,"492*",BALANCE_N1!$G$2:$G$67)-SUMIF(BALANCE_N1!$A$2:$A$67,"492*",BALANCE_N1!$F$2:$F$67)+SUMIF(BALANCE_N1!$A$2:$A$67,"494*",BALANCE_N1!$G$2:$G$67)-SUMIF(BALANCE_N1!$A$2:$A$67,"494*",BALANCE_N1!$F$2:$F$67)</f>
        <v/>
      </c>
      <c r="D16" s="15">
        <f>B16-C16</f>
        <v/>
      </c>
      <c r="E16" s="19">
        <f>IF(C16=0,"",(B16-C16)/C16)</f>
        <v/>
      </c>
      <c r="F16" s="14" t="n"/>
      <c r="G16" s="14" t="n"/>
      <c r="H16" s="14" t="n"/>
    </row>
    <row r="17">
      <c r="A17" s="10" t="inlineStr"/>
      <c r="B17" s="11">
        <f>SUM(B16:B16)</f>
        <v/>
      </c>
      <c r="C17" s="11">
        <f>SUM(C16:C16)</f>
        <v/>
      </c>
      <c r="D17" s="11">
        <f>B17-C17</f>
        <v/>
      </c>
      <c r="E17" s="21">
        <f>IF(C17=0,"",(B17-C17)/C17)</f>
        <v/>
      </c>
      <c r="F17" s="11" t="n"/>
      <c r="G17" s="11" t="n"/>
      <c r="H17" s="11" t="n"/>
    </row>
    <row r="18">
      <c r="A18" s="10" t="inlineStr">
        <is>
          <t>TOTAL NET DE DÉPRÉCIATIONS</t>
        </is>
      </c>
      <c r="B18" s="11">
        <f>B15-B17</f>
        <v/>
      </c>
      <c r="C18" s="11">
        <f>C15-C17</f>
        <v/>
      </c>
      <c r="D18" s="11">
        <f>B18-C18</f>
        <v/>
      </c>
      <c r="E18" s="21">
        <f>IF(C18=0,"",(B18-C18)/C18)</f>
        <v/>
      </c>
      <c r="F18" s="11" t="n"/>
      <c r="G18" s="11" t="n"/>
      <c r="H18" s="11" t="n"/>
    </row>
    <row r="19"/>
    <row r="20">
      <c r="A20" s="3" t="inlineStr">
        <is>
          <t>Commentaires :</t>
        </is>
      </c>
    </row>
    <row r="21">
      <c r="A21" s="5" t="inlineStr">
        <is>
          <t>• Justifier toute variation significative ; détailler et justifier les créances significatives ou anciennes.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11</t>
        </is>
      </c>
    </row>
    <row r="2">
      <c r="A2" s="2" t="inlineStr">
        <is>
          <t>TITRES DE PLACEMENT</t>
        </is>
      </c>
    </row>
    <row r="3"/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Titres de trésor et bons de caisse à court terme</t>
        </is>
      </c>
      <c r="B8" s="15">
        <f>SUMIF(BALANCE!$A$2:$A$67,"501*",BALANCE!$F$2:$F$67)-SUMIF(BALANCE!$A$2:$A$67,"501*",BALANCE!$G$2:$G$67)</f>
        <v/>
      </c>
      <c r="C8" s="15">
        <f>SUMIF(BALANCE_N1!$A$2:$A$67,"501*",BALANCE_N1!$F$2:$F$67)-SUMIF(BALANCE_N1!$A$2:$A$67,"501*",BALANCE_N1!$G$2:$G$67)</f>
        <v/>
      </c>
      <c r="D8" s="15">
        <f>B8-C8</f>
        <v/>
      </c>
      <c r="E8" s="19">
        <f>IF(C8=0,"",(B8-C8)/C8)</f>
        <v/>
      </c>
    </row>
    <row r="9">
      <c r="A9" s="12" t="inlineStr">
        <is>
          <t>Actions</t>
        </is>
      </c>
      <c r="B9" s="13">
        <f>SUMIF(BALANCE!$A$2:$A$67,"502*",BALANCE!$F$2:$F$67)-SUMIF(BALANCE!$A$2:$A$67,"502*",BALANCE!$G$2:$G$67)</f>
        <v/>
      </c>
      <c r="C9" s="13">
        <f>SUMIF(BALANCE_N1!$A$2:$A$67,"502*",BALANCE_N1!$F$2:$F$67)-SUMIF(BALANCE_N1!$A$2:$A$67,"502*",BALANCE_N1!$G$2:$G$67)</f>
        <v/>
      </c>
      <c r="D9" s="13">
        <f>B9-C9</f>
        <v/>
      </c>
      <c r="E9" s="20">
        <f>IF(C9=0,"",(B9-C9)/C9)</f>
        <v/>
      </c>
    </row>
    <row r="10">
      <c r="A10" s="14" t="inlineStr">
        <is>
          <t>Obligations</t>
        </is>
      </c>
      <c r="B10" s="15">
        <f>SUMIF(BALANCE!$A$2:$A$67,"503*",BALANCE!$F$2:$F$67)-SUMIF(BALANCE!$A$2:$A$67,"503*",BALANCE!$G$2:$G$67)</f>
        <v/>
      </c>
      <c r="C10" s="15">
        <f>SUMIF(BALANCE_N1!$A$2:$A$67,"503*",BALANCE_N1!$F$2:$F$67)-SUMIF(BALANCE_N1!$A$2:$A$67,"503*",BALANCE_N1!$G$2:$G$67)</f>
        <v/>
      </c>
      <c r="D10" s="15">
        <f>B10-C10</f>
        <v/>
      </c>
      <c r="E10" s="19">
        <f>IF(C10=0,"",(B10-C10)/C10)</f>
        <v/>
      </c>
    </row>
    <row r="11">
      <c r="A11" s="12" t="inlineStr">
        <is>
          <t>Bons de souscription</t>
        </is>
      </c>
      <c r="B11" s="13">
        <f>SUMIF(BALANCE!$A$2:$A$67,"504*",BALANCE!$F$2:$F$67)-SUMIF(BALANCE!$A$2:$A$67,"504*",BALANCE!$G$2:$G$67)</f>
        <v/>
      </c>
      <c r="C11" s="13">
        <f>SUMIF(BALANCE_N1!$A$2:$A$67,"504*",BALANCE_N1!$F$2:$F$67)-SUMIF(BALANCE_N1!$A$2:$A$67,"504*",BALANCE_N1!$G$2:$G$67)</f>
        <v/>
      </c>
      <c r="D11" s="13">
        <f>B11-C11</f>
        <v/>
      </c>
      <c r="E11" s="20">
        <f>IF(C11=0,"",(B11-C11)/C11)</f>
        <v/>
      </c>
    </row>
    <row r="12">
      <c r="A12" s="14" t="inlineStr">
        <is>
          <t>Titres négociables hors région</t>
        </is>
      </c>
      <c r="B12" s="15">
        <f>SUMIF(BALANCE!$A$2:$A$67,"505*",BALANCE!$F$2:$F$67)-SUMIF(BALANCE!$A$2:$A$67,"505*",BALANCE!$G$2:$G$67)</f>
        <v/>
      </c>
      <c r="C12" s="15">
        <f>SUMIF(BALANCE_N1!$A$2:$A$67,"505*",BALANCE_N1!$F$2:$F$67)-SUMIF(BALANCE_N1!$A$2:$A$67,"505*",BALANCE_N1!$G$2:$G$67)</f>
        <v/>
      </c>
      <c r="D12" s="15">
        <f>B12-C12</f>
        <v/>
      </c>
      <c r="E12" s="19">
        <f>IF(C12=0,"",(B12-C12)/C12)</f>
        <v/>
      </c>
    </row>
    <row r="13">
      <c r="A13" s="12" t="inlineStr">
        <is>
          <t>Intérêts courus</t>
        </is>
      </c>
      <c r="B13" s="13">
        <f>SUMIF(BALANCE!$A$2:$A$67,"506*",BALANCE!$F$2:$F$67)-SUMIF(BALANCE!$A$2:$A$67,"506*",BALANCE!$G$2:$G$67)</f>
        <v/>
      </c>
      <c r="C13" s="13">
        <f>SUMIF(BALANCE_N1!$A$2:$A$67,"506*",BALANCE_N1!$F$2:$F$67)-SUMIF(BALANCE_N1!$A$2:$A$67,"506*",BALANCE_N1!$G$2:$G$67)</f>
        <v/>
      </c>
      <c r="D13" s="13">
        <f>B13-C13</f>
        <v/>
      </c>
      <c r="E13" s="20">
        <f>IF(C13=0,"",(B13-C13)/C13)</f>
        <v/>
      </c>
    </row>
    <row r="14">
      <c r="A14" s="14" t="inlineStr">
        <is>
          <t>Autres valeurs assimilées</t>
        </is>
      </c>
      <c r="B14" s="15">
        <f>SUMIF(BALANCE!$A$2:$A$67,"508*",BALANCE!$F$2:$F$67)-SUMIF(BALANCE!$A$2:$A$67,"508*",BALANCE!$G$2:$G$67)</f>
        <v/>
      </c>
      <c r="C14" s="15">
        <f>SUMIF(BALANCE_N1!$A$2:$A$67,"508*",BALANCE_N1!$F$2:$F$67)-SUMIF(BALANCE_N1!$A$2:$A$67,"508*",BALANCE_N1!$G$2:$G$67)</f>
        <v/>
      </c>
      <c r="D14" s="15">
        <f>B14-C14</f>
        <v/>
      </c>
      <c r="E14" s="19">
        <f>IF(C14=0,"",(B14-C14)/C14)</f>
        <v/>
      </c>
    </row>
    <row r="15">
      <c r="A15" s="10" t="inlineStr">
        <is>
          <t>TOTAL BRUT</t>
        </is>
      </c>
      <c r="B15" s="11">
        <f>SUM(B8:B14)</f>
        <v/>
      </c>
      <c r="C15" s="11">
        <f>SUM(C8:C14)</f>
        <v/>
      </c>
      <c r="D15" s="11">
        <f>B15-C15</f>
        <v/>
      </c>
      <c r="E15" s="21">
        <f>IF(C15=0,"",(B15-C15)/C15)</f>
        <v/>
      </c>
    </row>
    <row r="16">
      <c r="A16" s="14" t="inlineStr">
        <is>
          <t>Dépréciations des titres de placement</t>
        </is>
      </c>
      <c r="B16" s="15">
        <f>SUMIF(BALANCE!$A$2:$A$67,"590*",BALANCE!$G$2:$G$67)-SUMIF(BALANCE!$A$2:$A$67,"590*",BALANCE!$F$2:$F$67)</f>
        <v/>
      </c>
      <c r="C16" s="15">
        <f>SUMIF(BALANCE_N1!$A$2:$A$67,"590*",BALANCE_N1!$G$2:$G$67)-SUMIF(BALANCE_N1!$A$2:$A$67,"590*",BALANCE_N1!$F$2:$F$67)</f>
        <v/>
      </c>
      <c r="D16" s="15">
        <f>B16-C16</f>
        <v/>
      </c>
      <c r="E16" s="19">
        <f>IF(C16=0,"",(B16-C16)/C16)</f>
        <v/>
      </c>
    </row>
    <row r="17">
      <c r="A17" s="10" t="inlineStr"/>
      <c r="B17" s="11">
        <f>SUM(B16:B16)</f>
        <v/>
      </c>
      <c r="C17" s="11">
        <f>SUM(C16:C16)</f>
        <v/>
      </c>
      <c r="D17" s="11">
        <f>B17-C17</f>
        <v/>
      </c>
      <c r="E17" s="21">
        <f>IF(C17=0,"",(B17-C17)/C17)</f>
        <v/>
      </c>
    </row>
    <row r="18">
      <c r="A18" s="10" t="inlineStr">
        <is>
          <t>TOTAL NET DE DÉPRÉCIATIONS</t>
        </is>
      </c>
      <c r="B18" s="11">
        <f>B15-B17</f>
        <v/>
      </c>
      <c r="C18" s="11">
        <f>C15-C17</f>
        <v/>
      </c>
      <c r="D18" s="11">
        <f>B18-C18</f>
        <v/>
      </c>
      <c r="E18" s="21">
        <f>IF(C18=0,"",(B18-C18)/C18)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12</t>
        </is>
      </c>
    </row>
    <row r="2">
      <c r="A2" s="2" t="inlineStr">
        <is>
          <t>VALEURS À ENCAISSER</t>
        </is>
      </c>
    </row>
    <row r="3"/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Chèques à encaisser</t>
        </is>
      </c>
      <c r="B8" s="15">
        <f>SUMIF(BALANCE!$A$2:$A$67,"513*",BALANCE!$F$2:$F$67)-SUMIF(BALANCE!$A$2:$A$67,"513*",BALANCE!$G$2:$G$67)</f>
        <v/>
      </c>
      <c r="C8" s="15">
        <f>SUMIF(BALANCE_N1!$A$2:$A$67,"513*",BALANCE_N1!$F$2:$F$67)-SUMIF(BALANCE_N1!$A$2:$A$67,"513*",BALANCE_N1!$G$2:$G$67)</f>
        <v/>
      </c>
      <c r="D8" s="15">
        <f>B8-C8</f>
        <v/>
      </c>
      <c r="E8" s="19">
        <f>IF(C8=0,"",(B8-C8)/C8)</f>
        <v/>
      </c>
    </row>
    <row r="9">
      <c r="A9" s="12" t="inlineStr">
        <is>
          <t>Chèques à l'encaissement</t>
        </is>
      </c>
      <c r="B9" s="13">
        <f>SUMIF(BALANCE!$A$2:$A$67,"514*",BALANCE!$F$2:$F$67)-SUMIF(BALANCE!$A$2:$A$67,"514*",BALANCE!$G$2:$G$67)</f>
        <v/>
      </c>
      <c r="C9" s="13">
        <f>SUMIF(BALANCE_N1!$A$2:$A$67,"514*",BALANCE_N1!$F$2:$F$67)-SUMIF(BALANCE_N1!$A$2:$A$67,"514*",BALANCE_N1!$G$2:$G$67)</f>
        <v/>
      </c>
      <c r="D9" s="13">
        <f>B9-C9</f>
        <v/>
      </c>
      <c r="E9" s="20">
        <f>IF(C9=0,"",(B9-C9)/C9)</f>
        <v/>
      </c>
    </row>
    <row r="10">
      <c r="A10" s="14" t="inlineStr">
        <is>
          <t>Cartes de crédit à encaisser</t>
        </is>
      </c>
      <c r="B10" s="15">
        <f>SUMIF(BALANCE!$A$2:$A$67,"515*",BALANCE!$F$2:$F$67)-SUMIF(BALANCE!$A$2:$A$67,"515*",BALANCE!$G$2:$G$67)</f>
        <v/>
      </c>
      <c r="C10" s="15">
        <f>SUMIF(BALANCE_N1!$A$2:$A$67,"515*",BALANCE_N1!$F$2:$F$67)-SUMIF(BALANCE_N1!$A$2:$A$67,"515*",BALANCE_N1!$G$2:$G$67)</f>
        <v/>
      </c>
      <c r="D10" s="15">
        <f>B10-C10</f>
        <v/>
      </c>
      <c r="E10" s="19">
        <f>IF(C10=0,"",(B10-C10)/C10)</f>
        <v/>
      </c>
    </row>
    <row r="11">
      <c r="A11" s="12" t="inlineStr">
        <is>
          <t>Autres valeurs à encaisser</t>
        </is>
      </c>
      <c r="B11" s="13">
        <f>SUMIF(BALANCE!$A$2:$A$67,"518*",BALANCE!$F$2:$F$67)-SUMIF(BALANCE!$A$2:$A$67,"518*",BALANCE!$G$2:$G$67)</f>
        <v/>
      </c>
      <c r="C11" s="13">
        <f>SUMIF(BALANCE_N1!$A$2:$A$67,"518*",BALANCE_N1!$F$2:$F$67)-SUMIF(BALANCE_N1!$A$2:$A$67,"518*",BALANCE_N1!$G$2:$G$67)</f>
        <v/>
      </c>
      <c r="D11" s="13">
        <f>B11-C11</f>
        <v/>
      </c>
      <c r="E11" s="20">
        <f>IF(C11=0,"",(B11-C11)/C11)</f>
        <v/>
      </c>
    </row>
    <row r="12">
      <c r="A12" s="10" t="inlineStr">
        <is>
          <t>TOTAL BRUT</t>
        </is>
      </c>
      <c r="B12" s="11">
        <f>SUM(B8:B11)</f>
        <v/>
      </c>
      <c r="C12" s="11">
        <f>SUM(C8:C11)</f>
        <v/>
      </c>
      <c r="D12" s="11">
        <f>B12-C12</f>
        <v/>
      </c>
      <c r="E12" s="21">
        <f>IF(C12=0,"",(B12-C12)/C12)</f>
        <v/>
      </c>
    </row>
    <row r="13">
      <c r="A13" s="12" t="inlineStr">
        <is>
          <t>Dépréciations des valeurs à encaisser</t>
        </is>
      </c>
      <c r="B13" s="13">
        <f>SUMIF(BALANCE!$A$2:$A$67,"591*",BALANCE!$G$2:$G$67)-SUMIF(BALANCE!$A$2:$A$67,"591*",BALANCE!$F$2:$F$67)</f>
        <v/>
      </c>
      <c r="C13" s="13">
        <f>SUMIF(BALANCE_N1!$A$2:$A$67,"591*",BALANCE_N1!$G$2:$G$67)-SUMIF(BALANCE_N1!$A$2:$A$67,"591*",BALANCE_N1!$F$2:$F$67)</f>
        <v/>
      </c>
      <c r="D13" s="13">
        <f>B13-C13</f>
        <v/>
      </c>
      <c r="E13" s="20">
        <f>IF(C13=0,"",(B13-C13)/C13)</f>
        <v/>
      </c>
    </row>
    <row r="14">
      <c r="A14" s="10" t="inlineStr"/>
      <c r="B14" s="11">
        <f>SUM(B13:B13)</f>
        <v/>
      </c>
      <c r="C14" s="11">
        <f>SUM(C13:C13)</f>
        <v/>
      </c>
      <c r="D14" s="11">
        <f>B14-C14</f>
        <v/>
      </c>
      <c r="E14" s="21">
        <f>IF(C14=0,"",(B14-C14)/C14)</f>
        <v/>
      </c>
    </row>
    <row r="15">
      <c r="A15" s="10" t="inlineStr">
        <is>
          <t>TOTAL NET DE DÉPRÉCIATIONS</t>
        </is>
      </c>
      <c r="B15" s="11">
        <f>B12-B14</f>
        <v/>
      </c>
      <c r="C15" s="11">
        <f>C12-C14</f>
        <v/>
      </c>
      <c r="D15" s="11">
        <f>B15-C15</f>
        <v/>
      </c>
      <c r="E15" s="21">
        <f>IF(C15=0,"",(B15-C15)/C15)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13</t>
        </is>
      </c>
    </row>
    <row r="2">
      <c r="A2" s="2" t="inlineStr">
        <is>
          <t>DISPONIBILITÉS</t>
        </is>
      </c>
    </row>
    <row r="3"/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Banques locales</t>
        </is>
      </c>
      <c r="B8" s="15">
        <f>SUMIF(BALANCE!$A$2:$A$67,"521*",BALANCE!$F$2:$F$67)</f>
        <v/>
      </c>
      <c r="C8" s="15">
        <f>SUMIF(BALANCE_N1!$A$2:$A$67,"521*",BALANCE_N1!$F$2:$F$67)</f>
        <v/>
      </c>
      <c r="D8" s="15">
        <f>B8-C8</f>
        <v/>
      </c>
      <c r="E8" s="19">
        <f>IF(C8=0,"",(B8-C8)/C8)</f>
        <v/>
      </c>
    </row>
    <row r="9">
      <c r="A9" s="12" t="inlineStr">
        <is>
          <t>Banques autres États région</t>
        </is>
      </c>
      <c r="B9" s="13">
        <f>SUMIF(BALANCE!$A$2:$A$67,"522*",BALANCE!$F$2:$F$67)</f>
        <v/>
      </c>
      <c r="C9" s="13">
        <f>SUMIF(BALANCE_N1!$A$2:$A$67,"522*",BALANCE_N1!$F$2:$F$67)</f>
        <v/>
      </c>
      <c r="D9" s="13">
        <f>B9-C9</f>
        <v/>
      </c>
      <c r="E9" s="20">
        <f>IF(C9=0,"",(B9-C9)/C9)</f>
        <v/>
      </c>
    </row>
    <row r="10">
      <c r="A10" s="14" t="inlineStr">
        <is>
          <t>Banques, dépôt à terme et assimilés</t>
        </is>
      </c>
      <c r="B10" s="15">
        <f>SUMIF(BALANCE!$A$2:$A$67,"525*",BALANCE!$F$2:$F$67)</f>
        <v/>
      </c>
      <c r="C10" s="15">
        <f>SUMIF(BALANCE_N1!$A$2:$A$67,"525*",BALANCE_N1!$F$2:$F$67)</f>
        <v/>
      </c>
      <c r="D10" s="15">
        <f>B10-C10</f>
        <v/>
      </c>
      <c r="E10" s="19">
        <f>IF(C10=0,"",(B10-C10)/C10)</f>
        <v/>
      </c>
    </row>
    <row r="11">
      <c r="A11" s="12" t="inlineStr">
        <is>
          <t>Autres banques</t>
        </is>
      </c>
      <c r="B11" s="13">
        <f>SUMIF(BALANCE!$A$2:$A$67,"524*",BALANCE!$F$2:$F$67)+SUMIF(BALANCE!$A$2:$A$67,"523*",BALANCE!$F$2:$F$67)</f>
        <v/>
      </c>
      <c r="C11" s="13">
        <f>SUMIF(BALANCE_N1!$A$2:$A$67,"524*",BALANCE_N1!$F$2:$F$67)+SUMIF(BALANCE_N1!$A$2:$A$67,"523*",BALANCE_N1!$F$2:$F$67)</f>
        <v/>
      </c>
      <c r="D11" s="13">
        <f>B11-C11</f>
        <v/>
      </c>
      <c r="E11" s="20">
        <f>IF(C11=0,"",(B11-C11)/C11)</f>
        <v/>
      </c>
    </row>
    <row r="12">
      <c r="A12" s="14" t="inlineStr">
        <is>
          <t>Banques intérêts courus</t>
        </is>
      </c>
      <c r="B12" s="15">
        <f>SUMIF(BALANCE!$A$2:$A$67,"526*",BALANCE!$F$2:$F$67)-SUMIF(BALANCE!$A$2:$A$67,"526*",BALANCE!$G$2:$G$67)</f>
        <v/>
      </c>
      <c r="C12" s="15">
        <f>SUMIF(BALANCE_N1!$A$2:$A$67,"526*",BALANCE_N1!$F$2:$F$67)-SUMIF(BALANCE_N1!$A$2:$A$67,"526*",BALANCE_N1!$G$2:$G$67)</f>
        <v/>
      </c>
      <c r="D12" s="15">
        <f>B12-C12</f>
        <v/>
      </c>
      <c r="E12" s="19">
        <f>IF(C12=0,"",(B12-C12)/C12)</f>
        <v/>
      </c>
    </row>
    <row r="13">
      <c r="A13" s="12" t="inlineStr">
        <is>
          <t>Banques postales</t>
        </is>
      </c>
      <c r="B13" s="13">
        <f>SUMIF(BALANCE!$A$2:$A$67,"531*",BALANCE!$F$2:$F$67)</f>
        <v/>
      </c>
      <c r="C13" s="13">
        <f>SUMIF(BALANCE_N1!$A$2:$A$67,"531*",BALANCE_N1!$F$2:$F$67)</f>
        <v/>
      </c>
      <c r="D13" s="13">
        <f>B13-C13</f>
        <v/>
      </c>
      <c r="E13" s="20">
        <f>IF(C13=0,"",(B13-C13)/C13)</f>
        <v/>
      </c>
    </row>
    <row r="14">
      <c r="A14" s="14" t="inlineStr">
        <is>
          <t>Autres établissements financiers</t>
        </is>
      </c>
      <c r="B14" s="15">
        <f>SUMIF(BALANCE!$A$2:$A$67,"538*",BALANCE!$F$2:$F$67)+SUMIF(BALANCE!$A$2:$A$67,"532*",BALANCE!$F$2:$F$67)+SUMIF(BALANCE!$A$2:$A$67,"533*",BALANCE!$F$2:$F$67)</f>
        <v/>
      </c>
      <c r="C14" s="15">
        <f>SUMIF(BALANCE_N1!$A$2:$A$67,"538*",BALANCE_N1!$F$2:$F$67)+SUMIF(BALANCE_N1!$A$2:$A$67,"532*",BALANCE_N1!$F$2:$F$67)+SUMIF(BALANCE_N1!$A$2:$A$67,"533*",BALANCE_N1!$F$2:$F$67)</f>
        <v/>
      </c>
      <c r="D14" s="15">
        <f>B14-C14</f>
        <v/>
      </c>
      <c r="E14" s="19">
        <f>IF(C14=0,"",(B14-C14)/C14)</f>
        <v/>
      </c>
    </row>
    <row r="15">
      <c r="A15" s="12" t="inlineStr">
        <is>
          <t>Établissements financiers intérêts courus</t>
        </is>
      </c>
      <c r="B15" s="13">
        <f>SUMIF(BALANCE!$A$2:$A$67,"536*",BALANCE!$F$2:$F$67)-SUMIF(BALANCE!$A$2:$A$67,"536*",BALANCE!$G$2:$G$67)</f>
        <v/>
      </c>
      <c r="C15" s="13">
        <f>SUMIF(BALANCE_N1!$A$2:$A$67,"536*",BALANCE_N1!$F$2:$F$67)-SUMIF(BALANCE_N1!$A$2:$A$67,"536*",BALANCE_N1!$G$2:$G$67)</f>
        <v/>
      </c>
      <c r="D15" s="13">
        <f>B15-C15</f>
        <v/>
      </c>
      <c r="E15" s="20">
        <f>IF(C15=0,"",(B15-C15)/C15)</f>
        <v/>
      </c>
    </row>
    <row r="16">
      <c r="A16" s="14" t="inlineStr">
        <is>
          <t>Instruments de monnaie électronique</t>
        </is>
      </c>
      <c r="B16" s="15">
        <f>SUMIF(BALANCE!$A$2:$A$67,"55*",BALANCE!$F$2:$F$67)-SUMIF(BALANCE!$A$2:$A$67,"55*",BALANCE!$G$2:$G$67)</f>
        <v/>
      </c>
      <c r="C16" s="15">
        <f>SUMIF(BALANCE_N1!$A$2:$A$67,"55*",BALANCE_N1!$F$2:$F$67)-SUMIF(BALANCE_N1!$A$2:$A$67,"55*",BALANCE_N1!$G$2:$G$67)</f>
        <v/>
      </c>
      <c r="D16" s="15">
        <f>B16-C16</f>
        <v/>
      </c>
      <c r="E16" s="19">
        <f>IF(C16=0,"",(B16-C16)/C16)</f>
        <v/>
      </c>
    </row>
    <row r="17">
      <c r="A17" s="12" t="inlineStr">
        <is>
          <t>Caisse</t>
        </is>
      </c>
      <c r="B17" s="13">
        <f>SUMIF(BALANCE!$A$2:$A$67,"57*",BALANCE!$F$2:$F$67)-SUMIF(BALANCE!$A$2:$A$67,"57*",BALANCE!$G$2:$G$67)</f>
        <v/>
      </c>
      <c r="C17" s="13">
        <f>SUMIF(BALANCE_N1!$A$2:$A$67,"57*",BALANCE_N1!$F$2:$F$67)-SUMIF(BALANCE_N1!$A$2:$A$67,"57*",BALANCE_N1!$G$2:$G$67)</f>
        <v/>
      </c>
      <c r="D17" s="13">
        <f>B17-C17</f>
        <v/>
      </c>
      <c r="E17" s="20">
        <f>IF(C17=0,"",(B17-C17)/C17)</f>
        <v/>
      </c>
    </row>
    <row r="18">
      <c r="A18" s="10" t="inlineStr">
        <is>
          <t>TOTAL BRUT</t>
        </is>
      </c>
      <c r="B18" s="11">
        <f>SUM(B8:B17)</f>
        <v/>
      </c>
      <c r="C18" s="11">
        <f>SUM(C8:C17)</f>
        <v/>
      </c>
      <c r="D18" s="11">
        <f>B18-C18</f>
        <v/>
      </c>
      <c r="E18" s="21">
        <f>IF(C18=0,"",(B18-C18)/C18)</f>
        <v/>
      </c>
    </row>
    <row r="19">
      <c r="A19" s="12" t="inlineStr">
        <is>
          <t>Dépréciations</t>
        </is>
      </c>
      <c r="B19" s="13">
        <f>SUMIF(BALANCE!$A$2:$A$67,"592*",BALANCE!$G$2:$G$67)-SUMIF(BALANCE!$A$2:$A$67,"592*",BALANCE!$F$2:$F$67)+SUMIF(BALANCE!$A$2:$A$67,"595*",BALANCE!$G$2:$G$67)-SUMIF(BALANCE!$A$2:$A$67,"595*",BALANCE!$F$2:$F$67)+SUMIF(BALANCE!$A$2:$A$67,"593*",BALANCE!$G$2:$G$67)-SUMIF(BALANCE!$A$2:$A$67,"593*",BALANCE!$F$2:$F$67)</f>
        <v/>
      </c>
      <c r="C19" s="13">
        <f>SUMIF(BALANCE_N1!$A$2:$A$67,"592*",BALANCE_N1!$G$2:$G$67)-SUMIF(BALANCE_N1!$A$2:$A$67,"592*",BALANCE_N1!$F$2:$F$67)+SUMIF(BALANCE_N1!$A$2:$A$67,"595*",BALANCE_N1!$G$2:$G$67)-SUMIF(BALANCE_N1!$A$2:$A$67,"595*",BALANCE_N1!$F$2:$F$67)+SUMIF(BALANCE_N1!$A$2:$A$67,"593*",BALANCE_N1!$G$2:$G$67)-SUMIF(BALANCE_N1!$A$2:$A$67,"593*",BALANCE_N1!$F$2:$F$67)</f>
        <v/>
      </c>
      <c r="D19" s="13">
        <f>B19-C19</f>
        <v/>
      </c>
      <c r="E19" s="20">
        <f>IF(C19=0,"",(B19-C19)/C19)</f>
        <v/>
      </c>
    </row>
    <row r="20">
      <c r="A20" s="10" t="inlineStr"/>
      <c r="B20" s="11">
        <f>SUM(B19:B19)</f>
        <v/>
      </c>
      <c r="C20" s="11">
        <f>SUM(C19:C19)</f>
        <v/>
      </c>
      <c r="D20" s="11">
        <f>B20-C20</f>
        <v/>
      </c>
      <c r="E20" s="21">
        <f>IF(C20=0,"",(B20-C20)/C20)</f>
        <v/>
      </c>
    </row>
    <row r="21">
      <c r="A21" s="10" t="inlineStr">
        <is>
          <t>TOTAL NET DE DÉPRÉCIATIONS</t>
        </is>
      </c>
      <c r="B21" s="11">
        <f>B18-B20</f>
        <v/>
      </c>
      <c r="C21" s="11">
        <f>C18-C20</f>
        <v/>
      </c>
      <c r="D21" s="11">
        <f>B21-C21</f>
        <v/>
      </c>
      <c r="E21" s="21">
        <f>IF(C21=0,"",(B21-C21)/C21)</f>
        <v/>
      </c>
    </row>
    <row r="22"/>
    <row r="23">
      <c r="A23" s="3" t="inlineStr">
        <is>
          <t>Commentaires :</t>
        </is>
      </c>
    </row>
    <row r="24">
      <c r="A24" s="5" t="inlineStr">
        <is>
          <t>• Indiquer la date de rapprochement des comptes bancaires et la date d'inventaire de la caisse et des instruments de monnaie électronique. NB : les intérêts courus figurent ici en négatif si le compte principal attaché est débiteur.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14</t>
        </is>
      </c>
    </row>
    <row r="2">
      <c r="A2" s="2" t="inlineStr">
        <is>
          <t>ÉCARTS DE CONVERSION</t>
        </is>
      </c>
    </row>
    <row r="3"/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Écarts de conversion-actif (détailler créances et dettes concernées)</t>
        </is>
      </c>
      <c r="B8" s="15">
        <f>SUMIF(BALANCE!$A$2:$A$67,"478*",BALANCE!$F$2:$F$67)-SUMIF(BALANCE!$A$2:$A$67,"478*",BALANCE!$G$2:$G$67)</f>
        <v/>
      </c>
      <c r="C8" s="15">
        <f>SUMIF(BALANCE_N1!$A$2:$A$67,"478*",BALANCE_N1!$F$2:$F$67)-SUMIF(BALANCE_N1!$A$2:$A$67,"478*",BALANCE_N1!$G$2:$G$67)</f>
        <v/>
      </c>
      <c r="D8" s="15">
        <f>B8-C8</f>
        <v/>
      </c>
      <c r="E8" s="19">
        <f>IF(C8=0,"",(B8-C8)/C8)</f>
        <v/>
      </c>
    </row>
    <row r="9">
      <c r="A9" s="12" t="inlineStr">
        <is>
          <t>…</t>
        </is>
      </c>
      <c r="B9" s="13" t="n"/>
      <c r="C9" s="13" t="n"/>
      <c r="D9" s="13" t="n"/>
      <c r="E9" s="12" t="n"/>
    </row>
    <row r="10">
      <c r="A10" s="14" t="inlineStr">
        <is>
          <t>Écart de conversion-passif (détailler créances et dettes concernées)</t>
        </is>
      </c>
      <c r="B10" s="15">
        <f>SUMIF(BALANCE!$A$2:$A$67,"479*",BALANCE!$G$2:$G$67)-SUMIF(BALANCE!$A$2:$A$67,"479*",BALANCE!$F$2:$F$67)</f>
        <v/>
      </c>
      <c r="C10" s="15">
        <f>SUMIF(BALANCE_N1!$A$2:$A$67,"479*",BALANCE_N1!$G$2:$G$67)-SUMIF(BALANCE_N1!$A$2:$A$67,"479*",BALANCE_N1!$F$2:$F$67)</f>
        <v/>
      </c>
      <c r="D10" s="15">
        <f>B10-C10</f>
        <v/>
      </c>
      <c r="E10" s="19">
        <f>IF(C10=0,"",(B10-C10)/C10)</f>
        <v/>
      </c>
    </row>
    <row r="11">
      <c r="A11" s="12" t="inlineStr">
        <is>
          <t>…</t>
        </is>
      </c>
      <c r="B11" s="13" t="n"/>
      <c r="C11" s="13" t="n"/>
      <c r="D11" s="13" t="n"/>
      <c r="E11" s="12" t="n"/>
    </row>
    <row r="12"/>
    <row r="13">
      <c r="A13" s="3" t="inlineStr">
        <is>
          <t>Commentaires :</t>
        </is>
      </c>
    </row>
    <row r="14">
      <c r="A14" s="5" t="inlineStr">
        <is>
          <t>• Détailler par devise : montant en devises, cours UML à l'année d'acquisition, cours UML au 31/12.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15</t>
        </is>
      </c>
    </row>
    <row r="2">
      <c r="A2" s="2" t="inlineStr">
        <is>
          <t>DOTATION</t>
        </is>
      </c>
    </row>
    <row r="3"/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Dotation non consomptible (sans et avec droit de reprise)</t>
        </is>
      </c>
      <c r="B8" s="15">
        <f>SUMIF(BALANCE!$A$2:$A$67,"101*",BALANCE!$G$2:$G$67)-SUMIF(BALANCE!$A$2:$A$67,"101*",BALANCE!$F$2:$F$67)+SUMIF(BALANCE!$A$2:$A$67,"102*",BALANCE!$G$2:$G$67)-SUMIF(BALANCE!$A$2:$A$67,"102*",BALANCE!$F$2:$F$67)</f>
        <v/>
      </c>
      <c r="C8" s="15">
        <f>SUMIF(BALANCE_N1!$A$2:$A$67,"101*",BALANCE_N1!$G$2:$G$67)-SUMIF(BALANCE_N1!$A$2:$A$67,"101*",BALANCE_N1!$F$2:$F$67)+SUMIF(BALANCE_N1!$A$2:$A$67,"102*",BALANCE_N1!$G$2:$G$67)-SUMIF(BALANCE_N1!$A$2:$A$67,"102*",BALANCE_N1!$F$2:$F$67)</f>
        <v/>
      </c>
      <c r="D8" s="15">
        <f>B8-C8</f>
        <v/>
      </c>
      <c r="E8" s="19">
        <f>IF(C8=0,"",(B8-C8)/C8)</f>
        <v/>
      </c>
    </row>
    <row r="9">
      <c r="A9" s="12" t="inlineStr">
        <is>
          <t>Droit d'entrée</t>
        </is>
      </c>
      <c r="B9" s="13">
        <f>SUMIF(BALANCE!$A$2:$A$67,"103*",BALANCE!$G$2:$G$67)-SUMIF(BALANCE!$A$2:$A$67,"103*",BALANCE!$F$2:$F$67)</f>
        <v/>
      </c>
      <c r="C9" s="13">
        <f>SUMIF(BALANCE_N1!$A$2:$A$67,"103*",BALANCE_N1!$G$2:$G$67)-SUMIF(BALANCE_N1!$A$2:$A$67,"103*",BALANCE_N1!$F$2:$F$67)</f>
        <v/>
      </c>
      <c r="D9" s="13">
        <f>B9-C9</f>
        <v/>
      </c>
      <c r="E9" s="20">
        <f>IF(C9=0,"",(B9-C9)/C9)</f>
        <v/>
      </c>
    </row>
    <row r="10">
      <c r="A10" s="14" t="inlineStr">
        <is>
          <t>Dotation consomptible</t>
        </is>
      </c>
      <c r="B10" s="15">
        <f>SUMIF(BALANCE!$A$2:$A$67,"104*",BALANCE!$G$2:$G$67)-SUMIF(BALANCE!$A$2:$A$67,"104*",BALANCE!$F$2:$F$67)</f>
        <v/>
      </c>
      <c r="C10" s="15">
        <f>SUMIF(BALANCE_N1!$A$2:$A$67,"104*",BALANCE_N1!$G$2:$G$67)-SUMIF(BALANCE_N1!$A$2:$A$67,"104*",BALANCE_N1!$F$2:$F$67)</f>
        <v/>
      </c>
      <c r="D10" s="15">
        <f>B10-C10</f>
        <v/>
      </c>
      <c r="E10" s="19">
        <f>IF(C10=0,"",(B10-C10)/C10)</f>
        <v/>
      </c>
    </row>
    <row r="11">
      <c r="A11" s="10" t="inlineStr">
        <is>
          <t>TOTAL</t>
        </is>
      </c>
      <c r="B11" s="11">
        <f>SUM(B8:B10)</f>
        <v/>
      </c>
      <c r="C11" s="11">
        <f>SUM(C8:C10)</f>
        <v/>
      </c>
      <c r="D11" s="11">
        <f>B11-C11</f>
        <v/>
      </c>
      <c r="E11" s="21">
        <f>IF(C11=0,"",(B11-C11)/C11)</f>
        <v/>
      </c>
    </row>
    <row r="12">
      <c r="A12" s="14" t="n"/>
      <c r="B12" s="15" t="n"/>
      <c r="C12" s="15" t="n"/>
      <c r="D12" s="15" t="n"/>
      <c r="E12" s="14" t="n"/>
    </row>
    <row r="13">
      <c r="A13" s="12" t="inlineStr">
        <is>
          <t>Détail par membre : Nom et prénoms | Nationalité | Montant | Avec ou sans droit de reprise</t>
        </is>
      </c>
      <c r="B13" s="13" t="n"/>
      <c r="C13" s="13" t="n"/>
      <c r="D13" s="13" t="n"/>
      <c r="E13" s="12" t="n"/>
    </row>
    <row r="14">
      <c r="A14" s="14" t="inlineStr">
        <is>
          <t>…</t>
        </is>
      </c>
      <c r="B14" s="15" t="n"/>
      <c r="C14" s="15" t="n"/>
      <c r="D14" s="15" t="n"/>
      <c r="E14" s="14" t="n"/>
    </row>
    <row r="15">
      <c r="A15" s="12" t="inlineStr">
        <is>
          <t>…</t>
        </is>
      </c>
      <c r="B15" s="13" t="n"/>
      <c r="C15" s="13" t="n"/>
      <c r="D15" s="13" t="n"/>
      <c r="E15" s="12" t="n"/>
    </row>
    <row r="16">
      <c r="A16" s="14" t="inlineStr">
        <is>
          <t>…</t>
        </is>
      </c>
      <c r="B16" s="15" t="n"/>
      <c r="C16" s="15" t="n"/>
      <c r="D16" s="15" t="n"/>
      <c r="E16" s="14" t="n"/>
    </row>
  </sheetData>
  <mergeCells count="2">
    <mergeCell ref="A2:E2"/>
    <mergeCell ref="A1:E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16</t>
        </is>
      </c>
    </row>
    <row r="2">
      <c r="A2" s="2" t="inlineStr">
        <is>
          <t>RÉSERVES</t>
        </is>
      </c>
    </row>
    <row r="3"/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Réserves statutaires ou contractuelles</t>
        </is>
      </c>
      <c r="B8" s="15">
        <f>SUMIF(BALANCE!$A$2:$A$67,"112*",BALANCE!$G$2:$G$67)-SUMIF(BALANCE!$A$2:$A$67,"112*",BALANCE!$F$2:$F$67)</f>
        <v/>
      </c>
      <c r="C8" s="15">
        <f>SUMIF(BALANCE_N1!$A$2:$A$67,"112*",BALANCE_N1!$G$2:$G$67)-SUMIF(BALANCE_N1!$A$2:$A$67,"112*",BALANCE_N1!$F$2:$F$67)</f>
        <v/>
      </c>
      <c r="D8" s="15">
        <f>B8-C8</f>
        <v/>
      </c>
      <c r="E8" s="19">
        <f>IF(C8=0,"",(B8-C8)/C8)</f>
        <v/>
      </c>
    </row>
    <row r="9">
      <c r="A9" s="12" t="inlineStr">
        <is>
          <t>Autres réserves</t>
        </is>
      </c>
      <c r="B9" s="13">
        <f>SUMIF(BALANCE!$A$2:$A$67,"118*",BALANCE!$G$2:$G$67)-SUMIF(BALANCE!$A$2:$A$67,"118*",BALANCE!$F$2:$F$67)</f>
        <v/>
      </c>
      <c r="C9" s="13">
        <f>SUMIF(BALANCE_N1!$A$2:$A$67,"118*",BALANCE_N1!$G$2:$G$67)-SUMIF(BALANCE_N1!$A$2:$A$67,"118*",BALANCE_N1!$F$2:$F$67)</f>
        <v/>
      </c>
      <c r="D9" s="13">
        <f>B9-C9</f>
        <v/>
      </c>
      <c r="E9" s="20">
        <f>IF(C9=0,"",(B9-C9)/C9)</f>
        <v/>
      </c>
    </row>
    <row r="10">
      <c r="A10" s="10" t="inlineStr">
        <is>
          <t>TOTAL RÉSERVES</t>
        </is>
      </c>
      <c r="B10" s="11">
        <f>SUM(B8:B9)</f>
        <v/>
      </c>
      <c r="C10" s="11">
        <f>SUM(C8:C9)</f>
        <v/>
      </c>
      <c r="D10" s="11">
        <f>B10-C10</f>
        <v/>
      </c>
      <c r="E10" s="21">
        <f>IF(C10=0,"",(B10-C10)/C10)</f>
        <v/>
      </c>
    </row>
    <row r="11">
      <c r="A11" s="12" t="inlineStr">
        <is>
          <t>Report à nouveau (+ ou -)</t>
        </is>
      </c>
      <c r="B11" s="13">
        <f>SUMIF(BALANCE!$A$2:$A$67,"12*",BALANCE!$G$2:$G$67)-SUMIF(BALANCE!$A$2:$A$67,"12*",BALANCE!$F$2:$F$67)</f>
        <v/>
      </c>
      <c r="C11" s="13">
        <f>SUMIF(BALANCE_N1!$A$2:$A$67,"12*",BALANCE_N1!$G$2:$G$67)-SUMIF(BALANCE_N1!$A$2:$A$67,"12*",BALANCE_N1!$F$2:$F$67)</f>
        <v/>
      </c>
      <c r="D11" s="13">
        <f>B11-C11</f>
        <v/>
      </c>
      <c r="E11" s="20">
        <f>IF(C11=0,"",(B11-C11)/C11)</f>
        <v/>
      </c>
    </row>
    <row r="12"/>
    <row r="13">
      <c r="A13" s="3" t="inlineStr">
        <is>
          <t>Commentaires :</t>
        </is>
      </c>
    </row>
    <row r="14">
      <c r="A14" s="5" t="inlineStr">
        <is>
          <t>• Indiquer la date des délibérations ou dispositions statutaires justifiant la variation des réserves et du report à nouveau.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17A</t>
        </is>
      </c>
    </row>
    <row r="2">
      <c r="A2" s="2" t="inlineStr">
        <is>
          <t>SUBVENTIONS ET PROVISIONS RÉGLEMENTÉES</t>
        </is>
      </c>
    </row>
    <row r="3"/>
    <row r="4">
      <c r="A4" s="3" t="inlineStr">
        <is>
          <t>Désignation entité : ASSOCIATION ESPOIR</t>
        </is>
      </c>
      <c r="F4" s="3" t="inlineStr">
        <is>
          <t>Exercice clos le : 31/12/2025</t>
        </is>
      </c>
    </row>
    <row r="5">
      <c r="A5" t="inlineStr">
        <is>
          <t>Numéro d'identification : F.92/12.345</t>
        </is>
      </c>
      <c r="F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  <c r="F7" s="9" t="inlineStr">
        <is>
          <t>Régime fiscal</t>
        </is>
      </c>
      <c r="G7" s="9" t="inlineStr">
        <is>
          <t>Échéances</t>
        </is>
      </c>
    </row>
    <row r="8">
      <c r="A8" s="14" t="inlineStr">
        <is>
          <t>État</t>
        </is>
      </c>
      <c r="B8" s="15">
        <f>SUMIF(BALANCE!$A$2:$A$67,"1411*",BALANCE!$G$2:$G$67)-SUMIF(BALANCE!$A$2:$A$67,"1411*",BALANCE!$F$2:$F$67)</f>
        <v/>
      </c>
      <c r="C8" s="15">
        <f>SUMIF(BALANCE_N1!$A$2:$A$67,"1411*",BALANCE_N1!$G$2:$G$67)-SUMIF(BALANCE_N1!$A$2:$A$67,"1411*",BALANCE_N1!$F$2:$F$67)</f>
        <v/>
      </c>
      <c r="D8" s="15">
        <f>B8-C8</f>
        <v/>
      </c>
      <c r="E8" s="19">
        <f>IF(C8=0,"",(B8-C8)/C8)</f>
        <v/>
      </c>
      <c r="F8" s="14" t="n"/>
      <c r="G8" s="14" t="n"/>
    </row>
    <row r="9">
      <c r="A9" s="12" t="inlineStr">
        <is>
          <t>Régions</t>
        </is>
      </c>
      <c r="B9" s="13">
        <f>SUMIF(BALANCE!$A$2:$A$67,"1412*",BALANCE!$G$2:$G$67)-SUMIF(BALANCE!$A$2:$A$67,"1412*",BALANCE!$F$2:$F$67)</f>
        <v/>
      </c>
      <c r="C9" s="13">
        <f>SUMIF(BALANCE_N1!$A$2:$A$67,"1412*",BALANCE_N1!$G$2:$G$67)-SUMIF(BALANCE_N1!$A$2:$A$67,"1412*",BALANCE_N1!$F$2:$F$67)</f>
        <v/>
      </c>
      <c r="D9" s="13">
        <f>B9-C9</f>
        <v/>
      </c>
      <c r="E9" s="20">
        <f>IF(C9=0,"",(B9-C9)/C9)</f>
        <v/>
      </c>
      <c r="F9" s="12" t="n"/>
      <c r="G9" s="12" t="n"/>
    </row>
    <row r="10">
      <c r="A10" s="14" t="inlineStr">
        <is>
          <t>Départements</t>
        </is>
      </c>
      <c r="B10" s="15">
        <f>SUMIF(BALANCE!$A$2:$A$67,"1413*",BALANCE!$G$2:$G$67)-SUMIF(BALANCE!$A$2:$A$67,"1413*",BALANCE!$F$2:$F$67)</f>
        <v/>
      </c>
      <c r="C10" s="15">
        <f>SUMIF(BALANCE_N1!$A$2:$A$67,"1413*",BALANCE_N1!$G$2:$G$67)-SUMIF(BALANCE_N1!$A$2:$A$67,"1413*",BALANCE_N1!$F$2:$F$67)</f>
        <v/>
      </c>
      <c r="D10" s="15">
        <f>B10-C10</f>
        <v/>
      </c>
      <c r="E10" s="19">
        <f>IF(C10=0,"",(B10-C10)/C10)</f>
        <v/>
      </c>
      <c r="F10" s="14" t="n"/>
      <c r="G10" s="14" t="n"/>
    </row>
    <row r="11">
      <c r="A11" s="12" t="inlineStr">
        <is>
          <t>Communes et collectivités publiques décentralisées</t>
        </is>
      </c>
      <c r="B11" s="13">
        <f>SUMIF(BALANCE!$A$2:$A$67,"1414*",BALANCE!$G$2:$G$67)-SUMIF(BALANCE!$A$2:$A$67,"1414*",BALANCE!$F$2:$F$67)</f>
        <v/>
      </c>
      <c r="C11" s="13">
        <f>SUMIF(BALANCE_N1!$A$2:$A$67,"1414*",BALANCE_N1!$G$2:$G$67)-SUMIF(BALANCE_N1!$A$2:$A$67,"1414*",BALANCE_N1!$F$2:$F$67)</f>
        <v/>
      </c>
      <c r="D11" s="13">
        <f>B11-C11</f>
        <v/>
      </c>
      <c r="E11" s="20">
        <f>IF(C11=0,"",(B11-C11)/C11)</f>
        <v/>
      </c>
      <c r="F11" s="12" t="n"/>
      <c r="G11" s="12" t="n"/>
    </row>
    <row r="12">
      <c r="A12" s="14" t="inlineStr">
        <is>
          <t>Entités publiques ou mixtes</t>
        </is>
      </c>
      <c r="B12" s="15">
        <f>SUMIF(BALANCE!$A$2:$A$67,"1415*",BALANCE!$G$2:$G$67)-SUMIF(BALANCE!$A$2:$A$67,"1415*",BALANCE!$F$2:$F$67)</f>
        <v/>
      </c>
      <c r="C12" s="15">
        <f>SUMIF(BALANCE_N1!$A$2:$A$67,"1415*",BALANCE_N1!$G$2:$G$67)-SUMIF(BALANCE_N1!$A$2:$A$67,"1415*",BALANCE_N1!$F$2:$F$67)</f>
        <v/>
      </c>
      <c r="D12" s="15">
        <f>B12-C12</f>
        <v/>
      </c>
      <c r="E12" s="19">
        <f>IF(C12=0,"",(B12-C12)/C12)</f>
        <v/>
      </c>
      <c r="F12" s="14" t="n"/>
      <c r="G12" s="14" t="n"/>
    </row>
    <row r="13">
      <c r="A13" s="12" t="inlineStr">
        <is>
          <t>Entités et organismes privés</t>
        </is>
      </c>
      <c r="B13" s="13">
        <f>SUMIF(BALANCE!$A$2:$A$67,"1416*",BALANCE!$G$2:$G$67)-SUMIF(BALANCE!$A$2:$A$67,"1416*",BALANCE!$F$2:$F$67)</f>
        <v/>
      </c>
      <c r="C13" s="13">
        <f>SUMIF(BALANCE_N1!$A$2:$A$67,"1416*",BALANCE_N1!$G$2:$G$67)-SUMIF(BALANCE_N1!$A$2:$A$67,"1416*",BALANCE_N1!$F$2:$F$67)</f>
        <v/>
      </c>
      <c r="D13" s="13">
        <f>B13-C13</f>
        <v/>
      </c>
      <c r="E13" s="20">
        <f>IF(C13=0,"",(B13-C13)/C13)</f>
        <v/>
      </c>
      <c r="F13" s="12" t="n"/>
      <c r="G13" s="12" t="n"/>
    </row>
    <row r="14">
      <c r="A14" s="14" t="inlineStr">
        <is>
          <t>Organismes internationaux</t>
        </is>
      </c>
      <c r="B14" s="15">
        <f>SUMIF(BALANCE!$A$2:$A$67,"1417*",BALANCE!$G$2:$G$67)-SUMIF(BALANCE!$A$2:$A$67,"1417*",BALANCE!$F$2:$F$67)</f>
        <v/>
      </c>
      <c r="C14" s="15">
        <f>SUMIF(BALANCE_N1!$A$2:$A$67,"1417*",BALANCE_N1!$G$2:$G$67)-SUMIF(BALANCE_N1!$A$2:$A$67,"1417*",BALANCE_N1!$F$2:$F$67)</f>
        <v/>
      </c>
      <c r="D14" s="15">
        <f>B14-C14</f>
        <v/>
      </c>
      <c r="E14" s="19">
        <f>IF(C14=0,"",(B14-C14)/C14)</f>
        <v/>
      </c>
      <c r="F14" s="14" t="n"/>
      <c r="G14" s="14" t="n"/>
    </row>
    <row r="15">
      <c r="A15" s="12" t="inlineStr">
        <is>
          <t>Autres subventions d'investissement</t>
        </is>
      </c>
      <c r="B15" s="13">
        <f>SUMIF(BALANCE!$A$2:$A$67,"148*",BALANCE!$G$2:$G$67)-SUMIF(BALANCE!$A$2:$A$67,"148*",BALANCE!$F$2:$F$67)+SUMIF(BALANCE!$A$2:$A$67,"1418*",BALANCE!$G$2:$G$67)-SUMIF(BALANCE!$A$2:$A$67,"1418*",BALANCE!$F$2:$F$67)</f>
        <v/>
      </c>
      <c r="C15" s="13">
        <f>SUMIF(BALANCE_N1!$A$2:$A$67,"148*",BALANCE_N1!$G$2:$G$67)-SUMIF(BALANCE_N1!$A$2:$A$67,"148*",BALANCE_N1!$F$2:$F$67)+SUMIF(BALANCE_N1!$A$2:$A$67,"1418*",BALANCE_N1!$G$2:$G$67)-SUMIF(BALANCE_N1!$A$2:$A$67,"1418*",BALANCE_N1!$F$2:$F$67)</f>
        <v/>
      </c>
      <c r="D15" s="13">
        <f>B15-C15</f>
        <v/>
      </c>
      <c r="E15" s="20">
        <f>IF(C15=0,"",(B15-C15)/C15)</f>
        <v/>
      </c>
      <c r="F15" s="12" t="n"/>
      <c r="G15" s="12" t="n"/>
    </row>
    <row r="16">
      <c r="A16" s="10" t="inlineStr">
        <is>
          <t>TOTAL SUBVENTIONS</t>
        </is>
      </c>
      <c r="B16" s="11">
        <f>SUM(B8:B15)</f>
        <v/>
      </c>
      <c r="C16" s="11">
        <f>SUM(C8:C15)</f>
        <v/>
      </c>
      <c r="D16" s="11">
        <f>B16-C16</f>
        <v/>
      </c>
      <c r="E16" s="21">
        <f>IF(C16=0,"",(B16-C16)/C16)</f>
        <v/>
      </c>
      <c r="F16" s="11" t="n"/>
      <c r="G16" s="11" t="n"/>
    </row>
    <row r="17">
      <c r="A17" s="12" t="inlineStr">
        <is>
          <t>Provisions réglementées</t>
        </is>
      </c>
      <c r="B17" s="13">
        <f>SUMIF(BALANCE!$A$2:$A$67,"15*",BALANCE!$G$2:$G$67)-SUMIF(BALANCE!$A$2:$A$67,"15*",BALANCE!$F$2:$F$67)</f>
        <v/>
      </c>
      <c r="C17" s="13">
        <f>SUMIF(BALANCE_N1!$A$2:$A$67,"15*",BALANCE_N1!$G$2:$G$67)-SUMIF(BALANCE_N1!$A$2:$A$67,"15*",BALANCE_N1!$F$2:$F$67)</f>
        <v/>
      </c>
      <c r="D17" s="13">
        <f>B17-C17</f>
        <v/>
      </c>
      <c r="E17" s="20">
        <f>IF(C17=0,"",(B17-C17)/C17)</f>
        <v/>
      </c>
      <c r="F17" s="12" t="n"/>
      <c r="G17" s="12" t="n"/>
    </row>
    <row r="18">
      <c r="A18" s="10" t="inlineStr"/>
      <c r="B18" s="11">
        <f>SUM(B17:B17)</f>
        <v/>
      </c>
      <c r="C18" s="11">
        <f>SUM(C17:C17)</f>
        <v/>
      </c>
      <c r="D18" s="11">
        <f>B18-C18</f>
        <v/>
      </c>
      <c r="E18" s="21">
        <f>IF(C18=0,"",(B18-C18)/C18)</f>
        <v/>
      </c>
      <c r="F18" s="11" t="n"/>
      <c r="G18" s="11" t="n"/>
    </row>
    <row r="19">
      <c r="A19" s="10" t="inlineStr">
        <is>
          <t>TOTAL SUBVENTIONS ET PROVISIONS RÉGLEMENTÉES</t>
        </is>
      </c>
      <c r="B19" s="11">
        <f>B16+B18</f>
        <v/>
      </c>
      <c r="C19" s="11">
        <f>C16+C18</f>
        <v/>
      </c>
      <c r="D19" s="11">
        <f>B19-C19</f>
        <v/>
      </c>
      <c r="E19" s="21">
        <f>IF(C19=0,"",(B19-C19)/C19)</f>
        <v/>
      </c>
      <c r="F19" s="11" t="n"/>
      <c r="G19" s="11" t="n"/>
    </row>
    <row r="20"/>
    <row r="21">
      <c r="A21" s="3" t="inlineStr">
        <is>
          <t>Commentaires :</t>
        </is>
      </c>
    </row>
    <row r="22">
      <c r="A22" s="5" t="inlineStr">
        <is>
          <t>• Indiquer pour chaque subvention la date d'octroi, la nature, les obligations éventuelles ; pour les provisions réglementées, le texte de référence.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17B</t>
        </is>
      </c>
    </row>
    <row r="2">
      <c r="A2" s="2" t="inlineStr">
        <is>
          <t>FONDS AFFECTÉS ET REPORTÉS</t>
        </is>
      </c>
    </row>
    <row r="3"/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Fonds affectés aux investissements</t>
        </is>
      </c>
      <c r="B8" s="15">
        <f>SUMIF(BALANCE!$A$2:$A$67,"163*",BALANCE!$G$2:$G$67)-SUMIF(BALANCE!$A$2:$A$67,"163*",BALANCE!$F$2:$F$67)+SUMIF(BALANCE!$A$2:$A$67,"161*",BALANCE!$G$2:$G$67)-SUMIF(BALANCE!$A$2:$A$67,"161*",BALANCE!$F$2:$F$67)+SUMIF(BALANCE!$A$2:$A$67,"164*",BALANCE!$G$2:$G$67)-SUMIF(BALANCE!$A$2:$A$67,"164*",BALANCE!$F$2:$F$67)+SUMIF(BALANCE!$A$2:$A$67,"162*",BALANCE!$G$2:$G$67)-SUMIF(BALANCE!$A$2:$A$67,"162*",BALANCE!$F$2:$F$67)</f>
        <v/>
      </c>
      <c r="C8" s="15">
        <f>SUMIF(BALANCE_N1!$A$2:$A$67,"163*",BALANCE_N1!$G$2:$G$67)-SUMIF(BALANCE_N1!$A$2:$A$67,"163*",BALANCE_N1!$F$2:$F$67)+SUMIF(BALANCE_N1!$A$2:$A$67,"161*",BALANCE_N1!$G$2:$G$67)-SUMIF(BALANCE_N1!$A$2:$A$67,"161*",BALANCE_N1!$F$2:$F$67)+SUMIF(BALANCE_N1!$A$2:$A$67,"164*",BALANCE_N1!$G$2:$G$67)-SUMIF(BALANCE_N1!$A$2:$A$67,"164*",BALANCE_N1!$F$2:$F$67)+SUMIF(BALANCE_N1!$A$2:$A$67,"162*",BALANCE_N1!$G$2:$G$67)-SUMIF(BALANCE_N1!$A$2:$A$67,"162*",BALANCE_N1!$F$2:$F$67)</f>
        <v/>
      </c>
      <c r="D8" s="15">
        <f>B8-C8</f>
        <v/>
      </c>
      <c r="E8" s="19">
        <f>IF(C8=0,"",(B8-C8)/C8)</f>
        <v/>
      </c>
    </row>
    <row r="9">
      <c r="A9" s="12" t="inlineStr">
        <is>
          <t>Fonds non consommés en fin d'exercice destinés à un projet spécifique</t>
        </is>
      </c>
      <c r="B9" s="13">
        <f>SUMIF(BALANCE!$A$2:$A$67,"165*",BALANCE!$G$2:$G$67)-SUMIF(BALANCE!$A$2:$A$67,"165*",BALANCE!$F$2:$F$67)</f>
        <v/>
      </c>
      <c r="C9" s="13">
        <f>SUMIF(BALANCE_N1!$A$2:$A$67,"165*",BALANCE_N1!$G$2:$G$67)-SUMIF(BALANCE_N1!$A$2:$A$67,"165*",BALANCE_N1!$F$2:$F$67)</f>
        <v/>
      </c>
      <c r="D9" s="13">
        <f>B9-C9</f>
        <v/>
      </c>
      <c r="E9" s="20">
        <f>IF(C9=0,"",(B9-C9)/C9)</f>
        <v/>
      </c>
    </row>
    <row r="10">
      <c r="A10" s="14" t="inlineStr">
        <is>
          <t>Fonds provenant des dons et legs d'immobilisations</t>
        </is>
      </c>
      <c r="B10" s="15">
        <f>SUMIF(BALANCE!$A$2:$A$67,"167*",BALANCE!$G$2:$G$67)-SUMIF(BALANCE!$A$2:$A$67,"167*",BALANCE!$F$2:$F$67)</f>
        <v/>
      </c>
      <c r="C10" s="15">
        <f>SUMIF(BALANCE_N1!$A$2:$A$67,"167*",BALANCE_N1!$G$2:$G$67)-SUMIF(BALANCE_N1!$A$2:$A$67,"167*",BALANCE_N1!$F$2:$F$67)</f>
        <v/>
      </c>
      <c r="D10" s="15">
        <f>B10-C10</f>
        <v/>
      </c>
      <c r="E10" s="19">
        <f>IF(C10=0,"",(B10-C10)/C10)</f>
        <v/>
      </c>
    </row>
    <row r="11">
      <c r="A11" s="12" t="inlineStr">
        <is>
          <t>Autres fonds affectés</t>
        </is>
      </c>
      <c r="B11" s="13">
        <f>SUMIF(BALANCE!$A$2:$A$67,"168*",BALANCE!$G$2:$G$67)-SUMIF(BALANCE!$A$2:$A$67,"168*",BALANCE!$F$2:$F$67)+SUMIF(BALANCE!$A$2:$A$67,"169*",BALANCE!$G$2:$G$67)-SUMIF(BALANCE!$A$2:$A$67,"169*",BALANCE!$F$2:$F$67)</f>
        <v/>
      </c>
      <c r="C11" s="13">
        <f>SUMIF(BALANCE_N1!$A$2:$A$67,"168*",BALANCE_N1!$G$2:$G$67)-SUMIF(BALANCE_N1!$A$2:$A$67,"168*",BALANCE_N1!$F$2:$F$67)+SUMIF(BALANCE_N1!$A$2:$A$67,"169*",BALANCE_N1!$G$2:$G$67)-SUMIF(BALANCE_N1!$A$2:$A$67,"169*",BALANCE_N1!$F$2:$F$67)</f>
        <v/>
      </c>
      <c r="D11" s="13">
        <f>B11-C11</f>
        <v/>
      </c>
      <c r="E11" s="20">
        <f>IF(C11=0,"",(B11-C11)/C11)</f>
        <v/>
      </c>
    </row>
    <row r="12">
      <c r="A12" s="10" t="inlineStr">
        <is>
          <t>TOTAL FONDS AFFECTÉS</t>
        </is>
      </c>
      <c r="B12" s="11">
        <f>SUM(B8:B11)</f>
        <v/>
      </c>
      <c r="C12" s="11">
        <f>SUM(C8:C11)</f>
        <v/>
      </c>
      <c r="D12" s="11">
        <f>B12-C12</f>
        <v/>
      </c>
      <c r="E12" s="21">
        <f>IF(C12=0,"",(B12-C12)/C12)</f>
        <v/>
      </c>
    </row>
    <row r="13">
      <c r="A13" s="12" t="inlineStr">
        <is>
          <t>Donations et legs non encore reçus d'immobilisations destinés à la vente</t>
        </is>
      </c>
      <c r="B13" s="13">
        <f>SUMIF(BALANCE!$A$2:$A$67,"172*",BALANCE!$G$2:$G$67)-SUMIF(BALANCE!$A$2:$A$67,"172*",BALANCE!$F$2:$F$67)</f>
        <v/>
      </c>
      <c r="C13" s="13">
        <f>SUMIF(BALANCE_N1!$A$2:$A$67,"172*",BALANCE_N1!$G$2:$G$67)-SUMIF(BALANCE_N1!$A$2:$A$67,"172*",BALANCE_N1!$F$2:$F$67)</f>
        <v/>
      </c>
      <c r="D13" s="13">
        <f>B13-C13</f>
        <v/>
      </c>
      <c r="E13" s="20">
        <f>IF(C13=0,"",(B13-C13)/C13)</f>
        <v/>
      </c>
    </row>
    <row r="14">
      <c r="A14" s="14" t="inlineStr">
        <is>
          <t>Donation temporaire d'usufruit</t>
        </is>
      </c>
      <c r="B14" s="15">
        <f>SUMIF(BALANCE!$A$2:$A$67,"171*",BALANCE!$G$2:$G$67)-SUMIF(BALANCE!$A$2:$A$67,"171*",BALANCE!$F$2:$F$67)</f>
        <v/>
      </c>
      <c r="C14" s="15">
        <f>SUMIF(BALANCE_N1!$A$2:$A$67,"171*",BALANCE_N1!$G$2:$G$67)-SUMIF(BALANCE_N1!$A$2:$A$67,"171*",BALANCE_N1!$F$2:$F$67)</f>
        <v/>
      </c>
      <c r="D14" s="15">
        <f>B14-C14</f>
        <v/>
      </c>
      <c r="E14" s="19">
        <f>IF(C14=0,"",(B14-C14)/C14)</f>
        <v/>
      </c>
    </row>
    <row r="15">
      <c r="A15" s="12" t="inlineStr">
        <is>
          <t>Autres fonds reportés</t>
        </is>
      </c>
      <c r="B15" s="13">
        <f>SUMIF(BALANCE!$A$2:$A$67,"178*",BALANCE!$G$2:$G$67)-SUMIF(BALANCE!$A$2:$A$67,"178*",BALANCE!$F$2:$F$67)</f>
        <v/>
      </c>
      <c r="C15" s="13">
        <f>SUMIF(BALANCE_N1!$A$2:$A$67,"178*",BALANCE_N1!$G$2:$G$67)-SUMIF(BALANCE_N1!$A$2:$A$67,"178*",BALANCE_N1!$F$2:$F$67)</f>
        <v/>
      </c>
      <c r="D15" s="13">
        <f>B15-C15</f>
        <v/>
      </c>
      <c r="E15" s="20">
        <f>IF(C15=0,"",(B15-C15)/C15)</f>
        <v/>
      </c>
    </row>
    <row r="16">
      <c r="A16" s="10" t="inlineStr">
        <is>
          <t>TOTAL FONDS REPORTÉS</t>
        </is>
      </c>
      <c r="B16" s="11">
        <f>SUM(B13:B15)</f>
        <v/>
      </c>
      <c r="C16" s="11">
        <f>SUM(C13:C15)</f>
        <v/>
      </c>
      <c r="D16" s="11">
        <f>B16-C16</f>
        <v/>
      </c>
      <c r="E16" s="21">
        <f>IF(C16=0,"",(B16-C16)/C16)</f>
        <v/>
      </c>
    </row>
    <row r="17">
      <c r="A17" s="10" t="inlineStr">
        <is>
          <t>TOTAL FONDS AFFECTÉS ET REPORTÉS</t>
        </is>
      </c>
      <c r="B17" s="11">
        <f>B12+B16</f>
        <v/>
      </c>
      <c r="C17" s="11">
        <f>C12+C16</f>
        <v/>
      </c>
      <c r="D17" s="11">
        <f>B17-C17</f>
        <v/>
      </c>
      <c r="E17" s="21">
        <f>IF(C17=0,"",(B17-C17)/C17)</f>
        <v/>
      </c>
    </row>
    <row r="18"/>
    <row r="19">
      <c r="A19" s="3" t="inlineStr">
        <is>
          <t>Commentaires :</t>
        </is>
      </c>
    </row>
    <row r="20">
      <c r="A20" s="5" t="inlineStr">
        <is>
          <t>• Indiquer la date d'affectation des fonds et leur mode de reprise ; la date des actes de donation et legs, la nature et la durée de jouissance de l'usufruit.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18A</t>
        </is>
      </c>
    </row>
    <row r="2">
      <c r="A2" s="2" t="inlineStr">
        <is>
          <t>DETTES FINANCIÈRES ET RESSOURCES ASSIMILÉES</t>
        </is>
      </c>
    </row>
    <row r="3"/>
    <row r="4">
      <c r="A4" s="3" t="inlineStr">
        <is>
          <t>Désignation entité : ASSOCIATION ESPOIR</t>
        </is>
      </c>
      <c r="G4" s="3" t="inlineStr">
        <is>
          <t>Exercice clos le : 31/12/2025</t>
        </is>
      </c>
    </row>
    <row r="5">
      <c r="A5" t="inlineStr">
        <is>
          <t>Numéro d'identification : F.92/12.345</t>
        </is>
      </c>
      <c r="G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  <c r="F7" s="9" t="inlineStr">
        <is>
          <t>À un an au plus</t>
        </is>
      </c>
      <c r="G7" s="9" t="inlineStr">
        <is>
          <t>À plus d'un an et deux ans au plus</t>
        </is>
      </c>
      <c r="H7" s="9" t="inlineStr">
        <is>
          <t>À plus de deux ans</t>
        </is>
      </c>
    </row>
    <row r="8">
      <c r="A8" s="14" t="inlineStr">
        <is>
          <t>Emprunts obligataires</t>
        </is>
      </c>
      <c r="B8" s="15">
        <f>SUMIF(BALANCE!$A$2:$A$67,"181*",BALANCE!$G$2:$G$67)-SUMIF(BALANCE!$A$2:$A$67,"181*",BALANCE!$F$2:$F$67)</f>
        <v/>
      </c>
      <c r="C8" s="15">
        <f>SUMIF(BALANCE_N1!$A$2:$A$67,"181*",BALANCE_N1!$G$2:$G$67)-SUMIF(BALANCE_N1!$A$2:$A$67,"181*",BALANCE_N1!$F$2:$F$67)</f>
        <v/>
      </c>
      <c r="D8" s="15">
        <f>B8-C8</f>
        <v/>
      </c>
      <c r="E8" s="19">
        <f>IF(C8=0,"",(B8-C8)/C8)</f>
        <v/>
      </c>
      <c r="F8" s="14" t="n"/>
      <c r="G8" s="14" t="n"/>
      <c r="H8" s="14" t="n"/>
    </row>
    <row r="9">
      <c r="A9" s="12" t="inlineStr">
        <is>
          <t>Emprunts et dettes auprès des établissements de crédit</t>
        </is>
      </c>
      <c r="B9" s="13">
        <f>SUMIF(BALANCE!$A$2:$A$67,"182*",BALANCE!$G$2:$G$67)-SUMIF(BALANCE!$A$2:$A$67,"182*",BALANCE!$F$2:$F$67)</f>
        <v/>
      </c>
      <c r="C9" s="13">
        <f>SUMIF(BALANCE_N1!$A$2:$A$67,"182*",BALANCE_N1!$G$2:$G$67)-SUMIF(BALANCE_N1!$A$2:$A$67,"182*",BALANCE_N1!$F$2:$F$67)</f>
        <v/>
      </c>
      <c r="D9" s="13">
        <f>B9-C9</f>
        <v/>
      </c>
      <c r="E9" s="20">
        <f>IF(C9=0,"",(B9-C9)/C9)</f>
        <v/>
      </c>
      <c r="F9" s="12" t="n"/>
      <c r="G9" s="12" t="n"/>
      <c r="H9" s="12" t="n"/>
    </row>
    <row r="10">
      <c r="A10" s="14" t="inlineStr">
        <is>
          <t>Avances reçues de l'État</t>
        </is>
      </c>
      <c r="B10" s="15">
        <f>SUMIF(BALANCE!$A$2:$A$67,"183*",BALANCE!$G$2:$G$67)-SUMIF(BALANCE!$A$2:$A$67,"183*",BALANCE!$F$2:$F$67)</f>
        <v/>
      </c>
      <c r="C10" s="15">
        <f>SUMIF(BALANCE_N1!$A$2:$A$67,"183*",BALANCE_N1!$G$2:$G$67)-SUMIF(BALANCE_N1!$A$2:$A$67,"183*",BALANCE_N1!$F$2:$F$67)</f>
        <v/>
      </c>
      <c r="D10" s="15">
        <f>B10-C10</f>
        <v/>
      </c>
      <c r="E10" s="19">
        <f>IF(C10=0,"",(B10-C10)/C10)</f>
        <v/>
      </c>
      <c r="F10" s="14" t="n"/>
      <c r="G10" s="14" t="n"/>
      <c r="H10" s="14" t="n"/>
    </row>
    <row r="11">
      <c r="A11" s="12" t="inlineStr">
        <is>
          <t>Dépôts et cautionnements reçus</t>
        </is>
      </c>
      <c r="B11" s="13">
        <f>SUMIF(BALANCE!$A$2:$A$67,"185*",BALANCE!$G$2:$G$67)-SUMIF(BALANCE!$A$2:$A$67,"185*",BALANCE!$F$2:$F$67)</f>
        <v/>
      </c>
      <c r="C11" s="13">
        <f>SUMIF(BALANCE_N1!$A$2:$A$67,"185*",BALANCE_N1!$G$2:$G$67)-SUMIF(BALANCE_N1!$A$2:$A$67,"185*",BALANCE_N1!$F$2:$F$67)</f>
        <v/>
      </c>
      <c r="D11" s="13">
        <f>B11-C11</f>
        <v/>
      </c>
      <c r="E11" s="20">
        <f>IF(C11=0,"",(B11-C11)/C11)</f>
        <v/>
      </c>
      <c r="F11" s="12" t="n"/>
      <c r="G11" s="12" t="n"/>
      <c r="H11" s="12" t="n"/>
    </row>
    <row r="12">
      <c r="A12" s="14" t="inlineStr">
        <is>
          <t>Intérêts courus</t>
        </is>
      </c>
      <c r="B12" s="15">
        <f>SUMIF(BALANCE!$A$2:$A$67,"186*",BALANCE!$G$2:$G$67)-SUMIF(BALANCE!$A$2:$A$67,"186*",BALANCE!$F$2:$F$67)</f>
        <v/>
      </c>
      <c r="C12" s="15">
        <f>SUMIF(BALANCE_N1!$A$2:$A$67,"186*",BALANCE_N1!$G$2:$G$67)-SUMIF(BALANCE_N1!$A$2:$A$67,"186*",BALANCE_N1!$F$2:$F$67)</f>
        <v/>
      </c>
      <c r="D12" s="15">
        <f>B12-C12</f>
        <v/>
      </c>
      <c r="E12" s="19">
        <f>IF(C12=0,"",(B12-C12)/C12)</f>
        <v/>
      </c>
      <c r="F12" s="14" t="n"/>
      <c r="G12" s="14" t="n"/>
      <c r="H12" s="14" t="n"/>
    </row>
    <row r="13">
      <c r="A13" s="12" t="inlineStr">
        <is>
          <t>Autres emprunts et dettes</t>
        </is>
      </c>
      <c r="B13" s="13">
        <f>SUMIF(BALANCE!$A$2:$A$67,"188*",BALANCE!$G$2:$G$67)-SUMIF(BALANCE!$A$2:$A$67,"188*",BALANCE!$F$2:$F$67)</f>
        <v/>
      </c>
      <c r="C13" s="13">
        <f>SUMIF(BALANCE_N1!$A$2:$A$67,"188*",BALANCE_N1!$G$2:$G$67)-SUMIF(BALANCE_N1!$A$2:$A$67,"188*",BALANCE_N1!$F$2:$F$67)</f>
        <v/>
      </c>
      <c r="D13" s="13">
        <f>B13-C13</f>
        <v/>
      </c>
      <c r="E13" s="20">
        <f>IF(C13=0,"",(B13-C13)/C13)</f>
        <v/>
      </c>
      <c r="F13" s="12" t="n"/>
      <c r="G13" s="12" t="n"/>
      <c r="H13" s="12" t="n"/>
    </row>
    <row r="14">
      <c r="A14" s="10" t="inlineStr">
        <is>
          <t>TOTAL EMPRUNTS ET DETTES FINANCIÈRES</t>
        </is>
      </c>
      <c r="B14" s="11">
        <f>SUM(B8:B13)</f>
        <v/>
      </c>
      <c r="C14" s="11">
        <f>SUM(C8:C13)</f>
        <v/>
      </c>
      <c r="D14" s="11">
        <f>B14-C14</f>
        <v/>
      </c>
      <c r="E14" s="21">
        <f>IF(C14=0,"",(B14-C14)/C14)</f>
        <v/>
      </c>
      <c r="F14" s="11" t="n"/>
      <c r="G14" s="11" t="n"/>
      <c r="H14" s="11" t="n"/>
    </row>
    <row r="15">
      <c r="A15" s="12" t="inlineStr">
        <is>
          <t>Crédit-bail immobilier</t>
        </is>
      </c>
      <c r="B15" s="13">
        <f>SUMIF(BALANCE!$A$2:$A$67,"1871*",BALANCE!$G$2:$G$67)-SUMIF(BALANCE!$A$2:$A$67,"1871*",BALANCE!$F$2:$F$67)</f>
        <v/>
      </c>
      <c r="C15" s="13">
        <f>SUMIF(BALANCE_N1!$A$2:$A$67,"1871*",BALANCE_N1!$G$2:$G$67)-SUMIF(BALANCE_N1!$A$2:$A$67,"1871*",BALANCE_N1!$F$2:$F$67)</f>
        <v/>
      </c>
      <c r="D15" s="13">
        <f>B15-C15</f>
        <v/>
      </c>
      <c r="E15" s="20">
        <f>IF(C15=0,"",(B15-C15)/C15)</f>
        <v/>
      </c>
      <c r="F15" s="12" t="n"/>
      <c r="G15" s="12" t="n"/>
      <c r="H15" s="12" t="n"/>
    </row>
    <row r="16">
      <c r="A16" s="14" t="inlineStr">
        <is>
          <t>Crédit-bail mobilier</t>
        </is>
      </c>
      <c r="B16" s="15">
        <f>SUMIF(BALANCE!$A$2:$A$67,"1872*",BALANCE!$G$2:$G$67)-SUMIF(BALANCE!$A$2:$A$67,"1872*",BALANCE!$F$2:$F$67)</f>
        <v/>
      </c>
      <c r="C16" s="15">
        <f>SUMIF(BALANCE_N1!$A$2:$A$67,"1872*",BALANCE_N1!$G$2:$G$67)-SUMIF(BALANCE_N1!$A$2:$A$67,"1872*",BALANCE_N1!$F$2:$F$67)</f>
        <v/>
      </c>
      <c r="D16" s="15">
        <f>B16-C16</f>
        <v/>
      </c>
      <c r="E16" s="19">
        <f>IF(C16=0,"",(B16-C16)/C16)</f>
        <v/>
      </c>
      <c r="F16" s="14" t="n"/>
      <c r="G16" s="14" t="n"/>
      <c r="H16" s="14" t="n"/>
    </row>
    <row r="17">
      <c r="A17" s="12" t="inlineStr">
        <is>
          <t>Location-vente</t>
        </is>
      </c>
      <c r="B17" s="13">
        <f>SUMIF(BALANCE!$A$2:$A$67,"1873*",BALANCE!$G$2:$G$67)-SUMIF(BALANCE!$A$2:$A$67,"1873*",BALANCE!$F$2:$F$67)</f>
        <v/>
      </c>
      <c r="C17" s="13">
        <f>SUMIF(BALANCE_N1!$A$2:$A$67,"1873*",BALANCE_N1!$G$2:$G$67)-SUMIF(BALANCE_N1!$A$2:$A$67,"1873*",BALANCE_N1!$F$2:$F$67)</f>
        <v/>
      </c>
      <c r="D17" s="13">
        <f>B17-C17</f>
        <v/>
      </c>
      <c r="E17" s="20">
        <f>IF(C17=0,"",(B17-C17)/C17)</f>
        <v/>
      </c>
      <c r="F17" s="12" t="n"/>
      <c r="G17" s="12" t="n"/>
      <c r="H17" s="12" t="n"/>
    </row>
    <row r="18">
      <c r="A18" s="14" t="inlineStr">
        <is>
          <t>Intérêts courus (location-acquisition)</t>
        </is>
      </c>
      <c r="B18" s="15">
        <f>SUMIF(BALANCE!$A$2:$A$67,"1876*",BALANCE!$G$2:$G$67)-SUMIF(BALANCE!$A$2:$A$67,"1876*",BALANCE!$F$2:$F$67)</f>
        <v/>
      </c>
      <c r="C18" s="15">
        <f>SUMIF(BALANCE_N1!$A$2:$A$67,"1876*",BALANCE_N1!$G$2:$G$67)-SUMIF(BALANCE_N1!$A$2:$A$67,"1876*",BALANCE_N1!$F$2:$F$67)</f>
        <v/>
      </c>
      <c r="D18" s="15">
        <f>B18-C18</f>
        <v/>
      </c>
      <c r="E18" s="19">
        <f>IF(C18=0,"",(B18-C18)/C18)</f>
        <v/>
      </c>
      <c r="F18" s="14" t="n"/>
      <c r="G18" s="14" t="n"/>
      <c r="H18" s="14" t="n"/>
    </row>
    <row r="19">
      <c r="A19" s="12" t="inlineStr">
        <is>
          <t>Autres dettes de location-acquisition</t>
        </is>
      </c>
      <c r="B19" s="13">
        <f>SUMIF(BALANCE!$A$2:$A$67,"187*",BALANCE!$G$2:$G$67)-SUMIF(BALANCE!$A$2:$A$67,"187*",BALANCE!$F$2:$F$67)-SUMIF(BALANCE!$A$2:$A$67,"1876*",BALANCE!$G$2:$G$67)+SUMIF(BALANCE!$A$2:$A$67,"1876*",BALANCE!$F$2:$F$67)-SUMIF(BALANCE!$A$2:$A$67,"1871*",BALANCE!$G$2:$G$67)+SUMIF(BALANCE!$A$2:$A$67,"1871*",BALANCE!$F$2:$F$67)-SUMIF(BALANCE!$A$2:$A$67,"1872*",BALANCE!$G$2:$G$67)+SUMIF(BALANCE!$A$2:$A$67,"1872*",BALANCE!$F$2:$F$67)-SUMIF(BALANCE!$A$2:$A$67,"1873*",BALANCE!$G$2:$G$67)+SUMIF(BALANCE!$A$2:$A$67,"1873*",BALANCE!$F$2:$F$67)</f>
        <v/>
      </c>
      <c r="C19" s="13">
        <f>SUMIF(BALANCE_N1!$A$2:$A$67,"187*",BALANCE_N1!$G$2:$G$67)-SUMIF(BALANCE_N1!$A$2:$A$67,"187*",BALANCE_N1!$F$2:$F$67)-SUMIF(BALANCE_N1!$A$2:$A$67,"1876*",BALANCE_N1!$G$2:$G$67)+SUMIF(BALANCE_N1!$A$2:$A$67,"1876*",BALANCE_N1!$F$2:$F$67)-SUMIF(BALANCE_N1!$A$2:$A$67,"1871*",BALANCE_N1!$G$2:$G$67)+SUMIF(BALANCE_N1!$A$2:$A$67,"1871*",BALANCE_N1!$F$2:$F$67)-SUMIF(BALANCE_N1!$A$2:$A$67,"1872*",BALANCE_N1!$G$2:$G$67)+SUMIF(BALANCE_N1!$A$2:$A$67,"1872*",BALANCE_N1!$F$2:$F$67)-SUMIF(BALANCE_N1!$A$2:$A$67,"1873*",BALANCE_N1!$G$2:$G$67)+SUMIF(BALANCE_N1!$A$2:$A$67,"1873*",BALANCE_N1!$F$2:$F$67)</f>
        <v/>
      </c>
      <c r="D19" s="13">
        <f>B19-C19</f>
        <v/>
      </c>
      <c r="E19" s="20">
        <f>IF(C19=0,"",(B19-C19)/C19)</f>
        <v/>
      </c>
      <c r="F19" s="12" t="n"/>
      <c r="G19" s="12" t="n"/>
      <c r="H19" s="12" t="n"/>
    </row>
    <row r="20">
      <c r="A20" s="10" t="inlineStr">
        <is>
          <t>TOTAL DETTES DE LOCATION-ACQUISITION</t>
        </is>
      </c>
      <c r="B20" s="11">
        <f>SUM(B15:B19)</f>
        <v/>
      </c>
      <c r="C20" s="11">
        <f>SUM(C15:C19)</f>
        <v/>
      </c>
      <c r="D20" s="11">
        <f>B20-C20</f>
        <v/>
      </c>
      <c r="E20" s="21">
        <f>IF(C20=0,"",(B20-C20)/C20)</f>
        <v/>
      </c>
      <c r="F20" s="11" t="n"/>
      <c r="G20" s="11" t="n"/>
      <c r="H20" s="11" t="n"/>
    </row>
    <row r="21">
      <c r="A21" s="12" t="inlineStr">
        <is>
          <t>Provisions pour litiges</t>
        </is>
      </c>
      <c r="B21" s="13">
        <f>SUMIF(BALANCE!$A$2:$A$67,"191*",BALANCE!$G$2:$G$67)-SUMIF(BALANCE!$A$2:$A$67,"191*",BALANCE!$F$2:$F$67)</f>
        <v/>
      </c>
      <c r="C21" s="13">
        <f>SUMIF(BALANCE_N1!$A$2:$A$67,"191*",BALANCE_N1!$G$2:$G$67)-SUMIF(BALANCE_N1!$A$2:$A$67,"191*",BALANCE_N1!$F$2:$F$67)</f>
        <v/>
      </c>
      <c r="D21" s="13">
        <f>B21-C21</f>
        <v/>
      </c>
      <c r="E21" s="20">
        <f>IF(C21=0,"",(B21-C21)/C21)</f>
        <v/>
      </c>
      <c r="F21" s="12" t="n"/>
      <c r="G21" s="12" t="n"/>
      <c r="H21" s="12" t="n"/>
    </row>
    <row r="22">
      <c r="A22" s="14" t="inlineStr">
        <is>
          <t>Provisions pour charges sur donations et legs</t>
        </is>
      </c>
      <c r="B22" s="15">
        <f>SUMIF(BALANCE!$A$2:$A$67,"192*",BALANCE!$G$2:$G$67)-SUMIF(BALANCE!$A$2:$A$67,"192*",BALANCE!$F$2:$F$67)</f>
        <v/>
      </c>
      <c r="C22" s="15">
        <f>SUMIF(BALANCE_N1!$A$2:$A$67,"192*",BALANCE_N1!$G$2:$G$67)-SUMIF(BALANCE_N1!$A$2:$A$67,"192*",BALANCE_N1!$F$2:$F$67)</f>
        <v/>
      </c>
      <c r="D22" s="15">
        <f>B22-C22</f>
        <v/>
      </c>
      <c r="E22" s="19">
        <f>IF(C22=0,"",(B22-C22)/C22)</f>
        <v/>
      </c>
      <c r="F22" s="14" t="n"/>
      <c r="G22" s="14" t="n"/>
      <c r="H22" s="14" t="n"/>
    </row>
    <row r="23">
      <c r="A23" s="12" t="inlineStr">
        <is>
          <t>Provisions pour pertes de change</t>
        </is>
      </c>
      <c r="B23" s="13">
        <f>SUMIF(BALANCE!$A$2:$A$67,"194*",BALANCE!$G$2:$G$67)-SUMIF(BALANCE!$A$2:$A$67,"194*",BALANCE!$F$2:$F$67)</f>
        <v/>
      </c>
      <c r="C23" s="13">
        <f>SUMIF(BALANCE_N1!$A$2:$A$67,"194*",BALANCE_N1!$G$2:$G$67)-SUMIF(BALANCE_N1!$A$2:$A$67,"194*",BALANCE_N1!$F$2:$F$67)</f>
        <v/>
      </c>
      <c r="D23" s="13">
        <f>B23-C23</f>
        <v/>
      </c>
      <c r="E23" s="20">
        <f>IF(C23=0,"",(B23-C23)/C23)</f>
        <v/>
      </c>
      <c r="F23" s="12" t="n"/>
      <c r="G23" s="12" t="n"/>
      <c r="H23" s="12" t="n"/>
    </row>
    <row r="24">
      <c r="A24" s="14" t="inlineStr">
        <is>
          <t>Provisions pour pensions et obligations similaires</t>
        </is>
      </c>
      <c r="B24" s="15">
        <f>SUMIF(BALANCE!$A$2:$A$67,"196*",BALANCE!$G$2:$G$67)-SUMIF(BALANCE!$A$2:$A$67,"196*",BALANCE!$F$2:$F$67)</f>
        <v/>
      </c>
      <c r="C24" s="15">
        <f>SUMIF(BALANCE_N1!$A$2:$A$67,"196*",BALANCE_N1!$G$2:$G$67)-SUMIF(BALANCE_N1!$A$2:$A$67,"196*",BALANCE_N1!$F$2:$F$67)</f>
        <v/>
      </c>
      <c r="D24" s="15">
        <f>B24-C24</f>
        <v/>
      </c>
      <c r="E24" s="19">
        <f>IF(C24=0,"",(B24-C24)/C24)</f>
        <v/>
      </c>
      <c r="F24" s="14" t="n"/>
      <c r="G24" s="14" t="n"/>
      <c r="H24" s="14" t="n"/>
    </row>
    <row r="25">
      <c r="A25" s="12" t="inlineStr">
        <is>
          <t>Autres provisions pour risques et charges</t>
        </is>
      </c>
      <c r="B25" s="13">
        <f>SUMIF(BALANCE!$A$2:$A$67,"198*",BALANCE!$G$2:$G$67)-SUMIF(BALANCE!$A$2:$A$67,"198*",BALANCE!$F$2:$F$67)</f>
        <v/>
      </c>
      <c r="C25" s="13">
        <f>SUMIF(BALANCE_N1!$A$2:$A$67,"198*",BALANCE_N1!$G$2:$G$67)-SUMIF(BALANCE_N1!$A$2:$A$67,"198*",BALANCE_N1!$F$2:$F$67)</f>
        <v/>
      </c>
      <c r="D25" s="13">
        <f>B25-C25</f>
        <v/>
      </c>
      <c r="E25" s="20">
        <f>IF(C25=0,"",(B25-C25)/C25)</f>
        <v/>
      </c>
      <c r="F25" s="12" t="n"/>
      <c r="G25" s="12" t="n"/>
      <c r="H25" s="12" t="n"/>
    </row>
    <row r="26">
      <c r="A26" s="10" t="inlineStr">
        <is>
          <t>TOTAL PROVISIONS FINANCIÈRES POUR RISQUES ET CHARGES</t>
        </is>
      </c>
      <c r="B26" s="11">
        <f>SUM(B21:B25)</f>
        <v/>
      </c>
      <c r="C26" s="11">
        <f>SUM(C21:C25)</f>
        <v/>
      </c>
      <c r="D26" s="11">
        <f>B26-C26</f>
        <v/>
      </c>
      <c r="E26" s="21">
        <f>IF(C26=0,"",(B26-C26)/C26)</f>
        <v/>
      </c>
      <c r="F26" s="11" t="n"/>
      <c r="G26" s="11" t="n"/>
      <c r="H26" s="11" t="n"/>
    </row>
    <row r="27">
      <c r="A27" s="10" t="inlineStr">
        <is>
          <t>TOTAL DETTES FINANCIÈRES ET RESSOURCES ASSIMILÉES</t>
        </is>
      </c>
      <c r="B27" s="11">
        <f>B14+B20+B26</f>
        <v/>
      </c>
      <c r="C27" s="11">
        <f>C14+C20+C26</f>
        <v/>
      </c>
      <c r="D27" s="11">
        <f>B27-C27</f>
        <v/>
      </c>
      <c r="E27" s="21">
        <f>IF(C27=0,"",(B27-C27)/C27)</f>
        <v/>
      </c>
      <c r="F27" s="11" t="n"/>
      <c r="G27" s="11" t="n"/>
      <c r="H27" s="11" t="n"/>
    </row>
    <row r="28"/>
    <row r="29">
      <c r="A29" s="3" t="inlineStr">
        <is>
          <t>Commentaires :</t>
        </is>
      </c>
    </row>
    <row r="30">
      <c r="A30" s="5" t="inlineStr">
        <is>
          <t>• Pour chaque emprunt et dette de location-acquisition : date d'octroi, organisme, montant initial, durée, garanties données ; pour les pensions, méthode d'évaluation et descriptif de la convention.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NOTE 18B</t>
        </is>
      </c>
    </row>
    <row r="2">
      <c r="A2" s="2" t="inlineStr">
        <is>
          <t>ACTIFS ET PASSIFS ÉVENTUELS</t>
        </is>
      </c>
    </row>
    <row r="3"/>
    <row r="4">
      <c r="A4" s="3" t="inlineStr">
        <is>
          <t>Désignation entité : ASSOCIATION ESPOIR</t>
        </is>
      </c>
      <c r="E4" s="3" t="inlineStr">
        <is>
          <t>Exercice clos le : 31/12/2025</t>
        </is>
      </c>
    </row>
    <row r="5">
      <c r="A5" t="inlineStr">
        <is>
          <t>Numéro d'identification : F.92/12.345</t>
        </is>
      </c>
      <c r="E5" t="inlineStr">
        <is>
          <t>Durée (en mois) : 12</t>
        </is>
      </c>
    </row>
    <row r="6"/>
    <row r="7"/>
    <row r="8">
      <c r="A8" s="5" t="inlineStr">
        <is>
          <t>Actif éventuel (litiges, ...) : année N / année N-1.</t>
        </is>
      </c>
    </row>
    <row r="9"/>
    <row r="10"/>
    <row r="11">
      <c r="A11" s="5" t="inlineStr">
        <is>
          <t>Passif éventuel (litiges, ...) : année N / année N-1.</t>
        </is>
      </c>
    </row>
    <row r="12"/>
    <row r="13"/>
    <row r="14">
      <c r="A14" s="5" t="inlineStr">
        <is>
          <t>Décrire les principales caractéristiques, l'horizon des encaissements/décaissements attendus et les éventuels remboursements à percevoir.</t>
        </is>
      </c>
    </row>
    <row r="15"/>
  </sheetData>
  <mergeCells count="5">
    <mergeCell ref="A2:F2"/>
    <mergeCell ref="A11:F12"/>
    <mergeCell ref="A1:F1"/>
    <mergeCell ref="A14:F15"/>
    <mergeCell ref="A8:F9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19</t>
        </is>
      </c>
    </row>
    <row r="2">
      <c r="A2" s="2" t="inlineStr">
        <is>
          <t>FOURNISSEURS D'EXPLOITATION</t>
        </is>
      </c>
    </row>
    <row r="3"/>
    <row r="4">
      <c r="A4" s="3" t="inlineStr">
        <is>
          <t>Désignation entité : ASSOCIATION ESPOIR</t>
        </is>
      </c>
      <c r="G4" s="3" t="inlineStr">
        <is>
          <t>Exercice clos le : 31/12/2025</t>
        </is>
      </c>
    </row>
    <row r="5">
      <c r="A5" t="inlineStr">
        <is>
          <t>Numéro d'identification : F.92/12.345</t>
        </is>
      </c>
      <c r="G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  <c r="F7" s="9" t="inlineStr">
        <is>
          <t>À un an au plus</t>
        </is>
      </c>
      <c r="G7" s="9" t="inlineStr">
        <is>
          <t>À plus d'un an et deux ans au plus</t>
        </is>
      </c>
      <c r="H7" s="9" t="inlineStr">
        <is>
          <t>À plus de deux ans</t>
        </is>
      </c>
    </row>
    <row r="8">
      <c r="A8" s="14" t="inlineStr">
        <is>
          <t>Fournisseurs, dettes en compte</t>
        </is>
      </c>
      <c r="B8" s="15">
        <f>SUMIF(BALANCE!$A$2:$A$67,"4013*",BALANCE!$G$2:$G$67)-SUMIF(BALANCE!$A$2:$A$67,"4013*",BALANCE!$F$2:$F$67)+SUMIF(BALANCE!$A$2:$A$67,"4011*",BALANCE!$G$2:$G$67)-SUMIF(BALANCE!$A$2:$A$67,"4011*",BALANCE!$F$2:$F$67)</f>
        <v/>
      </c>
      <c r="C8" s="15">
        <f>SUMIF(BALANCE_N1!$A$2:$A$67,"4013*",BALANCE_N1!$G$2:$G$67)-SUMIF(BALANCE_N1!$A$2:$A$67,"4013*",BALANCE_N1!$F$2:$F$67)+SUMIF(BALANCE_N1!$A$2:$A$67,"4011*",BALANCE_N1!$G$2:$G$67)-SUMIF(BALANCE_N1!$A$2:$A$67,"4011*",BALANCE_N1!$F$2:$F$67)</f>
        <v/>
      </c>
      <c r="D8" s="15">
        <f>B8-C8</f>
        <v/>
      </c>
      <c r="E8" s="19">
        <f>IF(C8=0,"",(B8-C8)/C8)</f>
        <v/>
      </c>
      <c r="F8" s="14" t="n"/>
      <c r="G8" s="14" t="n"/>
      <c r="H8" s="14" t="n"/>
    </row>
    <row r="9">
      <c r="A9" s="12" t="inlineStr">
        <is>
          <t>Fournisseurs, réserve de propriété</t>
        </is>
      </c>
      <c r="B9" s="13">
        <f>SUMIF(BALANCE!$A$2:$A$67,"4016*",BALANCE!$G$2:$G$67)-SUMIF(BALANCE!$A$2:$A$67,"4016*",BALANCE!$F$2:$F$67)</f>
        <v/>
      </c>
      <c r="C9" s="13">
        <f>SUMIF(BALANCE_N1!$A$2:$A$67,"4016*",BALANCE_N1!$G$2:$G$67)-SUMIF(BALANCE_N1!$A$2:$A$67,"4016*",BALANCE_N1!$F$2:$F$67)</f>
        <v/>
      </c>
      <c r="D9" s="13">
        <f>B9-C9</f>
        <v/>
      </c>
      <c r="E9" s="20">
        <f>IF(C9=0,"",(B9-C9)/C9)</f>
        <v/>
      </c>
      <c r="F9" s="12" t="n"/>
      <c r="G9" s="12" t="n"/>
      <c r="H9" s="12" t="n"/>
    </row>
    <row r="10">
      <c r="A10" s="14" t="inlineStr">
        <is>
          <t>Fournisseurs, retenue de garantie</t>
        </is>
      </c>
      <c r="B10" s="15">
        <f>SUMIF(BALANCE!$A$2:$A$67,"4017*",BALANCE!$G$2:$G$67)-SUMIF(BALANCE!$A$2:$A$67,"4017*",BALANCE!$F$2:$F$67)</f>
        <v/>
      </c>
      <c r="C10" s="15">
        <f>SUMIF(BALANCE_N1!$A$2:$A$67,"4017*",BALANCE_N1!$G$2:$G$67)-SUMIF(BALANCE_N1!$A$2:$A$67,"4017*",BALANCE_N1!$F$2:$F$67)</f>
        <v/>
      </c>
      <c r="D10" s="15">
        <f>B10-C10</f>
        <v/>
      </c>
      <c r="E10" s="19">
        <f>IF(C10=0,"",(B10-C10)/C10)</f>
        <v/>
      </c>
      <c r="F10" s="14" t="n"/>
      <c r="G10" s="14" t="n"/>
      <c r="H10" s="14" t="n"/>
    </row>
    <row r="11">
      <c r="A11" s="12" t="inlineStr">
        <is>
          <t>Fournisseurs, effets à payer</t>
        </is>
      </c>
      <c r="B11" s="13">
        <f>SUMIF(BALANCE!$A$2:$A$67,"402*",BALANCE!$G$2:$G$67)-SUMIF(BALANCE!$A$2:$A$67,"402*",BALANCE!$F$2:$F$67)</f>
        <v/>
      </c>
      <c r="C11" s="13">
        <f>SUMIF(BALANCE_N1!$A$2:$A$67,"402*",BALANCE_N1!$G$2:$G$67)-SUMIF(BALANCE_N1!$A$2:$A$67,"402*",BALANCE_N1!$F$2:$F$67)</f>
        <v/>
      </c>
      <c r="D11" s="13">
        <f>B11-C11</f>
        <v/>
      </c>
      <c r="E11" s="20">
        <f>IF(C11=0,"",(B11-C11)/C11)</f>
        <v/>
      </c>
      <c r="F11" s="12" t="n"/>
      <c r="G11" s="12" t="n"/>
      <c r="H11" s="12" t="n"/>
    </row>
    <row r="12">
      <c r="A12" s="14" t="inlineStr">
        <is>
          <t>Fournisseurs, factures non parvenues</t>
        </is>
      </c>
      <c r="B12" s="15">
        <f>SUMIF(BALANCE!$A$2:$A$67,"408*",BALANCE!$G$2:$G$67)-SUMIF(BALANCE!$A$2:$A$67,"408*",BALANCE!$F$2:$F$67)</f>
        <v/>
      </c>
      <c r="C12" s="15">
        <f>SUMIF(BALANCE_N1!$A$2:$A$67,"408*",BALANCE_N1!$G$2:$G$67)-SUMIF(BALANCE_N1!$A$2:$A$67,"408*",BALANCE_N1!$F$2:$F$67)</f>
        <v/>
      </c>
      <c r="D12" s="15">
        <f>B12-C12</f>
        <v/>
      </c>
      <c r="E12" s="19">
        <f>IF(C12=0,"",(B12-C12)/C12)</f>
        <v/>
      </c>
      <c r="F12" s="14" t="n"/>
      <c r="G12" s="14" t="n"/>
      <c r="H12" s="14" t="n"/>
    </row>
    <row r="13">
      <c r="A13" s="10" t="inlineStr">
        <is>
          <t>TOTAL FOURNISSEURS</t>
        </is>
      </c>
      <c r="B13" s="11">
        <f>SUM(B8:B12)</f>
        <v/>
      </c>
      <c r="C13" s="11">
        <f>SUM(C8:C12)</f>
        <v/>
      </c>
      <c r="D13" s="11">
        <f>B13-C13</f>
        <v/>
      </c>
      <c r="E13" s="21">
        <f>IF(C13=0,"",(B13-C13)/C13)</f>
        <v/>
      </c>
      <c r="F13" s="11" t="n"/>
      <c r="G13" s="11" t="n"/>
      <c r="H13" s="11" t="n"/>
    </row>
    <row r="14">
      <c r="A14" s="14" t="n"/>
      <c r="B14" s="15" t="n"/>
      <c r="C14" s="15" t="n"/>
      <c r="D14" s="15" t="n"/>
      <c r="E14" s="14" t="n"/>
      <c r="F14" s="14" t="n"/>
      <c r="G14" s="14" t="n"/>
      <c r="H14" s="14" t="n"/>
    </row>
    <row r="15">
      <c r="A15" s="12" t="inlineStr">
        <is>
          <t>Fournisseurs, avances et acomptes</t>
        </is>
      </c>
      <c r="B15" s="13">
        <f>SUMIF(BALANCE!$A$2:$A$67,"4091*",BALANCE!$F$2:$F$67)</f>
        <v/>
      </c>
      <c r="C15" s="13">
        <f>SUMIF(BALANCE_N1!$A$2:$A$67,"4091*",BALANCE_N1!$F$2:$F$67)</f>
        <v/>
      </c>
      <c r="D15" s="13">
        <f>B15-C15</f>
        <v/>
      </c>
      <c r="E15" s="20">
        <f>IF(C15=0,"",(B15-C15)/C15)</f>
        <v/>
      </c>
      <c r="F15" s="12" t="n"/>
      <c r="G15" s="12" t="n"/>
      <c r="H15" s="12" t="n"/>
    </row>
    <row r="16">
      <c r="A16" s="14" t="inlineStr">
        <is>
          <t>Fournisseurs sous-traitants, avances et acomptes</t>
        </is>
      </c>
      <c r="B16" s="15">
        <f>SUMIF(BALANCE!$A$2:$A$67,"4093*",BALANCE!$F$2:$F$67)</f>
        <v/>
      </c>
      <c r="C16" s="15">
        <f>SUMIF(BALANCE_N1!$A$2:$A$67,"4093*",BALANCE_N1!$F$2:$F$67)</f>
        <v/>
      </c>
      <c r="D16" s="15">
        <f>B16-C16</f>
        <v/>
      </c>
      <c r="E16" s="19">
        <f>IF(C16=0,"",(B16-C16)/C16)</f>
        <v/>
      </c>
      <c r="F16" s="14" t="n"/>
      <c r="G16" s="14" t="n"/>
      <c r="H16" s="14" t="n"/>
    </row>
    <row r="17">
      <c r="A17" s="12" t="inlineStr">
        <is>
          <t>Autres fournisseurs débiteurs</t>
        </is>
      </c>
      <c r="B17" s="13">
        <f>SUMIF(BALANCE!$A$2:$A$67,"4094*",BALANCE!$F$2:$F$67)+SUMIF(BALANCE!$A$2:$A$67,"4098*",BALANCE!$F$2:$F$67)</f>
        <v/>
      </c>
      <c r="C17" s="13">
        <f>SUMIF(BALANCE_N1!$A$2:$A$67,"4094*",BALANCE_N1!$F$2:$F$67)+SUMIF(BALANCE_N1!$A$2:$A$67,"4098*",BALANCE_N1!$F$2:$F$67)</f>
        <v/>
      </c>
      <c r="D17" s="13">
        <f>B17-C17</f>
        <v/>
      </c>
      <c r="E17" s="20">
        <f>IF(C17=0,"",(B17-C17)/C17)</f>
        <v/>
      </c>
      <c r="F17" s="12" t="n"/>
      <c r="G17" s="12" t="n"/>
      <c r="H17" s="12" t="n"/>
    </row>
    <row r="18">
      <c r="A18" s="10" t="inlineStr">
        <is>
          <t>TOTAL FOURNISSEURS DÉBITEURS</t>
        </is>
      </c>
      <c r="B18" s="11">
        <f>SUM(B15:B17)</f>
        <v/>
      </c>
      <c r="C18" s="11">
        <f>SUM(C15:C17)</f>
        <v/>
      </c>
      <c r="D18" s="11">
        <f>B18-C18</f>
        <v/>
      </c>
      <c r="E18" s="21">
        <f>IF(C18=0,"",(B18-C18)/C18)</f>
        <v/>
      </c>
      <c r="F18" s="11" t="n"/>
      <c r="G18" s="11" t="n"/>
      <c r="H18" s="11" t="n"/>
    </row>
  </sheetData>
  <mergeCells count="2">
    <mergeCell ref="A2:H2"/>
    <mergeCell ref="A1:H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20</t>
        </is>
      </c>
    </row>
    <row r="2">
      <c r="A2" s="2" t="inlineStr">
        <is>
          <t>DETTES FISCALES ET SOCIALES</t>
        </is>
      </c>
    </row>
    <row r="3"/>
    <row r="4">
      <c r="A4" s="3" t="inlineStr">
        <is>
          <t>Désignation entité : ASSOCIATION ESPOIR</t>
        </is>
      </c>
      <c r="G4" s="3" t="inlineStr">
        <is>
          <t>Exercice clos le : 31/12/2025</t>
        </is>
      </c>
    </row>
    <row r="5">
      <c r="A5" t="inlineStr">
        <is>
          <t>Numéro d'identification : F.92/12.345</t>
        </is>
      </c>
      <c r="G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  <c r="F7" s="9" t="inlineStr">
        <is>
          <t>À un an au plus</t>
        </is>
      </c>
      <c r="G7" s="9" t="inlineStr">
        <is>
          <t>À plus d'un an et deux ans au plus</t>
        </is>
      </c>
      <c r="H7" s="9" t="inlineStr">
        <is>
          <t>À plus de deux ans</t>
        </is>
      </c>
    </row>
    <row r="8">
      <c r="A8" s="14" t="inlineStr">
        <is>
          <t>Personnel, rémunérations dues</t>
        </is>
      </c>
      <c r="B8" s="15">
        <f>SUMIF(BALANCE!$A$2:$A$67,"422*",BALANCE!$G$2:$G$67)</f>
        <v/>
      </c>
      <c r="C8" s="15">
        <f>SUMIF(BALANCE_N1!$A$2:$A$67,"422*",BALANCE_N1!$G$2:$G$67)</f>
        <v/>
      </c>
      <c r="D8" s="15">
        <f>B8-C8</f>
        <v/>
      </c>
      <c r="E8" s="19">
        <f>IF(C8=0,"",(B8-C8)/C8)</f>
        <v/>
      </c>
      <c r="F8" s="14" t="n"/>
      <c r="G8" s="14" t="n"/>
      <c r="H8" s="14" t="n"/>
    </row>
    <row r="9">
      <c r="A9" s="12" t="inlineStr">
        <is>
          <t>Personnel, congés à payer</t>
        </is>
      </c>
      <c r="B9" s="13">
        <f>SUMIF(BALANCE!$A$2:$A$67,"4281*",BALANCE!$G$2:$G$67)</f>
        <v/>
      </c>
      <c r="C9" s="13">
        <f>SUMIF(BALANCE_N1!$A$2:$A$67,"4281*",BALANCE_N1!$G$2:$G$67)</f>
        <v/>
      </c>
      <c r="D9" s="13">
        <f>B9-C9</f>
        <v/>
      </c>
      <c r="E9" s="20">
        <f>IF(C9=0,"",(B9-C9)/C9)</f>
        <v/>
      </c>
      <c r="F9" s="12" t="n"/>
      <c r="G9" s="12" t="n"/>
      <c r="H9" s="12" t="n"/>
    </row>
    <row r="10">
      <c r="A10" s="14" t="inlineStr">
        <is>
          <t>Charges sociales sur congés à payer</t>
        </is>
      </c>
      <c r="B10" s="15">
        <f>SUMIF(BALANCE!$A$2:$A$67,"4382*",BALANCE!$G$2:$G$67)</f>
        <v/>
      </c>
      <c r="C10" s="15">
        <f>SUMIF(BALANCE_N1!$A$2:$A$67,"4382*",BALANCE_N1!$G$2:$G$67)</f>
        <v/>
      </c>
      <c r="D10" s="15">
        <f>B10-C10</f>
        <v/>
      </c>
      <c r="E10" s="19">
        <f>IF(C10=0,"",(B10-C10)/C10)</f>
        <v/>
      </c>
      <c r="F10" s="14" t="n"/>
      <c r="G10" s="14" t="n"/>
      <c r="H10" s="14" t="n"/>
    </row>
    <row r="11">
      <c r="A11" s="12" t="inlineStr">
        <is>
          <t>Autres personnel</t>
        </is>
      </c>
      <c r="B11" s="13">
        <f>SUMIF(BALANCE!$A$2:$A$67,"421*",BALANCE!$G$2:$G$67)+SUMIF(BALANCE!$A$2:$A$67,"425*",BALANCE!$G$2:$G$67)+SUMIF(BALANCE!$A$2:$A$67,"428*",BALANCE!$G$2:$G$67)+SUMIF(BALANCE!$A$2:$A$67,"427*",BALANCE!$G$2:$G$67)+SUMIF(BALANCE!$A$2:$A$67,"424*",BALANCE!$G$2:$G$67)+SUMIF(BALANCE!$A$2:$A$67,"423*",BALANCE!$G$2:$G$67)-SUMIF(BALANCE!$A$2:$A$67,"4281*",BALANCE!$G$2:$G$67)</f>
        <v/>
      </c>
      <c r="C11" s="13">
        <f>SUMIF(BALANCE_N1!$A$2:$A$67,"421*",BALANCE_N1!$G$2:$G$67)+SUMIF(BALANCE_N1!$A$2:$A$67,"425*",BALANCE_N1!$G$2:$G$67)+SUMIF(BALANCE_N1!$A$2:$A$67,"428*",BALANCE_N1!$G$2:$G$67)+SUMIF(BALANCE_N1!$A$2:$A$67,"427*",BALANCE_N1!$G$2:$G$67)+SUMIF(BALANCE_N1!$A$2:$A$67,"424*",BALANCE_N1!$G$2:$G$67)+SUMIF(BALANCE_N1!$A$2:$A$67,"423*",BALANCE_N1!$G$2:$G$67)-SUMIF(BALANCE_N1!$A$2:$A$67,"4281*",BALANCE_N1!$G$2:$G$67)</f>
        <v/>
      </c>
      <c r="D11" s="13">
        <f>B11-C11</f>
        <v/>
      </c>
      <c r="E11" s="20">
        <f>IF(C11=0,"",(B11-C11)/C11)</f>
        <v/>
      </c>
      <c r="F11" s="12" t="n"/>
      <c r="G11" s="12" t="n"/>
      <c r="H11" s="12" t="n"/>
    </row>
    <row r="12">
      <c r="A12" s="14" t="inlineStr">
        <is>
          <t>Caisse de sécurité sociale</t>
        </is>
      </c>
      <c r="B12" s="15">
        <f>SUMIF(BALANCE!$A$2:$A$67,"431*",BALANCE!$G$2:$G$67)</f>
        <v/>
      </c>
      <c r="C12" s="15">
        <f>SUMIF(BALANCE_N1!$A$2:$A$67,"431*",BALANCE_N1!$G$2:$G$67)</f>
        <v/>
      </c>
      <c r="D12" s="15">
        <f>B12-C12</f>
        <v/>
      </c>
      <c r="E12" s="19">
        <f>IF(C12=0,"",(B12-C12)/C12)</f>
        <v/>
      </c>
      <c r="F12" s="14" t="n"/>
      <c r="G12" s="14" t="n"/>
      <c r="H12" s="14" t="n"/>
    </row>
    <row r="13">
      <c r="A13" s="12" t="inlineStr">
        <is>
          <t>Caisse de retraite</t>
        </is>
      </c>
      <c r="B13" s="13">
        <f>SUMIF(BALANCE!$A$2:$A$67,"432*",BALANCE!$G$2:$G$67)</f>
        <v/>
      </c>
      <c r="C13" s="13">
        <f>SUMIF(BALANCE_N1!$A$2:$A$67,"432*",BALANCE_N1!$G$2:$G$67)</f>
        <v/>
      </c>
      <c r="D13" s="13">
        <f>B13-C13</f>
        <v/>
      </c>
      <c r="E13" s="20">
        <f>IF(C13=0,"",(B13-C13)/C13)</f>
        <v/>
      </c>
      <c r="F13" s="12" t="n"/>
      <c r="G13" s="12" t="n"/>
      <c r="H13" s="12" t="n"/>
    </row>
    <row r="14">
      <c r="A14" s="14" t="inlineStr">
        <is>
          <t>Mutuelle de santé</t>
        </is>
      </c>
      <c r="B14" s="15">
        <f>SUMIF(BALANCE!$A$2:$A$67,"4331*",BALANCE!$G$2:$G$67)</f>
        <v/>
      </c>
      <c r="C14" s="15">
        <f>SUMIF(BALANCE_N1!$A$2:$A$67,"4331*",BALANCE_N1!$G$2:$G$67)</f>
        <v/>
      </c>
      <c r="D14" s="15">
        <f>B14-C14</f>
        <v/>
      </c>
      <c r="E14" s="19">
        <f>IF(C14=0,"",(B14-C14)/C14)</f>
        <v/>
      </c>
      <c r="F14" s="14" t="n"/>
      <c r="G14" s="14" t="n"/>
      <c r="H14" s="14" t="n"/>
    </row>
    <row r="15">
      <c r="A15" s="12" t="inlineStr">
        <is>
          <t>Assurance retraite</t>
        </is>
      </c>
      <c r="B15" s="13">
        <f>SUMIF(BALANCE!$A$2:$A$67,"4332*",BALANCE!$G$2:$G$67)</f>
        <v/>
      </c>
      <c r="C15" s="13">
        <f>SUMIF(BALANCE_N1!$A$2:$A$67,"4332*",BALANCE_N1!$G$2:$G$67)</f>
        <v/>
      </c>
      <c r="D15" s="13">
        <f>B15-C15</f>
        <v/>
      </c>
      <c r="E15" s="20">
        <f>IF(C15=0,"",(B15-C15)/C15)</f>
        <v/>
      </c>
      <c r="F15" s="12" t="n"/>
      <c r="G15" s="12" t="n"/>
      <c r="H15" s="12" t="n"/>
    </row>
    <row r="16">
      <c r="A16" s="14" t="inlineStr">
        <is>
          <t>Autres charges sociales à payer et cotisations</t>
        </is>
      </c>
      <c r="B16" s="15">
        <f>SUMIF(BALANCE!$A$2:$A$67,"438*",BALANCE!$G$2:$G$67)+SUMIF(BALANCE!$A$2:$A$67,"4333*",BALANCE!$G$2:$G$67)-SUMIF(BALANCE!$A$2:$A$67,"4382*",BALANCE!$G$2:$G$67)</f>
        <v/>
      </c>
      <c r="C16" s="15">
        <f>SUMIF(BALANCE_N1!$A$2:$A$67,"438*",BALANCE_N1!$G$2:$G$67)+SUMIF(BALANCE_N1!$A$2:$A$67,"4333*",BALANCE_N1!$G$2:$G$67)-SUMIF(BALANCE_N1!$A$2:$A$67,"4382*",BALANCE_N1!$G$2:$G$67)</f>
        <v/>
      </c>
      <c r="D16" s="15">
        <f>B16-C16</f>
        <v/>
      </c>
      <c r="E16" s="19">
        <f>IF(C16=0,"",(B16-C16)/C16)</f>
        <v/>
      </c>
      <c r="F16" s="14" t="n"/>
      <c r="G16" s="14" t="n"/>
      <c r="H16" s="14" t="n"/>
    </row>
    <row r="17">
      <c r="A17" s="10" t="inlineStr">
        <is>
          <t>TOTAL DETTES SOCIALES</t>
        </is>
      </c>
      <c r="B17" s="11">
        <f>SUM(B8:B16)</f>
        <v/>
      </c>
      <c r="C17" s="11">
        <f>SUM(C8:C16)</f>
        <v/>
      </c>
      <c r="D17" s="11">
        <f>B17-C17</f>
        <v/>
      </c>
      <c r="E17" s="21">
        <f>IF(C17=0,"",(B17-C17)/C17)</f>
        <v/>
      </c>
      <c r="F17" s="11" t="n"/>
      <c r="G17" s="11" t="n"/>
      <c r="H17" s="11" t="n"/>
    </row>
    <row r="18">
      <c r="A18" s="14" t="inlineStr">
        <is>
          <t>État, autres impôts et taxes</t>
        </is>
      </c>
      <c r="B18" s="15">
        <f>SUMIF(BALANCE!$A$2:$A$67,"446*",BALANCE!$G$2:$G$67)+SUMIF(BALANCE!$A$2:$A$67,"442*",BALANCE!$G$2:$G$67)</f>
        <v/>
      </c>
      <c r="C18" s="15">
        <f>SUMIF(BALANCE_N1!$A$2:$A$67,"446*",BALANCE_N1!$G$2:$G$67)+SUMIF(BALANCE_N1!$A$2:$A$67,"442*",BALANCE_N1!$G$2:$G$67)</f>
        <v/>
      </c>
      <c r="D18" s="15">
        <f>B18-C18</f>
        <v/>
      </c>
      <c r="E18" s="19">
        <f>IF(C18=0,"",(B18-C18)/C18)</f>
        <v/>
      </c>
      <c r="F18" s="14" t="n"/>
      <c r="G18" s="14" t="n"/>
      <c r="H18" s="14" t="n"/>
    </row>
    <row r="19">
      <c r="A19" s="12" t="inlineStr">
        <is>
          <t>État, TVA</t>
        </is>
      </c>
      <c r="B19" s="13">
        <f>SUMIF(BALANCE!$A$2:$A$67,"443*",BALANCE!$G$2:$G$67)+SUMIF(BALANCE!$A$2:$A$67,"444*",BALANCE!$G$2:$G$67)+SUMIF(BALANCE!$A$2:$A$67,"445*",BALANCE!$G$2:$G$67)</f>
        <v/>
      </c>
      <c r="C19" s="13">
        <f>SUMIF(BALANCE_N1!$A$2:$A$67,"443*",BALANCE_N1!$G$2:$G$67)+SUMIF(BALANCE_N1!$A$2:$A$67,"444*",BALANCE_N1!$G$2:$G$67)+SUMIF(BALANCE_N1!$A$2:$A$67,"445*",BALANCE_N1!$G$2:$G$67)</f>
        <v/>
      </c>
      <c r="D19" s="13">
        <f>B19-C19</f>
        <v/>
      </c>
      <c r="E19" s="20">
        <f>IF(C19=0,"",(B19-C19)/C19)</f>
        <v/>
      </c>
      <c r="F19" s="12" t="n"/>
      <c r="G19" s="12" t="n"/>
      <c r="H19" s="12" t="n"/>
    </row>
    <row r="20">
      <c r="A20" s="14" t="inlineStr">
        <is>
          <t>État, impôts retenus à la source</t>
        </is>
      </c>
      <c r="B20" s="15">
        <f>SUMIF(BALANCE!$A$2:$A$67,"447*",BALANCE!$G$2:$G$67)</f>
        <v/>
      </c>
      <c r="C20" s="15">
        <f>SUMIF(BALANCE_N1!$A$2:$A$67,"447*",BALANCE_N1!$G$2:$G$67)</f>
        <v/>
      </c>
      <c r="D20" s="15">
        <f>B20-C20</f>
        <v/>
      </c>
      <c r="E20" s="19">
        <f>IF(C20=0,"",(B20-C20)/C20)</f>
        <v/>
      </c>
      <c r="F20" s="14" t="n"/>
      <c r="G20" s="14" t="n"/>
      <c r="H20" s="14" t="n"/>
    </row>
    <row r="21">
      <c r="A21" s="12" t="inlineStr">
        <is>
          <t>Autres dettes État</t>
        </is>
      </c>
      <c r="B21" s="13">
        <f>SUMIF(BALANCE!$A$2:$A$67,"449*",BALANCE!$G$2:$G$67)+SUMIF(BALANCE!$A$2:$A$67,"448*",BALANCE!$G$2:$G$67)</f>
        <v/>
      </c>
      <c r="C21" s="13">
        <f>SUMIF(BALANCE_N1!$A$2:$A$67,"449*",BALANCE_N1!$G$2:$G$67)+SUMIF(BALANCE_N1!$A$2:$A$67,"448*",BALANCE_N1!$G$2:$G$67)</f>
        <v/>
      </c>
      <c r="D21" s="13">
        <f>B21-C21</f>
        <v/>
      </c>
      <c r="E21" s="20">
        <f>IF(C21=0,"",(B21-C21)/C21)</f>
        <v/>
      </c>
      <c r="F21" s="12" t="n"/>
      <c r="G21" s="12" t="n"/>
      <c r="H21" s="12" t="n"/>
    </row>
    <row r="22">
      <c r="A22" s="10" t="inlineStr">
        <is>
          <t>TOTAL DETTES FISCALES</t>
        </is>
      </c>
      <c r="B22" s="11">
        <f>SUM(B18:B21)</f>
        <v/>
      </c>
      <c r="C22" s="11">
        <f>SUM(C18:C21)</f>
        <v/>
      </c>
      <c r="D22" s="11">
        <f>B22-C22</f>
        <v/>
      </c>
      <c r="E22" s="21">
        <f>IF(C22=0,"",(B22-C22)/C22)</f>
        <v/>
      </c>
      <c r="F22" s="11" t="n"/>
      <c r="G22" s="11" t="n"/>
      <c r="H22" s="11" t="n"/>
    </row>
    <row r="23">
      <c r="A23" s="10" t="inlineStr">
        <is>
          <t>TOTAL DETTES SOCIALES ET FISCALES</t>
        </is>
      </c>
      <c r="B23" s="11">
        <f>B17+B22</f>
        <v/>
      </c>
      <c r="C23" s="11">
        <f>C17+C22</f>
        <v/>
      </c>
      <c r="D23" s="11">
        <f>B23-C23</f>
        <v/>
      </c>
      <c r="E23" s="21">
        <f>IF(C23=0,"",(B23-C23)/C23)</f>
        <v/>
      </c>
      <c r="F23" s="11" t="n"/>
      <c r="G23" s="11" t="n"/>
      <c r="H23" s="11" t="n"/>
    </row>
    <row r="24"/>
    <row r="25">
      <c r="A25" s="3" t="inlineStr">
        <is>
          <t>Commentaires :</t>
        </is>
      </c>
    </row>
    <row r="26">
      <c r="A26" s="5" t="inlineStr">
        <is>
          <t>• Commenter toute variation significative et les dettes anciennes.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21</t>
        </is>
      </c>
    </row>
    <row r="2">
      <c r="A2" s="2" t="inlineStr">
        <is>
          <t>AUTRES DETTES ET PROVISIONS POUR RISQUES ET CHARGES À COURT TERME</t>
        </is>
      </c>
    </row>
    <row r="3"/>
    <row r="4">
      <c r="A4" s="3" t="inlineStr">
        <is>
          <t>Désignation entité : ASSOCIATION ESPOIR</t>
        </is>
      </c>
      <c r="G4" s="3" t="inlineStr">
        <is>
          <t>Exercice clos le : 31/12/2025</t>
        </is>
      </c>
    </row>
    <row r="5">
      <c r="A5" t="inlineStr">
        <is>
          <t>Numéro d'identification : F.92/12.345</t>
        </is>
      </c>
      <c r="G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  <c r="F7" s="9" t="inlineStr">
        <is>
          <t>À un an au plus</t>
        </is>
      </c>
      <c r="G7" s="9" t="inlineStr">
        <is>
          <t>À plus d'un an et deux ans au plus</t>
        </is>
      </c>
      <c r="H7" s="9" t="inlineStr">
        <is>
          <t>À plus de deux ans</t>
        </is>
      </c>
    </row>
    <row r="8">
      <c r="A8" s="17" t="inlineStr">
        <is>
          <t>Fonds d'administration des projets</t>
        </is>
      </c>
      <c r="B8" s="15" t="n"/>
      <c r="C8" s="15" t="n"/>
      <c r="D8" s="15" t="n"/>
      <c r="E8" s="14" t="n"/>
      <c r="F8" s="14" t="n"/>
      <c r="G8" s="14" t="n"/>
      <c r="H8" s="14" t="n"/>
    </row>
    <row r="9">
      <c r="A9" s="12" t="inlineStr">
        <is>
          <t>Bailleurs de fonds</t>
        </is>
      </c>
      <c r="B9" s="13">
        <f>SUMIF(BALANCE!$A$2:$A$67,"462*",BALANCE!$G$2:$G$67)</f>
        <v/>
      </c>
      <c r="C9" s="13">
        <f>SUMIF(BALANCE_N1!$A$2:$A$67,"462*",BALANCE_N1!$G$2:$G$67)</f>
        <v/>
      </c>
      <c r="D9" s="13">
        <f>B9-C9</f>
        <v/>
      </c>
      <c r="E9" s="20">
        <f>IF(C9=0,"",(B9-C9)/C9)</f>
        <v/>
      </c>
      <c r="F9" s="12" t="n"/>
      <c r="G9" s="12" t="n"/>
      <c r="H9" s="12" t="n"/>
    </row>
    <row r="10">
      <c r="A10" s="14" t="inlineStr">
        <is>
          <t>État</t>
        </is>
      </c>
      <c r="B10" s="15">
        <f>SUMIF(BALANCE!$A$2:$A$67,"463*",BALANCE!$G$2:$G$67)</f>
        <v/>
      </c>
      <c r="C10" s="15">
        <f>SUMIF(BALANCE_N1!$A$2:$A$67,"463*",BALANCE_N1!$G$2:$G$67)</f>
        <v/>
      </c>
      <c r="D10" s="15">
        <f>B10-C10</f>
        <v/>
      </c>
      <c r="E10" s="19">
        <f>IF(C10=0,"",(B10-C10)/C10)</f>
        <v/>
      </c>
      <c r="F10" s="14" t="n"/>
      <c r="G10" s="14" t="n"/>
      <c r="H10" s="14" t="n"/>
    </row>
    <row r="11">
      <c r="A11" s="12" t="inlineStr">
        <is>
          <t>Autres organismes de financement assimilés</t>
        </is>
      </c>
      <c r="B11" s="13">
        <f>SUMIF(BALANCE!$A$2:$A$67,"464*",BALANCE!$G$2:$G$67)</f>
        <v/>
      </c>
      <c r="C11" s="13">
        <f>SUMIF(BALANCE_N1!$A$2:$A$67,"464*",BALANCE_N1!$G$2:$G$67)</f>
        <v/>
      </c>
      <c r="D11" s="13">
        <f>B11-C11</f>
        <v/>
      </c>
      <c r="E11" s="20">
        <f>IF(C11=0,"",(B11-C11)/C11)</f>
        <v/>
      </c>
      <c r="F11" s="12" t="n"/>
      <c r="G11" s="12" t="n"/>
      <c r="H11" s="12" t="n"/>
    </row>
    <row r="12">
      <c r="A12" s="10" t="inlineStr">
        <is>
          <t>TOTAL BAILLEURS, FONDS D'ADMINISTRATION</t>
        </is>
      </c>
      <c r="B12" s="11">
        <f>SUM(B9:B11)</f>
        <v/>
      </c>
      <c r="C12" s="11">
        <f>SUM(C9:C11)</f>
        <v/>
      </c>
      <c r="D12" s="11">
        <f>B12-C12</f>
        <v/>
      </c>
      <c r="E12" s="21">
        <f>IF(C12=0,"",(B12-C12)/C12)</f>
        <v/>
      </c>
      <c r="F12" s="11" t="n"/>
      <c r="G12" s="11" t="n"/>
      <c r="H12" s="11" t="n"/>
    </row>
    <row r="13">
      <c r="A13" s="12" t="inlineStr">
        <is>
          <t>Créditeurs divers</t>
        </is>
      </c>
      <c r="B13" s="13">
        <f>SUMIF(BALANCE!$A$2:$A$67,"4712*",BALANCE!$G$2:$G$67)+SUMIF(BALANCE!$A$2:$A$67,"4717*",BALANCE!$G$2:$G$67)+SUMIF(BALANCE!$A$2:$A$67,"4711*",BALANCE!$G$2:$G$67)+SUMIF(BALANCE!$A$2:$A$67,"4719*",BALANCE!$G$2:$G$67)</f>
        <v/>
      </c>
      <c r="C13" s="13">
        <f>SUMIF(BALANCE_N1!$A$2:$A$67,"4712*",BALANCE_N1!$G$2:$G$67)+SUMIF(BALANCE_N1!$A$2:$A$67,"4717*",BALANCE_N1!$G$2:$G$67)+SUMIF(BALANCE_N1!$A$2:$A$67,"4711*",BALANCE_N1!$G$2:$G$67)+SUMIF(BALANCE_N1!$A$2:$A$67,"4719*",BALANCE_N1!$G$2:$G$67)</f>
        <v/>
      </c>
      <c r="D13" s="13">
        <f>B13-C13</f>
        <v/>
      </c>
      <c r="E13" s="20">
        <f>IF(C13=0,"",(B13-C13)/C13)</f>
        <v/>
      </c>
      <c r="F13" s="12" t="n"/>
      <c r="G13" s="12" t="n"/>
      <c r="H13" s="12" t="n"/>
    </row>
    <row r="14">
      <c r="A14" s="14" t="inlineStr">
        <is>
          <t>Créditeurs, dons en nature courants non consommés</t>
        </is>
      </c>
      <c r="B14" s="15">
        <f>SUMIF(BALANCE!$A$2:$A$67,"4713*",BALANCE!$G$2:$G$67)</f>
        <v/>
      </c>
      <c r="C14" s="15">
        <f>SUMIF(BALANCE_N1!$A$2:$A$67,"4713*",BALANCE_N1!$G$2:$G$67)</f>
        <v/>
      </c>
      <c r="D14" s="15">
        <f>B14-C14</f>
        <v/>
      </c>
      <c r="E14" s="19">
        <f>IF(C14=0,"",(B14-C14)/C14)</f>
        <v/>
      </c>
      <c r="F14" s="14" t="n"/>
      <c r="G14" s="14" t="n"/>
      <c r="H14" s="14" t="n"/>
    </row>
    <row r="15">
      <c r="A15" s="12" t="inlineStr">
        <is>
          <t>Versements restant à effectuer sur titres de placement non libérés</t>
        </is>
      </c>
      <c r="B15" s="13">
        <f>SUMIF(BALANCE!$A$2:$A$67,"4726*",BALANCE!$G$2:$G$67)</f>
        <v/>
      </c>
      <c r="C15" s="13">
        <f>SUMIF(BALANCE_N1!$A$2:$A$67,"4726*",BALANCE_N1!$G$2:$G$67)</f>
        <v/>
      </c>
      <c r="D15" s="13">
        <f>B15-C15</f>
        <v/>
      </c>
      <c r="E15" s="20">
        <f>IF(C15=0,"",(B15-C15)/C15)</f>
        <v/>
      </c>
      <c r="F15" s="12" t="n"/>
      <c r="G15" s="12" t="n"/>
      <c r="H15" s="12" t="n"/>
    </row>
    <row r="16">
      <c r="A16" s="14" t="inlineStr">
        <is>
          <t>Générosités financières à recevoir</t>
        </is>
      </c>
      <c r="B16" s="15">
        <f>SUMIF(BALANCE!$A$2:$A$67,"475*",BALANCE!$G$2:$G$67)</f>
        <v/>
      </c>
      <c r="C16" s="15">
        <f>SUMIF(BALANCE_N1!$A$2:$A$67,"475*",BALANCE_N1!$G$2:$G$67)</f>
        <v/>
      </c>
      <c r="D16" s="15">
        <f>B16-C16</f>
        <v/>
      </c>
      <c r="E16" s="19">
        <f>IF(C16=0,"",(B16-C16)/C16)</f>
        <v/>
      </c>
      <c r="F16" s="14" t="n"/>
      <c r="G16" s="14" t="n"/>
      <c r="H16" s="14" t="n"/>
    </row>
    <row r="17">
      <c r="A17" s="12" t="inlineStr">
        <is>
          <t>Autres créditeurs divers</t>
        </is>
      </c>
      <c r="B17" s="13">
        <f>SUMIF(BALANCE!$A$2:$A$67,"45*",BALANCE!$G$2:$G$67)+SUMIF(BALANCE!$A$2:$A$67,"474*",BALANCE!$G$2:$G$67)+SUMIF(BALANCE!$A$2:$A$67,"477*",BALANCE!$G$2:$G$67)+SUMIF(BALANCE!$A$2:$A$67,"473*",BALANCE!$G$2:$G$67)+SUMIF(BALANCE!$A$2:$A$67,"476*",BALANCE!$G$2:$G$67)+SUMIF(BALANCE!$A$2:$A$67,"4721*",BALANCE!$G$2:$G$67)</f>
        <v/>
      </c>
      <c r="C17" s="13">
        <f>SUMIF(BALANCE_N1!$A$2:$A$67,"45*",BALANCE_N1!$G$2:$G$67)+SUMIF(BALANCE_N1!$A$2:$A$67,"474*",BALANCE_N1!$G$2:$G$67)+SUMIF(BALANCE_N1!$A$2:$A$67,"477*",BALANCE_N1!$G$2:$G$67)+SUMIF(BALANCE_N1!$A$2:$A$67,"473*",BALANCE_N1!$G$2:$G$67)+SUMIF(BALANCE_N1!$A$2:$A$67,"476*",BALANCE_N1!$G$2:$G$67)+SUMIF(BALANCE_N1!$A$2:$A$67,"4721*",BALANCE_N1!$G$2:$G$67)</f>
        <v/>
      </c>
      <c r="D17" s="13">
        <f>B17-C17</f>
        <v/>
      </c>
      <c r="E17" s="20">
        <f>IF(C17=0,"",(B17-C17)/C17)</f>
        <v/>
      </c>
      <c r="F17" s="12" t="n"/>
      <c r="G17" s="12" t="n"/>
      <c r="H17" s="12" t="n"/>
    </row>
    <row r="18">
      <c r="A18" s="10" t="inlineStr">
        <is>
          <t>TOTAL CRÉDITEURS DIVERS</t>
        </is>
      </c>
      <c r="B18" s="11">
        <f>SUM(B13:B17)</f>
        <v/>
      </c>
      <c r="C18" s="11">
        <f>SUM(C13:C17)</f>
        <v/>
      </c>
      <c r="D18" s="11">
        <f>B18-C18</f>
        <v/>
      </c>
      <c r="E18" s="21">
        <f>IF(C18=0,"",(B18-C18)/C18)</f>
        <v/>
      </c>
      <c r="F18" s="11" t="n"/>
      <c r="G18" s="11" t="n"/>
      <c r="H18" s="11" t="n"/>
    </row>
    <row r="19">
      <c r="A19" s="10" t="inlineStr">
        <is>
          <t>TOTAL AUTRES DETTES</t>
        </is>
      </c>
      <c r="B19" s="11">
        <f>B12+B18</f>
        <v/>
      </c>
      <c r="C19" s="11">
        <f>C12+C18</f>
        <v/>
      </c>
      <c r="D19" s="11">
        <f>B19-C19</f>
        <v/>
      </c>
      <c r="E19" s="21">
        <f>IF(C19=0,"",(B19-C19)/C19)</f>
        <v/>
      </c>
      <c r="F19" s="11" t="n"/>
      <c r="G19" s="11" t="n"/>
      <c r="H19" s="11" t="n"/>
    </row>
    <row r="20">
      <c r="A20" s="14" t="n"/>
      <c r="B20" s="15" t="n"/>
      <c r="C20" s="15" t="n"/>
      <c r="D20" s="15" t="n"/>
      <c r="E20" s="14" t="n"/>
      <c r="F20" s="14" t="n"/>
      <c r="G20" s="14" t="n"/>
      <c r="H20" s="14" t="n"/>
    </row>
    <row r="21">
      <c r="A21" s="12" t="inlineStr">
        <is>
          <t>Provisions pour risques et charges à court terme (voir note 30)</t>
        </is>
      </c>
      <c r="B21" s="13">
        <f>SUMIF(BALANCE!$A$2:$A$67,"499*",BALANCE!$G$2:$G$67)-SUMIF(BALANCE!$A$2:$A$67,"499*",BALANCE!$F$2:$F$67)-SUMIF(BALANCE!$A$2:$A$67,"599*",BALANCE!$G$2:$G$67)+SUMIF(BALANCE!$A$2:$A$67,"599*",BALANCE!$F$2:$F$67)-SUMIF(BALANCE!$A$2:$A$67,"4998*",BALANCE!$G$2:$G$67)+SUMIF(BALANCE!$A$2:$A$67,"4998*",BALANCE!$F$2:$F$67)</f>
        <v/>
      </c>
      <c r="C21" s="13">
        <f>SUMIF(BALANCE_N1!$A$2:$A$67,"499*",BALANCE_N1!$G$2:$G$67)-SUMIF(BALANCE_N1!$A$2:$A$67,"499*",BALANCE_N1!$F$2:$F$67)-SUMIF(BALANCE_N1!$A$2:$A$67,"599*",BALANCE_N1!$G$2:$G$67)+SUMIF(BALANCE_N1!$A$2:$A$67,"599*",BALANCE_N1!$F$2:$F$67)-SUMIF(BALANCE_N1!$A$2:$A$67,"4998*",BALANCE_N1!$G$2:$G$67)+SUMIF(BALANCE_N1!$A$2:$A$67,"4998*",BALANCE_N1!$F$2:$F$67)</f>
        <v/>
      </c>
      <c r="D21" s="13">
        <f>B21-C21</f>
        <v/>
      </c>
      <c r="E21" s="20">
        <f>IF(C21=0,"",(B21-C21)/C21)</f>
        <v/>
      </c>
      <c r="F21" s="12" t="n"/>
      <c r="G21" s="12" t="n"/>
      <c r="H21" s="12" t="n"/>
    </row>
    <row r="22"/>
    <row r="23">
      <c r="A23" s="3" t="inlineStr">
        <is>
          <t>Commentaires :</t>
        </is>
      </c>
    </row>
    <row r="24">
      <c r="A24" s="5" t="inlineStr">
        <is>
          <t>• Commenter toute variation significative et les dettes anciennes.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22</t>
        </is>
      </c>
    </row>
    <row r="2">
      <c r="A2" s="2" t="inlineStr">
        <is>
          <t>BANQUES, CRÉDIT D'ESCOMPTE ET DE TRÉSORERIE</t>
        </is>
      </c>
    </row>
    <row r="3"/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Banques locales</t>
        </is>
      </c>
      <c r="B8" s="15">
        <f>SUMIF(BALANCE!$A$2:$A$67,"521*",BALANCE!$G$2:$G$67)</f>
        <v/>
      </c>
      <c r="C8" s="15">
        <f>SUMIF(BALANCE_N1!$A$2:$A$67,"521*",BALANCE_N1!$G$2:$G$67)</f>
        <v/>
      </c>
      <c r="D8" s="15">
        <f>B8-C8</f>
        <v/>
      </c>
      <c r="E8" s="19">
        <f>IF(C8=0,"",(B8-C8)/C8)</f>
        <v/>
      </c>
    </row>
    <row r="9">
      <c r="A9" s="12" t="inlineStr">
        <is>
          <t>Banques autres États région</t>
        </is>
      </c>
      <c r="B9" s="13">
        <f>SUMIF(BALANCE!$A$2:$A$67,"522*",BALANCE!$G$2:$G$67)</f>
        <v/>
      </c>
      <c r="C9" s="13">
        <f>SUMIF(BALANCE_N1!$A$2:$A$67,"522*",BALANCE_N1!$G$2:$G$67)</f>
        <v/>
      </c>
      <c r="D9" s="13">
        <f>B9-C9</f>
        <v/>
      </c>
      <c r="E9" s="20">
        <f>IF(C9=0,"",(B9-C9)/C9)</f>
        <v/>
      </c>
    </row>
    <row r="10">
      <c r="A10" s="14" t="inlineStr">
        <is>
          <t>Autres banques</t>
        </is>
      </c>
      <c r="B10" s="15">
        <f>SUMIF(BALANCE!$A$2:$A$67,"525*",BALANCE!$G$2:$G$67)+SUMIF(BALANCE!$A$2:$A$67,"524*",BALANCE!$G$2:$G$67)+SUMIF(BALANCE!$A$2:$A$67,"523*",BALANCE!$G$2:$G$67)</f>
        <v/>
      </c>
      <c r="C10" s="15">
        <f>SUMIF(BALANCE_N1!$A$2:$A$67,"525*",BALANCE_N1!$G$2:$G$67)+SUMIF(BALANCE_N1!$A$2:$A$67,"524*",BALANCE_N1!$G$2:$G$67)+SUMIF(BALANCE_N1!$A$2:$A$67,"523*",BALANCE_N1!$G$2:$G$67)</f>
        <v/>
      </c>
      <c r="D10" s="15">
        <f>B10-C10</f>
        <v/>
      </c>
      <c r="E10" s="19">
        <f>IF(C10=0,"",(B10-C10)/C10)</f>
        <v/>
      </c>
    </row>
    <row r="11">
      <c r="A11" s="12" t="inlineStr">
        <is>
          <t>Banques, intérêts courus</t>
        </is>
      </c>
      <c r="B11" s="13">
        <f>SUMIF(BALANCE!$A$2:$A$67,"526*",BALANCE!$G$2:$G$67)+SUMIF(BALANCE!$A$2:$A$67,"566*",BALANCE!$G$2:$G$67)</f>
        <v/>
      </c>
      <c r="C11" s="13">
        <f>SUMIF(BALANCE_N1!$A$2:$A$67,"526*",BALANCE_N1!$G$2:$G$67)+SUMIF(BALANCE_N1!$A$2:$A$67,"566*",BALANCE_N1!$G$2:$G$67)</f>
        <v/>
      </c>
      <c r="D11" s="13">
        <f>B11-C11</f>
        <v/>
      </c>
      <c r="E11" s="20">
        <f>IF(C11=0,"",(B11-C11)/C11)</f>
        <v/>
      </c>
    </row>
    <row r="12">
      <c r="A12" s="14" t="inlineStr">
        <is>
          <t>Crédit de trésorerie et d'escompte</t>
        </is>
      </c>
      <c r="B12" s="15">
        <f>SUMIF(BALANCE!$A$2:$A$67,"561*",BALANCE!$G$2:$G$67)+SUMIF(BALANCE!$A$2:$A$67,"565*",BALANCE!$G$2:$G$67)</f>
        <v/>
      </c>
      <c r="C12" s="15">
        <f>SUMIF(BALANCE_N1!$A$2:$A$67,"561*",BALANCE_N1!$G$2:$G$67)+SUMIF(BALANCE_N1!$A$2:$A$67,"565*",BALANCE_N1!$G$2:$G$67)</f>
        <v/>
      </c>
      <c r="D12" s="15">
        <f>B12-C12</f>
        <v/>
      </c>
      <c r="E12" s="19">
        <f>IF(C12=0,"",(B12-C12)/C12)</f>
        <v/>
      </c>
    </row>
    <row r="13">
      <c r="A13" s="10" t="inlineStr">
        <is>
          <t>TOTAL : BANQUES, CRÉDITS DE TRÉSORERIE</t>
        </is>
      </c>
      <c r="B13" s="11">
        <f>SUM(B8:B12)</f>
        <v/>
      </c>
      <c r="C13" s="11">
        <f>SUM(C8:C12)</f>
        <v/>
      </c>
      <c r="D13" s="11">
        <f>B13-C13</f>
        <v/>
      </c>
      <c r="E13" s="21">
        <f>IF(C13=0,"",(B13-C13)/C13)</f>
        <v/>
      </c>
    </row>
    <row r="14"/>
    <row r="15">
      <c r="A15" s="3" t="inlineStr">
        <is>
          <t>Commentaires :</t>
        </is>
      </c>
    </row>
    <row r="16">
      <c r="A16" s="5" t="inlineStr">
        <is>
          <t>• Indiquer l'organisme, les conditions de crédit, le taux d'intérêt, la durée. NB : « Banques, intérêts courus » figure ici si le compte principal attaché est créditeur.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23</t>
        </is>
      </c>
    </row>
    <row r="2">
      <c r="A2" s="2" t="inlineStr">
        <is>
          <t>REVENUS ET AUTRES PRODUITS</t>
        </is>
      </c>
    </row>
    <row r="3"/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Cotisations des adhérents</t>
        </is>
      </c>
      <c r="B8" s="15">
        <f>SUMIF(BALANCE!$A$2:$A$67,"701*",BALANCE!$G$2:$G$67)-SUMIF(BALANCE!$A$2:$A$67,"701*",BALANCE!$F$2:$F$67)</f>
        <v/>
      </c>
      <c r="C8" s="15">
        <f>SUMIF(BALANCE_N1!$A$2:$A$67,"701*",BALANCE_N1!$G$2:$G$67)-SUMIF(BALANCE_N1!$A$2:$A$67,"701*",BALANCE_N1!$F$2:$F$67)</f>
        <v/>
      </c>
      <c r="D8" s="15">
        <f>B8-C8</f>
        <v/>
      </c>
      <c r="E8" s="19">
        <f>IF(C8=0,"",(B8-C8)/C8)</f>
        <v/>
      </c>
    </row>
    <row r="9">
      <c r="A9" s="12" t="inlineStr">
        <is>
          <t>Quote-part de dotation consomptible transférée</t>
        </is>
      </c>
      <c r="B9" s="13">
        <f>SUMIF(BALANCE!$A$2:$A$67,"703*",BALANCE!$G$2:$G$67)-SUMIF(BALANCE!$A$2:$A$67,"703*",BALANCE!$F$2:$F$67)</f>
        <v/>
      </c>
      <c r="C9" s="13">
        <f>SUMIF(BALANCE_N1!$A$2:$A$67,"703*",BALANCE_N1!$G$2:$G$67)-SUMIF(BALANCE_N1!$A$2:$A$67,"703*",BALANCE_N1!$F$2:$F$67)</f>
        <v/>
      </c>
      <c r="D9" s="13">
        <f>B9-C9</f>
        <v/>
      </c>
      <c r="E9" s="20">
        <f>IF(C9=0,"",(B9-C9)/C9)</f>
        <v/>
      </c>
    </row>
    <row r="10">
      <c r="A10" s="14" t="inlineStr">
        <is>
          <t>Revenus liés à la générosité</t>
        </is>
      </c>
      <c r="B10" s="15">
        <f>SUMIF(BALANCE!$A$2:$A$67,"704*",BALANCE!$G$2:$G$67)-SUMIF(BALANCE!$A$2:$A$67,"704*",BALANCE!$F$2:$F$67)</f>
        <v/>
      </c>
      <c r="C10" s="15">
        <f>SUMIF(BALANCE_N1!$A$2:$A$67,"704*",BALANCE_N1!$G$2:$G$67)-SUMIF(BALANCE_N1!$A$2:$A$67,"704*",BALANCE_N1!$F$2:$F$67)</f>
        <v/>
      </c>
      <c r="D10" s="15">
        <f>B10-C10</f>
        <v/>
      </c>
      <c r="E10" s="19">
        <f>IF(C10=0,"",(B10-C10)/C10)</f>
        <v/>
      </c>
    </row>
    <row r="11">
      <c r="A11" s="12" t="inlineStr">
        <is>
          <t>Ventes de marchandises, services et produits finis</t>
        </is>
      </c>
      <c r="B11" s="13">
        <f>SUMIF(BALANCE!$A$2:$A$67,"705*",BALANCE!$G$2:$G$67)-SUMIF(BALANCE!$A$2:$A$67,"705*",BALANCE!$F$2:$F$67)</f>
        <v/>
      </c>
      <c r="C11" s="13">
        <f>SUMIF(BALANCE_N1!$A$2:$A$67,"705*",BALANCE_N1!$G$2:$G$67)-SUMIF(BALANCE_N1!$A$2:$A$67,"705*",BALANCE_N1!$F$2:$F$67)</f>
        <v/>
      </c>
      <c r="D11" s="13">
        <f>B11-C11</f>
        <v/>
      </c>
      <c r="E11" s="20">
        <f>IF(C11=0,"",(B11-C11)/C11)</f>
        <v/>
      </c>
    </row>
    <row r="12">
      <c r="A12" s="14" t="inlineStr">
        <is>
          <t>Revenus des manifestations</t>
        </is>
      </c>
      <c r="B12" s="15">
        <f>SUMIF(BALANCE!$A$2:$A$67,"706*",BALANCE!$G$2:$G$67)-SUMIF(BALANCE!$A$2:$A$67,"706*",BALANCE!$F$2:$F$67)</f>
        <v/>
      </c>
      <c r="C12" s="15">
        <f>SUMIF(BALANCE_N1!$A$2:$A$67,"706*",BALANCE_N1!$G$2:$G$67)-SUMIF(BALANCE_N1!$A$2:$A$67,"706*",BALANCE_N1!$F$2:$F$67)</f>
        <v/>
      </c>
      <c r="D12" s="15">
        <f>B12-C12</f>
        <v/>
      </c>
      <c r="E12" s="19">
        <f>IF(C12=0,"",(B12-C12)/C12)</f>
        <v/>
      </c>
    </row>
    <row r="13">
      <c r="A13" s="12" t="inlineStr">
        <is>
          <t>Autres revenus</t>
        </is>
      </c>
      <c r="B13" s="13">
        <f>SUMIF(BALANCE!$A$2:$A$67,"708*",BALANCE!$G$2:$G$67)-SUMIF(BALANCE!$A$2:$A$67,"708*",BALANCE!$F$2:$F$67)+SUMIF(BALANCE!$A$2:$A$67,"707*",BALANCE!$G$2:$G$67)-SUMIF(BALANCE!$A$2:$A$67,"707*",BALANCE!$F$2:$F$67)+SUMIF(BALANCE!$A$2:$A$67,"702*",BALANCE!$G$2:$G$67)-SUMIF(BALANCE!$A$2:$A$67,"702*",BALANCE!$F$2:$F$67)</f>
        <v/>
      </c>
      <c r="C13" s="13">
        <f>SUMIF(BALANCE_N1!$A$2:$A$67,"708*",BALANCE_N1!$G$2:$G$67)-SUMIF(BALANCE_N1!$A$2:$A$67,"708*",BALANCE_N1!$F$2:$F$67)+SUMIF(BALANCE_N1!$A$2:$A$67,"707*",BALANCE_N1!$G$2:$G$67)-SUMIF(BALANCE_N1!$A$2:$A$67,"707*",BALANCE_N1!$F$2:$F$67)+SUMIF(BALANCE_N1!$A$2:$A$67,"702*",BALANCE_N1!$G$2:$G$67)-SUMIF(BALANCE_N1!$A$2:$A$67,"702*",BALANCE_N1!$F$2:$F$67)</f>
        <v/>
      </c>
      <c r="D13" s="13">
        <f>B13-C13</f>
        <v/>
      </c>
      <c r="E13" s="20">
        <f>IF(C13=0,"",(B13-C13)/C13)</f>
        <v/>
      </c>
    </row>
    <row r="14">
      <c r="A14" s="10" t="inlineStr">
        <is>
          <t>TOTAL : REVENUS</t>
        </is>
      </c>
      <c r="B14" s="11">
        <f>SUM(B8:B13)</f>
        <v/>
      </c>
      <c r="C14" s="11">
        <f>SUM(C8:C13)</f>
        <v/>
      </c>
      <c r="D14" s="11">
        <f>B14-C14</f>
        <v/>
      </c>
      <c r="E14" s="21">
        <f>IF(C14=0,"",(B14-C14)/C14)</f>
        <v/>
      </c>
    </row>
    <row r="15">
      <c r="A15" s="12" t="inlineStr">
        <is>
          <t>Subventions d'exploitation</t>
        </is>
      </c>
      <c r="B15" s="13">
        <f>SUMIF(BALANCE!$A$2:$A$67,"71*",BALANCE!$G$2:$G$67)-SUMIF(BALANCE!$A$2:$A$67,"71*",BALANCE!$F$2:$F$67)</f>
        <v/>
      </c>
      <c r="C15" s="13">
        <f>SUMIF(BALANCE_N1!$A$2:$A$67,"71*",BALANCE_N1!$G$2:$G$67)-SUMIF(BALANCE_N1!$A$2:$A$67,"71*",BALANCE_N1!$F$2:$F$67)</f>
        <v/>
      </c>
      <c r="D15" s="13">
        <f>B15-C15</f>
        <v/>
      </c>
      <c r="E15" s="20">
        <f>IF(C15=0,"",(B15-C15)/C15)</f>
        <v/>
      </c>
    </row>
    <row r="16">
      <c r="A16" s="14" t="inlineStr">
        <is>
          <t>Autres produits et transferts de charges d'exploitation</t>
        </is>
      </c>
      <c r="B16" s="15">
        <f>SUMIF(BALANCE!$A$2:$A$67,"72*",BALANCE!$G$2:$G$67)-SUMIF(BALANCE!$A$2:$A$67,"72*",BALANCE!$F$2:$F$67)+SUMIF(BALANCE!$A$2:$A$67,"73*",BALANCE!$G$2:$G$67)-SUMIF(BALANCE!$A$2:$A$67,"73*",BALANCE!$F$2:$F$67)+SUMIF(BALANCE!$A$2:$A$67,"75*",BALANCE!$G$2:$G$67)-SUMIF(BALANCE!$A$2:$A$67,"75*",BALANCE!$F$2:$F$67)+SUMIF(BALANCE!$A$2:$A$67,"77*",BALANCE!$G$2:$G$67)-SUMIF(BALANCE!$A$2:$A$67,"77*",BALANCE!$F$2:$F$67)+SUMIF(BALANCE!$A$2:$A$67,"78*",BALANCE!$G$2:$G$67)-SUMIF(BALANCE!$A$2:$A$67,"78*",BALANCE!$F$2:$F$67)</f>
        <v/>
      </c>
      <c r="C16" s="15">
        <f>SUMIF(BALANCE_N1!$A$2:$A$67,"72*",BALANCE_N1!$G$2:$G$67)-SUMIF(BALANCE_N1!$A$2:$A$67,"72*",BALANCE_N1!$F$2:$F$67)+SUMIF(BALANCE_N1!$A$2:$A$67,"73*",BALANCE_N1!$G$2:$G$67)-SUMIF(BALANCE_N1!$A$2:$A$67,"73*",BALANCE_N1!$F$2:$F$67)+SUMIF(BALANCE_N1!$A$2:$A$67,"75*",BALANCE_N1!$G$2:$G$67)-SUMIF(BALANCE_N1!$A$2:$A$67,"75*",BALANCE_N1!$F$2:$F$67)+SUMIF(BALANCE_N1!$A$2:$A$67,"77*",BALANCE_N1!$G$2:$G$67)-SUMIF(BALANCE_N1!$A$2:$A$67,"77*",BALANCE_N1!$F$2:$F$67)+SUMIF(BALANCE_N1!$A$2:$A$67,"78*",BALANCE_N1!$G$2:$G$67)-SUMIF(BALANCE_N1!$A$2:$A$67,"78*",BALANCE_N1!$F$2:$F$67)</f>
        <v/>
      </c>
      <c r="D16" s="15">
        <f>B16-C16</f>
        <v/>
      </c>
      <c r="E16" s="19">
        <f>IF(C16=0,"",(B16-C16)/C16)</f>
        <v/>
      </c>
    </row>
    <row r="17">
      <c r="A17" s="10" t="inlineStr">
        <is>
          <t>TOTAL : SUBVENTIONS D'EXPLOITATION ET AUTRES PRODUITS</t>
        </is>
      </c>
      <c r="B17" s="11">
        <f>SUM(B15:B16)</f>
        <v/>
      </c>
      <c r="C17" s="11">
        <f>SUM(C15:C16)</f>
        <v/>
      </c>
      <c r="D17" s="11">
        <f>B17-C17</f>
        <v/>
      </c>
      <c r="E17" s="21">
        <f>IF(C17=0,"",(B17-C17)/C17)</f>
        <v/>
      </c>
    </row>
    <row r="18">
      <c r="A18" s="10" t="inlineStr">
        <is>
          <t>TOTAL</t>
        </is>
      </c>
      <c r="B18" s="11">
        <f>B14+B17</f>
        <v/>
      </c>
      <c r="C18" s="11">
        <f>C14+C17</f>
        <v/>
      </c>
      <c r="D18" s="11">
        <f>B18-C18</f>
        <v/>
      </c>
      <c r="E18" s="21">
        <f>IF(C18=0,"",(B18-C18)/C18)</f>
        <v/>
      </c>
    </row>
    <row r="19"/>
    <row r="20">
      <c r="A20" s="3" t="inlineStr">
        <is>
          <t>Commentaires :</t>
        </is>
      </c>
    </row>
    <row r="21">
      <c r="A21" s="5" t="inlineStr">
        <is>
          <t>• Justifier toute variation significative ; détailler les revenus liés à la générosité (dons, legs, deniers du culte, zakat, célébrations, mécénat, parrainage).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24</t>
        </is>
      </c>
    </row>
    <row r="2">
      <c r="A2" s="2" t="inlineStr">
        <is>
          <t>ACHATS</t>
        </is>
      </c>
    </row>
    <row r="3"/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Achats de biens et services liés à l'activité</t>
        </is>
      </c>
      <c r="B8" s="15">
        <f>SUMIF(BALANCE!$A$2:$A$67,"601*",BALANCE!$F$2:$F$67)-SUMIF(BALANCE!$A$2:$A$67,"601*",BALANCE!$G$2:$G$67)</f>
        <v/>
      </c>
      <c r="C8" s="15">
        <f>SUMIF(BALANCE_N1!$A$2:$A$67,"601*",BALANCE_N1!$F$2:$F$67)-SUMIF(BALANCE_N1!$A$2:$A$67,"601*",BALANCE_N1!$G$2:$G$67)</f>
        <v/>
      </c>
      <c r="D8" s="15">
        <f>B8-C8</f>
        <v/>
      </c>
      <c r="E8" s="19">
        <f>IF(C8=0,"",(B8-C8)/C8)</f>
        <v/>
      </c>
    </row>
    <row r="9">
      <c r="A9" s="10" t="inlineStr">
        <is>
          <t>TOTAL : ACHATS DE BIENS ET SERVICES LIÉS À L'ACTIVITÉ</t>
        </is>
      </c>
      <c r="B9" s="11">
        <f>SUM(B8:B8)</f>
        <v/>
      </c>
      <c r="C9" s="11">
        <f>SUM(C8:C8)</f>
        <v/>
      </c>
      <c r="D9" s="11">
        <f>B9-C9</f>
        <v/>
      </c>
      <c r="E9" s="21">
        <f>IF(C9=0,"",(B9-C9)/C9)</f>
        <v/>
      </c>
    </row>
    <row r="10">
      <c r="A10" s="14" t="inlineStr">
        <is>
          <t>Achats de marchandises et matières premières</t>
        </is>
      </c>
      <c r="B10" s="15">
        <f>SUMIF(BALANCE!$A$2:$A$67,"602*",BALANCE!$F$2:$F$67)-SUMIF(BALANCE!$A$2:$A$67,"602*",BALANCE!$G$2:$G$67)</f>
        <v/>
      </c>
      <c r="C10" s="15">
        <f>SUMIF(BALANCE_N1!$A$2:$A$67,"602*",BALANCE_N1!$F$2:$F$67)-SUMIF(BALANCE_N1!$A$2:$A$67,"602*",BALANCE_N1!$G$2:$G$67)</f>
        <v/>
      </c>
      <c r="D10" s="15">
        <f>B10-C10</f>
        <v/>
      </c>
      <c r="E10" s="19">
        <f>IF(C10=0,"",(B10-C10)/C10)</f>
        <v/>
      </c>
    </row>
    <row r="11">
      <c r="A11" s="10" t="inlineStr">
        <is>
          <t>TOTAL : ACHATS MARCHANDISES ET MATIÈRES PREMIÈRES</t>
        </is>
      </c>
      <c r="B11" s="11">
        <f>SUM(B10:B10)</f>
        <v/>
      </c>
      <c r="C11" s="11">
        <f>SUM(C10:C10)</f>
        <v/>
      </c>
      <c r="D11" s="11">
        <f>B11-C11</f>
        <v/>
      </c>
      <c r="E11" s="21">
        <f>IF(C11=0,"",(B11-C11)/C11)</f>
        <v/>
      </c>
    </row>
    <row r="12">
      <c r="A12" s="14" t="inlineStr">
        <is>
          <t>Matières et fournitures consommables</t>
        </is>
      </c>
      <c r="B12" s="15">
        <f>SUMIF(BALANCE!$A$2:$A$67,"604*",BALANCE!$F$2:$F$67)-SUMIF(BALANCE!$A$2:$A$67,"604*",BALANCE!$G$2:$G$67)</f>
        <v/>
      </c>
      <c r="C12" s="15">
        <f>SUMIF(BALANCE_N1!$A$2:$A$67,"604*",BALANCE_N1!$F$2:$F$67)-SUMIF(BALANCE_N1!$A$2:$A$67,"604*",BALANCE_N1!$G$2:$G$67)</f>
        <v/>
      </c>
      <c r="D12" s="15">
        <f>B12-C12</f>
        <v/>
      </c>
      <c r="E12" s="19">
        <f>IF(C12=0,"",(B12-C12)/C12)</f>
        <v/>
      </c>
    </row>
    <row r="13">
      <c r="A13" s="12" t="inlineStr">
        <is>
          <t>Eau, électricité, énergies et fournitures non stockées</t>
        </is>
      </c>
      <c r="B13" s="13">
        <f>SUMIF(BALANCE!$A$2:$A$67,"605*",BALANCE!$F$2:$F$67)-SUMIF(BALANCE!$A$2:$A$67,"605*",BALANCE!$G$2:$G$67)</f>
        <v/>
      </c>
      <c r="C13" s="13">
        <f>SUMIF(BALANCE_N1!$A$2:$A$67,"605*",BALANCE_N1!$F$2:$F$67)-SUMIF(BALANCE_N1!$A$2:$A$67,"605*",BALANCE_N1!$G$2:$G$67)</f>
        <v/>
      </c>
      <c r="D13" s="13">
        <f>B13-C13</f>
        <v/>
      </c>
      <c r="E13" s="20">
        <f>IF(C13=0,"",(B13-C13)/C13)</f>
        <v/>
      </c>
    </row>
    <row r="14">
      <c r="A14" s="14" t="inlineStr">
        <is>
          <t>Achats autres activités (billetteries, tombolas, voyages...)</t>
        </is>
      </c>
      <c r="B14" s="15">
        <f>SUMIF(BALANCE!$A$2:$A$67,"606*",BALANCE!$F$2:$F$67)-SUMIF(BALANCE!$A$2:$A$67,"606*",BALANCE!$G$2:$G$67)</f>
        <v/>
      </c>
      <c r="C14" s="15">
        <f>SUMIF(BALANCE_N1!$A$2:$A$67,"606*",BALANCE_N1!$F$2:$F$67)-SUMIF(BALANCE_N1!$A$2:$A$67,"606*",BALANCE_N1!$G$2:$G$67)</f>
        <v/>
      </c>
      <c r="D14" s="15">
        <f>B14-C14</f>
        <v/>
      </c>
      <c r="E14" s="19">
        <f>IF(C14=0,"",(B14-C14)/C14)</f>
        <v/>
      </c>
    </row>
    <row r="15">
      <c r="A15" s="12" t="inlineStr">
        <is>
          <t>Achats d'emballages</t>
        </is>
      </c>
      <c r="B15" s="13">
        <f>SUMIF(BALANCE!$A$2:$A$67,"608*",BALANCE!$F$2:$F$67)-SUMIF(BALANCE!$A$2:$A$67,"608*",BALANCE!$G$2:$G$67)</f>
        <v/>
      </c>
      <c r="C15" s="13">
        <f>SUMIF(BALANCE_N1!$A$2:$A$67,"608*",BALANCE_N1!$F$2:$F$67)-SUMIF(BALANCE_N1!$A$2:$A$67,"608*",BALANCE_N1!$G$2:$G$67)</f>
        <v/>
      </c>
      <c r="D15" s="13">
        <f>B15-C15</f>
        <v/>
      </c>
      <c r="E15" s="20">
        <f>IF(C15=0,"",(B15-C15)/C15)</f>
        <v/>
      </c>
    </row>
    <row r="16">
      <c r="A16" s="14" t="inlineStr">
        <is>
          <t>Rabais, remises et ristournes obtenus (-)</t>
        </is>
      </c>
      <c r="B16" s="15">
        <f>SUMIF(BALANCE!$A$2:$A$67,"609*",BALANCE!$F$2:$F$67)-SUMIF(BALANCE!$A$2:$A$67,"609*",BALANCE!$G$2:$G$67)</f>
        <v/>
      </c>
      <c r="C16" s="15">
        <f>SUMIF(BALANCE_N1!$A$2:$A$67,"609*",BALANCE_N1!$F$2:$F$67)-SUMIF(BALANCE_N1!$A$2:$A$67,"609*",BALANCE_N1!$G$2:$G$67)</f>
        <v/>
      </c>
      <c r="D16" s="15">
        <f>B16-C16</f>
        <v/>
      </c>
      <c r="E16" s="19">
        <f>IF(C16=0,"",(B16-C16)/C16)</f>
        <v/>
      </c>
    </row>
    <row r="17">
      <c r="A17" s="10" t="inlineStr">
        <is>
          <t>TOTAL AUTRES ACHATS</t>
        </is>
      </c>
      <c r="B17" s="11">
        <f>SUM(B12:B16)</f>
        <v/>
      </c>
      <c r="C17" s="11">
        <f>SUM(C12:C16)</f>
        <v/>
      </c>
      <c r="D17" s="11">
        <f>B17-C17</f>
        <v/>
      </c>
      <c r="E17" s="21">
        <f>IF(C17=0,"",(B17-C17)/C17)</f>
        <v/>
      </c>
    </row>
    <row r="18">
      <c r="A18" s="10" t="inlineStr">
        <is>
          <t>TOTAL ACHATS</t>
        </is>
      </c>
      <c r="B18" s="11">
        <f>B9+B11+B17</f>
        <v/>
      </c>
      <c r="C18" s="11">
        <f>C9+C11+C17</f>
        <v/>
      </c>
      <c r="D18" s="11">
        <f>B18-C18</f>
        <v/>
      </c>
      <c r="E18" s="21">
        <f>IF(C18=0,"",(B18-C18)/C18)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25</t>
        </is>
      </c>
    </row>
    <row r="2">
      <c r="A2" s="2" t="inlineStr">
        <is>
          <t>TRANSPORTS</t>
        </is>
      </c>
    </row>
    <row r="3"/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Transports sur ventes</t>
        </is>
      </c>
      <c r="B8" s="15">
        <f>SUMIF(BALANCE!$A$2:$A$67,"612*",BALANCE!$F$2:$F$67)-SUMIF(BALANCE!$A$2:$A$67,"612*",BALANCE!$G$2:$G$67)</f>
        <v/>
      </c>
      <c r="C8" s="15">
        <f>SUMIF(BALANCE_N1!$A$2:$A$67,"612*",BALANCE_N1!$F$2:$F$67)-SUMIF(BALANCE_N1!$A$2:$A$67,"612*",BALANCE_N1!$G$2:$G$67)</f>
        <v/>
      </c>
      <c r="D8" s="15">
        <f>B8-C8</f>
        <v/>
      </c>
      <c r="E8" s="19">
        <f>IF(C8=0,"",(B8-C8)/C8)</f>
        <v/>
      </c>
    </row>
    <row r="9">
      <c r="A9" s="12" t="inlineStr">
        <is>
          <t>Transports pour le compte de tiers</t>
        </is>
      </c>
      <c r="B9" s="13">
        <f>SUMIF(BALANCE!$A$2:$A$67,"613*",BALANCE!$F$2:$F$67)-SUMIF(BALANCE!$A$2:$A$67,"613*",BALANCE!$G$2:$G$67)</f>
        <v/>
      </c>
      <c r="C9" s="13">
        <f>SUMIF(BALANCE_N1!$A$2:$A$67,"613*",BALANCE_N1!$F$2:$F$67)-SUMIF(BALANCE_N1!$A$2:$A$67,"613*",BALANCE_N1!$G$2:$G$67)</f>
        <v/>
      </c>
      <c r="D9" s="13">
        <f>B9-C9</f>
        <v/>
      </c>
      <c r="E9" s="20">
        <f>IF(C9=0,"",(B9-C9)/C9)</f>
        <v/>
      </c>
    </row>
    <row r="10">
      <c r="A10" s="14" t="inlineStr">
        <is>
          <t>Transport du personnel</t>
        </is>
      </c>
      <c r="B10" s="15">
        <f>SUMIF(BALANCE!$A$2:$A$67,"614*",BALANCE!$F$2:$F$67)-SUMIF(BALANCE!$A$2:$A$67,"614*",BALANCE!$G$2:$G$67)</f>
        <v/>
      </c>
      <c r="C10" s="15">
        <f>SUMIF(BALANCE_N1!$A$2:$A$67,"614*",BALANCE_N1!$F$2:$F$67)-SUMIF(BALANCE_N1!$A$2:$A$67,"614*",BALANCE_N1!$G$2:$G$67)</f>
        <v/>
      </c>
      <c r="D10" s="15">
        <f>B10-C10</f>
        <v/>
      </c>
      <c r="E10" s="19">
        <f>IF(C10=0,"",(B10-C10)/C10)</f>
        <v/>
      </c>
    </row>
    <row r="11">
      <c r="A11" s="12" t="inlineStr">
        <is>
          <t>Transports de plis</t>
        </is>
      </c>
      <c r="B11" s="13">
        <f>SUMIF(BALANCE!$A$2:$A$67,"616*",BALANCE!$F$2:$F$67)-SUMIF(BALANCE!$A$2:$A$67,"616*",BALANCE!$G$2:$G$67)</f>
        <v/>
      </c>
      <c r="C11" s="13">
        <f>SUMIF(BALANCE_N1!$A$2:$A$67,"616*",BALANCE_N1!$F$2:$F$67)-SUMIF(BALANCE_N1!$A$2:$A$67,"616*",BALANCE_N1!$G$2:$G$67)</f>
        <v/>
      </c>
      <c r="D11" s="13">
        <f>B11-C11</f>
        <v/>
      </c>
      <c r="E11" s="20">
        <f>IF(C11=0,"",(B11-C11)/C11)</f>
        <v/>
      </c>
    </row>
    <row r="12">
      <c r="A12" s="14" t="inlineStr">
        <is>
          <t>Voyages, déplacements et autres frais de transport</t>
        </is>
      </c>
      <c r="B12" s="15">
        <f>SUMIF(BALANCE!$A$2:$A$67,"618*",BALANCE!$F$2:$F$67)-SUMIF(BALANCE!$A$2:$A$67,"618*",BALANCE!$G$2:$G$67)+SUMIF(BALANCE!$A$2:$A$67,"619*",BALANCE!$F$2:$F$67)-SUMIF(BALANCE!$A$2:$A$67,"619*",BALANCE!$G$2:$G$67)</f>
        <v/>
      </c>
      <c r="C12" s="15">
        <f>SUMIF(BALANCE_N1!$A$2:$A$67,"618*",BALANCE_N1!$F$2:$F$67)-SUMIF(BALANCE_N1!$A$2:$A$67,"618*",BALANCE_N1!$G$2:$G$67)+SUMIF(BALANCE_N1!$A$2:$A$67,"619*",BALANCE_N1!$F$2:$F$67)-SUMIF(BALANCE_N1!$A$2:$A$67,"619*",BALANCE_N1!$G$2:$G$67)</f>
        <v/>
      </c>
      <c r="D12" s="15">
        <f>B12-C12</f>
        <v/>
      </c>
      <c r="E12" s="19">
        <f>IF(C12=0,"",(B12-C12)/C12)</f>
        <v/>
      </c>
    </row>
    <row r="13">
      <c r="A13" s="10" t="inlineStr">
        <is>
          <t>TOTAL</t>
        </is>
      </c>
      <c r="B13" s="11">
        <f>SUM(B8:B12)</f>
        <v/>
      </c>
      <c r="C13" s="11">
        <f>SUM(C8:C12)</f>
        <v/>
      </c>
      <c r="D13" s="11">
        <f>B13-C13</f>
        <v/>
      </c>
      <c r="E13" s="21">
        <f>IF(C13=0,"",(B13-C13)/C13)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26</t>
        </is>
      </c>
    </row>
    <row r="2">
      <c r="A2" s="2" t="inlineStr">
        <is>
          <t>SERVICES EXTÉRIEURS</t>
        </is>
      </c>
    </row>
    <row r="3"/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Sous-traitance générale</t>
        </is>
      </c>
      <c r="B8" s="15">
        <f>SUMIF(BALANCE!$A$2:$A$67,"621*",BALANCE!$F$2:$F$67)-SUMIF(BALANCE!$A$2:$A$67,"621*",BALANCE!$G$2:$G$67)</f>
        <v/>
      </c>
      <c r="C8" s="15">
        <f>SUMIF(BALANCE_N1!$A$2:$A$67,"621*",BALANCE_N1!$F$2:$F$67)-SUMIF(BALANCE_N1!$A$2:$A$67,"621*",BALANCE_N1!$G$2:$G$67)</f>
        <v/>
      </c>
      <c r="D8" s="15">
        <f>B8-C8</f>
        <v/>
      </c>
      <c r="E8" s="19">
        <f>IF(C8=0,"",(B8-C8)/C8)</f>
        <v/>
      </c>
    </row>
    <row r="9">
      <c r="A9" s="12" t="inlineStr">
        <is>
          <t>Locations et charges locatives</t>
        </is>
      </c>
      <c r="B9" s="13">
        <f>SUMIF(BALANCE!$A$2:$A$67,"622*",BALANCE!$F$2:$F$67)-SUMIF(BALANCE!$A$2:$A$67,"622*",BALANCE!$G$2:$G$67)</f>
        <v/>
      </c>
      <c r="C9" s="13">
        <f>SUMIF(BALANCE_N1!$A$2:$A$67,"622*",BALANCE_N1!$F$2:$F$67)-SUMIF(BALANCE_N1!$A$2:$A$67,"622*",BALANCE_N1!$G$2:$G$67)</f>
        <v/>
      </c>
      <c r="D9" s="13">
        <f>B9-C9</f>
        <v/>
      </c>
      <c r="E9" s="20">
        <f>IF(C9=0,"",(B9-C9)/C9)</f>
        <v/>
      </c>
    </row>
    <row r="10">
      <c r="A10" s="14" t="inlineStr">
        <is>
          <t>Redevances de location-acquisition</t>
        </is>
      </c>
      <c r="B10" s="15">
        <f>SUMIF(BALANCE!$A$2:$A$67,"623*",BALANCE!$F$2:$F$67)-SUMIF(BALANCE!$A$2:$A$67,"623*",BALANCE!$G$2:$G$67)</f>
        <v/>
      </c>
      <c r="C10" s="15">
        <f>SUMIF(BALANCE_N1!$A$2:$A$67,"623*",BALANCE_N1!$F$2:$F$67)-SUMIF(BALANCE_N1!$A$2:$A$67,"623*",BALANCE_N1!$G$2:$G$67)</f>
        <v/>
      </c>
      <c r="D10" s="15">
        <f>B10-C10</f>
        <v/>
      </c>
      <c r="E10" s="19">
        <f>IF(C10=0,"",(B10-C10)/C10)</f>
        <v/>
      </c>
    </row>
    <row r="11">
      <c r="A11" s="12" t="inlineStr">
        <is>
          <t>Entretien, réparations et maintenance</t>
        </is>
      </c>
      <c r="B11" s="13">
        <f>SUMIF(BALANCE!$A$2:$A$67,"624*",BALANCE!$F$2:$F$67)-SUMIF(BALANCE!$A$2:$A$67,"624*",BALANCE!$G$2:$G$67)</f>
        <v/>
      </c>
      <c r="C11" s="13">
        <f>SUMIF(BALANCE_N1!$A$2:$A$67,"624*",BALANCE_N1!$F$2:$F$67)-SUMIF(BALANCE_N1!$A$2:$A$67,"624*",BALANCE_N1!$G$2:$G$67)</f>
        <v/>
      </c>
      <c r="D11" s="13">
        <f>B11-C11</f>
        <v/>
      </c>
      <c r="E11" s="20">
        <f>IF(C11=0,"",(B11-C11)/C11)</f>
        <v/>
      </c>
    </row>
    <row r="12">
      <c r="A12" s="14" t="inlineStr">
        <is>
          <t>Primes d'assurance</t>
        </is>
      </c>
      <c r="B12" s="15">
        <f>SUMIF(BALANCE!$A$2:$A$67,"625*",BALANCE!$F$2:$F$67)-SUMIF(BALANCE!$A$2:$A$67,"625*",BALANCE!$G$2:$G$67)</f>
        <v/>
      </c>
      <c r="C12" s="15">
        <f>SUMIF(BALANCE_N1!$A$2:$A$67,"625*",BALANCE_N1!$F$2:$F$67)-SUMIF(BALANCE_N1!$A$2:$A$67,"625*",BALANCE_N1!$G$2:$G$67)</f>
        <v/>
      </c>
      <c r="D12" s="15">
        <f>B12-C12</f>
        <v/>
      </c>
      <c r="E12" s="19">
        <f>IF(C12=0,"",(B12-C12)/C12)</f>
        <v/>
      </c>
    </row>
    <row r="13">
      <c r="A13" s="12" t="inlineStr">
        <is>
          <t>Études, recherches et documentation</t>
        </is>
      </c>
      <c r="B13" s="13">
        <f>SUMIF(BALANCE!$A$2:$A$67,"626*",BALANCE!$F$2:$F$67)-SUMIF(BALANCE!$A$2:$A$67,"626*",BALANCE!$G$2:$G$67)</f>
        <v/>
      </c>
      <c r="C13" s="13">
        <f>SUMIF(BALANCE_N1!$A$2:$A$67,"626*",BALANCE_N1!$F$2:$F$67)-SUMIF(BALANCE_N1!$A$2:$A$67,"626*",BALANCE_N1!$G$2:$G$67)</f>
        <v/>
      </c>
      <c r="D13" s="13">
        <f>B13-C13</f>
        <v/>
      </c>
      <c r="E13" s="20">
        <f>IF(C13=0,"",(B13-C13)/C13)</f>
        <v/>
      </c>
    </row>
    <row r="14">
      <c r="A14" s="14" t="inlineStr">
        <is>
          <t>Publicité, publications, relations publiques</t>
        </is>
      </c>
      <c r="B14" s="15">
        <f>SUMIF(BALANCE!$A$2:$A$67,"627*",BALANCE!$F$2:$F$67)-SUMIF(BALANCE!$A$2:$A$67,"627*",BALANCE!$G$2:$G$67)</f>
        <v/>
      </c>
      <c r="C14" s="15">
        <f>SUMIF(BALANCE_N1!$A$2:$A$67,"627*",BALANCE_N1!$F$2:$F$67)-SUMIF(BALANCE_N1!$A$2:$A$67,"627*",BALANCE_N1!$G$2:$G$67)</f>
        <v/>
      </c>
      <c r="D14" s="15">
        <f>B14-C14</f>
        <v/>
      </c>
      <c r="E14" s="19">
        <f>IF(C14=0,"",(B14-C14)/C14)</f>
        <v/>
      </c>
    </row>
    <row r="15">
      <c r="A15" s="12" t="inlineStr">
        <is>
          <t>Frais de télécommunications</t>
        </is>
      </c>
      <c r="B15" s="13">
        <f>SUMIF(BALANCE!$A$2:$A$67,"628*",BALANCE!$F$2:$F$67)-SUMIF(BALANCE!$A$2:$A$67,"628*",BALANCE!$G$2:$G$67)</f>
        <v/>
      </c>
      <c r="C15" s="13">
        <f>SUMIF(BALANCE_N1!$A$2:$A$67,"628*",BALANCE_N1!$F$2:$F$67)-SUMIF(BALANCE_N1!$A$2:$A$67,"628*",BALANCE_N1!$G$2:$G$67)</f>
        <v/>
      </c>
      <c r="D15" s="13">
        <f>B15-C15</f>
        <v/>
      </c>
      <c r="E15" s="20">
        <f>IF(C15=0,"",(B15-C15)/C15)</f>
        <v/>
      </c>
    </row>
    <row r="16">
      <c r="A16" s="14" t="inlineStr">
        <is>
          <t>Frais bancaires</t>
        </is>
      </c>
      <c r="B16" s="15">
        <f>SUMIF(BALANCE!$A$2:$A$67,"631*",BALANCE!$F$2:$F$67)-SUMIF(BALANCE!$A$2:$A$67,"631*",BALANCE!$G$2:$G$67)</f>
        <v/>
      </c>
      <c r="C16" s="15">
        <f>SUMIF(BALANCE_N1!$A$2:$A$67,"631*",BALANCE_N1!$F$2:$F$67)-SUMIF(BALANCE_N1!$A$2:$A$67,"631*",BALANCE_N1!$G$2:$G$67)</f>
        <v/>
      </c>
      <c r="D16" s="15">
        <f>B16-C16</f>
        <v/>
      </c>
      <c r="E16" s="19">
        <f>IF(C16=0,"",(B16-C16)/C16)</f>
        <v/>
      </c>
    </row>
    <row r="17">
      <c r="A17" s="12" t="inlineStr">
        <is>
          <t>Rémunérations d'intermédiaires et de conseils</t>
        </is>
      </c>
      <c r="B17" s="13">
        <f>SUMIF(BALANCE!$A$2:$A$67,"632*",BALANCE!$F$2:$F$67)-SUMIF(BALANCE!$A$2:$A$67,"632*",BALANCE!$G$2:$G$67)</f>
        <v/>
      </c>
      <c r="C17" s="13">
        <f>SUMIF(BALANCE_N1!$A$2:$A$67,"632*",BALANCE_N1!$F$2:$F$67)-SUMIF(BALANCE_N1!$A$2:$A$67,"632*",BALANCE_N1!$G$2:$G$67)</f>
        <v/>
      </c>
      <c r="D17" s="13">
        <f>B17-C17</f>
        <v/>
      </c>
      <c r="E17" s="20">
        <f>IF(C17=0,"",(B17-C17)/C17)</f>
        <v/>
      </c>
    </row>
    <row r="18">
      <c r="A18" s="14" t="inlineStr">
        <is>
          <t>Frais de formation du personnel</t>
        </is>
      </c>
      <c r="B18" s="15">
        <f>SUMIF(BALANCE!$A$2:$A$67,"633*",BALANCE!$F$2:$F$67)-SUMIF(BALANCE!$A$2:$A$67,"633*",BALANCE!$G$2:$G$67)</f>
        <v/>
      </c>
      <c r="C18" s="15">
        <f>SUMIF(BALANCE_N1!$A$2:$A$67,"633*",BALANCE_N1!$F$2:$F$67)-SUMIF(BALANCE_N1!$A$2:$A$67,"633*",BALANCE_N1!$G$2:$G$67)</f>
        <v/>
      </c>
      <c r="D18" s="15">
        <f>B18-C18</f>
        <v/>
      </c>
      <c r="E18" s="19">
        <f>IF(C18=0,"",(B18-C18)/C18)</f>
        <v/>
      </c>
    </row>
    <row r="19">
      <c r="A19" s="12" t="inlineStr">
        <is>
          <t>Redevances pour brevets, licences, logiciels et droits similaires</t>
        </is>
      </c>
      <c r="B19" s="13">
        <f>SUMIF(BALANCE!$A$2:$A$67,"634*",BALANCE!$F$2:$F$67)-SUMIF(BALANCE!$A$2:$A$67,"634*",BALANCE!$G$2:$G$67)</f>
        <v/>
      </c>
      <c r="C19" s="13">
        <f>SUMIF(BALANCE_N1!$A$2:$A$67,"634*",BALANCE_N1!$F$2:$F$67)-SUMIF(BALANCE_N1!$A$2:$A$67,"634*",BALANCE_N1!$G$2:$G$67)</f>
        <v/>
      </c>
      <c r="D19" s="13">
        <f>B19-C19</f>
        <v/>
      </c>
      <c r="E19" s="20">
        <f>IF(C19=0,"",(B19-C19)/C19)</f>
        <v/>
      </c>
    </row>
    <row r="20">
      <c r="A20" s="14" t="inlineStr">
        <is>
          <t>Cotisations</t>
        </is>
      </c>
      <c r="B20" s="15">
        <f>SUMIF(BALANCE!$A$2:$A$67,"635*",BALANCE!$F$2:$F$67)-SUMIF(BALANCE!$A$2:$A$67,"635*",BALANCE!$G$2:$G$67)</f>
        <v/>
      </c>
      <c r="C20" s="15">
        <f>SUMIF(BALANCE_N1!$A$2:$A$67,"635*",BALANCE_N1!$F$2:$F$67)-SUMIF(BALANCE_N1!$A$2:$A$67,"635*",BALANCE_N1!$G$2:$G$67)</f>
        <v/>
      </c>
      <c r="D20" s="15">
        <f>B20-C20</f>
        <v/>
      </c>
      <c r="E20" s="19">
        <f>IF(C20=0,"",(B20-C20)/C20)</f>
        <v/>
      </c>
    </row>
    <row r="21">
      <c r="A21" s="12" t="inlineStr">
        <is>
          <t>Frais de recherche de fonds</t>
        </is>
      </c>
      <c r="B21" s="13">
        <f>SUMIF(BALANCE!$A$2:$A$67,"636*",BALANCE!$F$2:$F$67)-SUMIF(BALANCE!$A$2:$A$67,"636*",BALANCE!$G$2:$G$67)</f>
        <v/>
      </c>
      <c r="C21" s="13">
        <f>SUMIF(BALANCE_N1!$A$2:$A$67,"636*",BALANCE_N1!$F$2:$F$67)-SUMIF(BALANCE_N1!$A$2:$A$67,"636*",BALANCE_N1!$G$2:$G$67)</f>
        <v/>
      </c>
      <c r="D21" s="13">
        <f>B21-C21</f>
        <v/>
      </c>
      <c r="E21" s="20">
        <f>IF(C21=0,"",(B21-C21)/C21)</f>
        <v/>
      </c>
    </row>
    <row r="22">
      <c r="A22" s="14" t="inlineStr">
        <is>
          <t>Rémunérations de personnel extérieur à l'entité</t>
        </is>
      </c>
      <c r="B22" s="15">
        <f>SUMIF(BALANCE!$A$2:$A$67,"637*",BALANCE!$F$2:$F$67)-SUMIF(BALANCE!$A$2:$A$67,"637*",BALANCE!$G$2:$G$67)</f>
        <v/>
      </c>
      <c r="C22" s="15">
        <f>SUMIF(BALANCE_N1!$A$2:$A$67,"637*",BALANCE_N1!$F$2:$F$67)-SUMIF(BALANCE_N1!$A$2:$A$67,"637*",BALANCE_N1!$G$2:$G$67)</f>
        <v/>
      </c>
      <c r="D22" s="15">
        <f>B22-C22</f>
        <v/>
      </c>
      <c r="E22" s="19">
        <f>IF(C22=0,"",(B22-C22)/C22)</f>
        <v/>
      </c>
    </row>
    <row r="23">
      <c r="A23" s="12" t="inlineStr">
        <is>
          <t>Autres charges externes</t>
        </is>
      </c>
      <c r="B23" s="13">
        <f>SUMIF(BALANCE!$A$2:$A$67,"638*",BALANCE!$F$2:$F$67)-SUMIF(BALANCE!$A$2:$A$67,"638*",BALANCE!$G$2:$G$67)</f>
        <v/>
      </c>
      <c r="C23" s="13">
        <f>SUMIF(BALANCE_N1!$A$2:$A$67,"638*",BALANCE_N1!$F$2:$F$67)-SUMIF(BALANCE_N1!$A$2:$A$67,"638*",BALANCE_N1!$G$2:$G$67)</f>
        <v/>
      </c>
      <c r="D23" s="13">
        <f>B23-C23</f>
        <v/>
      </c>
      <c r="E23" s="20">
        <f>IF(C23=0,"",(B23-C23)/C23)</f>
        <v/>
      </c>
    </row>
    <row r="24">
      <c r="A24" s="10" t="inlineStr">
        <is>
          <t>TOTAL</t>
        </is>
      </c>
      <c r="B24" s="11">
        <f>SUM(B8:B23)</f>
        <v/>
      </c>
      <c r="C24" s="11">
        <f>SUM(C8:C23)</f>
        <v/>
      </c>
      <c r="D24" s="11">
        <f>B24-C24</f>
        <v/>
      </c>
      <c r="E24" s="21">
        <f>IF(C24=0,"",(B24-C24)/C24)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27</t>
        </is>
      </c>
    </row>
    <row r="2">
      <c r="A2" s="2" t="inlineStr">
        <is>
          <t>IMPÔTS ET TAXES</t>
        </is>
      </c>
    </row>
    <row r="3"/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Impôts et taxes directs</t>
        </is>
      </c>
      <c r="B8" s="15">
        <f>SUMIF(BALANCE!$A$2:$A$67,"641*",BALANCE!$F$2:$F$67)-SUMIF(BALANCE!$A$2:$A$67,"641*",BALANCE!$G$2:$G$67)</f>
        <v/>
      </c>
      <c r="C8" s="15">
        <f>SUMIF(BALANCE_N1!$A$2:$A$67,"641*",BALANCE_N1!$F$2:$F$67)-SUMIF(BALANCE_N1!$A$2:$A$67,"641*",BALANCE_N1!$G$2:$G$67)</f>
        <v/>
      </c>
      <c r="D8" s="15">
        <f>B8-C8</f>
        <v/>
      </c>
      <c r="E8" s="19">
        <f>IF(C8=0,"",(B8-C8)/C8)</f>
        <v/>
      </c>
    </row>
    <row r="9">
      <c r="A9" s="12" t="inlineStr">
        <is>
          <t>Impôts et taxes indirects</t>
        </is>
      </c>
      <c r="B9" s="13">
        <f>SUMIF(BALANCE!$A$2:$A$67,"645*",BALANCE!$F$2:$F$67)-SUMIF(BALANCE!$A$2:$A$67,"645*",BALANCE!$G$2:$G$67)</f>
        <v/>
      </c>
      <c r="C9" s="13">
        <f>SUMIF(BALANCE_N1!$A$2:$A$67,"645*",BALANCE_N1!$F$2:$F$67)-SUMIF(BALANCE_N1!$A$2:$A$67,"645*",BALANCE_N1!$G$2:$G$67)</f>
        <v/>
      </c>
      <c r="D9" s="13">
        <f>B9-C9</f>
        <v/>
      </c>
      <c r="E9" s="20">
        <f>IF(C9=0,"",(B9-C9)/C9)</f>
        <v/>
      </c>
    </row>
    <row r="10">
      <c r="A10" s="14" t="inlineStr">
        <is>
          <t>Droits d'enregistrement</t>
        </is>
      </c>
      <c r="B10" s="15">
        <f>SUMIF(BALANCE!$A$2:$A$67,"646*",BALANCE!$F$2:$F$67)-SUMIF(BALANCE!$A$2:$A$67,"646*",BALANCE!$G$2:$G$67)</f>
        <v/>
      </c>
      <c r="C10" s="15">
        <f>SUMIF(BALANCE_N1!$A$2:$A$67,"646*",BALANCE_N1!$F$2:$F$67)-SUMIF(BALANCE_N1!$A$2:$A$67,"646*",BALANCE_N1!$G$2:$G$67)</f>
        <v/>
      </c>
      <c r="D10" s="15">
        <f>B10-C10</f>
        <v/>
      </c>
      <c r="E10" s="19">
        <f>IF(C10=0,"",(B10-C10)/C10)</f>
        <v/>
      </c>
    </row>
    <row r="11">
      <c r="A11" s="12" t="inlineStr">
        <is>
          <t>Pénalités et amendes fiscales</t>
        </is>
      </c>
      <c r="B11" s="13">
        <f>SUMIF(BALANCE!$A$2:$A$67,"647*",BALANCE!$F$2:$F$67)-SUMIF(BALANCE!$A$2:$A$67,"647*",BALANCE!$G$2:$G$67)</f>
        <v/>
      </c>
      <c r="C11" s="13">
        <f>SUMIF(BALANCE_N1!$A$2:$A$67,"647*",BALANCE_N1!$F$2:$F$67)-SUMIF(BALANCE_N1!$A$2:$A$67,"647*",BALANCE_N1!$G$2:$G$67)</f>
        <v/>
      </c>
      <c r="D11" s="13">
        <f>B11-C11</f>
        <v/>
      </c>
      <c r="E11" s="20">
        <f>IF(C11=0,"",(B11-C11)/C11)</f>
        <v/>
      </c>
    </row>
    <row r="12">
      <c r="A12" s="14" t="inlineStr">
        <is>
          <t>Autres impôts et taxes</t>
        </is>
      </c>
      <c r="B12" s="15">
        <f>SUMIF(BALANCE!$A$2:$A$67,"648*",BALANCE!$F$2:$F$67)-SUMIF(BALANCE!$A$2:$A$67,"648*",BALANCE!$G$2:$G$67)</f>
        <v/>
      </c>
      <c r="C12" s="15">
        <f>SUMIF(BALANCE_N1!$A$2:$A$67,"648*",BALANCE_N1!$F$2:$F$67)-SUMIF(BALANCE_N1!$A$2:$A$67,"648*",BALANCE_N1!$G$2:$G$67)</f>
        <v/>
      </c>
      <c r="D12" s="15">
        <f>B12-C12</f>
        <v/>
      </c>
      <c r="E12" s="19">
        <f>IF(C12=0,"",(B12-C12)/C12)</f>
        <v/>
      </c>
    </row>
    <row r="13">
      <c r="A13" s="12" t="inlineStr">
        <is>
          <t>Dégrèvements et annulations des impôts et taxes (-)</t>
        </is>
      </c>
      <c r="B13" s="13">
        <f>SUMIF(BALANCE!$A$2:$A$67,"649*",BALANCE!$F$2:$F$67)-SUMIF(BALANCE!$A$2:$A$67,"649*",BALANCE!$G$2:$G$67)</f>
        <v/>
      </c>
      <c r="C13" s="13">
        <f>SUMIF(BALANCE_N1!$A$2:$A$67,"649*",BALANCE_N1!$F$2:$F$67)-SUMIF(BALANCE_N1!$A$2:$A$67,"649*",BALANCE_N1!$G$2:$G$67)</f>
        <v/>
      </c>
      <c r="D13" s="13">
        <f>B13-C13</f>
        <v/>
      </c>
      <c r="E13" s="20">
        <f>IF(C13=0,"",(B13-C13)/C13)</f>
        <v/>
      </c>
    </row>
    <row r="14">
      <c r="A14" s="10" t="inlineStr">
        <is>
          <t>TOTAL</t>
        </is>
      </c>
      <c r="B14" s="11">
        <f>SUM(B8:B13)</f>
        <v/>
      </c>
      <c r="C14" s="11">
        <f>SUM(C8:C13)</f>
        <v/>
      </c>
      <c r="D14" s="11">
        <f>B14-C14</f>
        <v/>
      </c>
      <c r="E14" s="21">
        <f>IF(C14=0,"",(B14-C14)/C14)</f>
        <v/>
      </c>
    </row>
    <row r="15"/>
    <row r="16">
      <c r="A16" s="3" t="inlineStr">
        <is>
          <t>Commentaires :</t>
        </is>
      </c>
    </row>
    <row r="17">
      <c r="A17" s="5" t="inlineStr">
        <is>
          <t>• Détailler pénalités et amendes et en indiquer la cause.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28</t>
        </is>
      </c>
    </row>
    <row r="2">
      <c r="A2" s="2" t="inlineStr">
        <is>
          <t>AUTRES CHARGES</t>
        </is>
      </c>
    </row>
    <row r="3"/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Pertes sur créances adhérents, clients et autres débiteurs</t>
        </is>
      </c>
      <c r="B8" s="15">
        <f>SUMIF(BALANCE!$A$2:$A$67,"651*",BALANCE!$F$2:$F$67)-SUMIF(BALANCE!$A$2:$A$67,"651*",BALANCE!$G$2:$G$67)</f>
        <v/>
      </c>
      <c r="C8" s="15">
        <f>SUMIF(BALANCE_N1!$A$2:$A$67,"651*",BALANCE_N1!$F$2:$F$67)-SUMIF(BALANCE_N1!$A$2:$A$67,"651*",BALANCE_N1!$G$2:$G$67)</f>
        <v/>
      </c>
      <c r="D8" s="15">
        <f>B8-C8</f>
        <v/>
      </c>
      <c r="E8" s="19">
        <f>IF(C8=0,"",(B8-C8)/C8)</f>
        <v/>
      </c>
    </row>
    <row r="9">
      <c r="A9" s="12" t="inlineStr">
        <is>
          <t>Subventions versées par l'entité</t>
        </is>
      </c>
      <c r="B9" s="13">
        <f>SUMIF(BALANCE!$A$2:$A$67,"652*",BALANCE!$F$2:$F$67)-SUMIF(BALANCE!$A$2:$A$67,"652*",BALANCE!$G$2:$G$67)</f>
        <v/>
      </c>
      <c r="C9" s="13">
        <f>SUMIF(BALANCE_N1!$A$2:$A$67,"652*",BALANCE_N1!$F$2:$F$67)-SUMIF(BALANCE_N1!$A$2:$A$67,"652*",BALANCE_N1!$G$2:$G$67)</f>
        <v/>
      </c>
      <c r="D9" s="13">
        <f>B9-C9</f>
        <v/>
      </c>
      <c r="E9" s="20">
        <f>IF(C9=0,"",(B9-C9)/C9)</f>
        <v/>
      </c>
    </row>
    <row r="10">
      <c r="A10" s="14" t="inlineStr">
        <is>
          <t>Dons en nature courants à distribuer</t>
        </is>
      </c>
      <c r="B10" s="15">
        <f>SUMIF(BALANCE!$A$2:$A$67,"654*",BALANCE!$F$2:$F$67)-SUMIF(BALANCE!$A$2:$A$67,"654*",BALANCE!$G$2:$G$67)</f>
        <v/>
      </c>
      <c r="C10" s="15">
        <f>SUMIF(BALANCE_N1!$A$2:$A$67,"654*",BALANCE_N1!$F$2:$F$67)-SUMIF(BALANCE_N1!$A$2:$A$67,"654*",BALANCE_N1!$G$2:$G$67)</f>
        <v/>
      </c>
      <c r="D10" s="15">
        <f>B10-C10</f>
        <v/>
      </c>
      <c r="E10" s="19">
        <f>IF(C10=0,"",(B10-C10)/C10)</f>
        <v/>
      </c>
    </row>
    <row r="11">
      <c r="A11" s="12" t="inlineStr">
        <is>
          <t>Pénalités et amendes pénales</t>
        </is>
      </c>
      <c r="B11" s="13">
        <f>SUMIF(BALANCE!$A$2:$A$67,"657*",BALANCE!$F$2:$F$67)-SUMIF(BALANCE!$A$2:$A$67,"657*",BALANCE!$G$2:$G$67)</f>
        <v/>
      </c>
      <c r="C11" s="13">
        <f>SUMIF(BALANCE_N1!$A$2:$A$67,"657*",BALANCE_N1!$F$2:$F$67)-SUMIF(BALANCE_N1!$A$2:$A$67,"657*",BALANCE_N1!$G$2:$G$67)</f>
        <v/>
      </c>
      <c r="D11" s="13">
        <f>B11-C11</f>
        <v/>
      </c>
      <c r="E11" s="20">
        <f>IF(C11=0,"",(B11-C11)/C11)</f>
        <v/>
      </c>
    </row>
    <row r="12">
      <c r="A12" s="14" t="inlineStr">
        <is>
          <t>Autres charges diverses</t>
        </is>
      </c>
      <c r="B12" s="15">
        <f>SUMIF(BALANCE!$A$2:$A$67,"658*",BALANCE!$F$2:$F$67)-SUMIF(BALANCE!$A$2:$A$67,"658*",BALANCE!$G$2:$G$67)</f>
        <v/>
      </c>
      <c r="C12" s="15">
        <f>SUMIF(BALANCE_N1!$A$2:$A$67,"658*",BALANCE_N1!$F$2:$F$67)-SUMIF(BALANCE_N1!$A$2:$A$67,"658*",BALANCE_N1!$G$2:$G$67)</f>
        <v/>
      </c>
      <c r="D12" s="15">
        <f>B12-C12</f>
        <v/>
      </c>
      <c r="E12" s="19">
        <f>IF(C12=0,"",(B12-C12)/C12)</f>
        <v/>
      </c>
    </row>
    <row r="13">
      <c r="A13" s="12" t="inlineStr">
        <is>
          <t>Charges pour dépréciations et provisions pour risques à court terme d'exploitation (voir note 30)</t>
        </is>
      </c>
      <c r="B13" s="13">
        <f>SUMIF(BALANCE!$A$2:$A$67,"659*",BALANCE!$F$2:$F$67)-SUMIF(BALANCE!$A$2:$A$67,"659*",BALANCE!$G$2:$G$67)</f>
        <v/>
      </c>
      <c r="C13" s="13">
        <f>SUMIF(BALANCE_N1!$A$2:$A$67,"659*",BALANCE_N1!$F$2:$F$67)-SUMIF(BALANCE_N1!$A$2:$A$67,"659*",BALANCE_N1!$G$2:$G$67)</f>
        <v/>
      </c>
      <c r="D13" s="13">
        <f>B13-C13</f>
        <v/>
      </c>
      <c r="E13" s="20">
        <f>IF(C13=0,"",(B13-C13)/C13)</f>
        <v/>
      </c>
    </row>
    <row r="14">
      <c r="A14" s="10" t="inlineStr">
        <is>
          <t>TOTAL</t>
        </is>
      </c>
      <c r="B14" s="11">
        <f>SUM(B8:B13)</f>
        <v/>
      </c>
      <c r="C14" s="11">
        <f>SUM(C8:C13)</f>
        <v/>
      </c>
      <c r="D14" s="11">
        <f>B14-C14</f>
        <v/>
      </c>
      <c r="E14" s="21">
        <f>IF(C14=0,"",(B14-C14)/C14)</f>
        <v/>
      </c>
    </row>
    <row r="15"/>
    <row r="16">
      <c r="A16" s="3" t="inlineStr">
        <is>
          <t>Commentaires :</t>
        </is>
      </c>
    </row>
    <row r="17">
      <c r="A17" s="5" t="inlineStr">
        <is>
          <t>• Indiquer les bénéficiaires des subventions versées.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29A</t>
        </is>
      </c>
    </row>
    <row r="2">
      <c r="A2" s="2" t="inlineStr">
        <is>
          <t>CHARGES DE PERSONNEL</t>
        </is>
      </c>
    </row>
    <row r="3"/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Rémunérations directes versées au personnel national</t>
        </is>
      </c>
      <c r="B8" s="15">
        <f>SUMIF(BALANCE!$A$2:$A$67,"661*",BALANCE!$F$2:$F$67)-SUMIF(BALANCE!$A$2:$A$67,"661*",BALANCE!$G$2:$G$67)</f>
        <v/>
      </c>
      <c r="C8" s="15">
        <f>SUMIF(BALANCE_N1!$A$2:$A$67,"661*",BALANCE_N1!$F$2:$F$67)-SUMIF(BALANCE_N1!$A$2:$A$67,"661*",BALANCE_N1!$G$2:$G$67)</f>
        <v/>
      </c>
      <c r="D8" s="15">
        <f>B8-C8</f>
        <v/>
      </c>
      <c r="E8" s="19">
        <f>IF(C8=0,"",(B8-C8)/C8)</f>
        <v/>
      </c>
    </row>
    <row r="9">
      <c r="A9" s="12" t="inlineStr">
        <is>
          <t>Rémunérations directes versées au personnel non national</t>
        </is>
      </c>
      <c r="B9" s="13">
        <f>SUMIF(BALANCE!$A$2:$A$67,"662*",BALANCE!$F$2:$F$67)-SUMIF(BALANCE!$A$2:$A$67,"662*",BALANCE!$G$2:$G$67)</f>
        <v/>
      </c>
      <c r="C9" s="13">
        <f>SUMIF(BALANCE_N1!$A$2:$A$67,"662*",BALANCE_N1!$F$2:$F$67)-SUMIF(BALANCE_N1!$A$2:$A$67,"662*",BALANCE_N1!$G$2:$G$67)</f>
        <v/>
      </c>
      <c r="D9" s="13">
        <f>B9-C9</f>
        <v/>
      </c>
      <c r="E9" s="20">
        <f>IF(C9=0,"",(B9-C9)/C9)</f>
        <v/>
      </c>
    </row>
    <row r="10">
      <c r="A10" s="14" t="inlineStr">
        <is>
          <t>Indemnités forfaitaires versées au personnel</t>
        </is>
      </c>
      <c r="B10" s="15">
        <f>SUMIF(BALANCE!$A$2:$A$67,"663*",BALANCE!$F$2:$F$67)-SUMIF(BALANCE!$A$2:$A$67,"663*",BALANCE!$G$2:$G$67)</f>
        <v/>
      </c>
      <c r="C10" s="15">
        <f>SUMIF(BALANCE_N1!$A$2:$A$67,"663*",BALANCE_N1!$F$2:$F$67)-SUMIF(BALANCE_N1!$A$2:$A$67,"663*",BALANCE_N1!$G$2:$G$67)</f>
        <v/>
      </c>
      <c r="D10" s="15">
        <f>B10-C10</f>
        <v/>
      </c>
      <c r="E10" s="19">
        <f>IF(C10=0,"",(B10-C10)/C10)</f>
        <v/>
      </c>
    </row>
    <row r="11">
      <c r="A11" s="12" t="inlineStr">
        <is>
          <t>Charges sociales</t>
        </is>
      </c>
      <c r="B11" s="13">
        <f>SUMIF(BALANCE!$A$2:$A$67,"664*",BALANCE!$F$2:$F$67)-SUMIF(BALANCE!$A$2:$A$67,"664*",BALANCE!$G$2:$G$67)</f>
        <v/>
      </c>
      <c r="C11" s="13">
        <f>SUMIF(BALANCE_N1!$A$2:$A$67,"664*",BALANCE_N1!$F$2:$F$67)-SUMIF(BALANCE_N1!$A$2:$A$67,"664*",BALANCE_N1!$G$2:$G$67)</f>
        <v/>
      </c>
      <c r="D11" s="13">
        <f>B11-C11</f>
        <v/>
      </c>
      <c r="E11" s="20">
        <f>IF(C11=0,"",(B11-C11)/C11)</f>
        <v/>
      </c>
    </row>
    <row r="12">
      <c r="A12" s="14" t="inlineStr">
        <is>
          <t>Habillement et équipement du personnel</t>
        </is>
      </c>
      <c r="B12" s="15">
        <f>SUMIF(BALANCE!$A$2:$A$67,"665*",BALANCE!$F$2:$F$67)-SUMIF(BALANCE!$A$2:$A$67,"665*",BALANCE!$G$2:$G$67)</f>
        <v/>
      </c>
      <c r="C12" s="15">
        <f>SUMIF(BALANCE_N1!$A$2:$A$67,"665*",BALANCE_N1!$F$2:$F$67)-SUMIF(BALANCE_N1!$A$2:$A$67,"665*",BALANCE_N1!$G$2:$G$67)</f>
        <v/>
      </c>
      <c r="D12" s="15">
        <f>B12-C12</f>
        <v/>
      </c>
      <c r="E12" s="19">
        <f>IF(C12=0,"",(B12-C12)/C12)</f>
        <v/>
      </c>
    </row>
    <row r="13">
      <c r="A13" s="12" t="inlineStr">
        <is>
          <t>Rémunération transférée de personnel extérieur</t>
        </is>
      </c>
      <c r="B13" s="13">
        <f>SUMIF(BALANCE!$A$2:$A$67,"667*",BALANCE!$F$2:$F$67)-SUMIF(BALANCE!$A$2:$A$67,"667*",BALANCE!$G$2:$G$67)</f>
        <v/>
      </c>
      <c r="C13" s="13">
        <f>SUMIF(BALANCE_N1!$A$2:$A$67,"667*",BALANCE_N1!$F$2:$F$67)-SUMIF(BALANCE_N1!$A$2:$A$67,"667*",BALANCE_N1!$G$2:$G$67)</f>
        <v/>
      </c>
      <c r="D13" s="13">
        <f>B13-C13</f>
        <v/>
      </c>
      <c r="E13" s="20">
        <f>IF(C13=0,"",(B13-C13)/C13)</f>
        <v/>
      </c>
    </row>
    <row r="14">
      <c r="A14" s="14" t="inlineStr">
        <is>
          <t>Autres charges sociales</t>
        </is>
      </c>
      <c r="B14" s="15">
        <f>SUMIF(BALANCE!$A$2:$A$67,"668*",BALANCE!$F$2:$F$67)-SUMIF(BALANCE!$A$2:$A$67,"668*",BALANCE!$G$2:$G$67)</f>
        <v/>
      </c>
      <c r="C14" s="15">
        <f>SUMIF(BALANCE_N1!$A$2:$A$67,"668*",BALANCE_N1!$F$2:$F$67)-SUMIF(BALANCE_N1!$A$2:$A$67,"668*",BALANCE_N1!$G$2:$G$67)</f>
        <v/>
      </c>
      <c r="D14" s="15">
        <f>B14-C14</f>
        <v/>
      </c>
      <c r="E14" s="19">
        <f>IF(C14=0,"",(B14-C14)/C14)</f>
        <v/>
      </c>
    </row>
    <row r="15">
      <c r="A15" s="12" t="inlineStr">
        <is>
          <t>Dégrèvements et annulations des charges sociales (-)</t>
        </is>
      </c>
      <c r="B15" s="13">
        <f>SUMIF(BALANCE!$A$2:$A$67,"669*",BALANCE!$F$2:$F$67)-SUMIF(BALANCE!$A$2:$A$67,"669*",BALANCE!$G$2:$G$67)</f>
        <v/>
      </c>
      <c r="C15" s="13">
        <f>SUMIF(BALANCE_N1!$A$2:$A$67,"669*",BALANCE_N1!$F$2:$F$67)-SUMIF(BALANCE_N1!$A$2:$A$67,"669*",BALANCE_N1!$G$2:$G$67)</f>
        <v/>
      </c>
      <c r="D15" s="13">
        <f>B15-C15</f>
        <v/>
      </c>
      <c r="E15" s="20">
        <f>IF(C15=0,"",(B15-C15)/C15)</f>
        <v/>
      </c>
    </row>
    <row r="16">
      <c r="A16" s="10" t="inlineStr">
        <is>
          <t>TOTAL</t>
        </is>
      </c>
      <c r="B16" s="11">
        <f>SUM(B8:B15)</f>
        <v/>
      </c>
      <c r="C16" s="11">
        <f>SUM(C8:C15)</f>
        <v/>
      </c>
      <c r="D16" s="11">
        <f>B16-C16</f>
        <v/>
      </c>
      <c r="E16" s="21">
        <f>IF(C16=0,"",(B16-C16)/C16)</f>
        <v/>
      </c>
    </row>
    <row r="17"/>
    <row r="18">
      <c r="A18" s="3" t="inlineStr">
        <is>
          <t>Commentaires :</t>
        </is>
      </c>
    </row>
    <row r="19">
      <c r="A19" s="5" t="inlineStr">
        <is>
          <t>• Indiquer la nature et la durée du contrat du personnel extérieur.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NOTE 29B</t>
        </is>
      </c>
    </row>
    <row r="2">
      <c r="A2" s="2" t="inlineStr">
        <is>
          <t>EFFECTIFS, MASSE SALARIALE ET PERSONNEL EXTÉRIEUR</t>
        </is>
      </c>
    </row>
    <row r="3"/>
    <row r="4">
      <c r="A4" s="3" t="inlineStr">
        <is>
          <t>Désignation entité : ASSOCIATION ESPOIR</t>
        </is>
      </c>
      <c r="H4" s="3" t="inlineStr">
        <is>
          <t>Exercice clos le : 31/12/2025</t>
        </is>
      </c>
    </row>
    <row r="5">
      <c r="A5" t="inlineStr">
        <is>
          <t>Numéro d'identification : F.92/12.345</t>
        </is>
      </c>
      <c r="H5" t="inlineStr">
        <is>
          <t>Durée (en mois) : 12</t>
        </is>
      </c>
    </row>
    <row r="6"/>
    <row r="7">
      <c r="A7" s="4" t="inlineStr">
        <is>
          <t>1. PERSONNEL PROPRE</t>
        </is>
      </c>
    </row>
    <row r="8">
      <c r="A8" s="9" t="inlineStr">
        <is>
          <t>QUALIFICATIONS</t>
        </is>
      </c>
      <c r="B8" s="9" t="inlineStr">
        <is>
          <t>Effectifs Nationaux (M/F)</t>
        </is>
      </c>
      <c r="C8" s="9" t="inlineStr">
        <is>
          <t>Effectifs Autres États Région (M/F)</t>
        </is>
      </c>
      <c r="D8" s="9" t="inlineStr">
        <is>
          <t>Effectifs Hors Région (M/F)</t>
        </is>
      </c>
      <c r="E8" s="9" t="inlineStr">
        <is>
          <t>Effectifs Total</t>
        </is>
      </c>
      <c r="F8" s="9" t="inlineStr">
        <is>
          <t>Masse salariale Nationaux</t>
        </is>
      </c>
      <c r="G8" s="9" t="inlineStr">
        <is>
          <t>Masse salariale Autres États</t>
        </is>
      </c>
      <c r="H8" s="9" t="inlineStr">
        <is>
          <t>Masse salariale Hors Région</t>
        </is>
      </c>
      <c r="I8" s="9" t="inlineStr">
        <is>
          <t>Masse salariale Total</t>
        </is>
      </c>
    </row>
    <row r="9">
      <c r="A9" s="12" t="inlineStr">
        <is>
          <t>YA. 1. Cadres supérieurs</t>
        </is>
      </c>
      <c r="B9" s="12" t="n"/>
      <c r="C9" s="12" t="n"/>
      <c r="D9" s="12" t="n"/>
      <c r="E9" s="12" t="n"/>
      <c r="F9" s="13" t="n"/>
      <c r="G9" s="13" t="n"/>
      <c r="H9" s="13" t="n"/>
      <c r="I9" s="13" t="n"/>
    </row>
    <row r="10">
      <c r="A10" s="14" t="inlineStr">
        <is>
          <t>YB. 2. Techniciens supérieurs et cadres moyens</t>
        </is>
      </c>
      <c r="B10" s="14" t="n"/>
      <c r="C10" s="14" t="n"/>
      <c r="D10" s="14" t="n"/>
      <c r="E10" s="14" t="n"/>
      <c r="F10" s="15" t="n"/>
      <c r="G10" s="15" t="n"/>
      <c r="H10" s="15" t="n"/>
      <c r="I10" s="15" t="n"/>
    </row>
    <row r="11">
      <c r="A11" s="12" t="inlineStr">
        <is>
          <t>YC. 3. Techniciens, agents de maîtrise et ouvriers qualifiés</t>
        </is>
      </c>
      <c r="B11" s="12" t="n"/>
      <c r="C11" s="12" t="n"/>
      <c r="D11" s="12" t="n"/>
      <c r="E11" s="12" t="n"/>
      <c r="F11" s="13" t="n"/>
      <c r="G11" s="13" t="n"/>
      <c r="H11" s="13" t="n"/>
      <c r="I11" s="13" t="n"/>
    </row>
    <row r="12">
      <c r="A12" s="14" t="inlineStr">
        <is>
          <t>YD. 4. Employés, manœuvres, ouvriers et apprentis</t>
        </is>
      </c>
      <c r="B12" s="14" t="n"/>
      <c r="C12" s="14" t="n"/>
      <c r="D12" s="14" t="n"/>
      <c r="E12" s="14" t="n"/>
      <c r="F12" s="15" t="n"/>
      <c r="G12" s="15" t="n"/>
      <c r="H12" s="15" t="n"/>
      <c r="I12" s="15" t="n"/>
    </row>
    <row r="13">
      <c r="A13" s="10" t="inlineStr">
        <is>
          <t>YE. TOTAL (1)</t>
        </is>
      </c>
      <c r="B13" s="10">
        <f>SUM(B9:B12)</f>
        <v/>
      </c>
      <c r="C13" s="10">
        <f>SUM(C9:C12)</f>
        <v/>
      </c>
      <c r="D13" s="10">
        <f>SUM(D9:D12)</f>
        <v/>
      </c>
      <c r="E13" s="10">
        <f>SUM(E9:E12)</f>
        <v/>
      </c>
      <c r="F13" s="11">
        <f>SUM(F9:F12)</f>
        <v/>
      </c>
      <c r="G13" s="11">
        <f>SUM(G9:G12)</f>
        <v/>
      </c>
      <c r="H13" s="11">
        <f>SUM(H9:H12)</f>
        <v/>
      </c>
      <c r="I13" s="11">
        <f>SUM(I9:I12)</f>
        <v/>
      </c>
    </row>
    <row r="14">
      <c r="A14" t="inlineStr">
        <is>
          <t>YF. Permanents</t>
        </is>
      </c>
    </row>
    <row r="15">
      <c r="A15" t="inlineStr">
        <is>
          <t>YG. Saisonniers</t>
        </is>
      </c>
    </row>
    <row r="16"/>
    <row r="17">
      <c r="A17" s="4" t="inlineStr">
        <is>
          <t>2. PERSONNEL EXTÉRIEUR ET BÉNÉVOLE - facturation à l'entité</t>
        </is>
      </c>
    </row>
    <row r="18"/>
    <row r="19">
      <c r="A19" t="inlineStr">
        <is>
          <t>YH. 1. Cadres supérieurs</t>
        </is>
      </c>
    </row>
    <row r="20">
      <c r="A20" t="inlineStr">
        <is>
          <t>YI. 2. Techniciens supérieurs et cadres moyens</t>
        </is>
      </c>
    </row>
    <row r="21">
      <c r="A21" t="inlineStr">
        <is>
          <t>YJ. 3. Techniciens, agents de maîtrise et ouvriers qualifiés</t>
        </is>
      </c>
    </row>
    <row r="22">
      <c r="A22" t="inlineStr">
        <is>
          <t>YK. 4. Employés, manœuvres, ouvriers et apprentis</t>
        </is>
      </c>
    </row>
    <row r="23">
      <c r="A23" s="10" t="inlineStr">
        <is>
          <t>YL. TOTAL (2)</t>
        </is>
      </c>
      <c r="B23" s="11">
        <f>SUM(B19:B22)</f>
        <v/>
      </c>
    </row>
    <row r="24">
      <c r="A24" t="inlineStr">
        <is>
          <t>YO. TOTAL (1 + 2) : à rapprocher de la note 29A et du compte 637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6" customWidth="1" min="9" max="9"/>
  </cols>
  <sheetData>
    <row r="1">
      <c r="A1" s="1" t="inlineStr">
        <is>
          <t>NOTE 30</t>
        </is>
      </c>
    </row>
    <row r="2">
      <c r="A2" s="2" t="inlineStr">
        <is>
          <t>DOTATIONS ET CHARGES POUR PROVISIONS ET DÉPRÉCIATIONS</t>
        </is>
      </c>
    </row>
    <row r="3"/>
    <row r="4">
      <c r="A4" s="3" t="inlineStr">
        <is>
          <t>Désignation entité : ASSOCIATION ESPOIR</t>
        </is>
      </c>
      <c r="H4" s="3" t="inlineStr">
        <is>
          <t>Exercice clos le : 31/12/2025</t>
        </is>
      </c>
    </row>
    <row r="5">
      <c r="A5" t="inlineStr">
        <is>
          <t>Numéro d'identification : F.92/12.345</t>
        </is>
      </c>
      <c r="H5" t="inlineStr">
        <is>
          <t>Durée (en mois) : 12</t>
        </is>
      </c>
    </row>
    <row r="6"/>
    <row r="7">
      <c r="A7" s="9" t="inlineStr">
        <is>
          <t>NATURE</t>
        </is>
      </c>
      <c r="B7" s="9" t="inlineStr">
        <is>
          <t>Provisions à l'ouverture (A)</t>
        </is>
      </c>
      <c r="C7" s="9" t="inlineStr">
        <is>
          <t>Dotations exploitation</t>
        </is>
      </c>
      <c r="D7" s="9" t="inlineStr">
        <is>
          <t>Dotations financières</t>
        </is>
      </c>
      <c r="E7" s="9" t="inlineStr">
        <is>
          <t>Dotations HAO</t>
        </is>
      </c>
      <c r="F7" s="9" t="inlineStr">
        <is>
          <t>Reprises exploitation</t>
        </is>
      </c>
      <c r="G7" s="9" t="inlineStr">
        <is>
          <t>Reprises financières</t>
        </is>
      </c>
      <c r="H7" s="9" t="inlineStr">
        <is>
          <t>Reprises HAO</t>
        </is>
      </c>
      <c r="I7" s="9" t="inlineStr">
        <is>
          <t>Provisions à la clôture (D = A + B - C)</t>
        </is>
      </c>
    </row>
    <row r="8">
      <c r="A8" s="14" t="inlineStr">
        <is>
          <t>Provisions réglementées</t>
        </is>
      </c>
      <c r="B8" s="15">
        <f>SUMIF(BALANCE_N1!$A$2:$A$67,"15*",BALANCE_N1!$G$2:$G$67)-SUMIF(BALANCE_N1!$A$2:$A$67,"15*",BALANCE_N1!$F$2:$F$67)</f>
        <v/>
      </c>
      <c r="C8" s="15" t="n"/>
      <c r="D8" s="15" t="n"/>
      <c r="E8" s="15">
        <f>MAX(0,(SUMIF(BALANCE!$A$2:$A$67,"15*",BALANCE!$G$2:$G$67)-SUMIF(BALANCE!$A$2:$A$67,"15*",BALANCE!$F$2:$F$67))-(SUMIF(BALANCE_N1!$A$2:$A$67,"15*",BALANCE_N1!$G$2:$G$67)-SUMIF(BALANCE_N1!$A$2:$A$67,"15*",BALANCE_N1!$F$2:$F$67)))</f>
        <v/>
      </c>
      <c r="F8" s="15" t="n"/>
      <c r="G8" s="15" t="n"/>
      <c r="H8" s="15">
        <f>MAX(0,(SUMIF(BALANCE_N1!$A$2:$A$67,"15*",BALANCE_N1!$G$2:$G$67)-SUMIF(BALANCE_N1!$A$2:$A$67,"15*",BALANCE_N1!$F$2:$F$67))-(SUMIF(BALANCE!$A$2:$A$67,"15*",BALANCE!$G$2:$G$67)-SUMIF(BALANCE!$A$2:$A$67,"15*",BALANCE!$F$2:$F$67)))</f>
        <v/>
      </c>
      <c r="I8" s="15">
        <f>B8+C8+D8+E8-F8-G8-H8</f>
        <v/>
      </c>
    </row>
    <row r="9">
      <c r="A9" s="12" t="inlineStr">
        <is>
          <t>Provisions pour risques et charges</t>
        </is>
      </c>
      <c r="B9" s="13">
        <f>SUMIF(BALANCE_N1!$A$2:$A$67,"19*",BALANCE_N1!$G$2:$G$67)-SUMIF(BALANCE_N1!$A$2:$A$67,"19*",BALANCE_N1!$F$2:$F$67)</f>
        <v/>
      </c>
      <c r="C9" s="13" t="n"/>
      <c r="D9" s="13">
        <f>MAX(0,(SUMIF(BALANCE!$A$2:$A$67,"19*",BALANCE!$G$2:$G$67)-SUMIF(BALANCE!$A$2:$A$67,"19*",BALANCE!$F$2:$F$67))-(SUMIF(BALANCE_N1!$A$2:$A$67,"19*",BALANCE_N1!$G$2:$G$67)-SUMIF(BALANCE_N1!$A$2:$A$67,"19*",BALANCE_N1!$F$2:$F$67)))</f>
        <v/>
      </c>
      <c r="E9" s="13" t="n"/>
      <c r="F9" s="13" t="n"/>
      <c r="G9" s="13">
        <f>MAX(0,(SUMIF(BALANCE_N1!$A$2:$A$67,"19*",BALANCE_N1!$G$2:$G$67)-SUMIF(BALANCE_N1!$A$2:$A$67,"19*",BALANCE_N1!$F$2:$F$67))-(SUMIF(BALANCE!$A$2:$A$67,"19*",BALANCE!$G$2:$G$67)-SUMIF(BALANCE!$A$2:$A$67,"19*",BALANCE!$F$2:$F$67)))</f>
        <v/>
      </c>
      <c r="H9" s="13" t="n"/>
      <c r="I9" s="13">
        <f>B9+C9+D9+E9-F9-G9-H9</f>
        <v/>
      </c>
    </row>
    <row r="10">
      <c r="A10" s="14" t="inlineStr">
        <is>
          <t>Dépréciations des immobilisations</t>
        </is>
      </c>
      <c r="B10" s="15">
        <f>SUMIF(BALANCE_N1!$A$2:$A$67,"29*",BALANCE_N1!$G$2:$G$67)-SUMIF(BALANCE_N1!$A$2:$A$67,"29*",BALANCE_N1!$F$2:$F$67)-SUMIF(BALANCE_N1!$A$2:$A$67,"290*",BALANCE_N1!$G$2:$G$67)+SUMIF(BALANCE_N1!$A$2:$A$67,"290*",BALANCE_N1!$F$2:$F$67)</f>
        <v/>
      </c>
      <c r="C10" s="15">
        <f>MAX(0,(SUMIF(BALANCE!$A$2:$A$67,"29*",BALANCE!$G$2:$G$67)-SUMIF(BALANCE!$A$2:$A$67,"29*",BALANCE!$F$2:$F$67)-SUMIF(BALANCE!$A$2:$A$67,"290*",BALANCE!$G$2:$G$67)+SUMIF(BALANCE!$A$2:$A$67,"290*",BALANCE!$F$2:$F$67))-(SUMIF(BALANCE_N1!$A$2:$A$67,"29*",BALANCE_N1!$G$2:$G$67)-SUMIF(BALANCE_N1!$A$2:$A$67,"29*",BALANCE_N1!$F$2:$F$67)-SUMIF(BALANCE_N1!$A$2:$A$67,"290*",BALANCE_N1!$G$2:$G$67)+SUMIF(BALANCE_N1!$A$2:$A$67,"290*",BALANCE_N1!$F$2:$F$67)))</f>
        <v/>
      </c>
      <c r="D10" s="15" t="n"/>
      <c r="E10" s="15" t="n"/>
      <c r="F10" s="15">
        <f>MAX(0,(SUMIF(BALANCE_N1!$A$2:$A$67,"29*",BALANCE_N1!$G$2:$G$67)-SUMIF(BALANCE_N1!$A$2:$A$67,"29*",BALANCE_N1!$F$2:$F$67)-SUMIF(BALANCE_N1!$A$2:$A$67,"290*",BALANCE_N1!$G$2:$G$67)+SUMIF(BALANCE_N1!$A$2:$A$67,"290*",BALANCE_N1!$F$2:$F$67))-(SUMIF(BALANCE!$A$2:$A$67,"29*",BALANCE!$G$2:$G$67)-SUMIF(BALANCE!$A$2:$A$67,"29*",BALANCE!$F$2:$F$67)-SUMIF(BALANCE!$A$2:$A$67,"290*",BALANCE!$G$2:$G$67)+SUMIF(BALANCE!$A$2:$A$67,"290*",BALANCE!$F$2:$F$67)))</f>
        <v/>
      </c>
      <c r="G10" s="15" t="n"/>
      <c r="H10" s="15" t="n"/>
      <c r="I10" s="15">
        <f>B10+C10+D10+E10-F10-G10-H10</f>
        <v/>
      </c>
    </row>
    <row r="11">
      <c r="A11" s="12" t="inlineStr">
        <is>
          <t>Dépréciations des dons et legs, usufruit et immobilisations reçues destinées à la vente</t>
        </is>
      </c>
      <c r="B11" s="13">
        <f>SUMIF(BALANCE_N1!$A$2:$A$67,"290*",BALANCE_N1!$G$2:$G$67)-SUMIF(BALANCE_N1!$A$2:$A$67,"290*",BALANCE_N1!$F$2:$F$67)</f>
        <v/>
      </c>
      <c r="C11" s="13">
        <f>MAX(0,(SUMIF(BALANCE!$A$2:$A$67,"290*",BALANCE!$G$2:$G$67)-SUMIF(BALANCE!$A$2:$A$67,"290*",BALANCE!$F$2:$F$67))-(SUMIF(BALANCE_N1!$A$2:$A$67,"290*",BALANCE_N1!$G$2:$G$67)-SUMIF(BALANCE_N1!$A$2:$A$67,"290*",BALANCE_N1!$F$2:$F$67)))</f>
        <v/>
      </c>
      <c r="D11" s="13" t="n"/>
      <c r="E11" s="13" t="n"/>
      <c r="F11" s="13">
        <f>MAX(0,(SUMIF(BALANCE_N1!$A$2:$A$67,"290*",BALANCE_N1!$G$2:$G$67)-SUMIF(BALANCE_N1!$A$2:$A$67,"290*",BALANCE_N1!$F$2:$F$67))-(SUMIF(BALANCE!$A$2:$A$67,"290*",BALANCE!$G$2:$G$67)-SUMIF(BALANCE!$A$2:$A$67,"290*",BALANCE!$F$2:$F$67)))</f>
        <v/>
      </c>
      <c r="G11" s="13" t="n"/>
      <c r="H11" s="13" t="n"/>
      <c r="I11" s="13">
        <f>B11+C11+D11+E11-F11-G11-H11</f>
        <v/>
      </c>
    </row>
    <row r="12">
      <c r="A12" s="10" t="inlineStr">
        <is>
          <t>TOTAL : DOTATIONS</t>
        </is>
      </c>
      <c r="B12" s="11">
        <f>SUM(B8:B11)</f>
        <v/>
      </c>
      <c r="C12" s="11">
        <f>SUM(C8:C11)</f>
        <v/>
      </c>
      <c r="D12" s="11">
        <f>SUM(D8:D11)</f>
        <v/>
      </c>
      <c r="E12" s="11">
        <f>SUM(E8:E11)</f>
        <v/>
      </c>
      <c r="F12" s="11">
        <f>SUM(F8:F11)</f>
        <v/>
      </c>
      <c r="G12" s="11">
        <f>SUM(G8:G11)</f>
        <v/>
      </c>
      <c r="H12" s="11">
        <f>SUM(H8:H11)</f>
        <v/>
      </c>
      <c r="I12" s="11">
        <f>SUM(I8:I11)</f>
        <v/>
      </c>
    </row>
    <row r="13">
      <c r="A13" s="12" t="inlineStr">
        <is>
          <t>Dépréciations des stocks et en-cours</t>
        </is>
      </c>
      <c r="B13" s="13">
        <f>SUMIF(BALANCE_N1!$A$2:$A$67,"39*",BALANCE_N1!$G$2:$G$67)-SUMIF(BALANCE_N1!$A$2:$A$67,"39*",BALANCE_N1!$F$2:$F$67)</f>
        <v/>
      </c>
      <c r="C13" s="13">
        <f>MAX(0,(SUMIF(BALANCE!$A$2:$A$67,"39*",BALANCE!$G$2:$G$67)-SUMIF(BALANCE!$A$2:$A$67,"39*",BALANCE!$F$2:$F$67))-(SUMIF(BALANCE_N1!$A$2:$A$67,"39*",BALANCE_N1!$G$2:$G$67)-SUMIF(BALANCE_N1!$A$2:$A$67,"39*",BALANCE_N1!$F$2:$F$67)))</f>
        <v/>
      </c>
      <c r="D13" s="13" t="n"/>
      <c r="E13" s="13" t="n"/>
      <c r="F13" s="13">
        <f>MAX(0,(SUMIF(BALANCE_N1!$A$2:$A$67,"39*",BALANCE_N1!$G$2:$G$67)-SUMIF(BALANCE_N1!$A$2:$A$67,"39*",BALANCE_N1!$F$2:$F$67))-(SUMIF(BALANCE!$A$2:$A$67,"39*",BALANCE!$G$2:$G$67)-SUMIF(BALANCE!$A$2:$A$67,"39*",BALANCE!$F$2:$F$67)))</f>
        <v/>
      </c>
      <c r="G13" s="13" t="n"/>
      <c r="H13" s="13" t="n"/>
      <c r="I13" s="13">
        <f>B13+C13+D13+E13-F13-G13-H13</f>
        <v/>
      </c>
    </row>
    <row r="14">
      <c r="A14" s="14" t="inlineStr">
        <is>
          <t>Dépréciations des comptes fournisseurs</t>
        </is>
      </c>
      <c r="B14" s="15">
        <f>SUMIF(BALANCE_N1!$A$2:$A$67,"490*",BALANCE_N1!$G$2:$G$67)-SUMIF(BALANCE_N1!$A$2:$A$67,"490*",BALANCE_N1!$F$2:$F$67)</f>
        <v/>
      </c>
      <c r="C14" s="15">
        <f>MAX(0,(SUMIF(BALANCE!$A$2:$A$67,"490*",BALANCE!$G$2:$G$67)-SUMIF(BALANCE!$A$2:$A$67,"490*",BALANCE!$F$2:$F$67))-(SUMIF(BALANCE_N1!$A$2:$A$67,"490*",BALANCE_N1!$G$2:$G$67)-SUMIF(BALANCE_N1!$A$2:$A$67,"490*",BALANCE_N1!$F$2:$F$67)))</f>
        <v/>
      </c>
      <c r="D14" s="15" t="n"/>
      <c r="E14" s="15" t="n"/>
      <c r="F14" s="15">
        <f>MAX(0,(SUMIF(BALANCE_N1!$A$2:$A$67,"490*",BALANCE_N1!$G$2:$G$67)-SUMIF(BALANCE_N1!$A$2:$A$67,"490*",BALANCE_N1!$F$2:$F$67))-(SUMIF(BALANCE!$A$2:$A$67,"490*",BALANCE!$G$2:$G$67)-SUMIF(BALANCE!$A$2:$A$67,"490*",BALANCE!$F$2:$F$67)))</f>
        <v/>
      </c>
      <c r="G14" s="15" t="n"/>
      <c r="H14" s="15" t="n"/>
      <c r="I14" s="15">
        <f>B14+C14+D14+E14-F14-G14-H14</f>
        <v/>
      </c>
    </row>
    <row r="15">
      <c r="A15" s="12" t="inlineStr">
        <is>
          <t>Dépréciations des comptes adhérents et clients</t>
        </is>
      </c>
      <c r="B15" s="13">
        <f>SUMIF(BALANCE_N1!$A$2:$A$67,"491*",BALANCE_N1!$G$2:$G$67)-SUMIF(BALANCE_N1!$A$2:$A$67,"491*",BALANCE_N1!$F$2:$F$67)</f>
        <v/>
      </c>
      <c r="C15" s="13">
        <f>MAX(0,(SUMIF(BALANCE!$A$2:$A$67,"491*",BALANCE!$G$2:$G$67)-SUMIF(BALANCE!$A$2:$A$67,"491*",BALANCE!$F$2:$F$67))-(SUMIF(BALANCE_N1!$A$2:$A$67,"491*",BALANCE_N1!$G$2:$G$67)-SUMIF(BALANCE_N1!$A$2:$A$67,"491*",BALANCE_N1!$F$2:$F$67)))</f>
        <v/>
      </c>
      <c r="D15" s="13" t="n"/>
      <c r="E15" s="13" t="n"/>
      <c r="F15" s="13">
        <f>MAX(0,(SUMIF(BALANCE_N1!$A$2:$A$67,"491*",BALANCE_N1!$G$2:$G$67)-SUMIF(BALANCE_N1!$A$2:$A$67,"491*",BALANCE_N1!$F$2:$F$67))-(SUMIF(BALANCE!$A$2:$A$67,"491*",BALANCE!$G$2:$G$67)-SUMIF(BALANCE!$A$2:$A$67,"491*",BALANCE!$F$2:$F$67)))</f>
        <v/>
      </c>
      <c r="G15" s="13" t="n"/>
      <c r="H15" s="13" t="n"/>
      <c r="I15" s="13">
        <f>B15+C15+D15+E15-F15-G15-H15</f>
        <v/>
      </c>
    </row>
    <row r="16">
      <c r="A16" s="14" t="inlineStr">
        <is>
          <t>Dépréciations autres créances d'exploitation</t>
        </is>
      </c>
      <c r="B16" s="15">
        <f>SUMIF(BALANCE_N1!$A$2:$A$67,"497*",BALANCE_N1!$G$2:$G$67)-SUMIF(BALANCE_N1!$A$2:$A$67,"497*",BALANCE_N1!$F$2:$F$67)+SUMIF(BALANCE_N1!$A$2:$A$67,"493*",BALANCE_N1!$G$2:$G$67)-SUMIF(BALANCE_N1!$A$2:$A$67,"493*",BALANCE_N1!$F$2:$F$67)+SUMIF(BALANCE_N1!$A$2:$A$67,"492*",BALANCE_N1!$G$2:$G$67)-SUMIF(BALANCE_N1!$A$2:$A$67,"492*",BALANCE_N1!$F$2:$F$67)+SUMIF(BALANCE_N1!$A$2:$A$67,"494*",BALANCE_N1!$G$2:$G$67)-SUMIF(BALANCE_N1!$A$2:$A$67,"494*",BALANCE_N1!$F$2:$F$67)</f>
        <v/>
      </c>
      <c r="C16" s="15">
        <f>MAX(0,(SUMIF(BALANCE!$A$2:$A$67,"497*",BALANCE!$G$2:$G$67)-SUMIF(BALANCE!$A$2:$A$67,"497*",BALANCE!$F$2:$F$67)+SUMIF(BALANCE!$A$2:$A$67,"493*",BALANCE!$G$2:$G$67)-SUMIF(BALANCE!$A$2:$A$67,"493*",BALANCE!$F$2:$F$67)+SUMIF(BALANCE!$A$2:$A$67,"492*",BALANCE!$G$2:$G$67)-SUMIF(BALANCE!$A$2:$A$67,"492*",BALANCE!$F$2:$F$67)+SUMIF(BALANCE!$A$2:$A$67,"494*",BALANCE!$G$2:$G$67)-SUMIF(BALANCE!$A$2:$A$67,"494*",BALANCE!$F$2:$F$67))-(SUMIF(BALANCE_N1!$A$2:$A$67,"497*",BALANCE_N1!$G$2:$G$67)-SUMIF(BALANCE_N1!$A$2:$A$67,"497*",BALANCE_N1!$F$2:$F$67)+SUMIF(BALANCE_N1!$A$2:$A$67,"493*",BALANCE_N1!$G$2:$G$67)-SUMIF(BALANCE_N1!$A$2:$A$67,"493*",BALANCE_N1!$F$2:$F$67)+SUMIF(BALANCE_N1!$A$2:$A$67,"492*",BALANCE_N1!$G$2:$G$67)-SUMIF(BALANCE_N1!$A$2:$A$67,"492*",BALANCE_N1!$F$2:$F$67)+SUMIF(BALANCE_N1!$A$2:$A$67,"494*",BALANCE_N1!$G$2:$G$67)-SUMIF(BALANCE_N1!$A$2:$A$67,"494*",BALANCE_N1!$F$2:$F$67)))</f>
        <v/>
      </c>
      <c r="D16" s="15" t="n"/>
      <c r="E16" s="15" t="n"/>
      <c r="F16" s="15">
        <f>MAX(0,(SUMIF(BALANCE_N1!$A$2:$A$67,"497*",BALANCE_N1!$G$2:$G$67)-SUMIF(BALANCE_N1!$A$2:$A$67,"497*",BALANCE_N1!$F$2:$F$67)+SUMIF(BALANCE_N1!$A$2:$A$67,"493*",BALANCE_N1!$G$2:$G$67)-SUMIF(BALANCE_N1!$A$2:$A$67,"493*",BALANCE_N1!$F$2:$F$67)+SUMIF(BALANCE_N1!$A$2:$A$67,"492*",BALANCE_N1!$G$2:$G$67)-SUMIF(BALANCE_N1!$A$2:$A$67,"492*",BALANCE_N1!$F$2:$F$67)+SUMIF(BALANCE_N1!$A$2:$A$67,"494*",BALANCE_N1!$G$2:$G$67)-SUMIF(BALANCE_N1!$A$2:$A$67,"494*",BALANCE_N1!$F$2:$F$67))-(SUMIF(BALANCE!$A$2:$A$67,"497*",BALANCE!$G$2:$G$67)-SUMIF(BALANCE!$A$2:$A$67,"497*",BALANCE!$F$2:$F$67)+SUMIF(BALANCE!$A$2:$A$67,"493*",BALANCE!$G$2:$G$67)-SUMIF(BALANCE!$A$2:$A$67,"493*",BALANCE!$F$2:$F$67)+SUMIF(BALANCE!$A$2:$A$67,"492*",BALANCE!$G$2:$G$67)-SUMIF(BALANCE!$A$2:$A$67,"492*",BALANCE!$F$2:$F$67)+SUMIF(BALANCE!$A$2:$A$67,"494*",BALANCE!$G$2:$G$67)-SUMIF(BALANCE!$A$2:$A$67,"494*",BALANCE!$F$2:$F$67)))</f>
        <v/>
      </c>
      <c r="G16" s="15" t="n"/>
      <c r="H16" s="15" t="n"/>
      <c r="I16" s="15">
        <f>B16+C16+D16+E16-F16-G16-H16</f>
        <v/>
      </c>
    </row>
    <row r="17">
      <c r="A17" s="12" t="inlineStr">
        <is>
          <t>Dépréciations des comptes de créances HAO</t>
        </is>
      </c>
      <c r="B17" s="13">
        <f>SUMIF(BALANCE_N1!$A$2:$A$67,"498*",BALANCE_N1!$G$2:$G$67)-SUMIF(BALANCE_N1!$A$2:$A$67,"498*",BALANCE_N1!$F$2:$F$67)</f>
        <v/>
      </c>
      <c r="C17" s="13" t="n"/>
      <c r="D17" s="13" t="n"/>
      <c r="E17" s="13">
        <f>MAX(0,(SUMIF(BALANCE!$A$2:$A$67,"498*",BALANCE!$G$2:$G$67)-SUMIF(BALANCE!$A$2:$A$67,"498*",BALANCE!$F$2:$F$67))-(SUMIF(BALANCE_N1!$A$2:$A$67,"498*",BALANCE_N1!$G$2:$G$67)-SUMIF(BALANCE_N1!$A$2:$A$67,"498*",BALANCE_N1!$F$2:$F$67)))</f>
        <v/>
      </c>
      <c r="F17" s="13" t="n"/>
      <c r="G17" s="13" t="n"/>
      <c r="H17" s="13">
        <f>MAX(0,(SUMIF(BALANCE_N1!$A$2:$A$67,"498*",BALANCE_N1!$G$2:$G$67)-SUMIF(BALANCE_N1!$A$2:$A$67,"498*",BALANCE_N1!$F$2:$F$67))-(SUMIF(BALANCE!$A$2:$A$67,"498*",BALANCE!$G$2:$G$67)-SUMIF(BALANCE!$A$2:$A$67,"498*",BALANCE!$F$2:$F$67)))</f>
        <v/>
      </c>
      <c r="I17" s="13">
        <f>B17+C17+D17+E17-F17-G17-H17</f>
        <v/>
      </c>
    </row>
    <row r="18">
      <c r="A18" s="14" t="inlineStr">
        <is>
          <t>Dépréciations des titres de placement</t>
        </is>
      </c>
      <c r="B18" s="15">
        <f>SUMIF(BALANCE_N1!$A$2:$A$67,"590*",BALANCE_N1!$G$2:$G$67)-SUMIF(BALANCE_N1!$A$2:$A$67,"590*",BALANCE_N1!$F$2:$F$67)</f>
        <v/>
      </c>
      <c r="C18" s="15" t="n"/>
      <c r="D18" s="15">
        <f>MAX(0,(SUMIF(BALANCE!$A$2:$A$67,"590*",BALANCE!$G$2:$G$67)-SUMIF(BALANCE!$A$2:$A$67,"590*",BALANCE!$F$2:$F$67))-(SUMIF(BALANCE_N1!$A$2:$A$67,"590*",BALANCE_N1!$G$2:$G$67)-SUMIF(BALANCE_N1!$A$2:$A$67,"590*",BALANCE_N1!$F$2:$F$67)))</f>
        <v/>
      </c>
      <c r="E18" s="15" t="n"/>
      <c r="F18" s="15" t="n"/>
      <c r="G18" s="15">
        <f>MAX(0,(SUMIF(BALANCE_N1!$A$2:$A$67,"590*",BALANCE_N1!$G$2:$G$67)-SUMIF(BALANCE_N1!$A$2:$A$67,"590*",BALANCE_N1!$F$2:$F$67))-(SUMIF(BALANCE!$A$2:$A$67,"590*",BALANCE!$G$2:$G$67)-SUMIF(BALANCE!$A$2:$A$67,"590*",BALANCE!$F$2:$F$67)))</f>
        <v/>
      </c>
      <c r="H18" s="15" t="n"/>
      <c r="I18" s="15">
        <f>B18+C18+D18+E18-F18-G18-H18</f>
        <v/>
      </c>
    </row>
    <row r="19">
      <c r="A19" s="12" t="inlineStr">
        <is>
          <t>Dépréciations des titres et valeurs à encaisser</t>
        </is>
      </c>
      <c r="B19" s="13">
        <f>SUMIF(BALANCE_N1!$A$2:$A$67,"591*",BALANCE_N1!$G$2:$G$67)-SUMIF(BALANCE_N1!$A$2:$A$67,"591*",BALANCE_N1!$F$2:$F$67)</f>
        <v/>
      </c>
      <c r="C19" s="13" t="n"/>
      <c r="D19" s="13">
        <f>MAX(0,(SUMIF(BALANCE!$A$2:$A$67,"591*",BALANCE!$G$2:$G$67)-SUMIF(BALANCE!$A$2:$A$67,"591*",BALANCE!$F$2:$F$67))-(SUMIF(BALANCE_N1!$A$2:$A$67,"591*",BALANCE_N1!$G$2:$G$67)-SUMIF(BALANCE_N1!$A$2:$A$67,"591*",BALANCE_N1!$F$2:$F$67)))</f>
        <v/>
      </c>
      <c r="E19" s="13" t="n"/>
      <c r="F19" s="13" t="n"/>
      <c r="G19" s="13">
        <f>MAX(0,(SUMIF(BALANCE_N1!$A$2:$A$67,"591*",BALANCE_N1!$G$2:$G$67)-SUMIF(BALANCE_N1!$A$2:$A$67,"591*",BALANCE_N1!$F$2:$F$67))-(SUMIF(BALANCE!$A$2:$A$67,"591*",BALANCE!$G$2:$G$67)-SUMIF(BALANCE!$A$2:$A$67,"591*",BALANCE!$F$2:$F$67)))</f>
        <v/>
      </c>
      <c r="H19" s="13" t="n"/>
      <c r="I19" s="13">
        <f>B19+C19+D19+E19-F19-G19-H19</f>
        <v/>
      </c>
    </row>
    <row r="20">
      <c r="A20" s="14" t="inlineStr">
        <is>
          <t>Dépréciations des comptes banques</t>
        </is>
      </c>
      <c r="B20" s="15">
        <f>SUMIF(BALANCE_N1!$A$2:$A$67,"592*",BALANCE_N1!$G$2:$G$67)-SUMIF(BALANCE_N1!$A$2:$A$67,"592*",BALANCE_N1!$F$2:$F$67)</f>
        <v/>
      </c>
      <c r="C20" s="15" t="n"/>
      <c r="D20" s="15">
        <f>MAX(0,(SUMIF(BALANCE!$A$2:$A$67,"592*",BALANCE!$G$2:$G$67)-SUMIF(BALANCE!$A$2:$A$67,"592*",BALANCE!$F$2:$F$67))-(SUMIF(BALANCE_N1!$A$2:$A$67,"592*",BALANCE_N1!$G$2:$G$67)-SUMIF(BALANCE_N1!$A$2:$A$67,"592*",BALANCE_N1!$F$2:$F$67)))</f>
        <v/>
      </c>
      <c r="E20" s="15" t="n"/>
      <c r="F20" s="15" t="n"/>
      <c r="G20" s="15">
        <f>MAX(0,(SUMIF(BALANCE_N1!$A$2:$A$67,"592*",BALANCE_N1!$G$2:$G$67)-SUMIF(BALANCE_N1!$A$2:$A$67,"592*",BALANCE_N1!$F$2:$F$67))-(SUMIF(BALANCE!$A$2:$A$67,"592*",BALANCE!$G$2:$G$67)-SUMIF(BALANCE!$A$2:$A$67,"592*",BALANCE!$F$2:$F$67)))</f>
        <v/>
      </c>
      <c r="H20" s="15" t="n"/>
      <c r="I20" s="15">
        <f>B20+C20+D20+E20-F20-G20-H20</f>
        <v/>
      </c>
    </row>
    <row r="21">
      <c r="A21" s="12" t="inlineStr">
        <is>
          <t>Dépréciations des comptes établissements financiers</t>
        </is>
      </c>
      <c r="B21" s="13">
        <f>SUMIF(BALANCE_N1!$A$2:$A$67,"593*",BALANCE_N1!$G$2:$G$67)-SUMIF(BALANCE_N1!$A$2:$A$67,"593*",BALANCE_N1!$F$2:$F$67)</f>
        <v/>
      </c>
      <c r="C21" s="13" t="n"/>
      <c r="D21" s="13">
        <f>MAX(0,(SUMIF(BALANCE!$A$2:$A$67,"593*",BALANCE!$G$2:$G$67)-SUMIF(BALANCE!$A$2:$A$67,"593*",BALANCE!$F$2:$F$67))-(SUMIF(BALANCE_N1!$A$2:$A$67,"593*",BALANCE_N1!$G$2:$G$67)-SUMIF(BALANCE_N1!$A$2:$A$67,"593*",BALANCE_N1!$F$2:$F$67)))</f>
        <v/>
      </c>
      <c r="E21" s="13" t="n"/>
      <c r="F21" s="13" t="n"/>
      <c r="G21" s="13">
        <f>MAX(0,(SUMIF(BALANCE_N1!$A$2:$A$67,"593*",BALANCE_N1!$G$2:$G$67)-SUMIF(BALANCE_N1!$A$2:$A$67,"593*",BALANCE_N1!$F$2:$F$67))-(SUMIF(BALANCE!$A$2:$A$67,"593*",BALANCE!$G$2:$G$67)-SUMIF(BALANCE!$A$2:$A$67,"593*",BALANCE!$F$2:$F$67)))</f>
        <v/>
      </c>
      <c r="H21" s="13" t="n"/>
      <c r="I21" s="13">
        <f>B21+C21+D21+E21-F21-G21-H21</f>
        <v/>
      </c>
    </row>
    <row r="22">
      <c r="A22" s="14" t="inlineStr">
        <is>
          <t>Dépréciations des instruments de monnaie électronique</t>
        </is>
      </c>
      <c r="B22" s="15">
        <f>SUMIF(BALANCE_N1!$A$2:$A$67,"595*",BALANCE_N1!$G$2:$G$67)-SUMIF(BALANCE_N1!$A$2:$A$67,"595*",BALANCE_N1!$F$2:$F$67)</f>
        <v/>
      </c>
      <c r="C22" s="15" t="n"/>
      <c r="D22" s="15">
        <f>MAX(0,(SUMIF(BALANCE!$A$2:$A$67,"595*",BALANCE!$G$2:$G$67)-SUMIF(BALANCE!$A$2:$A$67,"595*",BALANCE!$F$2:$F$67))-(SUMIF(BALANCE_N1!$A$2:$A$67,"595*",BALANCE_N1!$G$2:$G$67)-SUMIF(BALANCE_N1!$A$2:$A$67,"595*",BALANCE_N1!$F$2:$F$67)))</f>
        <v/>
      </c>
      <c r="E22" s="15" t="n"/>
      <c r="F22" s="15" t="n"/>
      <c r="G22" s="15">
        <f>MAX(0,(SUMIF(BALANCE_N1!$A$2:$A$67,"595*",BALANCE_N1!$G$2:$G$67)-SUMIF(BALANCE_N1!$A$2:$A$67,"595*",BALANCE_N1!$F$2:$F$67))-(SUMIF(BALANCE!$A$2:$A$67,"595*",BALANCE!$G$2:$G$67)-SUMIF(BALANCE!$A$2:$A$67,"595*",BALANCE!$F$2:$F$67)))</f>
        <v/>
      </c>
      <c r="H22" s="15" t="n"/>
      <c r="I22" s="15">
        <f>B22+C22+D22+E22-F22-G22-H22</f>
        <v/>
      </c>
    </row>
    <row r="23">
      <c r="A23" s="12" t="inlineStr">
        <is>
          <t>Provisions pour risques à court terme d'exploitation</t>
        </is>
      </c>
      <c r="B23" s="13">
        <f>SUMIF(BALANCE_N1!$A$2:$A$67,"4991*",BALANCE_N1!$G$2:$G$67)-SUMIF(BALANCE_N1!$A$2:$A$67,"4991*",BALANCE_N1!$F$2:$F$67)</f>
        <v/>
      </c>
      <c r="C23" s="13">
        <f>MAX(0,(SUMIF(BALANCE!$A$2:$A$67,"4991*",BALANCE!$G$2:$G$67)-SUMIF(BALANCE!$A$2:$A$67,"4991*",BALANCE!$F$2:$F$67))-(SUMIF(BALANCE_N1!$A$2:$A$67,"4991*",BALANCE_N1!$G$2:$G$67)-SUMIF(BALANCE_N1!$A$2:$A$67,"4991*",BALANCE_N1!$F$2:$F$67)))</f>
        <v/>
      </c>
      <c r="D23" s="13" t="n"/>
      <c r="E23" s="13" t="n"/>
      <c r="F23" s="13">
        <f>MAX(0,(SUMIF(BALANCE_N1!$A$2:$A$67,"4991*",BALANCE_N1!$G$2:$G$67)-SUMIF(BALANCE_N1!$A$2:$A$67,"4991*",BALANCE_N1!$F$2:$F$67))-(SUMIF(BALANCE!$A$2:$A$67,"4991*",BALANCE!$G$2:$G$67)-SUMIF(BALANCE!$A$2:$A$67,"4991*",BALANCE!$F$2:$F$67)))</f>
        <v/>
      </c>
      <c r="G23" s="13" t="n"/>
      <c r="H23" s="13" t="n"/>
      <c r="I23" s="13">
        <f>B23+C23+D23+E23-F23-G23-H23</f>
        <v/>
      </c>
    </row>
    <row r="24">
      <c r="A24" s="14" t="inlineStr">
        <is>
          <t>Provisions pour risques à court terme HAO</t>
        </is>
      </c>
      <c r="B24" s="15">
        <f>SUMIF(BALANCE_N1!$A$2:$A$67,"4998*",BALANCE_N1!$G$2:$G$67)-SUMIF(BALANCE_N1!$A$2:$A$67,"4998*",BALANCE_N1!$F$2:$F$67)</f>
        <v/>
      </c>
      <c r="C24" s="15" t="n"/>
      <c r="D24" s="15" t="n"/>
      <c r="E24" s="15">
        <f>MAX(0,(SUMIF(BALANCE!$A$2:$A$67,"4998*",BALANCE!$G$2:$G$67)-SUMIF(BALANCE!$A$2:$A$67,"4998*",BALANCE!$F$2:$F$67))-(SUMIF(BALANCE_N1!$A$2:$A$67,"4998*",BALANCE_N1!$G$2:$G$67)-SUMIF(BALANCE_N1!$A$2:$A$67,"4998*",BALANCE_N1!$F$2:$F$67)))</f>
        <v/>
      </c>
      <c r="F24" s="15" t="n"/>
      <c r="G24" s="15" t="n"/>
      <c r="H24" s="15">
        <f>MAX(0,(SUMIF(BALANCE_N1!$A$2:$A$67,"4998*",BALANCE_N1!$G$2:$G$67)-SUMIF(BALANCE_N1!$A$2:$A$67,"4998*",BALANCE_N1!$F$2:$F$67))-(SUMIF(BALANCE!$A$2:$A$67,"4998*",BALANCE!$G$2:$G$67)-SUMIF(BALANCE!$A$2:$A$67,"4998*",BALANCE!$F$2:$F$67)))</f>
        <v/>
      </c>
      <c r="I24" s="15">
        <f>B24+C24+D24+E24-F24-G24-H24</f>
        <v/>
      </c>
    </row>
    <row r="25">
      <c r="A25" s="12" t="inlineStr">
        <is>
          <t>Provisions pour risques à court terme à caractère financier</t>
        </is>
      </c>
      <c r="B25" s="13">
        <f>SUMIF(BALANCE_N1!$A$2:$A$67,"599*",BALANCE_N1!$G$2:$G$67)-SUMIF(BALANCE_N1!$A$2:$A$67,"599*",BALANCE_N1!$F$2:$F$67)</f>
        <v/>
      </c>
      <c r="C25" s="13" t="n"/>
      <c r="D25" s="13">
        <f>MAX(0,(SUMIF(BALANCE!$A$2:$A$67,"599*",BALANCE!$G$2:$G$67)-SUMIF(BALANCE!$A$2:$A$67,"599*",BALANCE!$F$2:$F$67))-(SUMIF(BALANCE_N1!$A$2:$A$67,"599*",BALANCE_N1!$G$2:$G$67)-SUMIF(BALANCE_N1!$A$2:$A$67,"599*",BALANCE_N1!$F$2:$F$67)))</f>
        <v/>
      </c>
      <c r="E25" s="13" t="n"/>
      <c r="F25" s="13" t="n"/>
      <c r="G25" s="13">
        <f>MAX(0,(SUMIF(BALANCE_N1!$A$2:$A$67,"599*",BALANCE_N1!$G$2:$G$67)-SUMIF(BALANCE_N1!$A$2:$A$67,"599*",BALANCE_N1!$F$2:$F$67))-(SUMIF(BALANCE!$A$2:$A$67,"599*",BALANCE!$G$2:$G$67)-SUMIF(BALANCE!$A$2:$A$67,"599*",BALANCE!$F$2:$F$67)))</f>
        <v/>
      </c>
      <c r="H25" s="13" t="n"/>
      <c r="I25" s="13">
        <f>B25+C25+D25+E25-F25-G25-H25</f>
        <v/>
      </c>
    </row>
    <row r="26">
      <c r="A26" s="10" t="inlineStr">
        <is>
          <t>TOTAL : CHARGES POUR DÉPRÉCIATIONS ET PROVISIONS À COURT TERME</t>
        </is>
      </c>
      <c r="B26" s="11">
        <f>SUM(B13:B25)</f>
        <v/>
      </c>
      <c r="C26" s="11">
        <f>SUM(C13:C25)</f>
        <v/>
      </c>
      <c r="D26" s="11">
        <f>SUM(D13:D25)</f>
        <v/>
      </c>
      <c r="E26" s="11">
        <f>SUM(E13:E25)</f>
        <v/>
      </c>
      <c r="F26" s="11">
        <f>SUM(F13:F25)</f>
        <v/>
      </c>
      <c r="G26" s="11">
        <f>SUM(G13:G25)</f>
        <v/>
      </c>
      <c r="H26" s="11">
        <f>SUM(H13:H25)</f>
        <v/>
      </c>
      <c r="I26" s="11">
        <f>SUM(I13:I25)</f>
        <v/>
      </c>
    </row>
    <row r="27">
      <c r="A27" s="10" t="inlineStr">
        <is>
          <t>TOTAL</t>
        </is>
      </c>
      <c r="B27" s="11">
        <f>B12+B26</f>
        <v/>
      </c>
      <c r="C27" s="11">
        <f>C12+C26</f>
        <v/>
      </c>
      <c r="D27" s="11">
        <f>D12+D26</f>
        <v/>
      </c>
      <c r="E27" s="11">
        <f>E12+E26</f>
        <v/>
      </c>
      <c r="F27" s="11">
        <f>F12+F26</f>
        <v/>
      </c>
      <c r="G27" s="11">
        <f>G12+G26</f>
        <v/>
      </c>
      <c r="H27" s="11">
        <f>H12+H26</f>
        <v/>
      </c>
      <c r="I27" s="11">
        <f>I12+I26</f>
        <v/>
      </c>
    </row>
    <row r="28"/>
    <row r="29">
      <c r="A29" t="inlineStr">
        <is>
          <t>À défaut d'échéancier, dotations et reprises sont posées en variation nette N/N-1 par nature - indiquer les évènements et circonstances de chaque constitution et reprise.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31</t>
        </is>
      </c>
    </row>
    <row r="2">
      <c r="A2" s="2" t="inlineStr">
        <is>
          <t>CHARGES ET REVENUS FINANCIERS</t>
        </is>
      </c>
    </row>
    <row r="3"/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Intérêts des emprunts</t>
        </is>
      </c>
      <c r="B8" s="15">
        <f>SUMIF(BALANCE!$A$2:$A$67,"671*",BALANCE!$F$2:$F$67)-SUMIF(BALANCE!$A$2:$A$67,"671*",BALANCE!$G$2:$G$67)</f>
        <v/>
      </c>
      <c r="C8" s="15">
        <f>SUMIF(BALANCE_N1!$A$2:$A$67,"671*",BALANCE_N1!$F$2:$F$67)-SUMIF(BALANCE_N1!$A$2:$A$67,"671*",BALANCE_N1!$G$2:$G$67)</f>
        <v/>
      </c>
      <c r="D8" s="15">
        <f>B8-C8</f>
        <v/>
      </c>
      <c r="E8" s="19">
        <f>IF(C8=0,"",(B8-C8)/C8)</f>
        <v/>
      </c>
    </row>
    <row r="9">
      <c r="A9" s="12" t="inlineStr">
        <is>
          <t>Intérêts dans loyers de location-acquisition</t>
        </is>
      </c>
      <c r="B9" s="13">
        <f>SUMIF(BALANCE!$A$2:$A$67,"672*",BALANCE!$F$2:$F$67)-SUMIF(BALANCE!$A$2:$A$67,"672*",BALANCE!$G$2:$G$67)</f>
        <v/>
      </c>
      <c r="C9" s="13">
        <f>SUMIF(BALANCE_N1!$A$2:$A$67,"672*",BALANCE_N1!$F$2:$F$67)-SUMIF(BALANCE_N1!$A$2:$A$67,"672*",BALANCE_N1!$G$2:$G$67)</f>
        <v/>
      </c>
      <c r="D9" s="13">
        <f>B9-C9</f>
        <v/>
      </c>
      <c r="E9" s="20">
        <f>IF(C9=0,"",(B9-C9)/C9)</f>
        <v/>
      </c>
    </row>
    <row r="10">
      <c r="A10" s="14" t="inlineStr">
        <is>
          <t>Escomptes accordés</t>
        </is>
      </c>
      <c r="B10" s="15">
        <f>SUMIF(BALANCE!$A$2:$A$67,"673*",BALANCE!$F$2:$F$67)-SUMIF(BALANCE!$A$2:$A$67,"673*",BALANCE!$G$2:$G$67)</f>
        <v/>
      </c>
      <c r="C10" s="15">
        <f>SUMIF(BALANCE_N1!$A$2:$A$67,"673*",BALANCE_N1!$F$2:$F$67)-SUMIF(BALANCE_N1!$A$2:$A$67,"673*",BALANCE_N1!$G$2:$G$67)</f>
        <v/>
      </c>
      <c r="D10" s="15">
        <f>B10-C10</f>
        <v/>
      </c>
      <c r="E10" s="19">
        <f>IF(C10=0,"",(B10-C10)/C10)</f>
        <v/>
      </c>
    </row>
    <row r="11">
      <c r="A11" s="12" t="inlineStr">
        <is>
          <t>Autres intérêts</t>
        </is>
      </c>
      <c r="B11" s="13">
        <f>SUMIF(BALANCE!$A$2:$A$67,"674*",BALANCE!$F$2:$F$67)-SUMIF(BALANCE!$A$2:$A$67,"674*",BALANCE!$G$2:$G$67)</f>
        <v/>
      </c>
      <c r="C11" s="13">
        <f>SUMIF(BALANCE_N1!$A$2:$A$67,"674*",BALANCE_N1!$F$2:$F$67)-SUMIF(BALANCE_N1!$A$2:$A$67,"674*",BALANCE_N1!$G$2:$G$67)</f>
        <v/>
      </c>
      <c r="D11" s="13">
        <f>B11-C11</f>
        <v/>
      </c>
      <c r="E11" s="20">
        <f>IF(C11=0,"",(B11-C11)/C11)</f>
        <v/>
      </c>
    </row>
    <row r="12">
      <c r="A12" s="14" t="inlineStr">
        <is>
          <t>Pertes de change financières</t>
        </is>
      </c>
      <c r="B12" s="15">
        <f>SUMIF(BALANCE!$A$2:$A$67,"676*",BALANCE!$F$2:$F$67)-SUMIF(BALANCE!$A$2:$A$67,"676*",BALANCE!$G$2:$G$67)</f>
        <v/>
      </c>
      <c r="C12" s="15">
        <f>SUMIF(BALANCE_N1!$A$2:$A$67,"676*",BALANCE_N1!$F$2:$F$67)-SUMIF(BALANCE_N1!$A$2:$A$67,"676*",BALANCE_N1!$G$2:$G$67)</f>
        <v/>
      </c>
      <c r="D12" s="15">
        <f>B12-C12</f>
        <v/>
      </c>
      <c r="E12" s="19">
        <f>IF(C12=0,"",(B12-C12)/C12)</f>
        <v/>
      </c>
    </row>
    <row r="13">
      <c r="A13" s="12" t="inlineStr">
        <is>
          <t>Pertes sur cessions de titres de placement</t>
        </is>
      </c>
      <c r="B13" s="13">
        <f>SUMIF(BALANCE!$A$2:$A$67,"677*",BALANCE!$F$2:$F$67)-SUMIF(BALANCE!$A$2:$A$67,"677*",BALANCE!$G$2:$G$67)</f>
        <v/>
      </c>
      <c r="C13" s="13">
        <f>SUMIF(BALANCE_N1!$A$2:$A$67,"677*",BALANCE_N1!$F$2:$F$67)-SUMIF(BALANCE_N1!$A$2:$A$67,"677*",BALANCE_N1!$G$2:$G$67)</f>
        <v/>
      </c>
      <c r="D13" s="13">
        <f>B13-C13</f>
        <v/>
      </c>
      <c r="E13" s="20">
        <f>IF(C13=0,"",(B13-C13)/C13)</f>
        <v/>
      </c>
    </row>
    <row r="14">
      <c r="A14" s="14" t="inlineStr">
        <is>
          <t>Pertes et charges sur risques financiers</t>
        </is>
      </c>
      <c r="B14" s="15">
        <f>SUMIF(BALANCE!$A$2:$A$67,"678*",BALANCE!$F$2:$F$67)-SUMIF(BALANCE!$A$2:$A$67,"678*",BALANCE!$G$2:$G$67)</f>
        <v/>
      </c>
      <c r="C14" s="15">
        <f>SUMIF(BALANCE_N1!$A$2:$A$67,"678*",BALANCE_N1!$F$2:$F$67)-SUMIF(BALANCE_N1!$A$2:$A$67,"678*",BALANCE_N1!$G$2:$G$67)</f>
        <v/>
      </c>
      <c r="D14" s="15">
        <f>B14-C14</f>
        <v/>
      </c>
      <c r="E14" s="19">
        <f>IF(C14=0,"",(B14-C14)/C14)</f>
        <v/>
      </c>
    </row>
    <row r="15">
      <c r="A15" s="12" t="inlineStr">
        <is>
          <t>Charges pour dépréciations et provisions à court terme à caractère financier (voir note 30)</t>
        </is>
      </c>
      <c r="B15" s="13">
        <f>SUMIF(BALANCE!$A$2:$A$67,"679*",BALANCE!$F$2:$F$67)-SUMIF(BALANCE!$A$2:$A$67,"679*",BALANCE!$G$2:$G$67)</f>
        <v/>
      </c>
      <c r="C15" s="13">
        <f>SUMIF(BALANCE_N1!$A$2:$A$67,"679*",BALANCE_N1!$F$2:$F$67)-SUMIF(BALANCE_N1!$A$2:$A$67,"679*",BALANCE_N1!$G$2:$G$67)</f>
        <v/>
      </c>
      <c r="D15" s="13">
        <f>B15-C15</f>
        <v/>
      </c>
      <c r="E15" s="20">
        <f>IF(C15=0,"",(B15-C15)/C15)</f>
        <v/>
      </c>
    </row>
    <row r="16">
      <c r="A16" s="10" t="inlineStr">
        <is>
          <t>TOTAL : FRAIS FINANCIERS</t>
        </is>
      </c>
      <c r="B16" s="11">
        <f>SUM(B8:B15)</f>
        <v/>
      </c>
      <c r="C16" s="11">
        <f>SUM(C8:C15)</f>
        <v/>
      </c>
      <c r="D16" s="11">
        <f>B16-C16</f>
        <v/>
      </c>
      <c r="E16" s="21">
        <f>IF(C16=0,"",(B16-C16)/C16)</f>
        <v/>
      </c>
    </row>
    <row r="17">
      <c r="A17" s="12" t="inlineStr">
        <is>
          <t>Intérêts de prêts et créances diverses</t>
        </is>
      </c>
      <c r="B17" s="13">
        <f>SUMIF(BALANCE!$A$2:$A$67,"771*",BALANCE!$G$2:$G$67)-SUMIF(BALANCE!$A$2:$A$67,"771*",BALANCE!$F$2:$F$67)</f>
        <v/>
      </c>
      <c r="C17" s="13">
        <f>SUMIF(BALANCE_N1!$A$2:$A$67,"771*",BALANCE_N1!$G$2:$G$67)-SUMIF(BALANCE_N1!$A$2:$A$67,"771*",BALANCE_N1!$F$2:$F$67)</f>
        <v/>
      </c>
      <c r="D17" s="13">
        <f>B17-C17</f>
        <v/>
      </c>
      <c r="E17" s="20">
        <f>IF(C17=0,"",(B17-C17)/C17)</f>
        <v/>
      </c>
    </row>
    <row r="18">
      <c r="A18" s="14" t="inlineStr">
        <is>
          <t>Revenus de participations et autres titres immobilisés</t>
        </is>
      </c>
      <c r="B18" s="15">
        <f>SUMIF(BALANCE!$A$2:$A$67,"772*",BALANCE!$G$2:$G$67)-SUMIF(BALANCE!$A$2:$A$67,"772*",BALANCE!$F$2:$F$67)</f>
        <v/>
      </c>
      <c r="C18" s="15">
        <f>SUMIF(BALANCE_N1!$A$2:$A$67,"772*",BALANCE_N1!$G$2:$G$67)-SUMIF(BALANCE_N1!$A$2:$A$67,"772*",BALANCE_N1!$F$2:$F$67)</f>
        <v/>
      </c>
      <c r="D18" s="15">
        <f>B18-C18</f>
        <v/>
      </c>
      <c r="E18" s="19">
        <f>IF(C18=0,"",(B18-C18)/C18)</f>
        <v/>
      </c>
    </row>
    <row r="19">
      <c r="A19" s="12" t="inlineStr">
        <is>
          <t>Escomptes obtenus</t>
        </is>
      </c>
      <c r="B19" s="13">
        <f>SUMIF(BALANCE!$A$2:$A$67,"773*",BALANCE!$G$2:$G$67)-SUMIF(BALANCE!$A$2:$A$67,"773*",BALANCE!$F$2:$F$67)</f>
        <v/>
      </c>
      <c r="C19" s="13">
        <f>SUMIF(BALANCE_N1!$A$2:$A$67,"773*",BALANCE_N1!$G$2:$G$67)-SUMIF(BALANCE_N1!$A$2:$A$67,"773*",BALANCE_N1!$F$2:$F$67)</f>
        <v/>
      </c>
      <c r="D19" s="13">
        <f>B19-C19</f>
        <v/>
      </c>
      <c r="E19" s="20">
        <f>IF(C19=0,"",(B19-C19)/C19)</f>
        <v/>
      </c>
    </row>
    <row r="20">
      <c r="A20" s="14" t="inlineStr">
        <is>
          <t>Revenus de placement</t>
        </is>
      </c>
      <c r="B20" s="15">
        <f>SUMIF(BALANCE!$A$2:$A$67,"774*",BALANCE!$G$2:$G$67)-SUMIF(BALANCE!$A$2:$A$67,"774*",BALANCE!$F$2:$F$67)</f>
        <v/>
      </c>
      <c r="C20" s="15">
        <f>SUMIF(BALANCE_N1!$A$2:$A$67,"774*",BALANCE_N1!$G$2:$G$67)-SUMIF(BALANCE_N1!$A$2:$A$67,"774*",BALANCE_N1!$F$2:$F$67)</f>
        <v/>
      </c>
      <c r="D20" s="15">
        <f>B20-C20</f>
        <v/>
      </c>
      <c r="E20" s="19">
        <f>IF(C20=0,"",(B20-C20)/C20)</f>
        <v/>
      </c>
    </row>
    <row r="21">
      <c r="A21" s="12" t="inlineStr">
        <is>
          <t>Gains de change financiers</t>
        </is>
      </c>
      <c r="B21" s="13">
        <f>SUMIF(BALANCE!$A$2:$A$67,"776*",BALANCE!$G$2:$G$67)-SUMIF(BALANCE!$A$2:$A$67,"776*",BALANCE!$F$2:$F$67)</f>
        <v/>
      </c>
      <c r="C21" s="13">
        <f>SUMIF(BALANCE_N1!$A$2:$A$67,"776*",BALANCE_N1!$G$2:$G$67)-SUMIF(BALANCE_N1!$A$2:$A$67,"776*",BALANCE_N1!$F$2:$F$67)</f>
        <v/>
      </c>
      <c r="D21" s="13">
        <f>B21-C21</f>
        <v/>
      </c>
      <c r="E21" s="20">
        <f>IF(C21=0,"",(B21-C21)/C21)</f>
        <v/>
      </c>
    </row>
    <row r="22">
      <c r="A22" s="14" t="inlineStr">
        <is>
          <t>Gains sur cessions de titres de placement</t>
        </is>
      </c>
      <c r="B22" s="15">
        <f>SUMIF(BALANCE!$A$2:$A$67,"777*",BALANCE!$G$2:$G$67)-SUMIF(BALANCE!$A$2:$A$67,"777*",BALANCE!$F$2:$F$67)</f>
        <v/>
      </c>
      <c r="C22" s="15">
        <f>SUMIF(BALANCE_N1!$A$2:$A$67,"777*",BALANCE_N1!$G$2:$G$67)-SUMIF(BALANCE_N1!$A$2:$A$67,"777*",BALANCE_N1!$F$2:$F$67)</f>
        <v/>
      </c>
      <c r="D22" s="15">
        <f>B22-C22</f>
        <v/>
      </c>
      <c r="E22" s="19">
        <f>IF(C22=0,"",(B22-C22)/C22)</f>
        <v/>
      </c>
    </row>
    <row r="23">
      <c r="A23" s="12" t="inlineStr">
        <is>
          <t>Gains sur risques financiers</t>
        </is>
      </c>
      <c r="B23" s="13">
        <f>SUMIF(BALANCE!$A$2:$A$67,"778*",BALANCE!$G$2:$G$67)-SUMIF(BALANCE!$A$2:$A$67,"778*",BALANCE!$F$2:$F$67)</f>
        <v/>
      </c>
      <c r="C23" s="13">
        <f>SUMIF(BALANCE_N1!$A$2:$A$67,"778*",BALANCE_N1!$G$2:$G$67)-SUMIF(BALANCE_N1!$A$2:$A$67,"778*",BALANCE_N1!$F$2:$F$67)</f>
        <v/>
      </c>
      <c r="D23" s="13">
        <f>B23-C23</f>
        <v/>
      </c>
      <c r="E23" s="20">
        <f>IF(C23=0,"",(B23-C23)/C23)</f>
        <v/>
      </c>
    </row>
    <row r="24">
      <c r="A24" s="14" t="inlineStr">
        <is>
          <t>Transferts de charges financières</t>
        </is>
      </c>
      <c r="B24" s="15">
        <f>SUMIF(BALANCE!$A$2:$A$67,"787*",BALANCE!$G$2:$G$67)-SUMIF(BALANCE!$A$2:$A$67,"787*",BALANCE!$F$2:$F$67)</f>
        <v/>
      </c>
      <c r="C24" s="15">
        <f>SUMIF(BALANCE_N1!$A$2:$A$67,"787*",BALANCE_N1!$G$2:$G$67)-SUMIF(BALANCE_N1!$A$2:$A$67,"787*",BALANCE_N1!$F$2:$F$67)</f>
        <v/>
      </c>
      <c r="D24" s="15">
        <f>B24-C24</f>
        <v/>
      </c>
      <c r="E24" s="19">
        <f>IF(C24=0,"",(B24-C24)/C24)</f>
        <v/>
      </c>
    </row>
    <row r="25">
      <c r="A25" s="12" t="inlineStr">
        <is>
          <t>Reprises de charges pour dépréciations et provisions à court terme à caractère financier (voir note 30)</t>
        </is>
      </c>
      <c r="B25" s="13">
        <f>SUMIF(BALANCE!$A$2:$A$67,"779*",BALANCE!$G$2:$G$67)-SUMIF(BALANCE!$A$2:$A$67,"779*",BALANCE!$F$2:$F$67)</f>
        <v/>
      </c>
      <c r="C25" s="13">
        <f>SUMIF(BALANCE_N1!$A$2:$A$67,"779*",BALANCE_N1!$G$2:$G$67)-SUMIF(BALANCE_N1!$A$2:$A$67,"779*",BALANCE_N1!$F$2:$F$67)</f>
        <v/>
      </c>
      <c r="D25" s="13">
        <f>B25-C25</f>
        <v/>
      </c>
      <c r="E25" s="20">
        <f>IF(C25=0,"",(B25-C25)/C25)</f>
        <v/>
      </c>
    </row>
    <row r="26">
      <c r="A26" s="10" t="inlineStr">
        <is>
          <t>TOTAL : REVENUS FINANCIERS</t>
        </is>
      </c>
      <c r="B26" s="11">
        <f>SUM(B17:B25)</f>
        <v/>
      </c>
      <c r="C26" s="11">
        <f>SUM(C17:C25)</f>
        <v/>
      </c>
      <c r="D26" s="11">
        <f>B26-C26</f>
        <v/>
      </c>
      <c r="E26" s="21">
        <f>IF(C26=0,"",(B26-C26)/C26)</f>
        <v/>
      </c>
    </row>
    <row r="27">
      <c r="A27" s="10" t="inlineStr">
        <is>
          <t>TOTAL (revenus - frais)</t>
        </is>
      </c>
      <c r="B27" s="11">
        <f>B26-B16</f>
        <v/>
      </c>
      <c r="C27" s="11">
        <f>C26-C16</f>
        <v/>
      </c>
      <c r="D27" s="11">
        <f>B27-C27</f>
        <v/>
      </c>
      <c r="E27" s="21">
        <f>IF(C27=0,"",(B27-C27)/C27)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32</t>
        </is>
      </c>
    </row>
    <row r="2">
      <c r="A2" s="2" t="inlineStr">
        <is>
          <t>AUTRES CHARGES ET PRODUITS HAO</t>
        </is>
      </c>
    </row>
    <row r="3"/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6"/>
    <row r="7">
      <c r="A7" s="9" t="inlineStr">
        <is>
          <t>Libellés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4" t="inlineStr">
        <is>
          <t>Charges H.A.O. constatées (compte 831)</t>
        </is>
      </c>
      <c r="B8" s="15">
        <f>SUMIF(BALANCE!$A$2:$A$67,"831*",BALANCE!$F$2:$F$67)-SUMIF(BALANCE!$A$2:$A$67,"831*",BALANCE!$G$2:$G$67)</f>
        <v/>
      </c>
      <c r="C8" s="15">
        <f>SUMIF(BALANCE_N1!$A$2:$A$67,"831*",BALANCE_N1!$F$2:$F$67)-SUMIF(BALANCE_N1!$A$2:$A$67,"831*",BALANCE_N1!$G$2:$G$67)</f>
        <v/>
      </c>
      <c r="D8" s="15">
        <f>B8-C8</f>
        <v/>
      </c>
      <c r="E8" s="19">
        <f>IF(C8=0,"",(B8-C8)/C8)</f>
        <v/>
      </c>
    </row>
    <row r="9">
      <c r="A9" s="12" t="inlineStr">
        <is>
          <t>Dons en nature H.A.O. à distribuer (compte 832)</t>
        </is>
      </c>
      <c r="B9" s="13">
        <f>SUMIF(BALANCE!$A$2:$A$67,"832*",BALANCE!$F$2:$F$67)-SUMIF(BALANCE!$A$2:$A$67,"832*",BALANCE!$G$2:$G$67)</f>
        <v/>
      </c>
      <c r="C9" s="13">
        <f>SUMIF(BALANCE_N1!$A$2:$A$67,"832*",BALANCE_N1!$F$2:$F$67)-SUMIF(BALANCE_N1!$A$2:$A$67,"832*",BALANCE_N1!$G$2:$G$67)</f>
        <v/>
      </c>
      <c r="D9" s="13">
        <f>B9-C9</f>
        <v/>
      </c>
      <c r="E9" s="20">
        <f>IF(C9=0,"",(B9-C9)/C9)</f>
        <v/>
      </c>
    </row>
    <row r="10">
      <c r="A10" s="14" t="inlineStr">
        <is>
          <t>Pertes sur créances HAO</t>
        </is>
      </c>
      <c r="B10" s="15">
        <f>SUMIF(BALANCE!$A$2:$A$67,"834*",BALANCE!$F$2:$F$67)-SUMIF(BALANCE!$A$2:$A$67,"834*",BALANCE!$G$2:$G$67)</f>
        <v/>
      </c>
      <c r="C10" s="15">
        <f>SUMIF(BALANCE_N1!$A$2:$A$67,"834*",BALANCE_N1!$F$2:$F$67)-SUMIF(BALANCE_N1!$A$2:$A$67,"834*",BALANCE_N1!$G$2:$G$67)</f>
        <v/>
      </c>
      <c r="D10" s="15">
        <f>B10-C10</f>
        <v/>
      </c>
      <c r="E10" s="19">
        <f>IF(C10=0,"",(B10-C10)/C10)</f>
        <v/>
      </c>
    </row>
    <row r="11">
      <c r="A11" s="12" t="inlineStr">
        <is>
          <t>Abandons de créances consentis</t>
        </is>
      </c>
      <c r="B11" s="13">
        <f>SUMIF(BALANCE!$A$2:$A$67,"836*",BALANCE!$F$2:$F$67)-SUMIF(BALANCE!$A$2:$A$67,"836*",BALANCE!$G$2:$G$67)</f>
        <v/>
      </c>
      <c r="C11" s="13">
        <f>SUMIF(BALANCE_N1!$A$2:$A$67,"836*",BALANCE_N1!$F$2:$F$67)-SUMIF(BALANCE_N1!$A$2:$A$67,"836*",BALANCE_N1!$G$2:$G$67)</f>
        <v/>
      </c>
      <c r="D11" s="13">
        <f>B11-C11</f>
        <v/>
      </c>
      <c r="E11" s="20">
        <f>IF(C11=0,"",(B11-C11)/C11)</f>
        <v/>
      </c>
    </row>
    <row r="12">
      <c r="A12" s="14" t="inlineStr">
        <is>
          <t>Transferts de charges HAO (-)</t>
        </is>
      </c>
      <c r="B12" s="15">
        <f>SUMIF(BALANCE!$A$2:$A$67,"838*",BALANCE!$F$2:$F$67)-SUMIF(BALANCE!$A$2:$A$67,"838*",BALANCE!$G$2:$G$67)</f>
        <v/>
      </c>
      <c r="C12" s="15">
        <f>SUMIF(BALANCE_N1!$A$2:$A$67,"838*",BALANCE_N1!$F$2:$F$67)-SUMIF(BALANCE_N1!$A$2:$A$67,"838*",BALANCE_N1!$G$2:$G$67)</f>
        <v/>
      </c>
      <c r="D12" s="15">
        <f>B12-C12</f>
        <v/>
      </c>
      <c r="E12" s="19">
        <f>IF(C12=0,"",(B12-C12)/C12)</f>
        <v/>
      </c>
    </row>
    <row r="13">
      <c r="A13" s="12" t="inlineStr">
        <is>
          <t>Charges pour dépréciations et provisions pour risques à court terme HAO</t>
        </is>
      </c>
      <c r="B13" s="13">
        <f>SUMIF(BALANCE!$A$2:$A$67,"839*",BALANCE!$F$2:$F$67)-SUMIF(BALANCE!$A$2:$A$67,"839*",BALANCE!$G$2:$G$67)</f>
        <v/>
      </c>
      <c r="C13" s="13">
        <f>SUMIF(BALANCE_N1!$A$2:$A$67,"839*",BALANCE_N1!$F$2:$F$67)-SUMIF(BALANCE_N1!$A$2:$A$67,"839*",BALANCE_N1!$G$2:$G$67)</f>
        <v/>
      </c>
      <c r="D13" s="13">
        <f>B13-C13</f>
        <v/>
      </c>
      <c r="E13" s="20">
        <f>IF(C13=0,"",(B13-C13)/C13)</f>
        <v/>
      </c>
    </row>
    <row r="14">
      <c r="A14" s="14" t="inlineStr">
        <is>
          <t>Dotations hors activités ordinaires</t>
        </is>
      </c>
      <c r="B14" s="15">
        <f>SUMIF(BALANCE!$A$2:$A$67,"85*",BALANCE!$F$2:$F$67)-SUMIF(BALANCE!$A$2:$A$67,"85*",BALANCE!$G$2:$G$67)</f>
        <v/>
      </c>
      <c r="C14" s="15">
        <f>SUMIF(BALANCE_N1!$A$2:$A$67,"85*",BALANCE_N1!$F$2:$F$67)-SUMIF(BALANCE_N1!$A$2:$A$67,"85*",BALANCE_N1!$G$2:$G$67)</f>
        <v/>
      </c>
      <c r="D14" s="15">
        <f>B14-C14</f>
        <v/>
      </c>
      <c r="E14" s="19">
        <f>IF(C14=0,"",(B14-C14)/C14)</f>
        <v/>
      </c>
    </row>
    <row r="15">
      <c r="A15" s="12" t="inlineStr">
        <is>
          <t>Valeurs comptables des cessions d'immobilisations</t>
        </is>
      </c>
      <c r="B15" s="13">
        <f>SUMIF(BALANCE!$A$2:$A$67,"81*",BALANCE!$F$2:$F$67)-SUMIF(BALANCE!$A$2:$A$67,"81*",BALANCE!$G$2:$G$67)</f>
        <v/>
      </c>
      <c r="C15" s="13">
        <f>SUMIF(BALANCE_N1!$A$2:$A$67,"81*",BALANCE_N1!$F$2:$F$67)-SUMIF(BALANCE_N1!$A$2:$A$67,"81*",BALANCE_N1!$G$2:$G$67)</f>
        <v/>
      </c>
      <c r="D15" s="13">
        <f>B15-C15</f>
        <v/>
      </c>
      <c r="E15" s="20">
        <f>IF(C15=0,"",(B15-C15)/C15)</f>
        <v/>
      </c>
    </row>
    <row r="16">
      <c r="A16" s="14" t="inlineStr">
        <is>
          <t>Variations de stocks de dons en nature HAO (+/-)</t>
        </is>
      </c>
      <c r="B16" s="15">
        <f>SUMIF(BALANCE!$A$2:$A$67,"87*",BALANCE!$F$2:$F$67)-SUMIF(BALANCE!$A$2:$A$67,"87*",BALANCE!$G$2:$G$67)</f>
        <v/>
      </c>
      <c r="C16" s="15">
        <f>SUMIF(BALANCE_N1!$A$2:$A$67,"87*",BALANCE_N1!$F$2:$F$67)-SUMIF(BALANCE_N1!$A$2:$A$67,"87*",BALANCE_N1!$G$2:$G$67)</f>
        <v/>
      </c>
      <c r="D16" s="15">
        <f>B16-C16</f>
        <v/>
      </c>
      <c r="E16" s="19">
        <f>IF(C16=0,"",(B16-C16)/C16)</f>
        <v/>
      </c>
    </row>
    <row r="17">
      <c r="A17" s="10" t="inlineStr">
        <is>
          <t>TOTAL : AUTRES CHARGES HAO</t>
        </is>
      </c>
      <c r="B17" s="11">
        <f>SUM(B8:B16)</f>
        <v/>
      </c>
      <c r="C17" s="11">
        <f>SUM(C8:C16)</f>
        <v/>
      </c>
      <c r="D17" s="11">
        <f>B17-C17</f>
        <v/>
      </c>
      <c r="E17" s="21">
        <f>IF(C17=0,"",(B17-C17)/C17)</f>
        <v/>
      </c>
    </row>
    <row r="18">
      <c r="A18" s="14" t="inlineStr">
        <is>
          <t>Produits H.A.O. constatés (compte 841)</t>
        </is>
      </c>
      <c r="B18" s="15">
        <f>SUMIF(BALANCE!$A$2:$A$67,"841*",BALANCE!$G$2:$G$67)-SUMIF(BALANCE!$A$2:$A$67,"841*",BALANCE!$F$2:$F$67)</f>
        <v/>
      </c>
      <c r="C18" s="15">
        <f>SUMIF(BALANCE_N1!$A$2:$A$67,"841*",BALANCE_N1!$G$2:$G$67)-SUMIF(BALANCE_N1!$A$2:$A$67,"841*",BALANCE_N1!$F$2:$F$67)</f>
        <v/>
      </c>
      <c r="D18" s="15">
        <f>B18-C18</f>
        <v/>
      </c>
      <c r="E18" s="19">
        <f>IF(C18=0,"",(B18-C18)/C18)</f>
        <v/>
      </c>
    </row>
    <row r="19">
      <c r="A19" s="12" t="inlineStr">
        <is>
          <t>Contributions volontaires en nature (compte 842)</t>
        </is>
      </c>
      <c r="B19" s="13">
        <f>SUMIF(BALANCE!$A$2:$A$67,"842*",BALANCE!$G$2:$G$67)-SUMIF(BALANCE!$A$2:$A$67,"842*",BALANCE!$F$2:$F$67)</f>
        <v/>
      </c>
      <c r="C19" s="13">
        <f>SUMIF(BALANCE_N1!$A$2:$A$67,"842*",BALANCE_N1!$G$2:$G$67)-SUMIF(BALANCE_N1!$A$2:$A$67,"842*",BALANCE_N1!$F$2:$F$67)</f>
        <v/>
      </c>
      <c r="D19" s="13">
        <f>B19-C19</f>
        <v/>
      </c>
      <c r="E19" s="20">
        <f>IF(C19=0,"",(B19-C19)/C19)</f>
        <v/>
      </c>
    </row>
    <row r="20">
      <c r="A20" s="14" t="inlineStr">
        <is>
          <t>Contributions volontaires en numéraire</t>
        </is>
      </c>
      <c r="B20" s="15">
        <f>SUMIF(BALANCE!$A$2:$A$67,"843*",BALANCE!$G$2:$G$67)-SUMIF(BALANCE!$A$2:$A$67,"843*",BALANCE!$F$2:$F$67)</f>
        <v/>
      </c>
      <c r="C20" s="15">
        <f>SUMIF(BALANCE_N1!$A$2:$A$67,"843*",BALANCE_N1!$G$2:$G$67)-SUMIF(BALANCE_N1!$A$2:$A$67,"843*",BALANCE_N1!$F$2:$F$67)</f>
        <v/>
      </c>
      <c r="D20" s="15">
        <f>B20-C20</f>
        <v/>
      </c>
      <c r="E20" s="19">
        <f>IF(C20=0,"",(B20-C20)/C20)</f>
        <v/>
      </c>
    </row>
    <row r="21">
      <c r="A21" s="12" t="inlineStr">
        <is>
          <t>Abandons de créances obtenus</t>
        </is>
      </c>
      <c r="B21" s="13">
        <f>SUMIF(BALANCE!$A$2:$A$67,"846*",BALANCE!$G$2:$G$67)-SUMIF(BALANCE!$A$2:$A$67,"846*",BALANCE!$F$2:$F$67)</f>
        <v/>
      </c>
      <c r="C21" s="13">
        <f>SUMIF(BALANCE_N1!$A$2:$A$67,"846*",BALANCE_N1!$G$2:$G$67)-SUMIF(BALANCE_N1!$A$2:$A$67,"846*",BALANCE_N1!$F$2:$F$67)</f>
        <v/>
      </c>
      <c r="D21" s="13">
        <f>B21-C21</f>
        <v/>
      </c>
      <c r="E21" s="20">
        <f>IF(C21=0,"",(B21-C21)/C21)</f>
        <v/>
      </c>
    </row>
    <row r="22">
      <c r="A22" s="14" t="inlineStr">
        <is>
          <t>Transferts de produits H.A.O.</t>
        </is>
      </c>
      <c r="B22" s="15">
        <f>SUMIF(BALANCE!$A$2:$A$67,"848*",BALANCE!$G$2:$G$67)-SUMIF(BALANCE!$A$2:$A$67,"848*",BALANCE!$F$2:$F$67)</f>
        <v/>
      </c>
      <c r="C22" s="15">
        <f>SUMIF(BALANCE_N1!$A$2:$A$67,"848*",BALANCE_N1!$G$2:$G$67)-SUMIF(BALANCE_N1!$A$2:$A$67,"848*",BALANCE_N1!$F$2:$F$67)</f>
        <v/>
      </c>
      <c r="D22" s="15">
        <f>B22-C22</f>
        <v/>
      </c>
      <c r="E22" s="19">
        <f>IF(C22=0,"",(B22-C22)/C22)</f>
        <v/>
      </c>
    </row>
    <row r="23">
      <c r="A23" s="12" t="inlineStr">
        <is>
          <t>Reprises des charges pour dépréciations et provisions à court terme HAO</t>
        </is>
      </c>
      <c r="B23" s="13">
        <f>SUMIF(BALANCE!$A$2:$A$67,"849*",BALANCE!$G$2:$G$67)-SUMIF(BALANCE!$A$2:$A$67,"849*",BALANCE!$F$2:$F$67)</f>
        <v/>
      </c>
      <c r="C23" s="13">
        <f>SUMIF(BALANCE_N1!$A$2:$A$67,"849*",BALANCE_N1!$G$2:$G$67)-SUMIF(BALANCE_N1!$A$2:$A$67,"849*",BALANCE_N1!$F$2:$F$67)</f>
        <v/>
      </c>
      <c r="D23" s="13">
        <f>B23-C23</f>
        <v/>
      </c>
      <c r="E23" s="20">
        <f>IF(C23=0,"",(B23-C23)/C23)</f>
        <v/>
      </c>
    </row>
    <row r="24">
      <c r="A24" s="14" t="inlineStr">
        <is>
          <t>Reprises d'amortissements, provisions et dépréciations H.A.O.</t>
        </is>
      </c>
      <c r="B24" s="15">
        <f>SUMIF(BALANCE!$A$2:$A$67,"86*",BALANCE!$G$2:$G$67)-SUMIF(BALANCE!$A$2:$A$67,"86*",BALANCE!$F$2:$F$67)</f>
        <v/>
      </c>
      <c r="C24" s="15">
        <f>SUMIF(BALANCE_N1!$A$2:$A$67,"86*",BALANCE_N1!$G$2:$G$67)-SUMIF(BALANCE_N1!$A$2:$A$67,"86*",BALANCE_N1!$F$2:$F$67)</f>
        <v/>
      </c>
      <c r="D24" s="15">
        <f>B24-C24</f>
        <v/>
      </c>
      <c r="E24" s="19">
        <f>IF(C24=0,"",(B24-C24)/C24)</f>
        <v/>
      </c>
    </row>
    <row r="25">
      <c r="A25" s="12" t="inlineStr">
        <is>
          <t>Produits des cessions d'immobilisations</t>
        </is>
      </c>
      <c r="B25" s="13">
        <f>SUMIF(BALANCE!$A$2:$A$67,"82*",BALANCE!$G$2:$G$67)-SUMIF(BALANCE!$A$2:$A$67,"82*",BALANCE!$F$2:$F$67)</f>
        <v/>
      </c>
      <c r="C25" s="13">
        <f>SUMIF(BALANCE_N1!$A$2:$A$67,"82*",BALANCE_N1!$G$2:$G$67)-SUMIF(BALANCE_N1!$A$2:$A$67,"82*",BALANCE_N1!$F$2:$F$67)</f>
        <v/>
      </c>
      <c r="D25" s="13">
        <f>B25-C25</f>
        <v/>
      </c>
      <c r="E25" s="20">
        <f>IF(C25=0,"",(B25-C25)/C25)</f>
        <v/>
      </c>
    </row>
    <row r="26">
      <c r="A26" s="14" t="inlineStr">
        <is>
          <t>Subventions d'équilibre</t>
        </is>
      </c>
      <c r="B26" s="15">
        <f>SUMIF(BALANCE!$A$2:$A$67,"88*",BALANCE!$G$2:$G$67)-SUMIF(BALANCE!$A$2:$A$67,"88*",BALANCE!$F$2:$F$67)</f>
        <v/>
      </c>
      <c r="C26" s="15">
        <f>SUMIF(BALANCE_N1!$A$2:$A$67,"88*",BALANCE_N1!$G$2:$G$67)-SUMIF(BALANCE_N1!$A$2:$A$67,"88*",BALANCE_N1!$F$2:$F$67)</f>
        <v/>
      </c>
      <c r="D26" s="15">
        <f>B26-C26</f>
        <v/>
      </c>
      <c r="E26" s="19">
        <f>IF(C26=0,"",(B26-C26)/C26)</f>
        <v/>
      </c>
    </row>
    <row r="27">
      <c r="A27" s="10" t="inlineStr">
        <is>
          <t>TOTAL : AUTRES PRODUITS HAO</t>
        </is>
      </c>
      <c r="B27" s="11">
        <f>SUM(B18:B26)</f>
        <v/>
      </c>
      <c r="C27" s="11">
        <f>SUM(C18:C26)</f>
        <v/>
      </c>
      <c r="D27" s="11">
        <f>B27-C27</f>
        <v/>
      </c>
      <c r="E27" s="21">
        <f>IF(C27=0,"",(B27-C27)/C27)</f>
        <v/>
      </c>
    </row>
    <row r="28">
      <c r="A28" s="10" t="inlineStr">
        <is>
          <t>TOTAL (produits - charges) = RÉSULTAT HAO</t>
        </is>
      </c>
      <c r="B28" s="11">
        <f>B27-B17</f>
        <v/>
      </c>
      <c r="C28" s="11">
        <f>C27-C17</f>
        <v/>
      </c>
      <c r="D28" s="11">
        <f>B28-C28</f>
        <v/>
      </c>
      <c r="E28" s="21">
        <f>IF(C28=0,"",(B28-C28)/C28)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11" customWidth="1" min="5" max="5"/>
  </cols>
  <sheetData>
    <row r="1">
      <c r="A1" s="1" t="inlineStr">
        <is>
          <t>NOTE 33</t>
        </is>
      </c>
    </row>
    <row r="2">
      <c r="A2" s="2" t="inlineStr">
        <is>
          <t>FICHE DE SYNTHÈSE DES PRINCIPAUX INDICATEURS FINANCIERS</t>
        </is>
      </c>
    </row>
    <row r="3"/>
    <row r="4">
      <c r="A4" s="3" t="inlineStr">
        <is>
          <t>Désignation entité : ASSOCIATION ESPOIR</t>
        </is>
      </c>
      <c r="D4" s="3" t="inlineStr">
        <is>
          <t>Exercice clos le : 31/12/2025</t>
        </is>
      </c>
    </row>
    <row r="5">
      <c r="A5" t="inlineStr">
        <is>
          <t>Numéro d'identification : F.92/12.345</t>
        </is>
      </c>
      <c r="D5" t="inlineStr">
        <is>
          <t>Durée (en mois) : 12</t>
        </is>
      </c>
    </row>
    <row r="6"/>
    <row r="7">
      <c r="A7" s="9" t="inlineStr">
        <is>
          <t>(en unités monétaires légales)</t>
        </is>
      </c>
      <c r="B7" s="9" t="inlineStr">
        <is>
          <t>Année N</t>
        </is>
      </c>
      <c r="C7" s="9" t="inlineStr">
        <is>
          <t>Année N-1</t>
        </is>
      </c>
      <c r="D7" s="9" t="inlineStr">
        <is>
          <t>Variation en valeur</t>
        </is>
      </c>
      <c r="E7" s="9" t="inlineStr">
        <is>
          <t>Variation en %</t>
        </is>
      </c>
    </row>
    <row r="8">
      <c r="A8" s="17" t="inlineStr">
        <is>
          <t>ANALYSE DE L'ACTIVITÉ - SOLDES INTERMÉDIAIRES DE GESTION</t>
        </is>
      </c>
      <c r="B8" s="15" t="n"/>
      <c r="C8" s="15" t="n"/>
      <c r="D8" s="15" t="n"/>
      <c r="E8" s="14" t="n"/>
    </row>
    <row r="9">
      <c r="A9" s="12" t="inlineStr">
        <is>
          <t>Résultat des activités ordinaires</t>
        </is>
      </c>
      <c r="B9" s="13">
        <f>'Compte de Resultat'!D30</f>
        <v/>
      </c>
      <c r="C9" s="13">
        <f>'Compte de Resultat'!E30</f>
        <v/>
      </c>
      <c r="D9" s="13">
        <f>IF(OR(B9="",C9=""),"",B9-C9)</f>
        <v/>
      </c>
      <c r="E9" s="20">
        <f>IF(OR(C9="",C9=0),"",(B9-C9)/C9)</f>
        <v/>
      </c>
    </row>
    <row r="10">
      <c r="A10" s="14" t="inlineStr">
        <is>
          <t>Résultat hors activités ordinaires</t>
        </is>
      </c>
      <c r="B10" s="15">
        <f>'Compte de Resultat'!D33</f>
        <v/>
      </c>
      <c r="C10" s="15">
        <f>'Compte de Resultat'!E33</f>
        <v/>
      </c>
      <c r="D10" s="15">
        <f>IF(OR(B10="",C10=""),"",B10-C10)</f>
        <v/>
      </c>
      <c r="E10" s="19">
        <f>IF(OR(C10="",C10=0),"",(B10-C10)/C10)</f>
        <v/>
      </c>
    </row>
    <row r="11">
      <c r="A11" s="12" t="inlineStr">
        <is>
          <t>Résultat net</t>
        </is>
      </c>
      <c r="B11" s="13">
        <f>'Compte de Resultat'!D34</f>
        <v/>
      </c>
      <c r="C11" s="13">
        <f>'Compte de Resultat'!E34</f>
        <v/>
      </c>
      <c r="D11" s="13">
        <f>IF(OR(B11="",C11=""),"",B11-C11)</f>
        <v/>
      </c>
      <c r="E11" s="20">
        <f>IF(OR(C11="",C11=0),"",(B11-C11)/C11)</f>
        <v/>
      </c>
    </row>
    <row r="12">
      <c r="A12" s="14" t="inlineStr">
        <is>
          <t>Capacité d'autofinancement globale (CAFG) (a)</t>
        </is>
      </c>
      <c r="B12" s="15">
        <f>'Compte de Resultat'!D34+SUMIF(BALANCE!$A$2:$A$67,"69*",BALANCE!$F$2:$F$67)-SUMIF(BALANCE!$A$2:$A$67,"69*",BALANCE!$G$2:$G$67)+SUMIF(BALANCE!$A$2:$A$67,"85*",BALANCE!$F$2:$F$67)-SUMIF(BALANCE!$A$2:$A$67,"85*",BALANCE!$G$2:$G$67)+SUMIF(BALANCE!$A$2:$A$67,"68*",BALANCE!$F$2:$F$67)-SUMIF(BALANCE!$A$2:$A$67,"68*",BALANCE!$G$2:$G$67)-SUMIF(BALANCE!$A$2:$A$67,"79*",BALANCE!$G$2:$G$67)-SUMIF(BALANCE!$A$2:$A$67,"79*",BALANCE!$F$2:$F$67)+SUMIF(BALANCE!$A$2:$A$67,"86*",BALANCE!$G$2:$G$67)-SUMIF(BALANCE!$A$2:$A$67,"86*",BALANCE!$F$2:$F$67)+SUMIF(BALANCE!$A$2:$A$67,"81*",BALANCE!$F$2:$F$67)-SUMIF(BALANCE!$A$2:$A$67,"81*",BALANCE!$G$2:$G$67)-SUMIF(BALANCE!$A$2:$A$67,"82*",BALANCE!$G$2:$G$67)-SUMIF(BALANCE!$A$2:$A$67,"82*",BALANCE!$F$2:$F$67)</f>
        <v/>
      </c>
      <c r="C12" s="15">
        <f>'Compte de Resultat'!E34+SUMIF(BALANCE_N1!$A$2:$A$67,"69*",BALANCE_N1!$F$2:$F$67)-SUMIF(BALANCE_N1!$A$2:$A$67,"69*",BALANCE_N1!$G$2:$G$67)+SUMIF(BALANCE_N1!$A$2:$A$67,"85*",BALANCE_N1!$F$2:$F$67)-SUMIF(BALANCE_N1!$A$2:$A$67,"85*",BALANCE_N1!$G$2:$G$67)+SUMIF(BALANCE_N1!$A$2:$A$67,"68*",BALANCE_N1!$F$2:$F$67)-SUMIF(BALANCE_N1!$A$2:$A$67,"68*",BALANCE_N1!$G$2:$G$67)-SUMIF(BALANCE_N1!$A$2:$A$67,"79*",BALANCE_N1!$G$2:$G$67)-SUMIF(BALANCE_N1!$A$2:$A$67,"79*",BALANCE_N1!$F$2:$F$67)+SUMIF(BALANCE_N1!$A$2:$A$67,"86*",BALANCE_N1!$G$2:$G$67)-SUMIF(BALANCE_N1!$A$2:$A$67,"86*",BALANCE_N1!$F$2:$F$67)+SUMIF(BALANCE_N1!$A$2:$A$67,"81*",BALANCE_N1!$F$2:$F$67)-SUMIF(BALANCE_N1!$A$2:$A$67,"81*",BALANCE_N1!$G$2:$G$67)-SUMIF(BALANCE_N1!$A$2:$A$67,"82*",BALANCE_N1!$G$2:$G$67)-SUMIF(BALANCE_N1!$A$2:$A$67,"82*",BALANCE_N1!$F$2:$F$67)</f>
        <v/>
      </c>
      <c r="D12" s="15">
        <f>IF(OR(B12="",C12=""),"",B12-C12)</f>
        <v/>
      </c>
      <c r="E12" s="19">
        <f>IF(OR(C12="",C12=0),"",(B12-C12)/C12)</f>
        <v/>
      </c>
    </row>
    <row r="13">
      <c r="A13" s="12" t="inlineStr">
        <is>
          <t>Ratio de cotisations acquises = cotisations / charges de l'exercice (b)</t>
        </is>
      </c>
      <c r="B13" s="13">
        <f>IF('Compte de Resultat'!D29=0,"",SUMIF(BALANCE!$A$2:$A$67,"701*",BALANCE!$G$2:$G$67)-SUMIF(BALANCE!$A$2:$A$67,"701*",BALANCE!$F$2:$F$67)/ABS('Compte de Resultat'!D29))</f>
        <v/>
      </c>
      <c r="C13" s="13">
        <f>IF('Compte de Resultat'!E29=0,"",SUMIF(BALANCE_N1!$A$2:$A$67,"701*",BALANCE_N1!$G$2:$G$67)-SUMIF(BALANCE_N1!$A$2:$A$67,"701*",BALANCE_N1!$F$2:$F$67)/ABS('Compte de Resultat'!E29))</f>
        <v/>
      </c>
      <c r="D13" s="13">
        <f>IF(OR(B13="",C13=""),"",B13-C13)</f>
        <v/>
      </c>
      <c r="E13" s="20">
        <f>IF(OR(C13="",C13=0),"",(B13-C13)/C13)</f>
        <v/>
      </c>
    </row>
    <row r="14">
      <c r="A14" s="14" t="inlineStr">
        <is>
          <t>Ratio d'utilisation des dons = sommes versées aux bénéficiaires / sommes collectées brutes</t>
        </is>
      </c>
      <c r="B14" s="15" t="n"/>
      <c r="C14" s="15" t="n"/>
      <c r="D14" s="15" t="n"/>
      <c r="E14" s="14" t="n"/>
    </row>
    <row r="15">
      <c r="A15" s="16" t="inlineStr">
        <is>
          <t>ANALYSE DE LA STRUCTURE FINANCIÈRE</t>
        </is>
      </c>
      <c r="B15" s="13" t="n"/>
      <c r="C15" s="13" t="n"/>
      <c r="D15" s="13" t="n"/>
      <c r="E15" s="12" t="n"/>
    </row>
    <row r="16">
      <c r="A16" s="14" t="inlineStr">
        <is>
          <t>Ressources stables (c)</t>
        </is>
      </c>
      <c r="B16" s="15">
        <f>PASSIF!D27</f>
        <v/>
      </c>
      <c r="C16" s="15">
        <f>PASSIF!E27</f>
        <v/>
      </c>
      <c r="D16" s="15">
        <f>IF(OR(B16="",C16=""),"",B16-C16)</f>
        <v/>
      </c>
      <c r="E16" s="19">
        <f>IF(OR(C16="",C16=0),"",(B16-C16)/C16)</f>
        <v/>
      </c>
    </row>
    <row r="17">
      <c r="A17" s="12" t="inlineStr">
        <is>
          <t>-  Actif immobilisé (c)</t>
        </is>
      </c>
      <c r="B17" s="13">
        <f>ACTIF!F25</f>
        <v/>
      </c>
      <c r="C17" s="13">
        <f>ACTIF!G25</f>
        <v/>
      </c>
      <c r="D17" s="13">
        <f>IF(OR(B17="",C17=""),"",B17-C17)</f>
        <v/>
      </c>
      <c r="E17" s="20">
        <f>IF(OR(C17="",C17=0),"",(B17-C17)/C17)</f>
        <v/>
      </c>
    </row>
    <row r="18">
      <c r="A18" s="10" t="inlineStr">
        <is>
          <t>FONDS DE ROULEMENT (1) = ressources stables - actif immobilisé</t>
        </is>
      </c>
      <c r="B18" s="11">
        <f>B16-B17</f>
        <v/>
      </c>
      <c r="C18" s="11">
        <f>C16-C17</f>
        <v/>
      </c>
      <c r="D18" s="11">
        <f>IF(OR(B18="",C18=""),"",B18-C18)</f>
        <v/>
      </c>
      <c r="E18" s="21">
        <f>IF(OR(C18="",C18=0),"",(B18-C18)/C18)</f>
        <v/>
      </c>
    </row>
    <row r="19">
      <c r="A19" s="12" t="inlineStr">
        <is>
          <t>Actif circulant d'exploitation (c)</t>
        </is>
      </c>
      <c r="B19" s="13">
        <f>ACTIF!F27+ACTIF!F28+ACTIF!F29+ACTIF!F30</f>
        <v/>
      </c>
      <c r="C19" s="13">
        <f>ACTIF!G27+ACTIF!G28+ACTIF!G29+ACTIF!G30</f>
        <v/>
      </c>
      <c r="D19" s="13">
        <f>IF(OR(B19="",C19=""),"",B19-C19)</f>
        <v/>
      </c>
      <c r="E19" s="20">
        <f>IF(OR(C19="",C19=0),"",(B19-C19)/C19)</f>
        <v/>
      </c>
    </row>
    <row r="20">
      <c r="A20" s="14" t="inlineStr">
        <is>
          <t>-  Passif circulant d'exploitation (c)</t>
        </is>
      </c>
      <c r="B20" s="15">
        <f>PASSIF!D29+PASSIF!D30+PASSIF!D31</f>
        <v/>
      </c>
      <c r="C20" s="15">
        <f>PASSIF!E29+PASSIF!E30+PASSIF!E31</f>
        <v/>
      </c>
      <c r="D20" s="15">
        <f>IF(OR(B20="",C20=""),"",B20-C20)</f>
        <v/>
      </c>
      <c r="E20" s="19">
        <f>IF(OR(C20="",C20=0),"",(B20-C20)/C20)</f>
        <v/>
      </c>
    </row>
    <row r="21">
      <c r="A21" s="10" t="inlineStr">
        <is>
          <t>BESOIN DE FINANCEMENT D'EXPLOITATION (2)</t>
        </is>
      </c>
      <c r="B21" s="11">
        <f>B19-B20</f>
        <v/>
      </c>
      <c r="C21" s="11">
        <f>C19-C20</f>
        <v/>
      </c>
      <c r="D21" s="11">
        <f>IF(OR(B21="",C21=""),"",B21-C21)</f>
        <v/>
      </c>
      <c r="E21" s="21">
        <f>IF(OR(C21="",C21=0),"",(B21-C21)/C21)</f>
        <v/>
      </c>
    </row>
    <row r="22">
      <c r="A22" s="14" t="inlineStr">
        <is>
          <t>Actif circulant HAO (c)</t>
        </is>
      </c>
      <c r="B22" s="15">
        <f>ACTIF!F26</f>
        <v/>
      </c>
      <c r="C22" s="15">
        <f>ACTIF!G26</f>
        <v/>
      </c>
      <c r="D22" s="15">
        <f>IF(OR(B22="",C22=""),"",B22-C22)</f>
        <v/>
      </c>
      <c r="E22" s="19">
        <f>IF(OR(C22="",C22=0),"",(B22-C22)/C22)</f>
        <v/>
      </c>
    </row>
    <row r="23">
      <c r="A23" s="12" t="inlineStr">
        <is>
          <t>-  Passif circulant HAO (c)</t>
        </is>
      </c>
      <c r="B23" s="13">
        <f>PASSIF!D28</f>
        <v/>
      </c>
      <c r="C23" s="13">
        <f>PASSIF!E28</f>
        <v/>
      </c>
      <c r="D23" s="13">
        <f>IF(OR(B23="",C23=""),"",B23-C23)</f>
        <v/>
      </c>
      <c r="E23" s="20">
        <f>IF(OR(C23="",C23=0),"",(B23-C23)/C23)</f>
        <v/>
      </c>
    </row>
    <row r="24">
      <c r="A24" s="10" t="inlineStr">
        <is>
          <t>BESOIN DE FINANCEMENT HAO (3)</t>
        </is>
      </c>
      <c r="B24" s="11">
        <f>B22-B23</f>
        <v/>
      </c>
      <c r="C24" s="11">
        <f>C22-C23</f>
        <v/>
      </c>
      <c r="D24" s="11">
        <f>IF(OR(B24="",C24=""),"",B24-C24)</f>
        <v/>
      </c>
      <c r="E24" s="21">
        <f>IF(OR(C24="",C24=0),"",(B24-C24)/C24)</f>
        <v/>
      </c>
    </row>
    <row r="25">
      <c r="A25" s="10" t="inlineStr">
        <is>
          <t>BESOIN DE FINANCEMENT GLOBAL (4) = (2) + (3)</t>
        </is>
      </c>
      <c r="B25" s="11">
        <f>B21+B24</f>
        <v/>
      </c>
      <c r="C25" s="11">
        <f>C21+C24</f>
        <v/>
      </c>
      <c r="D25" s="11">
        <f>IF(OR(B25="",C25=""),"",B25-C25)</f>
        <v/>
      </c>
      <c r="E25" s="21">
        <f>IF(OR(C25="",C25=0),"",(B25-C25)/C25)</f>
        <v/>
      </c>
    </row>
    <row r="26">
      <c r="A26" s="10" t="inlineStr">
        <is>
          <t>TRÉSORERIE NETTE (5) = (1) - (4)</t>
        </is>
      </c>
      <c r="B26" s="11">
        <f>B18-B25</f>
        <v/>
      </c>
      <c r="C26" s="11">
        <f>C18-C25</f>
        <v/>
      </c>
      <c r="D26" s="11">
        <f>IF(OR(B26="",C26=""),"",B26-C26)</f>
        <v/>
      </c>
      <c r="E26" s="21">
        <f>IF(OR(C26="",C26=0),"",(B26-C26)/C26)</f>
        <v/>
      </c>
    </row>
    <row r="27">
      <c r="A27" s="12" t="inlineStr">
        <is>
          <t>CONTRÔLE : trésorerie nette = trésorerie actif - trésorerie passif</t>
        </is>
      </c>
      <c r="B27" s="13">
        <f>ACTIF!F35-PASSIF!D34</f>
        <v/>
      </c>
      <c r="C27" s="13">
        <f>ACTIF!G35-PASSIF!E34</f>
        <v/>
      </c>
      <c r="D27" s="13">
        <f>IF(OR(B27="",C27=""),"",B27-C27)</f>
        <v/>
      </c>
      <c r="E27" s="20">
        <f>IF(OR(C27="",C27=0),"",(B27-C27)/C27)</f>
        <v/>
      </c>
    </row>
    <row r="28">
      <c r="A28" s="17" t="inlineStr">
        <is>
          <t>ANALYSE DE LA SOLVABILITÉ</t>
        </is>
      </c>
      <c r="B28" s="15" t="n"/>
      <c r="C28" s="15" t="n"/>
      <c r="D28" s="15" t="n"/>
      <c r="E28" s="14" t="n"/>
    </row>
    <row r="29">
      <c r="A29" s="12" t="inlineStr">
        <is>
          <t>Ratio de liquidité générale = (créances + trésorerie actif) / passif circulant</t>
        </is>
      </c>
      <c r="B29" s="13">
        <f>IF(PASSIF!D32=0,"",(ACTIF!F28+ACTIF!F29+ACTIF!F30+ACTIF!F35)/PASSIF!D32)</f>
        <v/>
      </c>
      <c r="C29" s="13">
        <f>IF(PASSIF!E32=0,"",(ACTIF!G28+ACTIF!G29+ACTIF!G30+ACTIF!G35)/PASSIF!E32)</f>
        <v/>
      </c>
      <c r="D29" s="13">
        <f>IF(OR(B29="",C29=""),"",B29-C29)</f>
        <v/>
      </c>
      <c r="E29" s="20">
        <f>IF(OR(C29="",C29=0),"",(B29-C29)/C29)</f>
        <v/>
      </c>
    </row>
    <row r="30">
      <c r="A30" s="17" t="inlineStr">
        <is>
          <t>ANALYSE DE LA VARIATION DE LA TRÉSORERIE</t>
        </is>
      </c>
      <c r="B30" s="15" t="n"/>
      <c r="C30" s="15" t="n"/>
      <c r="D30" s="15" t="n"/>
      <c r="E30" s="14" t="n"/>
    </row>
    <row r="31">
      <c r="A31" s="12" t="inlineStr">
        <is>
          <t>Flux de trésorerie des activités opérationnelles</t>
        </is>
      </c>
      <c r="B31" s="13">
        <f>TFT!C18</f>
        <v/>
      </c>
      <c r="C31" s="13">
        <f>TFT!D18</f>
        <v/>
      </c>
      <c r="D31" s="13">
        <f>IF(OR(B31="",C31=""),"",B31-C31)</f>
        <v/>
      </c>
      <c r="E31" s="20">
        <f>IF(OR(C31="",C31=0),"",(B31-C31)/C31)</f>
        <v/>
      </c>
    </row>
    <row r="32">
      <c r="A32" s="14" t="inlineStr">
        <is>
          <t>Flux de trésorerie des activités d'investissement</t>
        </is>
      </c>
      <c r="B32" s="15">
        <f>TFT!C24</f>
        <v/>
      </c>
      <c r="C32" s="15">
        <f>TFT!D24</f>
        <v/>
      </c>
      <c r="D32" s="15">
        <f>IF(OR(B32="",C32=""),"",B32-C32)</f>
        <v/>
      </c>
      <c r="E32" s="19">
        <f>IF(OR(C32="",C32=0),"",(B32-C32)/C32)</f>
        <v/>
      </c>
    </row>
    <row r="33">
      <c r="A33" s="12" t="inlineStr">
        <is>
          <t>Flux de trésorerie des activités de financement</t>
        </is>
      </c>
      <c r="B33" s="13">
        <f>TFT!C29+TFT!C33</f>
        <v/>
      </c>
      <c r="C33" s="13">
        <f>TFT!D29+TFT!D33</f>
        <v/>
      </c>
      <c r="D33" s="13">
        <f>IF(OR(B33="",C33=""),"",B33-C33)</f>
        <v/>
      </c>
      <c r="E33" s="20">
        <f>IF(OR(C33="",C33=0),"",(B33-C33)/C33)</f>
        <v/>
      </c>
    </row>
    <row r="34">
      <c r="A34" s="14" t="inlineStr">
        <is>
          <t>VARIATION DE LA TRÉSORERIE NETTE DE LA PÉRIODE</t>
        </is>
      </c>
      <c r="B34" s="15">
        <f>TFT!C34</f>
        <v/>
      </c>
      <c r="C34" s="15">
        <f>TFT!D34</f>
        <v/>
      </c>
      <c r="D34" s="15">
        <f>IF(OR(B34="",C34=""),"",B34-C34)</f>
        <v/>
      </c>
      <c r="E34" s="19">
        <f>IF(OR(C34="",C34=0),"",(B34-C34)/C34)</f>
        <v/>
      </c>
    </row>
    <row r="35"/>
    <row r="36">
      <c r="A36" t="inlineStr">
        <is>
          <t>(a) CAFG = résultat net + dotations aux amortissements, dépréciations et provisions - reprises + valeurs comptables des cessions - produits des cessions. (b) Variations des ratios en points. (c) Écarts de conversion à éliminer pour ramener créances et dettes à leur valeur initiale.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NOTE 34</t>
        </is>
      </c>
    </row>
    <row r="2">
      <c r="A2" s="2" t="inlineStr">
        <is>
          <t>LISTE DES INFORMATIONS SOCIALES, ENVIRONNEMENTALES ET SOCIÉTALES</t>
        </is>
      </c>
    </row>
    <row r="3"/>
    <row r="4">
      <c r="A4" s="3" t="inlineStr">
        <is>
          <t>Désignation entité : ASSOCIATION ESPOIR</t>
        </is>
      </c>
      <c r="E4" s="3" t="inlineStr">
        <is>
          <t>Exercice clos le : 31/12/2025</t>
        </is>
      </c>
    </row>
    <row r="5">
      <c r="A5" t="inlineStr">
        <is>
          <t>Numéro d'identification : F.92/12.345</t>
        </is>
      </c>
      <c r="E5" t="inlineStr">
        <is>
          <t>Durée (en mois) : 12</t>
        </is>
      </c>
    </row>
    <row r="6"/>
    <row r="7"/>
    <row r="8">
      <c r="A8" s="5" t="inlineStr">
        <is>
          <t>(Note obligatoire pour les entités de plus de 250 personnes, bénévoles compris.)</t>
        </is>
      </c>
    </row>
    <row r="9"/>
    <row r="10"/>
    <row r="11">
      <c r="A11" s="5" t="inlineStr">
        <is>
          <t>INFORMATIONS SOCIALES : emploi (effectif total, répartition par sexe, âge et zone géographique ; embauches et licenciements ; rémunérations et leur évolution) ; relations sociales ; santé et sécurité ; formation ; égalité de traitement.</t>
        </is>
      </c>
    </row>
    <row r="12"/>
    <row r="13"/>
    <row r="14">
      <c r="A14" s="5" t="inlineStr">
        <is>
          <t>INFORMATIONS ENVIRONNEMENTALES : politique générale ; pollution et gestion des déchets ; utilisation durable des ressources ; changement climatique ; protection de la biodiversité.</t>
        </is>
      </c>
    </row>
    <row r="15"/>
    <row r="16"/>
    <row r="17">
      <c r="A17" s="5" t="inlineStr">
        <is>
          <t>ENGAGEMENTS SOCIÉTAUX EN FAVEUR DU DÉVELOPPEMENT DURABLE : impact territorial, économique et social ; relations avec les parties prenantes ; sous-traitance et fournisseurs.</t>
        </is>
      </c>
    </row>
    <row r="18"/>
  </sheetData>
  <mergeCells count="6">
    <mergeCell ref="A2:F2"/>
    <mergeCell ref="A11:F12"/>
    <mergeCell ref="A1:F1"/>
    <mergeCell ref="A14:F15"/>
    <mergeCell ref="A17:F18"/>
    <mergeCell ref="A8:F9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6" customWidth="1" min="3" max="3"/>
    <col width="15" customWidth="1" min="4" max="4"/>
    <col width="15" customWidth="1" min="5" max="5"/>
    <col width="16" customWidth="1" min="6" max="6"/>
    <col width="17" customWidth="1" min="7" max="7"/>
    <col width="14" customWidth="1" min="8" max="8"/>
  </cols>
  <sheetData>
    <row r="1">
      <c r="A1" s="1" t="inlineStr">
        <is>
          <t>NOTE 35</t>
        </is>
      </c>
    </row>
    <row r="2">
      <c r="A2" s="2" t="inlineStr">
        <is>
          <t>TABLEAU D'EXÉCUTION BUDGÉTAIRE</t>
        </is>
      </c>
    </row>
    <row r="3"/>
    <row r="4">
      <c r="A4" s="3" t="inlineStr">
        <is>
          <t>Désignation entité : ASSOCIATION ESPOIR</t>
        </is>
      </c>
      <c r="G4" s="3" t="inlineStr">
        <is>
          <t>Exercice clos le : 31/12/2025</t>
        </is>
      </c>
    </row>
    <row r="5">
      <c r="A5" t="inlineStr">
        <is>
          <t>Numéro d'identification : F.92/12.345</t>
        </is>
      </c>
      <c r="G5" t="inlineStr">
        <is>
          <t>Durée (en mois) : 12</t>
        </is>
      </c>
    </row>
    <row r="6"/>
    <row r="7">
      <c r="A7" s="9" t="inlineStr">
        <is>
          <t>Code</t>
        </is>
      </c>
      <c r="B7" s="9" t="inlineStr">
        <is>
          <t>Libellé</t>
        </is>
      </c>
      <c r="C7" s="9" t="inlineStr">
        <is>
          <t>Budget de l'exercice (1)</t>
        </is>
      </c>
      <c r="D7" s="9" t="inlineStr">
        <is>
          <t>Décaissement (2)</t>
        </is>
      </c>
      <c r="E7" s="9" t="inlineStr">
        <is>
          <t>Engagement (3)</t>
        </is>
      </c>
      <c r="F7" s="9" t="inlineStr">
        <is>
          <t>Réalisation (4 = 2 + 3)</t>
        </is>
      </c>
      <c r="G7" s="9" t="inlineStr">
        <is>
          <t>Crédit disponible (5 = 1 - 4)</t>
        </is>
      </c>
      <c r="H7" s="9" t="inlineStr">
        <is>
          <t>Exécution budget % (4/1)</t>
        </is>
      </c>
    </row>
    <row r="8">
      <c r="A8" s="14" t="n"/>
      <c r="B8" s="14" t="n"/>
      <c r="C8" s="15" t="n"/>
      <c r="D8" s="15" t="n"/>
      <c r="E8" s="15" t="n"/>
      <c r="F8" s="15">
        <f>D8+E8</f>
        <v/>
      </c>
      <c r="G8" s="15">
        <f>C8-F8</f>
        <v/>
      </c>
      <c r="H8" s="19">
        <f>IF(C8=0,"",F8/C8)</f>
        <v/>
      </c>
    </row>
    <row r="9">
      <c r="A9" s="12" t="n"/>
      <c r="B9" s="12" t="n"/>
      <c r="C9" s="13" t="n"/>
      <c r="D9" s="13" t="n"/>
      <c r="E9" s="13" t="n"/>
      <c r="F9" s="13">
        <f>D9+E9</f>
        <v/>
      </c>
      <c r="G9" s="13">
        <f>C9-F9</f>
        <v/>
      </c>
      <c r="H9" s="20">
        <f>IF(C9=0,"",F9/C9)</f>
        <v/>
      </c>
    </row>
    <row r="10">
      <c r="A10" s="14" t="n"/>
      <c r="B10" s="14" t="n"/>
      <c r="C10" s="15" t="n"/>
      <c r="D10" s="15" t="n"/>
      <c r="E10" s="15" t="n"/>
      <c r="F10" s="15">
        <f>D10+E10</f>
        <v/>
      </c>
      <c r="G10" s="15">
        <f>C10-F10</f>
        <v/>
      </c>
      <c r="H10" s="19">
        <f>IF(C10=0,"",F10/C10)</f>
        <v/>
      </c>
    </row>
    <row r="11">
      <c r="A11" s="12" t="n"/>
      <c r="B11" s="12" t="n"/>
      <c r="C11" s="13" t="n"/>
      <c r="D11" s="13" t="n"/>
      <c r="E11" s="13" t="n"/>
      <c r="F11" s="13">
        <f>D11+E11</f>
        <v/>
      </c>
      <c r="G11" s="13">
        <f>C11-F11</f>
        <v/>
      </c>
      <c r="H11" s="20">
        <f>IF(C11=0,"",F11/C11)</f>
        <v/>
      </c>
    </row>
    <row r="12">
      <c r="A12" s="14" t="n"/>
      <c r="B12" s="14" t="n"/>
      <c r="C12" s="15" t="n"/>
      <c r="D12" s="15" t="n"/>
      <c r="E12" s="15" t="n"/>
      <c r="F12" s="15">
        <f>D12+E12</f>
        <v/>
      </c>
      <c r="G12" s="15">
        <f>C12-F12</f>
        <v/>
      </c>
      <c r="H12" s="19">
        <f>IF(C12=0,"",F12/C12)</f>
        <v/>
      </c>
    </row>
    <row r="13">
      <c r="A13" s="12" t="n"/>
      <c r="B13" s="12" t="n"/>
      <c r="C13" s="13" t="n"/>
      <c r="D13" s="13" t="n"/>
      <c r="E13" s="13" t="n"/>
      <c r="F13" s="13">
        <f>D13+E13</f>
        <v/>
      </c>
      <c r="G13" s="13">
        <f>C13-F13</f>
        <v/>
      </c>
      <c r="H13" s="20">
        <f>IF(C13=0,"",F13/C13)</f>
        <v/>
      </c>
    </row>
    <row r="14">
      <c r="A14" s="14" t="n"/>
      <c r="B14" s="14" t="n"/>
      <c r="C14" s="15" t="n"/>
      <c r="D14" s="15" t="n"/>
      <c r="E14" s="15" t="n"/>
      <c r="F14" s="15">
        <f>D14+E14</f>
        <v/>
      </c>
      <c r="G14" s="15">
        <f>C14-F14</f>
        <v/>
      </c>
      <c r="H14" s="19">
        <f>IF(C14=0,"",F14/C14)</f>
        <v/>
      </c>
    </row>
    <row r="15">
      <c r="A15" s="12" t="n"/>
      <c r="B15" s="12" t="n"/>
      <c r="C15" s="13" t="n"/>
      <c r="D15" s="13" t="n"/>
      <c r="E15" s="13" t="n"/>
      <c r="F15" s="13">
        <f>D15+E15</f>
        <v/>
      </c>
      <c r="G15" s="13">
        <f>C15-F15</f>
        <v/>
      </c>
      <c r="H15" s="20">
        <f>IF(C15=0,"",F15/C15)</f>
        <v/>
      </c>
    </row>
    <row r="16">
      <c r="A16" s="14" t="n"/>
      <c r="B16" s="14" t="n"/>
      <c r="C16" s="15" t="n"/>
      <c r="D16" s="15" t="n"/>
      <c r="E16" s="15" t="n"/>
      <c r="F16" s="15">
        <f>D16+E16</f>
        <v/>
      </c>
      <c r="G16" s="15">
        <f>C16-F16</f>
        <v/>
      </c>
      <c r="H16" s="19">
        <f>IF(C16=0,"",F16/C16)</f>
        <v/>
      </c>
    </row>
    <row r="17">
      <c r="A17" s="12" t="n"/>
      <c r="B17" s="12" t="n"/>
      <c r="C17" s="13" t="n"/>
      <c r="D17" s="13" t="n"/>
      <c r="E17" s="13" t="n"/>
      <c r="F17" s="13">
        <f>D17+E17</f>
        <v/>
      </c>
      <c r="G17" s="13">
        <f>C17-F17</f>
        <v/>
      </c>
      <c r="H17" s="20">
        <f>IF(C17=0,"",F17/C17)</f>
        <v/>
      </c>
    </row>
    <row r="18">
      <c r="A18" s="14" t="n"/>
      <c r="B18" s="14" t="n"/>
      <c r="C18" s="15" t="n"/>
      <c r="D18" s="15" t="n"/>
      <c r="E18" s="15" t="n"/>
      <c r="F18" s="15">
        <f>D18+E18</f>
        <v/>
      </c>
      <c r="G18" s="15">
        <f>C18-F18</f>
        <v/>
      </c>
      <c r="H18" s="19">
        <f>IF(C18=0,"",F18/C18)</f>
        <v/>
      </c>
    </row>
    <row r="19">
      <c r="A19" s="12" t="n"/>
      <c r="B19" s="12" t="n"/>
      <c r="C19" s="13" t="n"/>
      <c r="D19" s="13" t="n"/>
      <c r="E19" s="13" t="n"/>
      <c r="F19" s="13">
        <f>D19+E19</f>
        <v/>
      </c>
      <c r="G19" s="13">
        <f>C19-F19</f>
        <v/>
      </c>
      <c r="H19" s="20">
        <f>IF(C19=0,"",F19/C19)</f>
        <v/>
      </c>
    </row>
    <row r="20">
      <c r="A20" s="10" t="n"/>
      <c r="B20" s="10" t="inlineStr">
        <is>
          <t>TOTAL</t>
        </is>
      </c>
      <c r="C20" s="11">
        <f>SUM(C8:C19)</f>
        <v/>
      </c>
      <c r="D20" s="11">
        <f>SUM(D8:D19)</f>
        <v/>
      </c>
      <c r="E20" s="11">
        <f>SUM(E8:E19)</f>
        <v/>
      </c>
      <c r="F20" s="11">
        <f>SUM(F8:F19)</f>
        <v/>
      </c>
      <c r="G20" s="11">
        <f>SUM(G8:G19)</f>
        <v/>
      </c>
      <c r="H20" s="21">
        <f>IF(C20=0,"",F20/C20)</f>
        <v/>
      </c>
    </row>
    <row r="21"/>
    <row r="22">
      <c r="A22" t="inlineStr">
        <is>
          <t>Remplir code et libellé suivant la nomenclature budgétaire de l'entité ; expliquer les écarts significatifs entre budget et réalisation.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9" customWidth="1" min="4" max="4"/>
    <col width="9" customWidth="1" min="5" max="5"/>
    <col width="15" customWidth="1" min="6" max="6"/>
    <col width="15" customWidth="1" min="7" max="7"/>
    <col width="22" customWidth="1" min="10" max="10"/>
  </cols>
  <sheetData>
    <row r="1">
      <c r="A1" s="9" t="inlineStr">
        <is>
          <t>Compte</t>
        </is>
      </c>
      <c r="B1" s="9" t="inlineStr">
        <is>
          <t>Intitulé</t>
        </is>
      </c>
      <c r="C1" s="9" t="inlineStr">
        <is>
          <t>Préfixe 2</t>
        </is>
      </c>
      <c r="D1" s="9" t="inlineStr">
        <is>
          <t>Préfixe 3</t>
        </is>
      </c>
      <c r="E1" s="9" t="inlineStr">
        <is>
          <t>Préfixe 4</t>
        </is>
      </c>
      <c r="F1" s="9" t="inlineStr">
        <is>
          <t>Solde final débit</t>
        </is>
      </c>
      <c r="G1" s="9" t="inlineStr">
        <is>
          <t>Solde final crédit</t>
        </is>
      </c>
      <c r="H1" s="9" t="inlineStr"/>
      <c r="I1" s="9" t="inlineStr"/>
      <c r="J1" s="9" t="inlineStr">
        <is>
          <t>Poste(s) d'affectation</t>
        </is>
      </c>
    </row>
    <row r="2">
      <c r="A2" s="14" t="inlineStr">
        <is>
          <t>2131</t>
        </is>
      </c>
      <c r="B2" s="14" t="inlineStr">
        <is>
          <t>Logiciels</t>
        </is>
      </c>
      <c r="C2" s="14" t="inlineStr">
        <is>
          <t>21</t>
        </is>
      </c>
      <c r="D2" s="14" t="inlineStr">
        <is>
          <t>213</t>
        </is>
      </c>
      <c r="E2" s="14" t="inlineStr">
        <is>
          <t>2131</t>
        </is>
      </c>
      <c r="F2" s="15" t="n">
        <v>2000000</v>
      </c>
      <c r="G2" s="15" t="n">
        <v>0</v>
      </c>
      <c r="H2" s="14" t="inlineStr"/>
      <c r="I2" s="14" t="inlineStr"/>
      <c r="J2" s="14" t="inlineStr">
        <is>
          <t>AE</t>
        </is>
      </c>
    </row>
    <row r="3">
      <c r="A3" s="12" t="inlineStr">
        <is>
          <t>2313</t>
        </is>
      </c>
      <c r="B3" s="12" t="inlineStr">
        <is>
          <t>Bâtiments administratifs</t>
        </is>
      </c>
      <c r="C3" s="12" t="inlineStr">
        <is>
          <t>23</t>
        </is>
      </c>
      <c r="D3" s="12" t="inlineStr">
        <is>
          <t>231</t>
        </is>
      </c>
      <c r="E3" s="12" t="inlineStr">
        <is>
          <t>2313</t>
        </is>
      </c>
      <c r="F3" s="13" t="n">
        <v>15000000</v>
      </c>
      <c r="G3" s="13" t="n">
        <v>0</v>
      </c>
      <c r="H3" s="12" t="inlineStr"/>
      <c r="I3" s="12" t="inlineStr"/>
      <c r="J3" s="12" t="inlineStr">
        <is>
          <t>AJ</t>
        </is>
      </c>
    </row>
    <row r="4">
      <c r="A4" s="14" t="inlineStr">
        <is>
          <t>2441</t>
        </is>
      </c>
      <c r="B4" s="14" t="inlineStr">
        <is>
          <t>Matériel et mobilier de bureau</t>
        </is>
      </c>
      <c r="C4" s="14" t="inlineStr">
        <is>
          <t>24</t>
        </is>
      </c>
      <c r="D4" s="14" t="inlineStr">
        <is>
          <t>244</t>
        </is>
      </c>
      <c r="E4" s="14" t="inlineStr">
        <is>
          <t>2441</t>
        </is>
      </c>
      <c r="F4" s="15" t="n">
        <v>5000000</v>
      </c>
      <c r="G4" s="15" t="n">
        <v>0</v>
      </c>
      <c r="H4" s="14" t="inlineStr"/>
      <c r="I4" s="14" t="inlineStr"/>
      <c r="J4" s="14" t="inlineStr">
        <is>
          <t>AL</t>
        </is>
      </c>
    </row>
    <row r="5">
      <c r="A5" s="12" t="inlineStr">
        <is>
          <t>2813</t>
        </is>
      </c>
      <c r="B5" s="12" t="inlineStr">
        <is>
          <t>Amortissements logiciels</t>
        </is>
      </c>
      <c r="C5" s="12" t="inlineStr">
        <is>
          <t>28</t>
        </is>
      </c>
      <c r="D5" s="12" t="inlineStr">
        <is>
          <t>281</t>
        </is>
      </c>
      <c r="E5" s="12" t="inlineStr">
        <is>
          <t>2813</t>
        </is>
      </c>
      <c r="F5" s="13" t="n">
        <v>0</v>
      </c>
      <c r="G5" s="13" t="n">
        <v>800000</v>
      </c>
      <c r="H5" s="12" t="inlineStr"/>
      <c r="I5" s="12" t="inlineStr"/>
      <c r="J5" s="12" t="inlineStr">
        <is>
          <t>AE</t>
        </is>
      </c>
    </row>
    <row r="6">
      <c r="A6" s="14" t="inlineStr">
        <is>
          <t>2831</t>
        </is>
      </c>
      <c r="B6" s="14" t="inlineStr">
        <is>
          <t>Amortissements bâtiments</t>
        </is>
      </c>
      <c r="C6" s="14" t="inlineStr">
        <is>
          <t>28</t>
        </is>
      </c>
      <c r="D6" s="14" t="inlineStr">
        <is>
          <t>283</t>
        </is>
      </c>
      <c r="E6" s="14" t="inlineStr">
        <is>
          <t>2831</t>
        </is>
      </c>
      <c r="F6" s="15" t="n">
        <v>0</v>
      </c>
      <c r="G6" s="15" t="n">
        <v>3000000</v>
      </c>
      <c r="H6" s="14" t="inlineStr"/>
      <c r="I6" s="14" t="inlineStr"/>
      <c r="J6" s="14" t="inlineStr">
        <is>
          <t>AJ</t>
        </is>
      </c>
    </row>
    <row r="7">
      <c r="A7" s="12" t="inlineStr">
        <is>
          <t>2844</t>
        </is>
      </c>
      <c r="B7" s="12" t="inlineStr">
        <is>
          <t>Amortissements matériel et mobilier</t>
        </is>
      </c>
      <c r="C7" s="12" t="inlineStr">
        <is>
          <t>28</t>
        </is>
      </c>
      <c r="D7" s="12" t="inlineStr">
        <is>
          <t>284</t>
        </is>
      </c>
      <c r="E7" s="12" t="inlineStr">
        <is>
          <t>2844</t>
        </is>
      </c>
      <c r="F7" s="13" t="n">
        <v>0</v>
      </c>
      <c r="G7" s="13" t="n">
        <v>2000000</v>
      </c>
      <c r="H7" s="12" t="inlineStr"/>
      <c r="I7" s="12" t="inlineStr"/>
      <c r="J7" s="12" t="inlineStr">
        <is>
          <t>AL</t>
        </is>
      </c>
    </row>
    <row r="8">
      <c r="A8" s="14" t="inlineStr">
        <is>
          <t>341</t>
        </is>
      </c>
      <c r="B8" s="14" t="inlineStr">
        <is>
          <t>Dons en nature non affectés</t>
        </is>
      </c>
      <c r="C8" s="14" t="inlineStr">
        <is>
          <t>34</t>
        </is>
      </c>
      <c r="D8" s="14" t="inlineStr">
        <is>
          <t>341</t>
        </is>
      </c>
      <c r="E8" s="14" t="inlineStr">
        <is>
          <t>341</t>
        </is>
      </c>
      <c r="F8" s="15" t="n">
        <v>1200000</v>
      </c>
      <c r="G8" s="15" t="n">
        <v>0</v>
      </c>
      <c r="H8" s="14" t="inlineStr"/>
      <c r="I8" s="14" t="inlineStr"/>
      <c r="J8" s="14" t="inlineStr">
        <is>
          <t>BB</t>
        </is>
      </c>
    </row>
    <row r="9">
      <c r="A9" s="12" t="inlineStr">
        <is>
          <t>411</t>
        </is>
      </c>
      <c r="B9" s="12" t="inlineStr">
        <is>
          <t>Adhérents</t>
        </is>
      </c>
      <c r="C9" s="12" t="inlineStr">
        <is>
          <t>41</t>
        </is>
      </c>
      <c r="D9" s="12" t="inlineStr">
        <is>
          <t>411</t>
        </is>
      </c>
      <c r="E9" s="12" t="inlineStr">
        <is>
          <t>411</t>
        </is>
      </c>
      <c r="F9" s="13" t="n">
        <v>900000</v>
      </c>
      <c r="G9" s="13" t="n">
        <v>0</v>
      </c>
      <c r="H9" s="12" t="inlineStr"/>
      <c r="I9" s="12" t="inlineStr"/>
      <c r="J9" s="12" t="inlineStr">
        <is>
          <t>BD</t>
        </is>
      </c>
    </row>
    <row r="10">
      <c r="A10" s="14" t="inlineStr">
        <is>
          <t>4911</t>
        </is>
      </c>
      <c r="B10" s="14" t="inlineStr">
        <is>
          <t>Dépréciations créances adhérents</t>
        </is>
      </c>
      <c r="C10" s="14" t="inlineStr">
        <is>
          <t>49</t>
        </is>
      </c>
      <c r="D10" s="14" t="inlineStr">
        <is>
          <t>491</t>
        </is>
      </c>
      <c r="E10" s="14" t="inlineStr">
        <is>
          <t>4911</t>
        </is>
      </c>
      <c r="F10" s="15" t="n">
        <v>0</v>
      </c>
      <c r="G10" s="15" t="n">
        <v>200000</v>
      </c>
      <c r="H10" s="14" t="inlineStr"/>
      <c r="I10" s="14" t="inlineStr"/>
      <c r="J10" s="14" t="inlineStr">
        <is>
          <t>BD</t>
        </is>
      </c>
    </row>
    <row r="11">
      <c r="A11" s="12" t="inlineStr">
        <is>
          <t>521</t>
        </is>
      </c>
      <c r="B11" s="12" t="inlineStr">
        <is>
          <t>Banques locales</t>
        </is>
      </c>
      <c r="C11" s="12" t="inlineStr">
        <is>
          <t>52</t>
        </is>
      </c>
      <c r="D11" s="12" t="inlineStr">
        <is>
          <t>521</t>
        </is>
      </c>
      <c r="E11" s="12" t="inlineStr">
        <is>
          <t>521</t>
        </is>
      </c>
      <c r="F11" s="13" t="n">
        <v>6100000</v>
      </c>
      <c r="G11" s="13" t="n">
        <v>0</v>
      </c>
      <c r="H11" s="12" t="inlineStr"/>
      <c r="I11" s="12" t="inlineStr"/>
      <c r="J11" s="12" t="inlineStr">
        <is>
          <t>BW, DW</t>
        </is>
      </c>
    </row>
    <row r="12">
      <c r="A12" s="14" t="inlineStr">
        <is>
          <t>571</t>
        </is>
      </c>
      <c r="B12" s="14" t="inlineStr">
        <is>
          <t>Caisse</t>
        </is>
      </c>
      <c r="C12" s="14" t="inlineStr">
        <is>
          <t>57</t>
        </is>
      </c>
      <c r="D12" s="14" t="inlineStr">
        <is>
          <t>571</t>
        </is>
      </c>
      <c r="E12" s="14" t="inlineStr">
        <is>
          <t>571</t>
        </is>
      </c>
      <c r="F12" s="15" t="n">
        <v>800000</v>
      </c>
      <c r="G12" s="15" t="n">
        <v>0</v>
      </c>
      <c r="H12" s="14" t="inlineStr"/>
      <c r="I12" s="14" t="inlineStr"/>
      <c r="J12" s="14" t="inlineStr">
        <is>
          <t>BW</t>
        </is>
      </c>
    </row>
    <row r="13">
      <c r="A13" s="12" t="inlineStr">
        <is>
          <t>1011</t>
        </is>
      </c>
      <c r="B13" s="12" t="inlineStr">
        <is>
          <t>Dotation non consomptible sans droit de reprise</t>
        </is>
      </c>
      <c r="C13" s="12" t="inlineStr">
        <is>
          <t>10</t>
        </is>
      </c>
      <c r="D13" s="12" t="inlineStr">
        <is>
          <t>101</t>
        </is>
      </c>
      <c r="E13" s="12" t="inlineStr">
        <is>
          <t>1011</t>
        </is>
      </c>
      <c r="F13" s="13" t="n">
        <v>0</v>
      </c>
      <c r="G13" s="13" t="n">
        <v>10000000</v>
      </c>
      <c r="H13" s="12" t="inlineStr"/>
      <c r="I13" s="12" t="inlineStr"/>
      <c r="J13" s="12" t="inlineStr">
        <is>
          <t>CA</t>
        </is>
      </c>
    </row>
    <row r="14">
      <c r="A14" s="14" t="inlineStr">
        <is>
          <t>112</t>
        </is>
      </c>
      <c r="B14" s="14" t="inlineStr">
        <is>
          <t>Réserves statutaires</t>
        </is>
      </c>
      <c r="C14" s="14" t="inlineStr">
        <is>
          <t>11</t>
        </is>
      </c>
      <c r="D14" s="14" t="inlineStr">
        <is>
          <t>112</t>
        </is>
      </c>
      <c r="E14" s="14" t="inlineStr">
        <is>
          <t>112</t>
        </is>
      </c>
      <c r="F14" s="15" t="n">
        <v>0</v>
      </c>
      <c r="G14" s="15" t="n">
        <v>1500000</v>
      </c>
      <c r="H14" s="14" t="inlineStr"/>
      <c r="I14" s="14" t="inlineStr"/>
      <c r="J14" s="14" t="inlineStr">
        <is>
          <t>CF</t>
        </is>
      </c>
    </row>
    <row r="15">
      <c r="A15" s="12" t="inlineStr">
        <is>
          <t>121</t>
        </is>
      </c>
      <c r="B15" s="12" t="inlineStr">
        <is>
          <t>Report à nouveau des excédents</t>
        </is>
      </c>
      <c r="C15" s="12" t="inlineStr">
        <is>
          <t>12</t>
        </is>
      </c>
      <c r="D15" s="12" t="inlineStr">
        <is>
          <t>121</t>
        </is>
      </c>
      <c r="E15" s="12" t="inlineStr">
        <is>
          <t>121</t>
        </is>
      </c>
      <c r="F15" s="13" t="n">
        <v>0</v>
      </c>
      <c r="G15" s="13" t="n">
        <v>700000</v>
      </c>
      <c r="H15" s="12" t="inlineStr"/>
      <c r="I15" s="12" t="inlineStr"/>
      <c r="J15" s="12" t="inlineStr">
        <is>
          <t>CG</t>
        </is>
      </c>
    </row>
    <row r="16">
      <c r="A16" s="14" t="inlineStr">
        <is>
          <t>1411</t>
        </is>
      </c>
      <c r="B16" s="14" t="inlineStr">
        <is>
          <t>Subventions d'équipement - État</t>
        </is>
      </c>
      <c r="C16" s="14" t="inlineStr">
        <is>
          <t>14</t>
        </is>
      </c>
      <c r="D16" s="14" t="inlineStr">
        <is>
          <t>141</t>
        </is>
      </c>
      <c r="E16" s="14" t="inlineStr">
        <is>
          <t>1411</t>
        </is>
      </c>
      <c r="F16" s="15" t="n">
        <v>0</v>
      </c>
      <c r="G16" s="15" t="n">
        <v>4000000</v>
      </c>
      <c r="H16" s="14" t="inlineStr"/>
      <c r="I16" s="14" t="inlineStr"/>
      <c r="J16" s="14" t="inlineStr">
        <is>
          <t>CI</t>
        </is>
      </c>
    </row>
    <row r="17">
      <c r="A17" s="12" t="inlineStr">
        <is>
          <t>165</t>
        </is>
      </c>
      <c r="B17" s="12" t="inlineStr">
        <is>
          <t>Fonds affectés à un projet spécifique</t>
        </is>
      </c>
      <c r="C17" s="12" t="inlineStr">
        <is>
          <t>16</t>
        </is>
      </c>
      <c r="D17" s="12" t="inlineStr">
        <is>
          <t>165</t>
        </is>
      </c>
      <c r="E17" s="12" t="inlineStr">
        <is>
          <t>165</t>
        </is>
      </c>
      <c r="F17" s="13" t="n">
        <v>0</v>
      </c>
      <c r="G17" s="13" t="n">
        <v>2500000</v>
      </c>
      <c r="H17" s="12" t="inlineStr"/>
      <c r="I17" s="12" t="inlineStr"/>
      <c r="J17" s="12" t="inlineStr">
        <is>
          <t>CW</t>
        </is>
      </c>
    </row>
    <row r="18">
      <c r="A18" s="14" t="inlineStr">
        <is>
          <t>182</t>
        </is>
      </c>
      <c r="B18" s="14" t="inlineStr">
        <is>
          <t>Emprunts auprès des établissements de crédit</t>
        </is>
      </c>
      <c r="C18" s="14" t="inlineStr">
        <is>
          <t>18</t>
        </is>
      </c>
      <c r="D18" s="14" t="inlineStr">
        <is>
          <t>182</t>
        </is>
      </c>
      <c r="E18" s="14" t="inlineStr">
        <is>
          <t>182</t>
        </is>
      </c>
      <c r="F18" s="15" t="n">
        <v>0</v>
      </c>
      <c r="G18" s="15" t="n">
        <v>3000000</v>
      </c>
      <c r="H18" s="14" t="inlineStr"/>
      <c r="I18" s="14" t="inlineStr"/>
      <c r="J18" s="14" t="inlineStr">
        <is>
          <t>DA</t>
        </is>
      </c>
    </row>
    <row r="19">
      <c r="A19" s="12" t="inlineStr">
        <is>
          <t>191</t>
        </is>
      </c>
      <c r="B19" s="12" t="inlineStr">
        <is>
          <t>Provisions pour litiges</t>
        </is>
      </c>
      <c r="C19" s="12" t="inlineStr">
        <is>
          <t>19</t>
        </is>
      </c>
      <c r="D19" s="12" t="inlineStr">
        <is>
          <t>191</t>
        </is>
      </c>
      <c r="E19" s="12" t="inlineStr">
        <is>
          <t>191</t>
        </is>
      </c>
      <c r="F19" s="13" t="n">
        <v>0</v>
      </c>
      <c r="G19" s="13" t="n">
        <v>400000</v>
      </c>
      <c r="H19" s="12" t="inlineStr"/>
      <c r="I19" s="12" t="inlineStr"/>
      <c r="J19" s="12" t="inlineStr">
        <is>
          <t>DC</t>
        </is>
      </c>
    </row>
    <row r="20">
      <c r="A20" s="14" t="inlineStr">
        <is>
          <t>4011</t>
        </is>
      </c>
      <c r="B20" s="14" t="inlineStr">
        <is>
          <t>Fournisseurs</t>
        </is>
      </c>
      <c r="C20" s="14" t="inlineStr">
        <is>
          <t>40</t>
        </is>
      </c>
      <c r="D20" s="14" t="inlineStr">
        <is>
          <t>401</t>
        </is>
      </c>
      <c r="E20" s="14" t="inlineStr">
        <is>
          <t>4011</t>
        </is>
      </c>
      <c r="F20" s="15" t="n">
        <v>0</v>
      </c>
      <c r="G20" s="15" t="n">
        <v>1000000</v>
      </c>
      <c r="H20" s="14" t="inlineStr"/>
      <c r="I20" s="14" t="inlineStr"/>
      <c r="J20" s="14" t="inlineStr">
        <is>
          <t>DH</t>
        </is>
      </c>
    </row>
    <row r="21">
      <c r="A21" s="12" t="inlineStr">
        <is>
          <t>422</t>
        </is>
      </c>
      <c r="B21" s="12" t="inlineStr">
        <is>
          <t>Personnel, rémunérations dues</t>
        </is>
      </c>
      <c r="C21" s="12" t="inlineStr">
        <is>
          <t>42</t>
        </is>
      </c>
      <c r="D21" s="12" t="inlineStr">
        <is>
          <t>422</t>
        </is>
      </c>
      <c r="E21" s="12" t="inlineStr">
        <is>
          <t>422</t>
        </is>
      </c>
      <c r="F21" s="13" t="n">
        <v>0</v>
      </c>
      <c r="G21" s="13" t="n">
        <v>500000</v>
      </c>
      <c r="H21" s="12" t="inlineStr"/>
      <c r="I21" s="12" t="inlineStr"/>
      <c r="J21" s="12" t="inlineStr">
        <is>
          <t>BE, DI</t>
        </is>
      </c>
    </row>
    <row r="22">
      <c r="A22" s="14" t="inlineStr">
        <is>
          <t>431</t>
        </is>
      </c>
      <c r="B22" s="14" t="inlineStr">
        <is>
          <t>Sécurité sociale</t>
        </is>
      </c>
      <c r="C22" s="14" t="inlineStr">
        <is>
          <t>43</t>
        </is>
      </c>
      <c r="D22" s="14" t="inlineStr">
        <is>
          <t>431</t>
        </is>
      </c>
      <c r="E22" s="14" t="inlineStr">
        <is>
          <t>431</t>
        </is>
      </c>
      <c r="F22" s="15" t="n">
        <v>0</v>
      </c>
      <c r="G22" s="15" t="n">
        <v>300000</v>
      </c>
      <c r="H22" s="14" t="inlineStr"/>
      <c r="I22" s="14" t="inlineStr"/>
      <c r="J22" s="14" t="inlineStr">
        <is>
          <t>BE, DI</t>
        </is>
      </c>
    </row>
    <row r="23">
      <c r="A23" s="12" t="inlineStr">
        <is>
          <t>442</t>
        </is>
      </c>
      <c r="B23" s="12" t="inlineStr">
        <is>
          <t>État, autres impôts et taxes</t>
        </is>
      </c>
      <c r="C23" s="12" t="inlineStr">
        <is>
          <t>44</t>
        </is>
      </c>
      <c r="D23" s="12" t="inlineStr">
        <is>
          <t>442</t>
        </is>
      </c>
      <c r="E23" s="12" t="inlineStr">
        <is>
          <t>442</t>
        </is>
      </c>
      <c r="F23" s="13" t="n">
        <v>0</v>
      </c>
      <c r="G23" s="13" t="n">
        <v>250000</v>
      </c>
      <c r="H23" s="12" t="inlineStr"/>
      <c r="I23" s="12" t="inlineStr"/>
      <c r="J23" s="12" t="inlineStr">
        <is>
          <t>BE, DI</t>
        </is>
      </c>
    </row>
    <row r="24">
      <c r="A24" s="14" t="inlineStr">
        <is>
          <t>462</t>
        </is>
      </c>
      <c r="B24" s="14" t="inlineStr">
        <is>
          <t>Bailleurs - fonds d'administration</t>
        </is>
      </c>
      <c r="C24" s="14" t="inlineStr">
        <is>
          <t>46</t>
        </is>
      </c>
      <c r="D24" s="14" t="inlineStr">
        <is>
          <t>462</t>
        </is>
      </c>
      <c r="E24" s="14" t="inlineStr">
        <is>
          <t>462</t>
        </is>
      </c>
      <c r="F24" s="15" t="n">
        <v>0</v>
      </c>
      <c r="G24" s="15" t="n">
        <v>350000</v>
      </c>
      <c r="H24" s="14" t="inlineStr"/>
      <c r="I24" s="14" t="inlineStr"/>
      <c r="J24" s="14" t="inlineStr">
        <is>
          <t>BE, DI</t>
        </is>
      </c>
    </row>
    <row r="25">
      <c r="A25" s="12" t="inlineStr">
        <is>
          <t>601</t>
        </is>
      </c>
      <c r="B25" s="12" t="inlineStr">
        <is>
          <t>Achats de biens et services liés à l'activité</t>
        </is>
      </c>
      <c r="C25" s="12" t="inlineStr">
        <is>
          <t>60</t>
        </is>
      </c>
      <c r="D25" s="12" t="inlineStr">
        <is>
          <t>601</t>
        </is>
      </c>
      <c r="E25" s="12" t="inlineStr">
        <is>
          <t>601</t>
        </is>
      </c>
      <c r="F25" s="13" t="n">
        <v>2500000</v>
      </c>
      <c r="G25" s="13" t="n">
        <v>0</v>
      </c>
      <c r="H25" s="12" t="inlineStr"/>
      <c r="I25" s="12" t="inlineStr"/>
      <c r="J25" s="12" t="inlineStr">
        <is>
          <t>TA</t>
        </is>
      </c>
    </row>
    <row r="26">
      <c r="A26" s="14" t="inlineStr">
        <is>
          <t>604</t>
        </is>
      </c>
      <c r="B26" s="14" t="inlineStr">
        <is>
          <t>Matières et fournitures consommables</t>
        </is>
      </c>
      <c r="C26" s="14" t="inlineStr">
        <is>
          <t>60</t>
        </is>
      </c>
      <c r="D26" s="14" t="inlineStr">
        <is>
          <t>604</t>
        </is>
      </c>
      <c r="E26" s="14" t="inlineStr">
        <is>
          <t>604</t>
        </is>
      </c>
      <c r="F26" s="15" t="n">
        <v>800000</v>
      </c>
      <c r="G26" s="15" t="n">
        <v>0</v>
      </c>
      <c r="H26" s="14" t="inlineStr"/>
      <c r="I26" s="14" t="inlineStr"/>
      <c r="J26" s="14" t="inlineStr">
        <is>
          <t>TD</t>
        </is>
      </c>
    </row>
    <row r="27">
      <c r="A27" s="12" t="inlineStr">
        <is>
          <t>605</t>
        </is>
      </c>
      <c r="B27" s="12" t="inlineStr">
        <is>
          <t>Eau, électricité et autres achats</t>
        </is>
      </c>
      <c r="C27" s="12" t="inlineStr">
        <is>
          <t>60</t>
        </is>
      </c>
      <c r="D27" s="12" t="inlineStr">
        <is>
          <t>605</t>
        </is>
      </c>
      <c r="E27" s="12" t="inlineStr">
        <is>
          <t>605</t>
        </is>
      </c>
      <c r="F27" s="13" t="n">
        <v>700000</v>
      </c>
      <c r="G27" s="13" t="n">
        <v>0</v>
      </c>
      <c r="H27" s="12" t="inlineStr"/>
      <c r="I27" s="12" t="inlineStr"/>
      <c r="J27" s="12" t="inlineStr">
        <is>
          <t>TD</t>
        </is>
      </c>
    </row>
    <row r="28">
      <c r="A28" s="14" t="inlineStr">
        <is>
          <t>614</t>
        </is>
      </c>
      <c r="B28" s="14" t="inlineStr">
        <is>
          <t>Transport du personnel</t>
        </is>
      </c>
      <c r="C28" s="14" t="inlineStr">
        <is>
          <t>61</t>
        </is>
      </c>
      <c r="D28" s="14" t="inlineStr">
        <is>
          <t>614</t>
        </is>
      </c>
      <c r="E28" s="14" t="inlineStr">
        <is>
          <t>614</t>
        </is>
      </c>
      <c r="F28" s="15" t="n">
        <v>400000</v>
      </c>
      <c r="G28" s="15" t="n">
        <v>0</v>
      </c>
      <c r="H28" s="14" t="inlineStr"/>
      <c r="I28" s="14" t="inlineStr"/>
      <c r="J28" s="14" t="inlineStr">
        <is>
          <t>TF</t>
        </is>
      </c>
    </row>
    <row r="29">
      <c r="A29" s="12" t="inlineStr">
        <is>
          <t>622</t>
        </is>
      </c>
      <c r="B29" s="12" t="inlineStr">
        <is>
          <t>Locations et charges locatives</t>
        </is>
      </c>
      <c r="C29" s="12" t="inlineStr">
        <is>
          <t>62</t>
        </is>
      </c>
      <c r="D29" s="12" t="inlineStr">
        <is>
          <t>622</t>
        </is>
      </c>
      <c r="E29" s="12" t="inlineStr">
        <is>
          <t>622</t>
        </is>
      </c>
      <c r="F29" s="13" t="n">
        <v>1200000</v>
      </c>
      <c r="G29" s="13" t="n">
        <v>0</v>
      </c>
      <c r="H29" s="12" t="inlineStr"/>
      <c r="I29" s="12" t="inlineStr"/>
      <c r="J29" s="12" t="inlineStr">
        <is>
          <t>TG</t>
        </is>
      </c>
    </row>
    <row r="30">
      <c r="A30" s="14" t="inlineStr">
        <is>
          <t>628</t>
        </is>
      </c>
      <c r="B30" s="14" t="inlineStr">
        <is>
          <t>Frais de télécommunications</t>
        </is>
      </c>
      <c r="C30" s="14" t="inlineStr">
        <is>
          <t>62</t>
        </is>
      </c>
      <c r="D30" s="14" t="inlineStr">
        <is>
          <t>628</t>
        </is>
      </c>
      <c r="E30" s="14" t="inlineStr">
        <is>
          <t>628</t>
        </is>
      </c>
      <c r="F30" s="15" t="n">
        <v>350000</v>
      </c>
      <c r="G30" s="15" t="n">
        <v>0</v>
      </c>
      <c r="H30" s="14" t="inlineStr"/>
      <c r="I30" s="14" t="inlineStr"/>
      <c r="J30" s="14" t="inlineStr">
        <is>
          <t>TG</t>
        </is>
      </c>
    </row>
    <row r="31">
      <c r="A31" s="12" t="inlineStr">
        <is>
          <t>636</t>
        </is>
      </c>
      <c r="B31" s="12" t="inlineStr">
        <is>
          <t>Frais de recherche de fonds</t>
        </is>
      </c>
      <c r="C31" s="12" t="inlineStr">
        <is>
          <t>63</t>
        </is>
      </c>
      <c r="D31" s="12" t="inlineStr">
        <is>
          <t>636</t>
        </is>
      </c>
      <c r="E31" s="12" t="inlineStr">
        <is>
          <t>636</t>
        </is>
      </c>
      <c r="F31" s="13" t="n">
        <v>250000</v>
      </c>
      <c r="G31" s="13" t="n">
        <v>0</v>
      </c>
      <c r="H31" s="12" t="inlineStr"/>
      <c r="I31" s="12" t="inlineStr"/>
      <c r="J31" s="12" t="inlineStr">
        <is>
          <t>TG</t>
        </is>
      </c>
    </row>
    <row r="32">
      <c r="A32" s="14" t="inlineStr">
        <is>
          <t>641</t>
        </is>
      </c>
      <c r="B32" s="14" t="inlineStr">
        <is>
          <t>Impôts et taxes directs</t>
        </is>
      </c>
      <c r="C32" s="14" t="inlineStr">
        <is>
          <t>64</t>
        </is>
      </c>
      <c r="D32" s="14" t="inlineStr">
        <is>
          <t>641</t>
        </is>
      </c>
      <c r="E32" s="14" t="inlineStr">
        <is>
          <t>641</t>
        </is>
      </c>
      <c r="F32" s="15" t="n">
        <v>150000</v>
      </c>
      <c r="G32" s="15" t="n">
        <v>0</v>
      </c>
      <c r="H32" s="14" t="inlineStr"/>
      <c r="I32" s="14" t="inlineStr"/>
      <c r="J32" s="14" t="inlineStr">
        <is>
          <t>TH</t>
        </is>
      </c>
    </row>
    <row r="33">
      <c r="A33" s="12" t="inlineStr">
        <is>
          <t>652</t>
        </is>
      </c>
      <c r="B33" s="12" t="inlineStr">
        <is>
          <t>Subventions accordées par l'entité</t>
        </is>
      </c>
      <c r="C33" s="12" t="inlineStr">
        <is>
          <t>65</t>
        </is>
      </c>
      <c r="D33" s="12" t="inlineStr">
        <is>
          <t>652</t>
        </is>
      </c>
      <c r="E33" s="12" t="inlineStr">
        <is>
          <t>652</t>
        </is>
      </c>
      <c r="F33" s="13" t="n">
        <v>600000</v>
      </c>
      <c r="G33" s="13" t="n">
        <v>0</v>
      </c>
      <c r="H33" s="12" t="inlineStr"/>
      <c r="I33" s="12" t="inlineStr"/>
      <c r="J33" s="12" t="inlineStr">
        <is>
          <t>TI</t>
        </is>
      </c>
    </row>
    <row r="34">
      <c r="A34" s="14" t="inlineStr">
        <is>
          <t>654</t>
        </is>
      </c>
      <c r="B34" s="14" t="inlineStr">
        <is>
          <t>Dons en nature courants à distribuer</t>
        </is>
      </c>
      <c r="C34" s="14" t="inlineStr">
        <is>
          <t>65</t>
        </is>
      </c>
      <c r="D34" s="14" t="inlineStr">
        <is>
          <t>654</t>
        </is>
      </c>
      <c r="E34" s="14" t="inlineStr">
        <is>
          <t>654</t>
        </is>
      </c>
      <c r="F34" s="15" t="n">
        <v>900000</v>
      </c>
      <c r="G34" s="15" t="n">
        <v>0</v>
      </c>
      <c r="H34" s="14" t="inlineStr"/>
      <c r="I34" s="14" t="inlineStr"/>
      <c r="J34" s="14" t="inlineStr">
        <is>
          <t>TI</t>
        </is>
      </c>
    </row>
    <row r="35">
      <c r="A35" s="12" t="inlineStr">
        <is>
          <t>661</t>
        </is>
      </c>
      <c r="B35" s="12" t="inlineStr">
        <is>
          <t>Rémunérations directes personnel national</t>
        </is>
      </c>
      <c r="C35" s="12" t="inlineStr">
        <is>
          <t>66</t>
        </is>
      </c>
      <c r="D35" s="12" t="inlineStr">
        <is>
          <t>661</t>
        </is>
      </c>
      <c r="E35" s="12" t="inlineStr">
        <is>
          <t>661</t>
        </is>
      </c>
      <c r="F35" s="13" t="n">
        <v>4000000</v>
      </c>
      <c r="G35" s="13" t="n">
        <v>0</v>
      </c>
      <c r="H35" s="12" t="inlineStr"/>
      <c r="I35" s="12" t="inlineStr"/>
      <c r="J35" s="12" t="inlineStr">
        <is>
          <t>TJ</t>
        </is>
      </c>
    </row>
    <row r="36">
      <c r="A36" s="14" t="inlineStr">
        <is>
          <t>664</t>
        </is>
      </c>
      <c r="B36" s="14" t="inlineStr">
        <is>
          <t>Charges sociales</t>
        </is>
      </c>
      <c r="C36" s="14" t="inlineStr">
        <is>
          <t>66</t>
        </is>
      </c>
      <c r="D36" s="14" t="inlineStr">
        <is>
          <t>664</t>
        </is>
      </c>
      <c r="E36" s="14" t="inlineStr">
        <is>
          <t>664</t>
        </is>
      </c>
      <c r="F36" s="15" t="n">
        <v>700000</v>
      </c>
      <c r="G36" s="15" t="n">
        <v>0</v>
      </c>
      <c r="H36" s="14" t="inlineStr"/>
      <c r="I36" s="14" t="inlineStr"/>
      <c r="J36" s="14" t="inlineStr">
        <is>
          <t>TJ</t>
        </is>
      </c>
    </row>
    <row r="37">
      <c r="A37" s="12" t="inlineStr">
        <is>
          <t>671</t>
        </is>
      </c>
      <c r="B37" s="12" t="inlineStr">
        <is>
          <t>Intérêts des emprunts</t>
        </is>
      </c>
      <c r="C37" s="12" t="inlineStr">
        <is>
          <t>67</t>
        </is>
      </c>
      <c r="D37" s="12" t="inlineStr">
        <is>
          <t>671</t>
        </is>
      </c>
      <c r="E37" s="12" t="inlineStr">
        <is>
          <t>671</t>
        </is>
      </c>
      <c r="F37" s="13" t="n">
        <v>240000</v>
      </c>
      <c r="G37" s="13" t="n">
        <v>0</v>
      </c>
      <c r="H37" s="12" t="inlineStr"/>
      <c r="I37" s="12" t="inlineStr"/>
      <c r="J37" s="12" t="inlineStr">
        <is>
          <t>TK</t>
        </is>
      </c>
    </row>
    <row r="38">
      <c r="A38" s="14" t="inlineStr">
        <is>
          <t>6812</t>
        </is>
      </c>
      <c r="B38" s="14" t="inlineStr">
        <is>
          <t>Dotations amortissements incorporelles</t>
        </is>
      </c>
      <c r="C38" s="14" t="inlineStr">
        <is>
          <t>68</t>
        </is>
      </c>
      <c r="D38" s="14" t="inlineStr">
        <is>
          <t>681</t>
        </is>
      </c>
      <c r="E38" s="14" t="inlineStr">
        <is>
          <t>6812</t>
        </is>
      </c>
      <c r="F38" s="15" t="n">
        <v>200000</v>
      </c>
      <c r="G38" s="15" t="n">
        <v>0</v>
      </c>
      <c r="H38" s="14" t="inlineStr"/>
      <c r="I38" s="14" t="inlineStr"/>
      <c r="J38" s="14" t="inlineStr">
        <is>
          <t>TL</t>
        </is>
      </c>
    </row>
    <row r="39">
      <c r="A39" s="12" t="inlineStr">
        <is>
          <t>6813</t>
        </is>
      </c>
      <c r="B39" s="12" t="inlineStr">
        <is>
          <t>Dotations amortissements corporelles</t>
        </is>
      </c>
      <c r="C39" s="12" t="inlineStr">
        <is>
          <t>68</t>
        </is>
      </c>
      <c r="D39" s="12" t="inlineStr">
        <is>
          <t>681</t>
        </is>
      </c>
      <c r="E39" s="12" t="inlineStr">
        <is>
          <t>6813</t>
        </is>
      </c>
      <c r="F39" s="13" t="n">
        <v>1300000</v>
      </c>
      <c r="G39" s="13" t="n">
        <v>0</v>
      </c>
      <c r="H39" s="12" t="inlineStr"/>
      <c r="I39" s="12" t="inlineStr"/>
      <c r="J39" s="12" t="inlineStr">
        <is>
          <t>TL</t>
        </is>
      </c>
    </row>
    <row r="40">
      <c r="A40" s="14" t="inlineStr">
        <is>
          <t>691</t>
        </is>
      </c>
      <c r="B40" s="14" t="inlineStr">
        <is>
          <t>Dotations aux provisions d'exploitation</t>
        </is>
      </c>
      <c r="C40" s="14" t="inlineStr">
        <is>
          <t>69</t>
        </is>
      </c>
      <c r="D40" s="14" t="inlineStr">
        <is>
          <t>691</t>
        </is>
      </c>
      <c r="E40" s="14" t="inlineStr">
        <is>
          <t>691</t>
        </is>
      </c>
      <c r="F40" s="15" t="n">
        <v>100000</v>
      </c>
      <c r="G40" s="15" t="n">
        <v>0</v>
      </c>
      <c r="H40" s="14" t="inlineStr"/>
      <c r="I40" s="14" t="inlineStr"/>
      <c r="J40" s="14" t="inlineStr">
        <is>
          <t>TL</t>
        </is>
      </c>
    </row>
    <row r="41">
      <c r="A41" s="12" t="inlineStr">
        <is>
          <t>701</t>
        </is>
      </c>
      <c r="B41" s="12" t="inlineStr">
        <is>
          <t>Cotisations des adhérents</t>
        </is>
      </c>
      <c r="C41" s="12" t="inlineStr">
        <is>
          <t>70</t>
        </is>
      </c>
      <c r="D41" s="12" t="inlineStr">
        <is>
          <t>701</t>
        </is>
      </c>
      <c r="E41" s="12" t="inlineStr">
        <is>
          <t>701</t>
        </is>
      </c>
      <c r="F41" s="13" t="n">
        <v>0</v>
      </c>
      <c r="G41" s="13" t="n">
        <v>3500000</v>
      </c>
      <c r="H41" s="12" t="inlineStr"/>
      <c r="I41" s="12" t="inlineStr"/>
      <c r="J41" s="12" t="inlineStr">
        <is>
          <t>RA</t>
        </is>
      </c>
    </row>
    <row r="42">
      <c r="A42" s="14" t="inlineStr">
        <is>
          <t>7041</t>
        </is>
      </c>
      <c r="B42" s="14" t="inlineStr">
        <is>
          <t>Dons</t>
        </is>
      </c>
      <c r="C42" s="14" t="inlineStr">
        <is>
          <t>70</t>
        </is>
      </c>
      <c r="D42" s="14" t="inlineStr">
        <is>
          <t>704</t>
        </is>
      </c>
      <c r="E42" s="14" t="inlineStr">
        <is>
          <t>7041</t>
        </is>
      </c>
      <c r="F42" s="15" t="n">
        <v>0</v>
      </c>
      <c r="G42" s="15" t="n">
        <v>2800000</v>
      </c>
      <c r="H42" s="14" t="inlineStr"/>
      <c r="I42" s="14" t="inlineStr"/>
      <c r="J42" s="14" t="inlineStr">
        <is>
          <t>RC</t>
        </is>
      </c>
    </row>
    <row r="43">
      <c r="A43" s="12" t="inlineStr">
        <is>
          <t>7046</t>
        </is>
      </c>
      <c r="B43" s="12" t="inlineStr">
        <is>
          <t>Mécénats</t>
        </is>
      </c>
      <c r="C43" s="12" t="inlineStr">
        <is>
          <t>70</t>
        </is>
      </c>
      <c r="D43" s="12" t="inlineStr">
        <is>
          <t>704</t>
        </is>
      </c>
      <c r="E43" s="12" t="inlineStr">
        <is>
          <t>7046</t>
        </is>
      </c>
      <c r="F43" s="13" t="n">
        <v>0</v>
      </c>
      <c r="G43" s="13" t="n">
        <v>1200000</v>
      </c>
      <c r="H43" s="12" t="inlineStr"/>
      <c r="I43" s="12" t="inlineStr"/>
      <c r="J43" s="12" t="inlineStr">
        <is>
          <t>RC</t>
        </is>
      </c>
    </row>
    <row r="44">
      <c r="A44" s="14" t="inlineStr">
        <is>
          <t>7051</t>
        </is>
      </c>
      <c r="B44" s="14" t="inlineStr">
        <is>
          <t>Ventes de marchandises</t>
        </is>
      </c>
      <c r="C44" s="14" t="inlineStr">
        <is>
          <t>70</t>
        </is>
      </c>
      <c r="D44" s="14" t="inlineStr">
        <is>
          <t>705</t>
        </is>
      </c>
      <c r="E44" s="14" t="inlineStr">
        <is>
          <t>7051</t>
        </is>
      </c>
      <c r="F44" s="15" t="n">
        <v>0</v>
      </c>
      <c r="G44" s="15" t="n">
        <v>900000</v>
      </c>
      <c r="H44" s="14" t="inlineStr"/>
      <c r="I44" s="14" t="inlineStr"/>
      <c r="J44" s="14" t="inlineStr">
        <is>
          <t>RD</t>
        </is>
      </c>
    </row>
    <row r="45">
      <c r="A45" s="12" t="inlineStr">
        <is>
          <t>706</t>
        </is>
      </c>
      <c r="B45" s="12" t="inlineStr">
        <is>
          <t>Revenus des manifestations</t>
        </is>
      </c>
      <c r="C45" s="12" t="inlineStr">
        <is>
          <t>70</t>
        </is>
      </c>
      <c r="D45" s="12" t="inlineStr">
        <is>
          <t>706</t>
        </is>
      </c>
      <c r="E45" s="12" t="inlineStr">
        <is>
          <t>706</t>
        </is>
      </c>
      <c r="F45" s="13" t="n">
        <v>0</v>
      </c>
      <c r="G45" s="13" t="n">
        <v>1100000</v>
      </c>
      <c r="H45" s="12" t="inlineStr"/>
      <c r="I45" s="12" t="inlineStr"/>
      <c r="J45" s="12" t="inlineStr">
        <is>
          <t>RG</t>
        </is>
      </c>
    </row>
    <row r="46">
      <c r="A46" s="14" t="inlineStr">
        <is>
          <t>711</t>
        </is>
      </c>
      <c r="B46" s="14" t="inlineStr">
        <is>
          <t>Subventions d'exploitation - État</t>
        </is>
      </c>
      <c r="C46" s="14" t="inlineStr">
        <is>
          <t>71</t>
        </is>
      </c>
      <c r="D46" s="14" t="inlineStr">
        <is>
          <t>711</t>
        </is>
      </c>
      <c r="E46" s="14" t="inlineStr">
        <is>
          <t>711</t>
        </is>
      </c>
      <c r="F46" s="15" t="n">
        <v>0</v>
      </c>
      <c r="G46" s="15" t="n">
        <v>5000000</v>
      </c>
      <c r="H46" s="14" t="inlineStr"/>
      <c r="I46" s="14" t="inlineStr"/>
      <c r="J46" s="14" t="inlineStr">
        <is>
          <t>RF</t>
        </is>
      </c>
    </row>
    <row r="47">
      <c r="A47" s="12" t="inlineStr">
        <is>
          <t>758</t>
        </is>
      </c>
      <c r="B47" s="12" t="inlineStr">
        <is>
          <t>Produits divers</t>
        </is>
      </c>
      <c r="C47" s="12" t="inlineStr">
        <is>
          <t>75</t>
        </is>
      </c>
      <c r="D47" s="12" t="inlineStr">
        <is>
          <t>758</t>
        </is>
      </c>
      <c r="E47" s="12" t="inlineStr">
        <is>
          <t>758</t>
        </is>
      </c>
      <c r="F47" s="13" t="n">
        <v>0</v>
      </c>
      <c r="G47" s="13" t="n">
        <v>300000</v>
      </c>
      <c r="H47" s="12" t="inlineStr"/>
      <c r="I47" s="12" t="inlineStr"/>
      <c r="J47" s="12" t="inlineStr">
        <is>
          <t>RG</t>
        </is>
      </c>
    </row>
    <row r="48">
      <c r="A48" s="14" t="inlineStr">
        <is>
          <t>791</t>
        </is>
      </c>
      <c r="B48" s="14" t="inlineStr">
        <is>
          <t>Reprises de provisions d'exploitation</t>
        </is>
      </c>
      <c r="C48" s="14" t="inlineStr">
        <is>
          <t>79</t>
        </is>
      </c>
      <c r="D48" s="14" t="inlineStr">
        <is>
          <t>791</t>
        </is>
      </c>
      <c r="E48" s="14" t="inlineStr">
        <is>
          <t>791</t>
        </is>
      </c>
      <c r="F48" s="15" t="n">
        <v>0</v>
      </c>
      <c r="G48" s="15" t="n">
        <v>90000</v>
      </c>
      <c r="H48" s="14" t="inlineStr"/>
      <c r="I48" s="14" t="inlineStr"/>
      <c r="J48" s="14" t="inlineStr">
        <is>
          <t>RH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9" customWidth="1" min="4" max="4"/>
    <col width="9" customWidth="1" min="5" max="5"/>
    <col width="15" customWidth="1" min="6" max="6"/>
    <col width="15" customWidth="1" min="7" max="7"/>
    <col width="22" customWidth="1" min="10" max="10"/>
  </cols>
  <sheetData>
    <row r="1">
      <c r="A1" s="9" t="inlineStr">
        <is>
          <t>Compte</t>
        </is>
      </c>
      <c r="B1" s="9" t="inlineStr">
        <is>
          <t>Intitulé</t>
        </is>
      </c>
      <c r="C1" s="9" t="inlineStr">
        <is>
          <t>Préfixe 2</t>
        </is>
      </c>
      <c r="D1" s="9" t="inlineStr">
        <is>
          <t>Préfixe 3</t>
        </is>
      </c>
      <c r="E1" s="9" t="inlineStr">
        <is>
          <t>Préfixe 4</t>
        </is>
      </c>
      <c r="F1" s="9" t="inlineStr">
        <is>
          <t>Solde final débit</t>
        </is>
      </c>
      <c r="G1" s="9" t="inlineStr">
        <is>
          <t>Solde final crédit</t>
        </is>
      </c>
      <c r="H1" s="9" t="inlineStr"/>
      <c r="I1" s="9" t="inlineStr"/>
      <c r="J1" s="9" t="inlineStr">
        <is>
          <t>Poste(s) d'affectation</t>
        </is>
      </c>
    </row>
    <row r="2">
      <c r="A2" s="14" t="inlineStr">
        <is>
          <t>2131</t>
        </is>
      </c>
      <c r="B2" s="14" t="inlineStr">
        <is>
          <t>Logiciels</t>
        </is>
      </c>
      <c r="C2" s="14" t="inlineStr">
        <is>
          <t>21</t>
        </is>
      </c>
      <c r="D2" s="14" t="inlineStr">
        <is>
          <t>213</t>
        </is>
      </c>
      <c r="E2" s="14" t="inlineStr">
        <is>
          <t>2131</t>
        </is>
      </c>
      <c r="F2" s="15" t="n">
        <v>2000000</v>
      </c>
      <c r="G2" s="15" t="n">
        <v>0</v>
      </c>
      <c r="H2" s="14" t="inlineStr"/>
      <c r="I2" s="14" t="inlineStr"/>
      <c r="J2" s="14" t="inlineStr">
        <is>
          <t>AE</t>
        </is>
      </c>
    </row>
    <row r="3">
      <c r="A3" s="12" t="inlineStr">
        <is>
          <t>2313</t>
        </is>
      </c>
      <c r="B3" s="12" t="inlineStr">
        <is>
          <t>Bâtiments administratifs</t>
        </is>
      </c>
      <c r="C3" s="12" t="inlineStr">
        <is>
          <t>23</t>
        </is>
      </c>
      <c r="D3" s="12" t="inlineStr">
        <is>
          <t>231</t>
        </is>
      </c>
      <c r="E3" s="12" t="inlineStr">
        <is>
          <t>2313</t>
        </is>
      </c>
      <c r="F3" s="13" t="n">
        <v>15000000</v>
      </c>
      <c r="G3" s="13" t="n">
        <v>0</v>
      </c>
      <c r="H3" s="12" t="inlineStr"/>
      <c r="I3" s="12" t="inlineStr"/>
      <c r="J3" s="12" t="inlineStr">
        <is>
          <t>AJ</t>
        </is>
      </c>
    </row>
    <row r="4">
      <c r="A4" s="14" t="inlineStr">
        <is>
          <t>2441</t>
        </is>
      </c>
      <c r="B4" s="14" t="inlineStr">
        <is>
          <t>Matériel et mobilier de bureau</t>
        </is>
      </c>
      <c r="C4" s="14" t="inlineStr">
        <is>
          <t>24</t>
        </is>
      </c>
      <c r="D4" s="14" t="inlineStr">
        <is>
          <t>244</t>
        </is>
      </c>
      <c r="E4" s="14" t="inlineStr">
        <is>
          <t>2441</t>
        </is>
      </c>
      <c r="F4" s="15" t="n">
        <v>4000000</v>
      </c>
      <c r="G4" s="15" t="n">
        <v>0</v>
      </c>
      <c r="H4" s="14" t="inlineStr"/>
      <c r="I4" s="14" t="inlineStr"/>
      <c r="J4" s="14" t="inlineStr">
        <is>
          <t>AL</t>
        </is>
      </c>
    </row>
    <row r="5">
      <c r="A5" s="12" t="inlineStr">
        <is>
          <t>341</t>
        </is>
      </c>
      <c r="B5" s="12" t="inlineStr">
        <is>
          <t>Dons en nature non affectés</t>
        </is>
      </c>
      <c r="C5" s="12" t="inlineStr">
        <is>
          <t>34</t>
        </is>
      </c>
      <c r="D5" s="12" t="inlineStr">
        <is>
          <t>341</t>
        </is>
      </c>
      <c r="E5" s="12" t="inlineStr">
        <is>
          <t>341</t>
        </is>
      </c>
      <c r="F5" s="13" t="n">
        <v>1000000</v>
      </c>
      <c r="G5" s="13" t="n">
        <v>0</v>
      </c>
      <c r="H5" s="12" t="inlineStr"/>
      <c r="I5" s="12" t="inlineStr"/>
      <c r="J5" s="12" t="inlineStr">
        <is>
          <t>BB</t>
        </is>
      </c>
    </row>
    <row r="6">
      <c r="A6" s="14" t="inlineStr">
        <is>
          <t>411</t>
        </is>
      </c>
      <c r="B6" s="14" t="inlineStr">
        <is>
          <t>Adhérents</t>
        </is>
      </c>
      <c r="C6" s="14" t="inlineStr">
        <is>
          <t>41</t>
        </is>
      </c>
      <c r="D6" s="14" t="inlineStr">
        <is>
          <t>411</t>
        </is>
      </c>
      <c r="E6" s="14" t="inlineStr">
        <is>
          <t>411</t>
        </is>
      </c>
      <c r="F6" s="15" t="n">
        <v>700000</v>
      </c>
      <c r="G6" s="15" t="n">
        <v>0</v>
      </c>
      <c r="H6" s="14" t="inlineStr"/>
      <c r="I6" s="14" t="inlineStr"/>
      <c r="J6" s="14" t="inlineStr">
        <is>
          <t>BD</t>
        </is>
      </c>
    </row>
    <row r="7">
      <c r="A7" s="12" t="inlineStr">
        <is>
          <t>521</t>
        </is>
      </c>
      <c r="B7" s="12" t="inlineStr">
        <is>
          <t>Banques locales</t>
        </is>
      </c>
      <c r="C7" s="12" t="inlineStr">
        <is>
          <t>52</t>
        </is>
      </c>
      <c r="D7" s="12" t="inlineStr">
        <is>
          <t>521</t>
        </is>
      </c>
      <c r="E7" s="12" t="inlineStr">
        <is>
          <t>521</t>
        </is>
      </c>
      <c r="F7" s="13" t="n">
        <v>4350000</v>
      </c>
      <c r="G7" s="13" t="n">
        <v>0</v>
      </c>
      <c r="H7" s="12" t="inlineStr"/>
      <c r="I7" s="12" t="inlineStr"/>
      <c r="J7" s="12" t="inlineStr">
        <is>
          <t>BW, DW</t>
        </is>
      </c>
    </row>
    <row r="8">
      <c r="A8" s="14" t="inlineStr">
        <is>
          <t>571</t>
        </is>
      </c>
      <c r="B8" s="14" t="inlineStr">
        <is>
          <t>Caisse</t>
        </is>
      </c>
      <c r="C8" s="14" t="inlineStr">
        <is>
          <t>57</t>
        </is>
      </c>
      <c r="D8" s="14" t="inlineStr">
        <is>
          <t>571</t>
        </is>
      </c>
      <c r="E8" s="14" t="inlineStr">
        <is>
          <t>571</t>
        </is>
      </c>
      <c r="F8" s="15" t="n">
        <v>600000</v>
      </c>
      <c r="G8" s="15" t="n">
        <v>0</v>
      </c>
      <c r="H8" s="14" t="inlineStr"/>
      <c r="I8" s="14" t="inlineStr"/>
      <c r="J8" s="14" t="inlineStr">
        <is>
          <t>BW</t>
        </is>
      </c>
    </row>
    <row r="9">
      <c r="A9" s="12" t="inlineStr">
        <is>
          <t>2813</t>
        </is>
      </c>
      <c r="B9" s="12" t="inlineStr">
        <is>
          <t>Amortissements logiciels</t>
        </is>
      </c>
      <c r="C9" s="12" t="inlineStr">
        <is>
          <t>28</t>
        </is>
      </c>
      <c r="D9" s="12" t="inlineStr">
        <is>
          <t>281</t>
        </is>
      </c>
      <c r="E9" s="12" t="inlineStr">
        <is>
          <t>2813</t>
        </is>
      </c>
      <c r="F9" s="13" t="n">
        <v>0</v>
      </c>
      <c r="G9" s="13" t="n">
        <v>600000</v>
      </c>
      <c r="H9" s="12" t="inlineStr"/>
      <c r="I9" s="12" t="inlineStr"/>
      <c r="J9" s="12" t="inlineStr">
        <is>
          <t>AE</t>
        </is>
      </c>
    </row>
    <row r="10">
      <c r="A10" s="14" t="inlineStr">
        <is>
          <t>2831</t>
        </is>
      </c>
      <c r="B10" s="14" t="inlineStr">
        <is>
          <t>Amortissements bâtiments</t>
        </is>
      </c>
      <c r="C10" s="14" t="inlineStr">
        <is>
          <t>28</t>
        </is>
      </c>
      <c r="D10" s="14" t="inlineStr">
        <is>
          <t>283</t>
        </is>
      </c>
      <c r="E10" s="14" t="inlineStr">
        <is>
          <t>2831</t>
        </is>
      </c>
      <c r="F10" s="15" t="n">
        <v>0</v>
      </c>
      <c r="G10" s="15" t="n">
        <v>2700000</v>
      </c>
      <c r="H10" s="14" t="inlineStr"/>
      <c r="I10" s="14" t="inlineStr"/>
      <c r="J10" s="14" t="inlineStr">
        <is>
          <t>AJ</t>
        </is>
      </c>
    </row>
    <row r="11">
      <c r="A11" s="12" t="inlineStr">
        <is>
          <t>2844</t>
        </is>
      </c>
      <c r="B11" s="12" t="inlineStr">
        <is>
          <t>Amortissements matériel et mobilier</t>
        </is>
      </c>
      <c r="C11" s="12" t="inlineStr">
        <is>
          <t>28</t>
        </is>
      </c>
      <c r="D11" s="12" t="inlineStr">
        <is>
          <t>284</t>
        </is>
      </c>
      <c r="E11" s="12" t="inlineStr">
        <is>
          <t>2844</t>
        </is>
      </c>
      <c r="F11" s="13" t="n">
        <v>0</v>
      </c>
      <c r="G11" s="13" t="n">
        <v>1700000</v>
      </c>
      <c r="H11" s="12" t="inlineStr"/>
      <c r="I11" s="12" t="inlineStr"/>
      <c r="J11" s="12" t="inlineStr">
        <is>
          <t>AL</t>
        </is>
      </c>
    </row>
    <row r="12">
      <c r="A12" s="14" t="inlineStr">
        <is>
          <t>4911</t>
        </is>
      </c>
      <c r="B12" s="14" t="inlineStr">
        <is>
          <t>Dépréciations créances adhérents</t>
        </is>
      </c>
      <c r="C12" s="14" t="inlineStr">
        <is>
          <t>49</t>
        </is>
      </c>
      <c r="D12" s="14" t="inlineStr">
        <is>
          <t>491</t>
        </is>
      </c>
      <c r="E12" s="14" t="inlineStr">
        <is>
          <t>4911</t>
        </is>
      </c>
      <c r="F12" s="15" t="n">
        <v>0</v>
      </c>
      <c r="G12" s="15" t="n">
        <v>150000</v>
      </c>
      <c r="H12" s="14" t="inlineStr"/>
      <c r="I12" s="14" t="inlineStr"/>
      <c r="J12" s="14" t="inlineStr">
        <is>
          <t>BD</t>
        </is>
      </c>
    </row>
    <row r="13">
      <c r="A13" s="12" t="inlineStr">
        <is>
          <t>1011</t>
        </is>
      </c>
      <c r="B13" s="12" t="inlineStr">
        <is>
          <t>Dotation non consomptible sans droit de reprise</t>
        </is>
      </c>
      <c r="C13" s="12" t="inlineStr">
        <is>
          <t>10</t>
        </is>
      </c>
      <c r="D13" s="12" t="inlineStr">
        <is>
          <t>101</t>
        </is>
      </c>
      <c r="E13" s="12" t="inlineStr">
        <is>
          <t>1011</t>
        </is>
      </c>
      <c r="F13" s="13" t="n">
        <v>0</v>
      </c>
      <c r="G13" s="13" t="n">
        <v>10000000</v>
      </c>
      <c r="H13" s="12" t="inlineStr"/>
      <c r="I13" s="12" t="inlineStr"/>
      <c r="J13" s="12" t="inlineStr">
        <is>
          <t>CA</t>
        </is>
      </c>
    </row>
    <row r="14">
      <c r="A14" s="14" t="inlineStr">
        <is>
          <t>112</t>
        </is>
      </c>
      <c r="B14" s="14" t="inlineStr">
        <is>
          <t>Réserves statutaires</t>
        </is>
      </c>
      <c r="C14" s="14" t="inlineStr">
        <is>
          <t>11</t>
        </is>
      </c>
      <c r="D14" s="14" t="inlineStr">
        <is>
          <t>112</t>
        </is>
      </c>
      <c r="E14" s="14" t="inlineStr">
        <is>
          <t>112</t>
        </is>
      </c>
      <c r="F14" s="15" t="n">
        <v>0</v>
      </c>
      <c r="G14" s="15" t="n">
        <v>1400000</v>
      </c>
      <c r="H14" s="14" t="inlineStr"/>
      <c r="I14" s="14" t="inlineStr"/>
      <c r="J14" s="14" t="inlineStr">
        <is>
          <t>CF</t>
        </is>
      </c>
    </row>
    <row r="15">
      <c r="A15" s="12" t="inlineStr">
        <is>
          <t>121</t>
        </is>
      </c>
      <c r="B15" s="12" t="inlineStr">
        <is>
          <t>Report à nouveau des excédents</t>
        </is>
      </c>
      <c r="C15" s="12" t="inlineStr">
        <is>
          <t>12</t>
        </is>
      </c>
      <c r="D15" s="12" t="inlineStr">
        <is>
          <t>121</t>
        </is>
      </c>
      <c r="E15" s="12" t="inlineStr">
        <is>
          <t>121</t>
        </is>
      </c>
      <c r="F15" s="13" t="n">
        <v>0</v>
      </c>
      <c r="G15" s="13" t="n">
        <v>500000</v>
      </c>
      <c r="H15" s="12" t="inlineStr"/>
      <c r="I15" s="12" t="inlineStr"/>
      <c r="J15" s="12" t="inlineStr">
        <is>
          <t>CG</t>
        </is>
      </c>
    </row>
    <row r="16">
      <c r="A16" s="14" t="inlineStr">
        <is>
          <t>1411</t>
        </is>
      </c>
      <c r="B16" s="14" t="inlineStr">
        <is>
          <t>Subventions d'équipement - État</t>
        </is>
      </c>
      <c r="C16" s="14" t="inlineStr">
        <is>
          <t>14</t>
        </is>
      </c>
      <c r="D16" s="14" t="inlineStr">
        <is>
          <t>141</t>
        </is>
      </c>
      <c r="E16" s="14" t="inlineStr">
        <is>
          <t>1411</t>
        </is>
      </c>
      <c r="F16" s="15" t="n">
        <v>0</v>
      </c>
      <c r="G16" s="15" t="n">
        <v>4200000</v>
      </c>
      <c r="H16" s="14" t="inlineStr"/>
      <c r="I16" s="14" t="inlineStr"/>
      <c r="J16" s="14" t="inlineStr">
        <is>
          <t>CI</t>
        </is>
      </c>
    </row>
    <row r="17">
      <c r="A17" s="12" t="inlineStr">
        <is>
          <t>165</t>
        </is>
      </c>
      <c r="B17" s="12" t="inlineStr">
        <is>
          <t>Fonds affectés à un projet spécifique</t>
        </is>
      </c>
      <c r="C17" s="12" t="inlineStr">
        <is>
          <t>16</t>
        </is>
      </c>
      <c r="D17" s="12" t="inlineStr">
        <is>
          <t>165</t>
        </is>
      </c>
      <c r="E17" s="12" t="inlineStr">
        <is>
          <t>165</t>
        </is>
      </c>
      <c r="F17" s="13" t="n">
        <v>0</v>
      </c>
      <c r="G17" s="13" t="n">
        <v>1800000</v>
      </c>
      <c r="H17" s="12" t="inlineStr"/>
      <c r="I17" s="12" t="inlineStr"/>
      <c r="J17" s="12" t="inlineStr">
        <is>
          <t>CW</t>
        </is>
      </c>
    </row>
    <row r="18">
      <c r="A18" s="14" t="inlineStr">
        <is>
          <t>182</t>
        </is>
      </c>
      <c r="B18" s="14" t="inlineStr">
        <is>
          <t>Emprunts auprès des établissements de crédit</t>
        </is>
      </c>
      <c r="C18" s="14" t="inlineStr">
        <is>
          <t>18</t>
        </is>
      </c>
      <c r="D18" s="14" t="inlineStr">
        <is>
          <t>182</t>
        </is>
      </c>
      <c r="E18" s="14" t="inlineStr">
        <is>
          <t>182</t>
        </is>
      </c>
      <c r="F18" s="15" t="n">
        <v>0</v>
      </c>
      <c r="G18" s="15" t="n">
        <v>2000000</v>
      </c>
      <c r="H18" s="14" t="inlineStr"/>
      <c r="I18" s="14" t="inlineStr"/>
      <c r="J18" s="14" t="inlineStr">
        <is>
          <t>DA</t>
        </is>
      </c>
    </row>
    <row r="19">
      <c r="A19" s="12" t="inlineStr">
        <is>
          <t>191</t>
        </is>
      </c>
      <c r="B19" s="12" t="inlineStr">
        <is>
          <t>Provisions pour litiges</t>
        </is>
      </c>
      <c r="C19" s="12" t="inlineStr">
        <is>
          <t>19</t>
        </is>
      </c>
      <c r="D19" s="12" t="inlineStr">
        <is>
          <t>191</t>
        </is>
      </c>
      <c r="E19" s="12" t="inlineStr">
        <is>
          <t>191</t>
        </is>
      </c>
      <c r="F19" s="13" t="n">
        <v>0</v>
      </c>
      <c r="G19" s="13" t="n">
        <v>350000</v>
      </c>
      <c r="H19" s="12" t="inlineStr"/>
      <c r="I19" s="12" t="inlineStr"/>
      <c r="J19" s="12" t="inlineStr">
        <is>
          <t>DC</t>
        </is>
      </c>
    </row>
    <row r="20">
      <c r="A20" s="14" t="inlineStr">
        <is>
          <t>4011</t>
        </is>
      </c>
      <c r="B20" s="14" t="inlineStr">
        <is>
          <t>Fournisseurs</t>
        </is>
      </c>
      <c r="C20" s="14" t="inlineStr">
        <is>
          <t>40</t>
        </is>
      </c>
      <c r="D20" s="14" t="inlineStr">
        <is>
          <t>401</t>
        </is>
      </c>
      <c r="E20" s="14" t="inlineStr">
        <is>
          <t>4011</t>
        </is>
      </c>
      <c r="F20" s="15" t="n">
        <v>0</v>
      </c>
      <c r="G20" s="15" t="n">
        <v>700000</v>
      </c>
      <c r="H20" s="14" t="inlineStr"/>
      <c r="I20" s="14" t="inlineStr"/>
      <c r="J20" s="14" t="inlineStr">
        <is>
          <t>DH</t>
        </is>
      </c>
    </row>
    <row r="21">
      <c r="A21" s="12" t="inlineStr">
        <is>
          <t>422</t>
        </is>
      </c>
      <c r="B21" s="12" t="inlineStr">
        <is>
          <t>Personnel, rémunérations dues</t>
        </is>
      </c>
      <c r="C21" s="12" t="inlineStr">
        <is>
          <t>42</t>
        </is>
      </c>
      <c r="D21" s="12" t="inlineStr">
        <is>
          <t>422</t>
        </is>
      </c>
      <c r="E21" s="12" t="inlineStr">
        <is>
          <t>422</t>
        </is>
      </c>
      <c r="F21" s="13" t="n">
        <v>0</v>
      </c>
      <c r="G21" s="13" t="n">
        <v>400000</v>
      </c>
      <c r="H21" s="12" t="inlineStr"/>
      <c r="I21" s="12" t="inlineStr"/>
      <c r="J21" s="12" t="inlineStr">
        <is>
          <t>BE, DI</t>
        </is>
      </c>
    </row>
    <row r="22">
      <c r="A22" s="14" t="inlineStr">
        <is>
          <t>431</t>
        </is>
      </c>
      <c r="B22" s="14" t="inlineStr">
        <is>
          <t>Sécurité sociale</t>
        </is>
      </c>
      <c r="C22" s="14" t="inlineStr">
        <is>
          <t>43</t>
        </is>
      </c>
      <c r="D22" s="14" t="inlineStr">
        <is>
          <t>431</t>
        </is>
      </c>
      <c r="E22" s="14" t="inlineStr">
        <is>
          <t>431</t>
        </is>
      </c>
      <c r="F22" s="15" t="n">
        <v>0</v>
      </c>
      <c r="G22" s="15" t="n">
        <v>250000</v>
      </c>
      <c r="H22" s="14" t="inlineStr"/>
      <c r="I22" s="14" t="inlineStr"/>
      <c r="J22" s="14" t="inlineStr">
        <is>
          <t>BE, DI</t>
        </is>
      </c>
    </row>
    <row r="23">
      <c r="A23" s="12" t="inlineStr">
        <is>
          <t>442</t>
        </is>
      </c>
      <c r="B23" s="12" t="inlineStr">
        <is>
          <t>État, autres impôts et taxes</t>
        </is>
      </c>
      <c r="C23" s="12" t="inlineStr">
        <is>
          <t>44</t>
        </is>
      </c>
      <c r="D23" s="12" t="inlineStr">
        <is>
          <t>442</t>
        </is>
      </c>
      <c r="E23" s="12" t="inlineStr">
        <is>
          <t>442</t>
        </is>
      </c>
      <c r="F23" s="13" t="n">
        <v>0</v>
      </c>
      <c r="G23" s="13" t="n">
        <v>200000</v>
      </c>
      <c r="H23" s="12" t="inlineStr"/>
      <c r="I23" s="12" t="inlineStr"/>
      <c r="J23" s="12" t="inlineStr">
        <is>
          <t>BE, DI</t>
        </is>
      </c>
    </row>
    <row r="24">
      <c r="A24" s="14" t="inlineStr">
        <is>
          <t>462</t>
        </is>
      </c>
      <c r="B24" s="14" t="inlineStr">
        <is>
          <t>Bailleurs - fonds d'administration</t>
        </is>
      </c>
      <c r="C24" s="14" t="inlineStr">
        <is>
          <t>46</t>
        </is>
      </c>
      <c r="D24" s="14" t="inlineStr">
        <is>
          <t>462</t>
        </is>
      </c>
      <c r="E24" s="14" t="inlineStr">
        <is>
          <t>462</t>
        </is>
      </c>
      <c r="F24" s="15" t="n">
        <v>0</v>
      </c>
      <c r="G24" s="15" t="n">
        <v>300000</v>
      </c>
      <c r="H24" s="14" t="inlineStr"/>
      <c r="I24" s="14" t="inlineStr"/>
      <c r="J24" s="14" t="inlineStr">
        <is>
          <t>BE, DI</t>
        </is>
      </c>
    </row>
    <row r="25">
      <c r="A25" s="12" t="inlineStr">
        <is>
          <t>131</t>
        </is>
      </c>
      <c r="B25" s="12" t="inlineStr">
        <is>
          <t>Excédent de l'exercice</t>
        </is>
      </c>
      <c r="C25" s="12" t="inlineStr">
        <is>
          <t>13</t>
        </is>
      </c>
      <c r="D25" s="12" t="inlineStr">
        <is>
          <t>131</t>
        </is>
      </c>
      <c r="E25" s="12" t="inlineStr">
        <is>
          <t>131</t>
        </is>
      </c>
      <c r="F25" s="13" t="n">
        <v>0</v>
      </c>
      <c r="G25" s="13" t="n">
        <v>400000</v>
      </c>
      <c r="H25" s="12" t="inlineStr"/>
      <c r="I25" s="12" t="inlineStr"/>
      <c r="J25" s="12" t="inlineStr">
        <is>
          <t>CH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10" customWidth="1" min="3" max="3"/>
  </cols>
  <sheetData>
    <row r="1">
      <c r="A1" s="9" t="inlineStr">
        <is>
          <t>Contrôle</t>
        </is>
      </c>
      <c r="B1" s="9" t="inlineStr">
        <is>
          <t>Valeur</t>
        </is>
      </c>
      <c r="C1" s="9" t="inlineStr">
        <is>
          <t>Attendu</t>
        </is>
      </c>
    </row>
    <row r="2">
      <c r="A2" s="14" t="inlineStr">
        <is>
          <t>Total solde débit balance</t>
        </is>
      </c>
      <c r="B2" s="15">
        <f>SUM(BALANCE!F2:F48)</f>
        <v/>
      </c>
      <c r="C2" s="14" t="inlineStr"/>
    </row>
    <row r="3">
      <c r="A3" s="12" t="inlineStr">
        <is>
          <t>Total solde crédit balance</t>
        </is>
      </c>
      <c r="B3" s="13">
        <f>SUM(BALANCE!G2:G48)</f>
        <v/>
      </c>
      <c r="C3" s="12" t="inlineStr"/>
    </row>
    <row r="4">
      <c r="A4" s="14" t="inlineStr">
        <is>
          <t>Écart balance (doit être 0)</t>
        </is>
      </c>
      <c r="B4" s="15">
        <f>B2-B3</f>
        <v/>
      </c>
      <c r="C4" s="14" t="n">
        <v>0</v>
      </c>
    </row>
    <row r="5">
      <c r="A5" s="12" t="inlineStr">
        <is>
          <t>Total général actif net (BZ)</t>
        </is>
      </c>
      <c r="B5" s="13">
        <f>ACTIF!F37</f>
        <v/>
      </c>
      <c r="C5" s="12" t="inlineStr"/>
    </row>
    <row r="6">
      <c r="A6" s="14" t="inlineStr">
        <is>
          <t>Total général passif (DZ)</t>
        </is>
      </c>
      <c r="B6" s="15">
        <f>PASSIF!D36</f>
        <v/>
      </c>
      <c r="C6" s="14" t="inlineStr"/>
    </row>
    <row r="7">
      <c r="A7" s="12" t="inlineStr">
        <is>
          <t>Écart bilan actif - passif (doit être 0)</t>
        </is>
      </c>
      <c r="B7" s="13">
        <f>B5-B6</f>
        <v/>
      </c>
      <c r="C7" s="12" t="n">
        <v>0</v>
      </c>
    </row>
    <row r="8">
      <c r="A8" s="14" t="inlineStr">
        <is>
          <t>Résultat net (compte de résultat, XE)</t>
        </is>
      </c>
      <c r="B8" s="15">
        <f>'Compte de Resultat'!D34</f>
        <v/>
      </c>
      <c r="C8" s="14" t="inlineStr"/>
    </row>
    <row r="9">
      <c r="A9" s="12" t="inlineStr">
        <is>
          <t>Résultat net (bilan, CH = résultat CR + solde compte 13)</t>
        </is>
      </c>
      <c r="B9" s="13">
        <f>PASSIF!D15</f>
        <v/>
      </c>
      <c r="C9" s="12" t="inlineStr"/>
    </row>
    <row r="10">
      <c r="A10" s="14" t="inlineStr">
        <is>
          <t>Écart résultat CR / bilan (doit être 0 si balance avant affectation)</t>
        </is>
      </c>
      <c r="B10" s="15">
        <f>B8-B9</f>
        <v/>
      </c>
      <c r="C10" s="14" t="n">
        <v>0</v>
      </c>
    </row>
    <row r="11">
      <c r="A11" s="12" t="inlineStr">
        <is>
          <t>Trésorerie nette au 31/12 (TFT, ZG)</t>
        </is>
      </c>
      <c r="B11" s="13">
        <f>TFT!C35</f>
        <v/>
      </c>
      <c r="C11" s="12" t="inlineStr"/>
    </row>
    <row r="12">
      <c r="A12" s="14" t="inlineStr">
        <is>
          <t>Trésorerie nette au 31/12 (bilan, BX - DX)</t>
        </is>
      </c>
      <c r="B12" s="15">
        <f>ACTIF!F35-PASSIF!D34</f>
        <v/>
      </c>
      <c r="C12" s="14" t="inlineStr"/>
    </row>
    <row r="13">
      <c r="A13" s="12" t="inlineStr">
        <is>
          <t>Écart trésorerie TFT / bilan (doit être 0)</t>
        </is>
      </c>
      <c r="B13" s="13">
        <f>B11-B12</f>
        <v/>
      </c>
      <c r="C13" s="12" t="n">
        <v>0</v>
      </c>
    </row>
    <row r="14">
      <c r="A14" s="14" t="inlineStr">
        <is>
          <t>- Recoupements notes annexes / états -</t>
        </is>
      </c>
      <c r="B14" s="15" t="inlineStr"/>
      <c r="C14" s="14" t="inlineStr"/>
    </row>
    <row r="15">
      <c r="A15" s="12" t="inlineStr">
        <is>
          <t>NOTE 6 total vs poste AO</t>
        </is>
      </c>
      <c r="B15" s="13">
        <f>'NOTE 6'!B19-ACTIF!F22</f>
        <v/>
      </c>
      <c r="C15" s="12" t="n">
        <v>0</v>
      </c>
    </row>
    <row r="16">
      <c r="A16" s="14" t="inlineStr">
        <is>
          <t>NOTE 8 total vs poste BB</t>
        </is>
      </c>
      <c r="B16" s="15">
        <f>'NOTE 8'!B18-ACTIF!F27</f>
        <v/>
      </c>
      <c r="C16" s="14" t="n">
        <v>0</v>
      </c>
    </row>
    <row r="17">
      <c r="A17" s="12" t="inlineStr">
        <is>
          <t>NOTE 9 total vs poste BD</t>
        </is>
      </c>
      <c r="B17" s="13">
        <f>'NOTE 9'!B16-ACTIF!F29</f>
        <v/>
      </c>
      <c r="C17" s="12" t="n">
        <v>0</v>
      </c>
    </row>
    <row r="18">
      <c r="A18" s="14" t="inlineStr">
        <is>
          <t>NOTE 10 total vs poste BE</t>
        </is>
      </c>
      <c r="B18" s="15">
        <f>'NOTE 10'!B18-ACTIF!F30</f>
        <v/>
      </c>
      <c r="C18" s="14" t="n">
        <v>0</v>
      </c>
    </row>
    <row r="19">
      <c r="A19" s="12" t="inlineStr">
        <is>
          <t>NOTE 11 total vs poste BU</t>
        </is>
      </c>
      <c r="B19" s="13">
        <f>'NOTE 11'!B18-ACTIF!F32</f>
        <v/>
      </c>
      <c r="C19" s="12" t="n">
        <v>0</v>
      </c>
    </row>
    <row r="20">
      <c r="A20" s="14" t="inlineStr">
        <is>
          <t>NOTE 12 total vs poste BV</t>
        </is>
      </c>
      <c r="B20" s="15">
        <f>'NOTE 12'!B15-ACTIF!F33</f>
        <v/>
      </c>
      <c r="C20" s="14" t="n">
        <v>0</v>
      </c>
    </row>
    <row r="21">
      <c r="A21" s="12" t="inlineStr">
        <is>
          <t>NOTE 13 total vs poste BW</t>
        </is>
      </c>
      <c r="B21" s="13">
        <f>'NOTE 13'!B21-ACTIF!F34</f>
        <v/>
      </c>
      <c r="C21" s="12" t="n">
        <v>0</v>
      </c>
    </row>
    <row r="22">
      <c r="A22" s="14" t="inlineStr">
        <is>
          <t>NOTE 18A total vs poste DD</t>
        </is>
      </c>
      <c r="B22" s="15">
        <f>'NOTE 18A'!B27-PASSIF!D26</f>
        <v/>
      </c>
      <c r="C22" s="14" t="n">
        <v>0</v>
      </c>
    </row>
    <row r="23">
      <c r="A23" s="12" t="inlineStr">
        <is>
          <t>NOTE 19 total vs poste DH</t>
        </is>
      </c>
      <c r="B23" s="13">
        <f>'NOTE 19'!B13-PASSIF!D30</f>
        <v/>
      </c>
      <c r="C23" s="12" t="n">
        <v>0</v>
      </c>
    </row>
    <row r="24">
      <c r="A24" s="14" t="inlineStr">
        <is>
          <t>NOTE 22 total vs poste DX</t>
        </is>
      </c>
      <c r="B24" s="15">
        <f>'NOTE 22'!B13-PASSIF!D34</f>
        <v/>
      </c>
      <c r="C24" s="14" t="n">
        <v>0</v>
      </c>
    </row>
    <row r="25">
      <c r="A25" s="12" t="inlineStr">
        <is>
          <t>NOTE 25 total vs poste TF</t>
        </is>
      </c>
      <c r="B25" s="13">
        <f>'NOTE 25'!B13+'Compte de Resultat'!D22</f>
        <v/>
      </c>
      <c r="C25" s="12" t="n">
        <v>0</v>
      </c>
    </row>
    <row r="26">
      <c r="A26" s="14" t="inlineStr">
        <is>
          <t>NOTE 26 total vs poste TG</t>
        </is>
      </c>
      <c r="B26" s="15">
        <f>'NOTE 26'!B24+'Compte de Resultat'!D23</f>
        <v/>
      </c>
      <c r="C26" s="14" t="n">
        <v>0</v>
      </c>
    </row>
    <row r="27">
      <c r="A27" s="12" t="inlineStr">
        <is>
          <t>NOTE 27 total vs poste TH</t>
        </is>
      </c>
      <c r="B27" s="13">
        <f>'NOTE 27'!B14+'Compte de Resultat'!D24</f>
        <v/>
      </c>
      <c r="C27" s="12" t="n">
        <v>0</v>
      </c>
    </row>
    <row r="28">
      <c r="A28" s="14" t="inlineStr">
        <is>
          <t>NOTE 28 total vs poste TI</t>
        </is>
      </c>
      <c r="B28" s="15">
        <f>'NOTE 28'!B14+'Compte de Resultat'!D25</f>
        <v/>
      </c>
      <c r="C28" s="14" t="n">
        <v>0</v>
      </c>
    </row>
    <row r="29">
      <c r="A29" s="12" t="inlineStr">
        <is>
          <t>NOTE 29A total vs poste TJ</t>
        </is>
      </c>
      <c r="B29" s="13">
        <f>'NOTE 29A'!B16+'Compte de Resultat'!D26</f>
        <v/>
      </c>
      <c r="C29" s="12" t="n">
        <v>0</v>
      </c>
    </row>
    <row r="30">
      <c r="A30" s="14" t="inlineStr">
        <is>
          <t>NOTE 31 total vs poste TK</t>
        </is>
      </c>
      <c r="B30" s="15">
        <f>'NOTE 31'!B16+'Compte de Resultat'!D27</f>
        <v/>
      </c>
      <c r="C30" s="14" t="n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62" customWidth="1" min="4" max="4"/>
    <col width="62" customWidth="1" min="5" max="5"/>
  </cols>
  <sheetData>
    <row r="1">
      <c r="A1" s="9" t="inlineStr">
        <is>
          <t>Gravité</t>
        </is>
      </c>
      <c r="B1" s="9" t="inlineStr">
        <is>
          <t>Compte</t>
        </is>
      </c>
      <c r="C1" s="9" t="inlineStr">
        <is>
          <t>Intitulé</t>
        </is>
      </c>
      <c r="D1" s="9" t="inlineStr">
        <is>
          <t>Problème</t>
        </is>
      </c>
      <c r="E1" s="9" t="inlineStr">
        <is>
          <t>Solution proposée</t>
        </is>
      </c>
    </row>
    <row r="2">
      <c r="A2" s="14" t="n"/>
      <c r="B2" s="14" t="n"/>
      <c r="C2" s="14" t="n"/>
      <c r="D2" s="14" t="n"/>
      <c r="E2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2026-09-01T00:31:58Z</dcterms:created>
  <dcterms:modified xsi:type="dcterms:W3CDTF">2026-09-01T00:31:58Z</dcterms:modified>
</cp:coreProperties>
</file>