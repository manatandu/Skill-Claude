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NOTE 5 DOTATIONS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6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2"/>
    </font>
    <font>
      <name val="Arial"/>
      <b val="1"/>
      <color rgb="00008000"/>
      <sz val="11"/>
    </font>
    <font>
      <name val="Arial"/>
      <b val="1"/>
      <sz val="8"/>
    </font>
    <font>
      <name val="Arial Black"/>
      <b val="1"/>
      <sz val="10"/>
    </font>
    <font>
      <name val="Arial Black"/>
      <b val="1"/>
      <color rgb="00D9D9D9"/>
      <sz val="26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10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7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8" applyAlignment="1" pivotButton="0" quotePrefix="0" xfId="0">
      <alignment horizontal="center" vertical="center" wrapText="1"/>
    </xf>
    <xf numFmtId="0" fontId="5" fillId="2" borderId="29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5" fillId="0" borderId="0" pivotButton="0" quotePrefix="0" xfId="0"/>
    <xf numFmtId="164" fontId="25" fillId="0" borderId="0" pivotButton="0" quotePrefix="0" xfId="0"/>
    <xf numFmtId="0" fontId="5" fillId="0" borderId="8" pivotButton="0" quotePrefix="0" xfId="0"/>
    <xf numFmtId="164" fontId="5" fillId="0" borderId="8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1500000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200000</v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1500000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500000</v>
      </c>
    </row>
    <row r="6">
      <c r="A6" s="4" t="inlineStr">
        <is>
          <t>331</t>
        </is>
      </c>
      <c r="B6" s="4" t="inlineStr">
        <is>
          <t>Matières consommables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200000</v>
      </c>
      <c r="H6" s="5" t="n">
        <v>0</v>
      </c>
    </row>
    <row r="7">
      <c r="A7" s="4" t="inlineStr">
        <is>
          <t>4011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521</t>
        </is>
      </c>
      <c r="B8" s="4" t="inlineStr">
        <is>
          <t>Banques locales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1200000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400000</v>
      </c>
      <c r="H9" s="5" t="n">
        <v>0</v>
      </c>
    </row>
    <row r="10">
      <c r="A10" s="4" t="inlineStr">
        <is>
          <t>601</t>
        </is>
      </c>
      <c r="B10" s="4" t="inlineStr">
        <is>
          <t>Achats de biens et services liés à l'activité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600000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100000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1300000</v>
      </c>
      <c r="H14" s="5" t="n">
        <v>0</v>
      </c>
    </row>
    <row r="15">
      <c r="A15" s="4" t="inlineStr">
        <is>
          <t>681</t>
        </is>
      </c>
      <c r="B15" s="4" t="inlineStr">
        <is>
          <t>Dotations aux amortissements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250000</v>
      </c>
      <c r="H15" s="5" t="n">
        <v>0</v>
      </c>
    </row>
    <row r="16">
      <c r="A16" s="4" t="inlineStr">
        <is>
          <t>701</t>
        </is>
      </c>
      <c r="B16" s="4" t="inlineStr">
        <is>
          <t>Cotisations des adhérents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2500000</v>
      </c>
    </row>
    <row r="17">
      <c r="A17" s="4" t="inlineStr">
        <is>
          <t>7041</t>
        </is>
      </c>
      <c r="B17" s="4" t="inlineStr">
        <is>
          <t>Dons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1600000</v>
      </c>
    </row>
    <row r="18">
      <c r="A18" s="4" t="inlineStr">
        <is>
          <t>711</t>
        </is>
      </c>
      <c r="B18" s="4" t="inlineStr">
        <is>
          <t>Subventions d'exploitation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1050000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CLUB SOLIDARITE QUARTIER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CLUB SOLIDARITE QUARTIER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ASBL-0093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5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2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CLUB SOLIDARITE QUARTIER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SYCEBNL - SMT
PAGE 1/1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GA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HA</t>
        </is>
      </c>
      <c r="G10" s="4" t="inlineStr">
        <is>
          <t>Dotations</t>
        </is>
      </c>
      <c r="H10" s="4" t="inlineStr">
        <is>
          <t>5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GB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HB</t>
        </is>
      </c>
      <c r="G11" s="4" t="inlineStr">
        <is>
          <t>Résultat net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GC</t>
        </is>
      </c>
      <c r="B12" s="4" t="inlineStr">
        <is>
          <t>Adhérents, clients-usagers et autres débiteurs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HC</t>
        </is>
      </c>
      <c r="G12" s="4" t="inlineStr">
        <is>
          <t>Autres fonds propres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GD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HD</t>
        </is>
      </c>
      <c r="G13" s="4" t="inlineStr">
        <is>
          <t>Fournisseurs et autres créditeurs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GE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HZ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GZ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SYCEBNL - SMT
PAGE 1/2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GA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GB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GC</t>
        </is>
      </c>
      <c r="B11" s="4" t="inlineStr">
        <is>
          <t>Adhérents, clients-usagers et autres débiteurs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N'!$A$2:$A$50,"591*",'BALANCE N'!$H$2:$H$50)+SUMIF('BALANCE N'!$A$2:$A$50,"590*",'BALANCE N'!$H$2:$H$50))+(SUMIF('BALANCE N'!$A$2:$A$50,"51*",'BALANCE N'!$G$2:$G$50)-SUMIF('BALANCE N'!$A$2:$A$50,"51*",'BALANCE N'!$H$2:$H$50)+SUMIF('BALANCE N'!$A$2:$A$50,"50*",'BALANCE N'!$G$2:$G$50)-SUMIF('BALANCE N'!$A$2:$A$50,"50*",'BALANCE N'!$H$2:$H$50))</f>
        <v/>
      </c>
      <c r="E11" s="77" t="n"/>
    </row>
    <row r="12" ht="22" customHeight="1">
      <c r="A12" s="76" t="inlineStr">
        <is>
          <t>GD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GE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N'!$A$2:$A$50,"58*",'BALANCE N'!$G$2:$G$50)-SUMIF('BALANCE N'!$A$2:$A$50,"58*",'BALANCE N'!$H$2:$H$50)+SUMIF('BALANCE N'!$A$2:$A$50,"56*",'BALANCE N'!$G$2:$G$50)-SUMIF('BALANCE N'!$A$2:$A$50,"56*",'BALANCE N'!$H$2:$H$50)+SUMIF('BALANCE N'!$A$2:$A$50,"52*",'BALANCE N'!$G$2:$G$50)-SUMIF('BALANCE N'!$A$2:$A$50,"52*",'BALANCE N'!$H$2:$H$50)+SUMIF('BALANCE N'!$A$2:$A$50,"53*",'BALANCE N'!$G$2:$G$50)-SUMIF('BALANCE N'!$A$2:$A$50,"53*",'BALANCE N'!$H$2:$H$50)+SUMIF('BALANCE N'!$A$2:$A$50,"55*",'BALANCE N'!$G$2:$G$50)-SUMIF('BALANCE N'!$A$2:$A$50,"55*",'BALANCE N'!$H$2:$H$50)-(SUMIF('BALANCE N'!$A$2:$A$50,"592*",'BALANCE N'!$H$2:$H$50)+SUMIF('BALANCE N'!$A$2:$A$50,"595*",'BALANCE N'!$H$2:$H$50)+SUMIF('BALANCE N'!$A$2:$A$50,"593*",'BALANCE N'!$H$2:$H$50))</f>
        <v/>
      </c>
      <c r="E13" s="77" t="n"/>
    </row>
    <row r="14" ht="22" customHeight="1">
      <c r="A14" s="78" t="inlineStr">
        <is>
          <t>GZ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sur l'état de situation si montants significatifs (Partie 4, ch. 4).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SYCEBNL - SMT
PAGE 2/2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HA</t>
        </is>
      </c>
      <c r="B9" s="4" t="inlineStr">
        <is>
          <t>Dotations</t>
        </is>
      </c>
      <c r="C9" s="4" t="inlineStr">
        <is>
          <t>5</t>
        </is>
      </c>
      <c r="D9" s="5">
        <f>SUMIF('BALANCE N'!$A$2:$A$50,"10*",'BALANCE N'!$H$2:$H$50)-SUMIF('BALANCE N'!$A$2:$A$50,"10*",'BALANCE N'!$G$2:$G$50)</f>
        <v/>
      </c>
      <c r="E9" s="77" t="n"/>
    </row>
    <row r="10" ht="22" customHeight="1">
      <c r="A10" s="76" t="inlineStr">
        <is>
          <t>HB</t>
        </is>
      </c>
      <c r="B10" s="4" t="inlineStr">
        <is>
          <t>Résultat net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HC</t>
        </is>
      </c>
      <c r="B11" s="4" t="inlineStr">
        <is>
          <t>Autres fonds propres</t>
        </is>
      </c>
      <c r="C11" s="4" t="inlineStr"/>
      <c r="D11" s="5">
        <f>SUMIF('BALANCE N'!$A$2:$A$50,"17*",'BALANCE N'!$H$2:$H$50)-SUMIF('BALANCE N'!$A$2:$A$50,"17*",'BALANCE N'!$G$2:$G$50)+SUMIF('BALANCE N'!$A$2:$A$50,"14*",'BALANCE N'!$H$2:$H$50)-SUMIF('BALANCE N'!$A$2:$A$50,"14*",'BALANCE N'!$G$2:$G$50)+SUMIF('BALANCE N'!$A$2:$A$50,"18*",'BALANCE N'!$H$2:$H$50)-SUMIF('BALANCE N'!$A$2:$A$50,"18*",'BALANCE N'!$G$2:$G$50)+SUMIF('BALANCE N'!$A$2:$A$50,"12*",'BALANCE N'!$H$2:$H$50)-SUMIF('BALANCE N'!$A$2:$A$50,"12*",'BALANCE N'!$G$2:$G$50)+SUMIF('BALANCE N'!$A$2:$A$50,"16*",'BALANCE N'!$H$2:$H$50)-SUMIF('BALANCE N'!$A$2:$A$50,"16*",'BALANCE N'!$G$2:$G$50)+SUMIF('BALANCE N'!$A$2:$A$50,"15*",'BALANCE N'!$H$2:$H$50)-SUMIF('BALANCE N'!$A$2:$A$50,"15*",'BALANCE N'!$G$2:$G$50)+SUMIF('BALANCE N'!$A$2:$A$50,"11*",'BALANCE N'!$H$2:$H$50)-SUMIF('BALANCE N'!$A$2:$A$50,"11*",'BALANCE N'!$G$2:$G$50)+SUMIF('BALANCE N'!$A$2:$A$50,"19*",'BALANCE N'!$H$2:$H$50)-SUMIF('BALANCE N'!$A$2:$A$50,"19*",'BALANCE N'!$G$2:$G$50)</f>
        <v/>
      </c>
      <c r="E11" s="77" t="n"/>
    </row>
    <row r="12" ht="22" customHeight="1">
      <c r="A12" s="76" t="inlineStr">
        <is>
          <t>HD</t>
        </is>
      </c>
      <c r="B12" s="4" t="inlineStr">
        <is>
          <t>Fournisseurs et autres créditeurs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HZ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Revenus encaissés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N'!$A$2:$A$50,"77*",'BALANCE N'!$H$2:$H$50)-SUMIF('BALANCE N'!$A$2:$A$50,"77*",'BALANCE N'!$G$2:$G$50)+SUMIF('BALANCE N'!$A$2:$A$50,"79*",'BALANCE N'!$H$2:$H$50)-SUMIF('BALANCE N'!$A$2:$A$50,"79*",'BALANCE N'!$G$2:$G$50)+SUMIF('BALANCE N'!$A$2:$A$50,"72*",'BALANCE N'!$H$2:$H$50)-SUMIF('BALANCE N'!$A$2:$A$50,"72*",'BALANCE N'!$G$2:$G$50)+SUMIF('BALANCE N'!$A$2:$A$50,"84*",'BALANCE N'!$H$2:$H$50)-SUMIF('BALANCE N'!$A$2:$A$50,"84*",'BALANCE N'!$G$2:$G$50)+SUMIF('BALANCE N'!$A$2:$A$50,"75*",'BALANCE N'!$H$2:$H$50)-SUMIF('BALANCE N'!$A$2:$A$50,"75*",'BALANCE N'!$G$2:$G$50)+SUMIF('BALANCE N'!$A$2:$A$50,"78*",'BALANCE N'!$H$2:$H$50)-SUMIF('BALANCE N'!$A$2:$A$50,"78*",'BALANCE N'!$G$2:$G$50)+SUMIF('BALANCE N'!$A$2:$A$50,"82*",'BALANCE N'!$H$2:$H$50)-SUMIF('BALANCE N'!$A$2:$A$50,"82*",'BALANCE N'!$G$2:$G$50)+SUMIF('BALANCE N'!$A$2:$A$50,"86*",'BALANCE N'!$H$2:$H$50)-SUMIF('BALANCE N'!$A$2:$A$50,"86*",'BALANCE N'!$G$2:$G$50)+SUMIF('BALANCE N'!$A$2:$A$50,"71*",'BALANCE N'!$H$2:$H$50)-SUMIF('BALANCE N'!$A$2:$A$50,"71*",'BALANCE N'!$G$2:$G$50)+SUMIF('BALANCE N'!$A$2:$A$50,"88*",'BALANCE N'!$H$2:$H$50)-SUMIF('BALANCE N'!$A$2:$A$50,"88*",'BALANCE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REVENUS ENCAISSÉS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>
        <is>
          <t>4</t>
        </is>
      </c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N'!$A$2:$A$50,"63*",'BALANCE N'!$G$2:$G$50)+SUMIF('BALANCE N'!$A$2:$A$50,"63*",'BALANCE N'!$H$2:$H$50)-SUMIF('BALANCE N'!$A$2:$A$50,"87*",'BALANCE N'!$G$2:$G$50)+SUMIF('BALANCE N'!$A$2:$A$50,"87*",'BALANCE N'!$H$2:$H$50)-SUMIF('BALANCE N'!$A$2:$A$50,"65*",'BALANCE N'!$G$2:$G$50)+SUMIF('BALANCE N'!$A$2:$A$50,"65*",'BALANCE N'!$H$2:$H$50)-SUMIF('BALANCE N'!$A$2:$A$50,"83*",'BALANCE N'!$G$2:$G$50)+SUMIF('BALANCE N'!$A$2:$A$50,"83*",'BALANCE N'!$H$2:$H$50)-SUMIF('BALANCE N'!$A$2:$A$50,"81*",'BALANCE N'!$G$2:$G$50)+SUMIF('BALANCE N'!$A$2:$A$50,"81*",'BALANCE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+ Variations des stocks sur les achats [N - (N-1)]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+ Variation des créances [N - (N-1)]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- Variation des dettes d'exploitation [N - (N-1)]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</t>
        </is>
      </c>
      <c r="C23" s="4" t="inlineStr"/>
      <c r="D23" s="5">
        <f>SUMIF('BALANCE N'!$A$2:$A$50,"85*",'BALANCE N'!$G$2:$G$50)-SUMIF('BALANCE N'!$A$2:$A$50,"85*",'BALANCE N'!$H$2:$H$50)+SUMIF('BALANCE N'!$A$2:$A$50,"69*",'BALANCE N'!$G$2:$G$50)-SUMIF('BALANCE N'!$A$2:$A$50,"69*",'BALANCE N'!$H$2:$H$50)+SUMIF('BALANCE N'!$A$2:$A$50,"68*",'BALANCE N'!$G$2:$G$50)-SUMIF('BALANCE N'!$A$2:$A$50,"68*",'BALANCE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NET DE L'EXERCICE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d'acquisition et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92" t="inlineStr">
        <is>
          <t>Note 5</t>
        </is>
      </c>
      <c r="B13" s="93" t="inlineStr">
        <is>
          <t>Dotations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90" t="inlineStr">
        <is>
          <t>Partie 2 : Notes sur le compte de résultat</t>
        </is>
      </c>
      <c r="B14" s="91" t="n"/>
      <c r="C14" s="91" t="n"/>
      <c r="D14" s="91" t="n"/>
      <c r="E14" s="91" t="n"/>
      <c r="F14" s="91" t="n"/>
      <c r="G14" s="91" t="n"/>
      <c r="H14" s="91" t="n"/>
      <c r="I14" s="91" t="n"/>
      <c r="J14" s="91" t="n"/>
    </row>
    <row r="15">
      <c r="A15" s="92" t="inlineStr">
        <is>
          <t>Note 4</t>
        </is>
      </c>
      <c r="B15" s="93" t="inlineStr">
        <is>
          <t>Journal unique de trésorerie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/>
    <row r="17" ht="30" customHeight="1">
      <c r="A17" s="94" t="inlineStr">
        <is>
          <t>(1) Les notes non documentées ne doivent pas être jointes aux états financiers ; dans une note, les lignes non chiffrées doivent être supprimées.</t>
        </is>
      </c>
    </row>
    <row r="18">
      <c r="A18" s="94" t="inlineStr">
        <is>
          <t>(2) A : applicable ; N/A : non applicable. Cocher la colonne correspondante pour chaque note.</t>
        </is>
      </c>
    </row>
    <row r="19"/>
    <row r="20" ht="26" customHeight="1">
      <c r="A20" s="95" t="inlineStr">
        <is>
          <t>NOTE À COMPLÉTER</t>
        </is>
      </c>
    </row>
    <row r="21" ht="26" customHeight="1"/>
    <row r="22" ht="26" customHeight="1"/>
  </sheetData>
  <mergeCells count="14">
    <mergeCell ref="B8:H8"/>
    <mergeCell ref="A14:J14"/>
    <mergeCell ref="B13:H13"/>
    <mergeCell ref="A17:J17"/>
    <mergeCell ref="A9:J9"/>
    <mergeCell ref="I2:J2"/>
    <mergeCell ref="A18:J18"/>
    <mergeCell ref="B12:H12"/>
    <mergeCell ref="B4:G4"/>
    <mergeCell ref="A7:J7"/>
    <mergeCell ref="B15:H15"/>
    <mergeCell ref="B10:H10"/>
    <mergeCell ref="B11:H11"/>
    <mergeCell ref="A20:J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SYCEBNL - SMT</t>
        </is>
      </c>
      <c r="G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ASBL-0093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D'ACQUISITION ET DE SUIVI DU MATERIEL, DU MOBILIER ET AUTRES IMMOBILISATIONS</t>
        </is>
      </c>
    </row>
    <row r="8">
      <c r="A8" s="1" t="inlineStr">
        <is>
          <t>Date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n"/>
      <c r="B9" s="96" t="inlineStr">
        <is>
          <t>2441 - Matériel et mobilier de bureau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N'!$A$2:$A$50,"29*",'BALANCE N'!$H$2:$H$50)-SUMIF('BALANCE N'!$A$2:$A$50,"29*",'BALANCE N'!$G$2:$G$50)+SUMIF('BALANCE N'!$A$2:$A$50,"28*",'BALANCE N'!$H$2:$H$50)-SUMIF('BALANCE N'!$A$2:$A$50,"28*",'BALANCE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GA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 ht="26" customHeight="1">
      <c r="A14" s="95">
        <f>IF(SUM(C9:C12,G9:G12)=0,"NÉANT - NOTE NON RENSEIGNÉE","")</f>
        <v/>
      </c>
    </row>
    <row r="15" ht="26" customHeight="1"/>
    <row r="16" ht="26" customHeight="1"/>
  </sheetData>
  <mergeCells count="4">
    <mergeCell ref="A14:G16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331</t>
        </is>
      </c>
      <c r="B9" s="96" t="inlineStr">
        <is>
          <t>Matières consommables</t>
        </is>
      </c>
      <c r="C9" s="96" t="n"/>
      <c r="D9" s="96" t="n"/>
      <c r="E9" s="97">
        <f>SUMIF('BALANCE N'!$A$2:$A$50,"331*",'BALANCE N'!$G$2:$G$50)-SUMIF('BALANCE N'!$A$2:$A$50,"331*",'BALANCE N'!$H$2:$H$50)</f>
        <v/>
      </c>
    </row>
    <row r="10"/>
    <row r="11"/>
    <row r="12">
      <c r="A12" s="8" t="n"/>
      <c r="B12" s="8" t="inlineStr">
        <is>
          <t>VALEUR DU STOCK FINAL</t>
        </is>
      </c>
      <c r="C12" s="8" t="n"/>
      <c r="D12" s="8" t="n"/>
      <c r="E12" s="9">
        <f>SUMIF('BALANCE N'!$A$2:$A$50,"3*",'BALANCE N'!$G$2:$G$50)-SUMIF('BALANCE N'!$A$2:$A$50,"3*",'BALANCE N'!$H$2:$H$50)</f>
        <v/>
      </c>
    </row>
    <row r="13">
      <c r="A13" s="8" t="n"/>
      <c r="B13" s="8" t="inlineStr">
        <is>
          <t>VALEUR DU STOCK INITIAL</t>
        </is>
      </c>
      <c r="C13" s="8" t="n"/>
      <c r="D13" s="8" t="n"/>
      <c r="E13" s="9" t="n">
        <v>0</v>
      </c>
    </row>
    <row r="14"/>
    <row r="15" ht="26" customHeight="1">
      <c r="A15" s="95">
        <f>IF(SUM(E9:E13)=0,"NÉANT - NOTE NON RENSEIGNÉE","")</f>
        <v/>
      </c>
    </row>
    <row r="16" ht="26" customHeight="1"/>
    <row r="17" ht="26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SYCEBNL - SMT</t>
        </is>
      </c>
      <c r="F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nom des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9" t="inlineStr">
        <is>
          <t>Rappel balance (classe 4, soldes débiteurs) - contrôle</t>
        </is>
      </c>
      <c r="C17" s="100">
        <f>SUMIF('BALANCE N'!$A$2:$A$50,"4*",'BALANCE N'!$G$2:$G$50)</f>
        <v/>
      </c>
      <c r="D17" s="100">
        <f>0</f>
        <v/>
      </c>
    </row>
    <row r="18"/>
    <row r="19"/>
    <row r="20">
      <c r="A20" s="47" t="inlineStr">
        <is>
          <t>DETTES - nom des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9" t="inlineStr">
        <is>
          <t>Rappel balance (classe 4, soldes créditeurs) - contrôle</t>
        </is>
      </c>
      <c r="C29" s="100">
        <f>SUMIF('BALANCE N'!$A$2:$A$50,"4*",'BALANCE N'!$H$2:$H$50)</f>
        <v/>
      </c>
      <c r="D29" s="100">
        <f>0</f>
        <v/>
      </c>
    </row>
    <row r="30"/>
    <row r="31"/>
    <row r="32">
      <c r="A32" s="99" t="inlineStr">
        <is>
          <t>Reporter la variation des créances en VB et celle des dettes en VC du compte de résultat.</t>
        </is>
      </c>
    </row>
    <row r="33"/>
    <row r="34" ht="26" customHeight="1">
      <c r="A34" s="95">
        <f>IF(SUM(C10:C29,D10:D29,E10:E28)=0,"NÉANT - NOTE NON RENSEIGNÉE","")</f>
        <v/>
      </c>
    </row>
    <row r="35" ht="26" customHeight="1"/>
    <row r="36" ht="26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SYCEBNL - SMT</t>
        </is>
      </c>
      <c r="K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ASBL-0093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UNIQUE DE TRESORERIE</t>
        </is>
      </c>
    </row>
    <row r="8">
      <c r="A8" s="1" t="inlineStr">
        <is>
          <t>Dates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Cotisations</t>
        </is>
      </c>
      <c r="G8" s="2" t="inlineStr">
        <is>
          <t>Subventions</t>
        </is>
      </c>
      <c r="H8" s="2" t="inlineStr">
        <is>
          <t>Autres</t>
        </is>
      </c>
      <c r="I8" s="2" t="inlineStr">
        <is>
          <t>Vent. dépenses : Achats de biens liés à l'activité</t>
        </is>
      </c>
      <c r="J8" s="2" t="inlineStr">
        <is>
          <t>Autres achats / Transport / Services extérieurs</t>
        </is>
      </c>
      <c r="K8" s="3" t="inlineStr">
        <is>
          <t>Salaires / 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26" customHeight="1">
      <c r="A26" s="95">
        <f>IF(SUM(C9:C24,D9:D24,E9:E24,F9:F24,G9:G24,H9:H24,I9:I24,J9:J24,K9:K24)=0,"NÉANT - NOTE NON RENSEIGNÉE","")</f>
        <v/>
      </c>
    </row>
    <row r="27" ht="26" customHeight="1"/>
    <row r="28" ht="26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NOTE 5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5 : DOTATION</t>
        </is>
      </c>
    </row>
    <row r="8">
      <c r="A8" s="1" t="inlineStr">
        <is>
          <t>Nom et prénoms des membres</t>
        </is>
      </c>
      <c r="B8" s="2" t="inlineStr">
        <is>
          <t>Nationalité</t>
        </is>
      </c>
      <c r="C8" s="2" t="inlineStr">
        <is>
          <t>Montant</t>
        </is>
      </c>
      <c r="D8" s="3" t="inlineStr">
        <is>
          <t>Avec / sans droit d'entrée</t>
        </is>
      </c>
    </row>
    <row r="9">
      <c r="A9" s="101" t="inlineStr">
        <is>
          <t>Dotation non consomptible - rappel balance</t>
        </is>
      </c>
      <c r="B9" s="101" t="n"/>
      <c r="C9" s="102">
        <f>SUMIF('BALANCE N'!$A$2:$A$50,"102*",'BALANCE N'!$H$2:$H$50)-SUMIF('BALANCE N'!$A$2:$A$50,"102*",'BALANCE N'!$G$2:$G$50)+SUMIF('BALANCE N'!$A$2:$A$50,"101*",'BALANCE N'!$H$2:$H$50)-SUMIF('BALANCE N'!$A$2:$A$50,"101*",'BALANCE N'!$G$2:$G$50)</f>
        <v/>
      </c>
      <c r="D9" s="101" t="n"/>
    </row>
    <row r="10">
      <c r="A10" s="96" t="n"/>
      <c r="B10" s="96" t="n"/>
      <c r="C10" s="97" t="n"/>
      <c r="D10" s="96" t="n"/>
    </row>
    <row r="11">
      <c r="A11" s="96" t="n"/>
      <c r="B11" s="96" t="n"/>
      <c r="C11" s="97" t="n"/>
      <c r="D11" s="96" t="n"/>
    </row>
    <row r="12">
      <c r="A12" s="96" t="n"/>
      <c r="B12" s="96" t="n"/>
      <c r="C12" s="97" t="n"/>
      <c r="D12" s="96" t="n"/>
    </row>
    <row r="13">
      <c r="A13" s="101" t="inlineStr">
        <is>
          <t>Droit d'entrée - rappel balance</t>
        </is>
      </c>
      <c r="B13" s="101" t="n"/>
      <c r="C13" s="102">
        <f>SUMIF('BALANCE N'!$A$2:$A$50,"103*",'BALANCE N'!$H$2:$H$50)-SUMIF('BALANCE N'!$A$2:$A$50,"103*",'BALANCE N'!$G$2:$G$50)</f>
        <v/>
      </c>
      <c r="D13" s="101" t="n"/>
    </row>
    <row r="14">
      <c r="A14" s="96" t="n"/>
      <c r="B14" s="96" t="n"/>
      <c r="C14" s="97" t="n"/>
      <c r="D14" s="96" t="n"/>
    </row>
    <row r="15">
      <c r="A15" s="96" t="n"/>
      <c r="B15" s="96" t="n"/>
      <c r="C15" s="97" t="n"/>
      <c r="D15" s="96" t="n"/>
    </row>
    <row r="16">
      <c r="A16" s="96" t="n"/>
      <c r="B16" s="96" t="n"/>
      <c r="C16" s="97" t="n"/>
      <c r="D16" s="96" t="n"/>
    </row>
    <row r="17">
      <c r="A17" s="101" t="inlineStr">
        <is>
          <t>Dotation consomptible - rappel balance</t>
        </is>
      </c>
      <c r="B17" s="101" t="n"/>
      <c r="C17" s="102">
        <f>SUMIF('BALANCE N'!$A$2:$A$50,"104*",'BALANCE N'!$H$2:$H$50)-SUMIF('BALANCE N'!$A$2:$A$50,"104*",'BALANCE N'!$G$2:$G$50)</f>
        <v/>
      </c>
      <c r="D17" s="101" t="n"/>
    </row>
    <row r="18">
      <c r="A18" s="96" t="n"/>
      <c r="B18" s="96" t="n"/>
      <c r="C18" s="97" t="n"/>
      <c r="D18" s="96" t="n"/>
    </row>
    <row r="19">
      <c r="A19" s="96" t="n"/>
      <c r="B19" s="96" t="n"/>
      <c r="C19" s="97" t="n"/>
      <c r="D19" s="96" t="n"/>
    </row>
    <row r="20">
      <c r="A20" s="96" t="n"/>
      <c r="B20" s="96" t="n"/>
      <c r="C20" s="97" t="n"/>
      <c r="D20" s="96" t="n"/>
    </row>
    <row r="21">
      <c r="A21" s="8" t="inlineStr">
        <is>
          <t>TOTAL</t>
        </is>
      </c>
      <c r="B21" s="8" t="n"/>
      <c r="C21" s="9">
        <f>C9+C13+C17</f>
        <v/>
      </c>
      <c r="D21" s="8" t="n"/>
    </row>
    <row r="22"/>
    <row r="23" ht="26" customHeight="1">
      <c r="A23" s="95">
        <f>IF(SUM(C9:C21)=0,"NÉANT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3" t="inlineStr">
        <is>
          <t>COMMENTAIRES
PAGE 1/2</t>
        </is>
      </c>
      <c r="H1" s="54" t="n"/>
    </row>
    <row r="2">
      <c r="A2" s="67" t="inlineStr">
        <is>
          <t>Dénomination sociale : CLUB SOLIDARITE QUARTIER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ASBL-0093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4" t="inlineStr">
        <is>
          <t>Partie 1 : Notes sur le bilan</t>
        </is>
      </c>
      <c r="B6" s="105" t="n"/>
      <c r="C6" s="105" t="n"/>
      <c r="D6" s="105" t="n"/>
      <c r="E6" s="105" t="n"/>
      <c r="F6" s="105" t="n"/>
      <c r="G6" s="105" t="n"/>
      <c r="H6" s="105" t="n"/>
    </row>
    <row r="7" ht="16" customHeight="1">
      <c r="A7" s="106" t="inlineStr">
        <is>
          <t>Note 1</t>
        </is>
      </c>
      <c r="B7" s="107" t="inlineStr">
        <is>
          <t>Tableau d'acquisition et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8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6" t="inlineStr">
        <is>
          <t>Note 2</t>
        </is>
      </c>
      <c r="B9" s="107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8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6" t="inlineStr">
        <is>
          <t>Note 3</t>
        </is>
      </c>
      <c r="B11" s="107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8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06" t="inlineStr">
        <is>
          <t>Note 5</t>
        </is>
      </c>
      <c r="B13" s="107" t="inlineStr">
        <is>
          <t>Dotations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08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03" t="inlineStr">
        <is>
          <t>COMMENTAIRES
PAGE 2/2</t>
        </is>
      </c>
      <c r="H15" s="54" t="n"/>
    </row>
    <row r="16">
      <c r="A16" s="67" t="inlineStr">
        <is>
          <t>Dénomination sociale : CLUB SOLIDARITE QUARTIER</t>
        </is>
      </c>
    </row>
    <row r="17">
      <c r="A17" s="67" t="inlineStr">
        <is>
          <t xml:space="preserve">Adresse : </t>
        </is>
      </c>
      <c r="F17" s="67" t="inlineStr">
        <is>
          <t xml:space="preserve">Sigle usuel : </t>
        </is>
      </c>
    </row>
    <row r="18">
      <c r="A18" s="67" t="inlineStr">
        <is>
          <t>N° de compte contribuable (NCC) : ASBL-0093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04" t="inlineStr">
        <is>
          <t>Partie 2 : Notes sur le compte de résultat</t>
        </is>
      </c>
      <c r="B20" s="105" t="n"/>
      <c r="C20" s="105" t="n"/>
      <c r="D20" s="105" t="n"/>
      <c r="E20" s="105" t="n"/>
      <c r="F20" s="105" t="n"/>
      <c r="G20" s="105" t="n"/>
      <c r="H20" s="105" t="n"/>
    </row>
    <row r="21" ht="16" customHeight="1">
      <c r="A21" s="106" t="inlineStr">
        <is>
          <t>Note 4</t>
        </is>
      </c>
      <c r="B21" s="107" t="inlineStr">
        <is>
          <t>Journal unique de trésorerie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8" t="n"/>
      <c r="B22" s="49" t="n"/>
      <c r="C22" s="49" t="n"/>
      <c r="D22" s="49" t="n"/>
      <c r="E22" s="49" t="n"/>
      <c r="F22" s="49" t="n"/>
      <c r="G22" s="49" t="n"/>
      <c r="H22" s="49" t="n"/>
    </row>
  </sheetData>
  <mergeCells count="16">
    <mergeCell ref="A12:H12"/>
    <mergeCell ref="B9:H9"/>
    <mergeCell ref="B13:H13"/>
    <mergeCell ref="A20:H20"/>
    <mergeCell ref="G1:H1"/>
    <mergeCell ref="A1:F1"/>
    <mergeCell ref="G15:H15"/>
    <mergeCell ref="B21:H21"/>
    <mergeCell ref="A10:H10"/>
    <mergeCell ref="A14:H14"/>
    <mergeCell ref="B7:H7"/>
    <mergeCell ref="B11:H11"/>
    <mergeCell ref="A8:H8"/>
    <mergeCell ref="A15:F15"/>
    <mergeCell ref="A6:H6"/>
    <mergeCell ref="A22:H2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 (GZ)</t>
        </is>
      </c>
      <c r="B5" s="97">
        <f>'Bilan-Actif'!D14</f>
        <v/>
      </c>
      <c r="C5" s="96" t="inlineStr"/>
    </row>
    <row r="6">
      <c r="A6" s="96" t="inlineStr">
        <is>
          <t>Total passif (HZ)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net (compte de résultat, KZC)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recettes/dépenses incluent des montants non encaissés/décaissés (base engagement).</t>
        </is>
      </c>
      <c r="E2" s="96" t="inlineStr">
        <is>
          <t>Laisser VB/VC à zéro dans ce cas ; ne les servir que pour une balance de trésorerie pure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</t>
        </is>
      </c>
      <c r="D3" s="96" t="inlineStr">
        <is>
          <t>Vérifier l'assujettissement : ressources annuelles ≤ 30 M FCFA (Acte uniforme SYCEBNL, art. 5-6).</t>
        </is>
      </c>
      <c r="E3" s="96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2026-09-02T15:36:06Z</dcterms:created>
  <dcterms:modified xsi:type="dcterms:W3CDTF">2026-09-02T15:36:06Z</dcterms:modified>
</cp:coreProperties>
</file>