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N" sheetId="1" state="visible" r:id="rId1"/>
    <sheet name="CONTROLE BALANCE" sheetId="2" state="visible" r:id="rId2"/>
    <sheet name="Couverture" sheetId="3" state="visible" r:id="rId3"/>
    <sheet name="Garde" sheetId="4" state="visible" r:id="rId4"/>
    <sheet name="Fiche 1" sheetId="5" state="visible" r:id="rId5"/>
    <sheet name="Fiche 2" sheetId="6" state="visible" r:id="rId6"/>
    <sheet name="Bilan paysage" sheetId="7" state="visible" r:id="rId7"/>
    <sheet name="Bilan-Actif" sheetId="8" state="visible" r:id="rId8"/>
    <sheet name="Bilan-Passif" sheetId="9" state="visible" r:id="rId9"/>
    <sheet name="Résultat" sheetId="10" state="visible" r:id="rId10"/>
    <sheet name="NOTES ANNEXES" sheetId="11" state="visible" r:id="rId11"/>
    <sheet name="NOTE 1 IMMOBILISATIONS" sheetId="12" state="visible" r:id="rId12"/>
    <sheet name="NOTE 2 STOCKS" sheetId="13" state="visible" r:id="rId13"/>
    <sheet name="NOTE 3 CREANCES-DETTES" sheetId="14" state="visible" r:id="rId14"/>
    <sheet name="NOTE 4 JOURNAL TRESORERIE" sheetId="15" state="visible" r:id="rId15"/>
    <sheet name="NOTE 5 DOTATIONS" sheetId="16" state="visible" r:id="rId16"/>
    <sheet name="TABLE COMMENTAIRE" sheetId="17" state="visible" r:id="rId17"/>
    <sheet name="CONTROLES" sheetId="18" state="visible" r:id="rId18"/>
    <sheet name="ANOMALI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\ _€_-;\-* #,##0\ _€_-;_-* &quot;-&quot;\ _€_-;_-@_-"/>
  </numFmts>
  <fonts count="25">
    <font>
      <name val="Calibri"/>
      <family val="2"/>
      <color theme="1"/>
      <sz val="11"/>
      <scheme val="minor"/>
    </font>
    <font>
      <name val="Arial"/>
      <sz val="10"/>
    </font>
    <font>
      <name val="Arial"/>
      <sz val="8"/>
    </font>
    <font>
      <name val="Arial"/>
      <sz val="9"/>
    </font>
    <font>
      <name val="Arial Black"/>
      <b val="1"/>
      <color rgb="00008000"/>
      <sz val="14"/>
    </font>
    <font>
      <name val="Arial"/>
      <b val="1"/>
      <sz val="9"/>
    </font>
    <font>
      <name val="Arial"/>
      <b val="1"/>
      <color rgb="00FFFFFF"/>
      <sz val="9"/>
    </font>
    <font>
      <name val="Arial Black"/>
      <b val="1"/>
      <color rgb="00008000"/>
      <sz val="16"/>
    </font>
    <font>
      <name val="Arial Black"/>
      <b val="1"/>
      <color rgb="00003366"/>
      <sz val="11"/>
    </font>
    <font>
      <name val="Arial"/>
      <b val="1"/>
      <sz val="10"/>
    </font>
    <font>
      <name val="Arial"/>
      <b val="1"/>
      <sz val="20"/>
    </font>
    <font>
      <name val="Arial"/>
      <b val="1"/>
      <sz val="14"/>
    </font>
    <font>
      <name val="Arial"/>
      <b val="1"/>
      <sz val="11"/>
    </font>
    <font>
      <name val="Arial Black"/>
      <b val="1"/>
      <color rgb="00000080"/>
      <sz val="10"/>
    </font>
    <font>
      <name val="Arial"/>
      <b val="1"/>
      <sz val="22"/>
    </font>
    <font>
      <name val="Arial Black"/>
      <b val="1"/>
      <color rgb="00FFFFFF"/>
      <sz val="20"/>
    </font>
    <font>
      <name val="Arial"/>
      <b val="1"/>
      <sz val="12"/>
    </font>
    <font>
      <name val="Arial"/>
      <b val="1"/>
      <color rgb="00CC99FF"/>
      <sz val="17"/>
    </font>
    <font>
      <name val="Arial"/>
      <b val="1"/>
      <sz val="16"/>
    </font>
    <font>
      <name val="Arial Black"/>
      <b val="1"/>
      <sz val="8"/>
    </font>
    <font>
      <name val="Arial"/>
      <b val="1"/>
      <color rgb="00008000"/>
      <sz val="12"/>
    </font>
    <font>
      <name val="Arial"/>
      <b val="1"/>
      <color rgb="00008000"/>
      <sz val="11"/>
    </font>
    <font>
      <name val="Arial"/>
      <b val="1"/>
      <sz val="8"/>
    </font>
    <font>
      <name val="Arial Black"/>
      <b val="1"/>
      <sz val="10"/>
    </font>
    <font>
      <name val="Arial"/>
      <color theme="1"/>
      <sz val="9"/>
    </font>
  </fonts>
  <fills count="12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008000"/>
      </patternFill>
    </fill>
    <fill>
      <patternFill patternType="solid">
        <fgColor rgb="00C0C0C0"/>
      </patternFill>
    </fill>
    <fill>
      <patternFill patternType="solid">
        <fgColor rgb="00000080"/>
      </patternFill>
    </fill>
    <fill>
      <patternFill patternType="solid">
        <fgColor rgb="00FFCC99"/>
      </patternFill>
    </fill>
    <fill>
      <patternFill patternType="solid">
        <fgColor rgb="00CCFFCC"/>
      </patternFill>
    </fill>
    <fill>
      <patternFill patternType="solid">
        <fgColor rgb="00003366"/>
      </patternFill>
    </fill>
    <fill>
      <patternFill patternType="solid">
        <fgColor rgb="00660066"/>
      </patternFill>
    </fill>
    <fill>
      <patternFill patternType="solid">
        <fgColor rgb="00FFFFCC"/>
      </patternFill>
    </fill>
    <fill>
      <patternFill patternType="solid">
        <fgColor rgb="00CCCCFF"/>
      </patternFill>
    </fill>
  </fills>
  <borders count="34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bottom style="dashed">
        <color rgb="00000000"/>
      </bottom>
    </border>
    <border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hair">
        <color rgb="00000000"/>
      </top>
      <bottom style="hair">
        <color rgb="00000000"/>
      </bottom>
    </border>
    <border>
      <left style="medium">
        <color rgb="00000000"/>
      </left>
      <right style="thin">
        <color rgb="00000000"/>
      </right>
      <top style="hair">
        <color rgb="00000000"/>
      </top>
      <bottom style="hair">
        <color rgb="00000000"/>
      </bottom>
    </border>
    <border>
      <left style="thin">
        <color rgb="00000000"/>
      </left>
      <right style="medium">
        <color rgb="00000000"/>
      </right>
      <top style="hair">
        <color rgb="00000000"/>
      </top>
      <bottom style="hair">
        <color rgb="00000000"/>
      </bottom>
    </border>
    <border>
      <left style="medium">
        <color rgb="00000000"/>
      </left>
      <right style="thin">
        <color rgb="00000000"/>
      </right>
      <top style="hair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hair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hair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/>
      <bottom/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  <border>
      <top style="medium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top style="dashed">
        <color rgb="00000000"/>
      </top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bottom style="hair">
        <color rgb="00000000"/>
      </bottom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3" fillId="0" borderId="8" pivotButton="0" quotePrefix="0" xfId="0"/>
    <xf numFmtId="164" fontId="3" fillId="0" borderId="8" pivotButton="0" quotePrefix="0" xfId="0"/>
    <xf numFmtId="0" fontId="10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1" fillId="4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7" borderId="15" applyAlignment="1" pivotButton="0" quotePrefix="0" xfId="0">
      <alignment horizontal="center" vertical="center" wrapText="1"/>
    </xf>
    <xf numFmtId="0" fontId="9" fillId="7" borderId="16" applyAlignment="1" pivotButton="0" quotePrefix="0" xfId="0">
      <alignment horizontal="center" vertical="center" wrapText="1"/>
    </xf>
    <xf numFmtId="0" fontId="0" fillId="0" borderId="17" pivotButton="0" quotePrefix="0" xfId="0"/>
    <xf numFmtId="3" fontId="12" fillId="4" borderId="8" pivotButton="0" quotePrefix="0" xfId="0"/>
    <xf numFmtId="3" fontId="12" fillId="4" borderId="10" pivotButton="0" quotePrefix="0" xfId="0"/>
    <xf numFmtId="0" fontId="0" fillId="0" borderId="18" pivotButton="0" quotePrefix="0" xfId="0"/>
    <xf numFmtId="0" fontId="13" fillId="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8" borderId="0" pivotButton="0" quotePrefix="0" xfId="0"/>
    <xf numFmtId="0" fontId="0" fillId="0" borderId="21" pivotButton="0" quotePrefix="0" xfId="0"/>
    <xf numFmtId="0" fontId="14" fillId="0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6" fillId="0" borderId="0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11" fillId="4" borderId="24" applyAlignment="1" pivotButton="0" quotePrefix="0" xfId="0">
      <alignment horizontal="center" vertical="center" wrapText="1"/>
    </xf>
    <xf numFmtId="0" fontId="0" fillId="4" borderId="24" pivotButton="0" quotePrefix="0" xfId="0"/>
    <xf numFmtId="0" fontId="17" fillId="5" borderId="3" applyAlignment="1" pivotButton="0" quotePrefix="0" xfId="0">
      <alignment horizontal="center" vertical="center" wrapText="1"/>
    </xf>
    <xf numFmtId="0" fontId="0" fillId="5" borderId="3" pivotButton="0" quotePrefix="0" xfId="0"/>
    <xf numFmtId="0" fontId="11" fillId="0" borderId="0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 wrapText="1"/>
    </xf>
    <xf numFmtId="0" fontId="0" fillId="0" borderId="25" pivotButton="0" quotePrefix="0" xfId="0"/>
    <xf numFmtId="0" fontId="3" fillId="0" borderId="0" pivotButton="0" quotePrefix="0" xfId="0"/>
    <xf numFmtId="0" fontId="1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0" pivotButton="0" quotePrefix="0" xfId="0"/>
    <xf numFmtId="0" fontId="18" fillId="0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9" fillId="0" borderId="0" pivotButton="0" quotePrefix="0" xfId="0"/>
    <xf numFmtId="0" fontId="3" fillId="0" borderId="4" pivotButton="0" quotePrefix="0" xfId="0"/>
    <xf numFmtId="0" fontId="0" fillId="0" borderId="4" pivotButton="0" quotePrefix="0" xfId="0"/>
    <xf numFmtId="0" fontId="19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top"/>
    </xf>
    <xf numFmtId="49" fontId="1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2" pivotButton="0" quotePrefix="0" xfId="0"/>
    <xf numFmtId="0" fontId="3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2" fillId="10" borderId="4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left" vertical="center" wrapText="1"/>
    </xf>
    <xf numFmtId="0" fontId="0" fillId="0" borderId="31" pivotButton="0" quotePrefix="0" xfId="0"/>
    <xf numFmtId="0" fontId="22" fillId="0" borderId="31" applyAlignment="1" pivotButton="0" quotePrefix="0" xfId="0">
      <alignment horizontal="left" vertical="center" wrapText="1"/>
    </xf>
    <xf numFmtId="0" fontId="2" fillId="0" borderId="32" pivotButton="0" quotePrefix="0" xfId="0"/>
    <xf numFmtId="0" fontId="0" fillId="0" borderId="32" pivotButton="0" quotePrefix="0" xfId="0"/>
    <xf numFmtId="0" fontId="20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7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5" fillId="2" borderId="27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5" fillId="2" borderId="3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 wrapText="1"/>
    </xf>
    <xf numFmtId="164" fontId="3" fillId="0" borderId="8" applyAlignment="1" pivotButton="0" quotePrefix="0" xfId="0">
      <alignment vertical="center"/>
    </xf>
    <xf numFmtId="164" fontId="3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6" fillId="5" borderId="12" applyAlignment="1" pivotButton="0" quotePrefix="0" xfId="0">
      <alignment horizontal="left" vertical="center" wrapText="1"/>
    </xf>
    <xf numFmtId="164" fontId="6" fillId="5" borderId="12" applyAlignment="1" pivotButton="0" quotePrefix="0" xfId="0">
      <alignment vertical="center"/>
    </xf>
    <xf numFmtId="164" fontId="6" fillId="5" borderId="1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3" borderId="8" applyAlignment="1" pivotButton="0" quotePrefix="0" xfId="0">
      <alignment horizontal="left" vertical="center" wrapText="1"/>
    </xf>
    <xf numFmtId="164" fontId="6" fillId="3" borderId="8" applyAlignment="1" pivotButton="0" quotePrefix="0" xfId="0">
      <alignment vertical="center"/>
    </xf>
    <xf numFmtId="164" fontId="6" fillId="3" borderId="10" applyAlignment="1" pivotButton="0" quotePrefix="0" xfId="0">
      <alignment vertical="center"/>
    </xf>
    <xf numFmtId="0" fontId="5" fillId="4" borderId="8" applyAlignment="1" pivotButton="0" quotePrefix="0" xfId="0">
      <alignment horizontal="left" vertical="center" wrapText="1"/>
    </xf>
    <xf numFmtId="164" fontId="5" fillId="4" borderId="8" applyAlignment="1" pivotButton="0" quotePrefix="0" xfId="0">
      <alignment vertical="center"/>
    </xf>
    <xf numFmtId="164" fontId="5" fillId="4" borderId="10" applyAlignment="1" pivotButton="0" quotePrefix="0" xfId="0">
      <alignment vertical="center"/>
    </xf>
    <xf numFmtId="0" fontId="6" fillId="3" borderId="12" applyAlignment="1" pivotButton="0" quotePrefix="0" xfId="0">
      <alignment horizontal="left" vertical="center" wrapText="1"/>
    </xf>
    <xf numFmtId="164" fontId="6" fillId="3" borderId="12" applyAlignment="1" pivotButton="0" quotePrefix="0" xfId="0">
      <alignment vertical="center"/>
    </xf>
    <xf numFmtId="164" fontId="6" fillId="3" borderId="13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0" fillId="4" borderId="4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5" fillId="4" borderId="8" applyAlignment="1" pivotButton="0" quotePrefix="0" xfId="0">
      <alignment horizontal="left" vertical="center" wrapText="1"/>
    </xf>
    <xf numFmtId="0" fontId="24" fillId="0" borderId="0" pivotButton="0" quotePrefix="0" xfId="0"/>
    <xf numFmtId="164" fontId="24" fillId="0" borderId="0" pivotButton="0" quotePrefix="0" xfId="0"/>
    <xf numFmtId="0" fontId="5" fillId="0" borderId="8" pivotButton="0" quotePrefix="0" xfId="0"/>
    <xf numFmtId="164" fontId="5" fillId="0" borderId="8" pivotButton="0" quotePrefix="0" xfId="0"/>
    <xf numFmtId="0" fontId="2" fillId="0" borderId="1" applyAlignment="1" pivotButton="0" quotePrefix="0" xfId="0">
      <alignment horizontal="center" vertical="center" wrapText="1"/>
    </xf>
    <xf numFmtId="0" fontId="23" fillId="11" borderId="33" applyAlignment="1" pivotButton="0" quotePrefix="0" xfId="0">
      <alignment horizontal="center" vertical="center" wrapText="1"/>
    </xf>
    <xf numFmtId="0" fontId="0" fillId="11" borderId="33" pivotButton="0" quotePrefix="0" xfId="0"/>
    <xf numFmtId="0" fontId="2" fillId="4" borderId="4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9" customWidth="1" min="4" max="4"/>
    <col width="9" customWidth="1" min="5" max="5"/>
    <col width="15" customWidth="1" min="6" max="6"/>
    <col width="15" customWidth="1" min="7" max="7"/>
  </cols>
  <sheetData>
    <row r="1">
      <c r="A1" s="1" t="inlineStr">
        <is>
          <t>Compte</t>
        </is>
      </c>
      <c r="B1" s="2" t="inlineStr">
        <is>
          <t>Intitulé</t>
        </is>
      </c>
      <c r="C1" s="2" t="inlineStr">
        <is>
          <t>Préfixe 2</t>
        </is>
      </c>
      <c r="D1" s="2" t="inlineStr">
        <is>
          <t>Préfixe 3</t>
        </is>
      </c>
      <c r="E1" s="2" t="inlineStr">
        <is>
          <t>Préfixe 4</t>
        </is>
      </c>
      <c r="F1" s="2" t="inlineStr">
        <is>
          <t>Solde final débit</t>
        </is>
      </c>
      <c r="G1" s="3" t="inlineStr">
        <is>
          <t>Solde final crédit</t>
        </is>
      </c>
    </row>
    <row r="2">
      <c r="A2" s="4" t="inlineStr">
        <is>
          <t>2441</t>
        </is>
      </c>
      <c r="B2" s="4" t="inlineStr">
        <is>
          <t>Matériel et mobilier de bureau</t>
        </is>
      </c>
      <c r="C2" s="4" t="inlineStr">
        <is>
          <t>24</t>
        </is>
      </c>
      <c r="D2" s="4" t="inlineStr">
        <is>
          <t>244</t>
        </is>
      </c>
      <c r="E2" s="4" t="inlineStr">
        <is>
          <t>2441</t>
        </is>
      </c>
      <c r="F2" s="5" t="n">
        <v>1500000</v>
      </c>
      <c r="G2" s="5" t="n">
        <v>0</v>
      </c>
    </row>
    <row r="3">
      <c r="A3" s="4" t="inlineStr">
        <is>
          <t>2844</t>
        </is>
      </c>
      <c r="B3" s="4" t="inlineStr">
        <is>
          <t>Amortissements du matériel et mobilier</t>
        </is>
      </c>
      <c r="C3" s="4" t="inlineStr">
        <is>
          <t>28</t>
        </is>
      </c>
      <c r="D3" s="4" t="inlineStr">
        <is>
          <t>284</t>
        </is>
      </c>
      <c r="E3" s="4" t="inlineStr">
        <is>
          <t>2844</t>
        </is>
      </c>
      <c r="F3" s="5" t="n">
        <v>0</v>
      </c>
      <c r="G3" s="5" t="n">
        <v>500000</v>
      </c>
    </row>
    <row r="4">
      <c r="A4" s="4" t="inlineStr">
        <is>
          <t>331</t>
        </is>
      </c>
      <c r="B4" s="4" t="inlineStr">
        <is>
          <t>Matières consommables</t>
        </is>
      </c>
      <c r="C4" s="4" t="inlineStr">
        <is>
          <t>33</t>
        </is>
      </c>
      <c r="D4" s="4" t="inlineStr">
        <is>
          <t>331</t>
        </is>
      </c>
      <c r="E4" s="4" t="inlineStr">
        <is>
          <t>331</t>
        </is>
      </c>
      <c r="F4" s="5" t="n">
        <v>200000</v>
      </c>
      <c r="G4" s="5" t="n">
        <v>0</v>
      </c>
    </row>
    <row r="5">
      <c r="A5" s="4" t="inlineStr">
        <is>
          <t>521</t>
        </is>
      </c>
      <c r="B5" s="4" t="inlineStr">
        <is>
          <t>Banques locales</t>
        </is>
      </c>
      <c r="C5" s="4" t="inlineStr">
        <is>
          <t>52</t>
        </is>
      </c>
      <c r="D5" s="4" t="inlineStr">
        <is>
          <t>521</t>
        </is>
      </c>
      <c r="E5" s="4" t="inlineStr">
        <is>
          <t>521</t>
        </is>
      </c>
      <c r="F5" s="5" t="n">
        <v>1200000</v>
      </c>
      <c r="G5" s="5" t="n">
        <v>0</v>
      </c>
    </row>
    <row r="6">
      <c r="A6" s="4" t="inlineStr">
        <is>
          <t>571</t>
        </is>
      </c>
      <c r="B6" s="4" t="inlineStr">
        <is>
          <t>Caisse</t>
        </is>
      </c>
      <c r="C6" s="4" t="inlineStr">
        <is>
          <t>57</t>
        </is>
      </c>
      <c r="D6" s="4" t="inlineStr">
        <is>
          <t>571</t>
        </is>
      </c>
      <c r="E6" s="4" t="inlineStr">
        <is>
          <t>571</t>
        </is>
      </c>
      <c r="F6" s="5" t="n">
        <v>400000</v>
      </c>
      <c r="G6" s="5" t="n">
        <v>0</v>
      </c>
    </row>
    <row r="7">
      <c r="A7" s="4" t="inlineStr">
        <is>
          <t>1011</t>
        </is>
      </c>
      <c r="B7" s="4" t="inlineStr">
        <is>
          <t>Dotation non consomptible</t>
        </is>
      </c>
      <c r="C7" s="4" t="inlineStr">
        <is>
          <t>10</t>
        </is>
      </c>
      <c r="D7" s="4" t="inlineStr">
        <is>
          <t>101</t>
        </is>
      </c>
      <c r="E7" s="4" t="inlineStr">
        <is>
          <t>1011</t>
        </is>
      </c>
      <c r="F7" s="5" t="n">
        <v>0</v>
      </c>
      <c r="G7" s="5" t="n">
        <v>1500000</v>
      </c>
    </row>
    <row r="8">
      <c r="A8" s="4" t="inlineStr">
        <is>
          <t>112</t>
        </is>
      </c>
      <c r="B8" s="4" t="inlineStr">
        <is>
          <t>Réserves statutaires</t>
        </is>
      </c>
      <c r="C8" s="4" t="inlineStr">
        <is>
          <t>11</t>
        </is>
      </c>
      <c r="D8" s="4" t="inlineStr">
        <is>
          <t>112</t>
        </is>
      </c>
      <c r="E8" s="4" t="inlineStr">
        <is>
          <t>112</t>
        </is>
      </c>
      <c r="F8" s="5" t="n">
        <v>0</v>
      </c>
      <c r="G8" s="5" t="n">
        <v>200000</v>
      </c>
    </row>
    <row r="9">
      <c r="A9" s="4" t="inlineStr">
        <is>
          <t>4011</t>
        </is>
      </c>
      <c r="B9" s="4" t="inlineStr">
        <is>
          <t>Fournisseurs</t>
        </is>
      </c>
      <c r="C9" s="4" t="inlineStr">
        <is>
          <t>40</t>
        </is>
      </c>
      <c r="D9" s="4" t="inlineStr">
        <is>
          <t>401</t>
        </is>
      </c>
      <c r="E9" s="4" t="inlineStr">
        <is>
          <t>4011</t>
        </is>
      </c>
      <c r="F9" s="5" t="n">
        <v>0</v>
      </c>
      <c r="G9" s="5" t="n">
        <v>150000</v>
      </c>
    </row>
    <row r="10">
      <c r="A10" s="4" t="inlineStr">
        <is>
          <t>601</t>
        </is>
      </c>
      <c r="B10" s="4" t="inlineStr">
        <is>
          <t>Achats de biens et services liés à l'activité</t>
        </is>
      </c>
      <c r="C10" s="4" t="inlineStr">
        <is>
          <t>60</t>
        </is>
      </c>
      <c r="D10" s="4" t="inlineStr">
        <is>
          <t>601</t>
        </is>
      </c>
      <c r="E10" s="4" t="inlineStr">
        <is>
          <t>601</t>
        </is>
      </c>
      <c r="F10" s="5" t="n">
        <v>1800000</v>
      </c>
      <c r="G10" s="5" t="n">
        <v>0</v>
      </c>
    </row>
    <row r="11">
      <c r="A11" s="4" t="inlineStr">
        <is>
          <t>622</t>
        </is>
      </c>
      <c r="B11" s="4" t="inlineStr">
        <is>
          <t>Locations et charges locatives</t>
        </is>
      </c>
      <c r="C11" s="4" t="inlineStr">
        <is>
          <t>62</t>
        </is>
      </c>
      <c r="D11" s="4" t="inlineStr">
        <is>
          <t>622</t>
        </is>
      </c>
      <c r="E11" s="4" t="inlineStr">
        <is>
          <t>622</t>
        </is>
      </c>
      <c r="F11" s="5" t="n">
        <v>600000</v>
      </c>
      <c r="G11" s="5" t="n">
        <v>0</v>
      </c>
    </row>
    <row r="12">
      <c r="A12" s="4" t="inlineStr">
        <is>
          <t>661</t>
        </is>
      </c>
      <c r="B12" s="4" t="inlineStr">
        <is>
          <t>Salaires</t>
        </is>
      </c>
      <c r="C12" s="4" t="inlineStr">
        <is>
          <t>66</t>
        </is>
      </c>
      <c r="D12" s="4" t="inlineStr">
        <is>
          <t>661</t>
        </is>
      </c>
      <c r="E12" s="4" t="inlineStr">
        <is>
          <t>661</t>
        </is>
      </c>
      <c r="F12" s="5" t="n">
        <v>1300000</v>
      </c>
      <c r="G12" s="5" t="n">
        <v>0</v>
      </c>
    </row>
    <row r="13">
      <c r="A13" s="4" t="inlineStr">
        <is>
          <t>641</t>
        </is>
      </c>
      <c r="B13" s="4" t="inlineStr">
        <is>
          <t>Impôts et taxes directs</t>
        </is>
      </c>
      <c r="C13" s="4" t="inlineStr">
        <is>
          <t>64</t>
        </is>
      </c>
      <c r="D13" s="4" t="inlineStr">
        <is>
          <t>641</t>
        </is>
      </c>
      <c r="E13" s="4" t="inlineStr">
        <is>
          <t>641</t>
        </is>
      </c>
      <c r="F13" s="5" t="n">
        <v>100000</v>
      </c>
      <c r="G13" s="5" t="n">
        <v>0</v>
      </c>
    </row>
    <row r="14">
      <c r="A14" s="4" t="inlineStr">
        <is>
          <t>616</t>
        </is>
      </c>
      <c r="B14" s="4" t="inlineStr">
        <is>
          <t>Transports de plis</t>
        </is>
      </c>
      <c r="C14" s="4" t="inlineStr">
        <is>
          <t>61</t>
        </is>
      </c>
      <c r="D14" s="4" t="inlineStr">
        <is>
          <t>616</t>
        </is>
      </c>
      <c r="E14" s="4" t="inlineStr">
        <is>
          <t>616</t>
        </is>
      </c>
      <c r="F14" s="5" t="n">
        <v>150000</v>
      </c>
      <c r="G14" s="5" t="n">
        <v>0</v>
      </c>
    </row>
    <row r="15">
      <c r="A15" s="4" t="inlineStr">
        <is>
          <t>681</t>
        </is>
      </c>
      <c r="B15" s="4" t="inlineStr">
        <is>
          <t>Dotations aux amortissements</t>
        </is>
      </c>
      <c r="C15" s="4" t="inlineStr">
        <is>
          <t>68</t>
        </is>
      </c>
      <c r="D15" s="4" t="inlineStr">
        <is>
          <t>681</t>
        </is>
      </c>
      <c r="E15" s="4" t="inlineStr">
        <is>
          <t>681</t>
        </is>
      </c>
      <c r="F15" s="5" t="n">
        <v>250000</v>
      </c>
      <c r="G15" s="5" t="n">
        <v>0</v>
      </c>
    </row>
    <row r="16">
      <c r="A16" s="4" t="inlineStr">
        <is>
          <t>701</t>
        </is>
      </c>
      <c r="B16" s="4" t="inlineStr">
        <is>
          <t>Cotisations des adhérents</t>
        </is>
      </c>
      <c r="C16" s="4" t="inlineStr">
        <is>
          <t>70</t>
        </is>
      </c>
      <c r="D16" s="4" t="inlineStr">
        <is>
          <t>701</t>
        </is>
      </c>
      <c r="E16" s="4" t="inlineStr">
        <is>
          <t>701</t>
        </is>
      </c>
      <c r="F16" s="5" t="n">
        <v>0</v>
      </c>
      <c r="G16" s="5" t="n">
        <v>2500000</v>
      </c>
    </row>
    <row r="17">
      <c r="A17" s="4" t="inlineStr">
        <is>
          <t>7041</t>
        </is>
      </c>
      <c r="B17" s="4" t="inlineStr">
        <is>
          <t>Dons</t>
        </is>
      </c>
      <c r="C17" s="4" t="inlineStr">
        <is>
          <t>70</t>
        </is>
      </c>
      <c r="D17" s="4" t="inlineStr">
        <is>
          <t>704</t>
        </is>
      </c>
      <c r="E17" s="4" t="inlineStr">
        <is>
          <t>7041</t>
        </is>
      </c>
      <c r="F17" s="5" t="n">
        <v>0</v>
      </c>
      <c r="G17" s="5" t="n">
        <v>1600000</v>
      </c>
    </row>
    <row r="18">
      <c r="A18" s="4" t="inlineStr">
        <is>
          <t>711</t>
        </is>
      </c>
      <c r="B18" s="4" t="inlineStr">
        <is>
          <t>Subventions d'exploitation</t>
        </is>
      </c>
      <c r="C18" s="4" t="inlineStr">
        <is>
          <t>71</t>
        </is>
      </c>
      <c r="D18" s="4" t="inlineStr">
        <is>
          <t>711</t>
        </is>
      </c>
      <c r="E18" s="4" t="inlineStr">
        <is>
          <t>711</t>
        </is>
      </c>
      <c r="F18" s="5" t="n">
        <v>0</v>
      </c>
      <c r="G18" s="5" t="n">
        <v>1050000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20.7" customWidth="1" min="2" max="2"/>
    <col width="20.7" customWidth="1" min="3" max="3"/>
    <col width="20.7" customWidth="1" min="4" max="4"/>
    <col width="20.7" customWidth="1" min="5" max="5"/>
  </cols>
  <sheetData>
    <row r="1" ht="26" customHeight="1">
      <c r="A1" s="6" t="inlineStr">
        <is>
          <t>EQUILIBRE DE LA BALANCE</t>
        </is>
      </c>
      <c r="B1" s="7" t="n"/>
      <c r="C1" s="7" t="n"/>
      <c r="D1" s="7" t="n"/>
      <c r="E1" s="7" t="n"/>
    </row>
    <row r="2" ht="50" customHeight="1">
      <c r="A2" s="8" t="inlineStr">
        <is>
          <t>BALANCE N</t>
        </is>
      </c>
      <c r="B2" s="9" t="inlineStr">
        <is>
          <t>Mouvements Débit</t>
        </is>
      </c>
      <c r="C2" s="9" t="inlineStr">
        <is>
          <t>Mouvements Crédit</t>
        </is>
      </c>
      <c r="D2" s="10" t="inlineStr">
        <is>
          <t>Solde Final Débit</t>
        </is>
      </c>
      <c r="E2" s="11" t="inlineStr">
        <is>
          <t>Solde Final Crédit</t>
        </is>
      </c>
    </row>
    <row r="3" ht="21" customHeight="1">
      <c r="A3" s="12" t="n"/>
      <c r="B3" s="13">
        <f>SUM('BALANCE N'!H2:H18)</f>
        <v/>
      </c>
      <c r="C3" s="13">
        <f>SUM('BALANCE N'!I2:I18)</f>
        <v/>
      </c>
      <c r="D3" s="13">
        <f>SUM('BALANCE N'!F2:F18)</f>
        <v/>
      </c>
      <c r="E3" s="14">
        <f>SUM('BALANCE N'!G2:G18)</f>
        <v/>
      </c>
    </row>
    <row r="4" ht="54" customHeight="1">
      <c r="A4" s="15" t="n"/>
      <c r="B4" s="16">
        <f>IF(ROUND(B3-C3,0)=0,"Equilibre","Déséquilibre : écart de "&amp;TEXT(B3-C3,"#,##0"))</f>
        <v/>
      </c>
      <c r="C4" s="17" t="n"/>
      <c r="D4" s="16">
        <f>IF(ROUND(D3-E3,0)=0,"Equilibre","Déséquilibre : écart de "&amp;TEXT(D3-E3,"#,##0"))</f>
        <v/>
      </c>
      <c r="E4" s="18" t="n"/>
    </row>
  </sheetData>
  <mergeCells count="4">
    <mergeCell ref="A2:A4"/>
    <mergeCell ref="A1:E1"/>
    <mergeCell ref="B4:C4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selection activeCell="A1" sqref="A1"/>
    </sheetView>
  </sheetViews>
  <sheetFormatPr baseColWidth="8" defaultRowHeight="15"/>
  <cols>
    <col width="1.3" customWidth="1" min="1" max="1"/>
    <col width="0.8" customWidth="1" min="2" max="2"/>
    <col width="1.3" customWidth="1" min="3" max="3"/>
    <col width="8.699999999999999" customWidth="1" min="4" max="4"/>
    <col width="10.5" customWidth="1" min="5" max="5"/>
    <col width="11.5" customWidth="1" min="6" max="6"/>
    <col width="11.5" customWidth="1" min="7" max="7"/>
    <col width="13.2" customWidth="1" min="8" max="8"/>
    <col width="11.5" customWidth="1" min="9" max="9"/>
    <col width="8.699999999999999" customWidth="1" min="10" max="10"/>
    <col width="11.5" customWidth="1" min="11" max="11"/>
    <col width="1.3" customWidth="1" min="12" max="12"/>
    <col width="0.8" customWidth="1" min="13" max="13"/>
  </cols>
  <sheetData>
    <row r="1" ht="4" customHeight="1"/>
    <row r="2" ht="4" customHeight="1">
      <c r="B2" s="19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1" t="n"/>
    </row>
    <row r="3" ht="13" customHeight="1">
      <c r="B3" s="12" t="n"/>
      <c r="C3" s="22" t="n"/>
      <c r="D3" s="22" t="n"/>
      <c r="M3" s="23" t="n"/>
    </row>
    <row r="4" ht="13" customHeight="1">
      <c r="B4" s="12" t="n"/>
      <c r="C4" s="22" t="n"/>
      <c r="D4" s="22" t="n"/>
      <c r="M4" s="23" t="n"/>
    </row>
    <row r="5" ht="13" customHeight="1">
      <c r="B5" s="12" t="n"/>
      <c r="C5" s="22" t="n"/>
      <c r="D5" s="22" t="n"/>
      <c r="M5" s="23" t="n"/>
    </row>
    <row r="6" ht="13" customHeight="1">
      <c r="B6" s="12" t="n"/>
      <c r="C6" s="22" t="n"/>
      <c r="D6" s="22" t="n"/>
      <c r="M6" s="23" t="n"/>
    </row>
    <row r="7" ht="13" customHeight="1">
      <c r="B7" s="12" t="n"/>
      <c r="C7" s="22" t="n"/>
      <c r="D7" s="22" t="n"/>
      <c r="M7" s="23" t="n"/>
    </row>
    <row r="8" ht="13" customHeight="1">
      <c r="B8" s="12" t="n"/>
      <c r="C8" s="22" t="n"/>
      <c r="D8" s="22" t="n"/>
      <c r="M8" s="23" t="n"/>
    </row>
    <row r="9" ht="13" customHeight="1">
      <c r="B9" s="12" t="n"/>
      <c r="C9" s="22" t="n"/>
      <c r="D9" s="22" t="n"/>
      <c r="M9" s="23" t="n"/>
    </row>
    <row r="10" ht="13" customHeight="1">
      <c r="B10" s="12" t="n"/>
      <c r="C10" s="22" t="n"/>
      <c r="D10" s="22" t="n"/>
      <c r="M10" s="23" t="n"/>
    </row>
    <row r="11" ht="13" customHeight="1">
      <c r="B11" s="12" t="n"/>
      <c r="C11" s="22" t="n"/>
      <c r="D11" s="22" t="n"/>
      <c r="M11" s="23" t="n"/>
    </row>
    <row r="12" ht="13" customHeight="1">
      <c r="B12" s="12" t="n"/>
      <c r="C12" s="22" t="n"/>
      <c r="D12" s="22" t="n"/>
      <c r="M12" s="23" t="n"/>
    </row>
    <row r="13" ht="13" customHeight="1">
      <c r="B13" s="12" t="n"/>
      <c r="C13" s="22" t="n"/>
      <c r="D13" s="22" t="n"/>
      <c r="M13" s="23" t="n"/>
    </row>
    <row r="14" ht="13" customHeight="1">
      <c r="B14" s="12" t="n"/>
      <c r="C14" s="22" t="n"/>
      <c r="D14" s="22" t="n"/>
      <c r="M14" s="23" t="n"/>
    </row>
    <row r="15" ht="13" customHeight="1">
      <c r="B15" s="12" t="n"/>
      <c r="C15" s="22" t="n"/>
      <c r="D15" s="22" t="n"/>
      <c r="M15" s="23" t="n"/>
    </row>
    <row r="16" ht="13" customHeight="1">
      <c r="B16" s="12" t="n"/>
      <c r="C16" s="22" t="n"/>
      <c r="D16" s="22" t="n"/>
      <c r="M16" s="23" t="n"/>
    </row>
    <row r="17" ht="13" customHeight="1">
      <c r="B17" s="12" t="n"/>
      <c r="C17" s="22" t="n"/>
      <c r="D17" s="22" t="n"/>
      <c r="M17" s="23" t="n"/>
    </row>
    <row r="18" ht="13" customHeight="1">
      <c r="B18" s="12" t="n"/>
      <c r="C18" s="22" t="n"/>
      <c r="D18" s="22" t="n"/>
      <c r="M18" s="23" t="n"/>
    </row>
    <row r="19" ht="13" customHeight="1">
      <c r="B19" s="12" t="n"/>
      <c r="M19" s="23" t="n"/>
    </row>
    <row r="20" ht="13" customHeight="1">
      <c r="B20" s="12" t="n"/>
      <c r="M20" s="23" t="n"/>
    </row>
    <row r="21" ht="13" customHeight="1">
      <c r="B21" s="12" t="n"/>
      <c r="M21" s="23" t="n"/>
    </row>
    <row r="22" ht="13" customHeight="1">
      <c r="B22" s="12" t="n"/>
      <c r="M22" s="23" t="n"/>
    </row>
    <row r="23" ht="13" customHeight="1">
      <c r="B23" s="12" t="n"/>
      <c r="M23" s="23" t="n"/>
    </row>
    <row r="24" ht="13" customHeight="1">
      <c r="B24" s="12" t="n"/>
      <c r="M24" s="23" t="n"/>
    </row>
    <row r="25" ht="13" customHeight="1">
      <c r="B25" s="12" t="n"/>
      <c r="M25" s="23" t="n"/>
    </row>
    <row r="26" ht="13" customHeight="1">
      <c r="B26" s="12" t="n"/>
      <c r="E26" s="24" t="inlineStr">
        <is>
          <t>CLUB SOLIDARITE QUARTIER</t>
        </is>
      </c>
      <c r="M26" s="23" t="n"/>
    </row>
    <row r="27" ht="13" customHeight="1">
      <c r="B27" s="12" t="n"/>
      <c r="M27" s="23" t="n"/>
    </row>
    <row r="28" ht="13" customHeight="1">
      <c r="B28" s="12" t="n"/>
      <c r="M28" s="23" t="n"/>
    </row>
    <row r="29" ht="13" customHeight="1">
      <c r="B29" s="12" t="n"/>
      <c r="M29" s="23" t="n"/>
    </row>
    <row r="30" ht="13" customHeight="1">
      <c r="B30" s="12" t="n"/>
      <c r="M30" s="23" t="n"/>
    </row>
    <row r="31" ht="33" customHeight="1">
      <c r="B31" s="12" t="n"/>
      <c r="E31" s="25" t="inlineStr">
        <is>
          <t>LIASSE SMT</t>
        </is>
      </c>
      <c r="F31" s="26" t="n"/>
      <c r="G31" s="26" t="n"/>
      <c r="H31" s="26" t="n"/>
      <c r="I31" s="26" t="n"/>
      <c r="J31" s="26" t="n"/>
      <c r="K31" s="26" t="n"/>
      <c r="M31" s="23" t="n"/>
    </row>
    <row r="32" ht="13" customHeight="1">
      <c r="B32" s="12" t="n"/>
      <c r="M32" s="23" t="n"/>
    </row>
    <row r="33" ht="13" customHeight="1">
      <c r="B33" s="12" t="n"/>
      <c r="M33" s="23" t="n"/>
    </row>
    <row r="34" ht="13" customHeight="1">
      <c r="B34" s="12" t="n"/>
      <c r="E34" s="27" t="inlineStr">
        <is>
          <t>Exercice clos le 31-12-2025</t>
        </is>
      </c>
      <c r="M34" s="23" t="n"/>
    </row>
    <row r="35" ht="13" customHeight="1">
      <c r="B35" s="12" t="n"/>
      <c r="M35" s="23" t="n"/>
    </row>
    <row r="36" ht="13" customHeight="1">
      <c r="B36" s="12" t="n"/>
      <c r="M36" s="23" t="n"/>
    </row>
    <row r="37" ht="13" customHeight="1">
      <c r="B37" s="12" t="n"/>
      <c r="M37" s="23" t="n"/>
    </row>
    <row r="38" ht="13" customHeight="1">
      <c r="B38" s="12" t="n"/>
      <c r="M38" s="23" t="n"/>
    </row>
    <row r="39" ht="13" customHeight="1">
      <c r="B39" s="12" t="n"/>
      <c r="M39" s="23" t="n"/>
    </row>
    <row r="40" ht="13" customHeight="1">
      <c r="B40" s="12" t="n"/>
      <c r="M40" s="23" t="n"/>
    </row>
    <row r="41" ht="13" customHeight="1">
      <c r="B41" s="12" t="n"/>
      <c r="M41" s="23" t="n"/>
    </row>
    <row r="42" ht="13" customHeight="1">
      <c r="B42" s="12" t="n"/>
      <c r="M42" s="23" t="n"/>
    </row>
    <row r="43" ht="13" customHeight="1">
      <c r="B43" s="12" t="n"/>
      <c r="M43" s="23" t="n"/>
    </row>
    <row r="44" ht="13" customHeight="1">
      <c r="B44" s="12" t="n"/>
      <c r="M44" s="23" t="n"/>
    </row>
    <row r="45" ht="13" customHeight="1">
      <c r="B45" s="12" t="n"/>
      <c r="M45" s="23" t="n"/>
    </row>
    <row r="46" ht="13" customHeight="1">
      <c r="B46" s="12" t="n"/>
      <c r="M46" s="23" t="n"/>
    </row>
    <row r="47" ht="13" customHeight="1">
      <c r="B47" s="12" t="n"/>
      <c r="M47" s="23" t="n"/>
    </row>
    <row r="48" ht="13" customHeight="1">
      <c r="B48" s="12" t="n"/>
      <c r="M48" s="23" t="n"/>
    </row>
    <row r="49" ht="13" customHeight="1">
      <c r="B49" s="12" t="n"/>
      <c r="M49" s="23" t="n"/>
    </row>
    <row r="50" ht="13" customHeight="1">
      <c r="B50" s="12" t="n"/>
      <c r="M50" s="23" t="n"/>
    </row>
    <row r="51" ht="13" customHeight="1">
      <c r="B51" s="12" t="n"/>
      <c r="M51" s="23" t="n"/>
    </row>
    <row r="52" ht="13" customHeight="1">
      <c r="B52" s="15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9" t="n"/>
    </row>
    <row r="53" ht="5" customHeight="1"/>
  </sheetData>
  <mergeCells count="3">
    <mergeCell ref="E34:K34"/>
    <mergeCell ref="E31:K31"/>
    <mergeCell ref="E26:J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9.8" customWidth="1" min="2" max="2"/>
    <col width="11.3" customWidth="1" min="3" max="3"/>
    <col width="11" customWidth="1" min="4" max="4"/>
    <col width="3.2" customWidth="1" min="5" max="5"/>
    <col width="5.2" customWidth="1" min="6" max="6"/>
    <col width="5.2" customWidth="1" min="7" max="7"/>
    <col width="3.2" customWidth="1" min="8" max="8"/>
    <col width="11" customWidth="1" min="9" max="9"/>
    <col width="11.3" customWidth="1" min="10" max="10"/>
    <col width="19.8" customWidth="1" min="11" max="11"/>
    <col width="1" customWidth="1" min="12" max="12"/>
  </cols>
  <sheetData>
    <row r="1"/>
    <row r="2" ht="20" customHeight="1"/>
    <row r="3" ht="20" customHeight="1"/>
    <row r="4" ht="20" customHeight="1"/>
    <row r="5"/>
    <row r="6"/>
    <row r="7"/>
    <row r="8" ht="12" customHeight="1"/>
    <row r="9" ht="14" customHeight="1"/>
    <row r="10"/>
    <row r="11"/>
    <row r="12" ht="44" customHeight="1">
      <c r="B12" s="30" t="inlineStr">
        <is>
          <t>ETATS FINANCIERS NORMALISES
DU SYSTEME COMPTABLE DES ENTITES A BUT NON LUCRATIF (SYCEBNL)</t>
        </is>
      </c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</row>
    <row r="13" ht="22" customHeight="1">
      <c r="B13" s="32" t="inlineStr">
        <is>
          <t>Associations, Ordres Professionnels, Fondations et Assimilées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</row>
    <row r="14"/>
    <row r="15"/>
    <row r="16" ht="18" customHeight="1">
      <c r="C16" s="34" t="inlineStr">
        <is>
          <t>Exercice clos le 31-12-2025   -   Durée (en mois) : 12</t>
        </is>
      </c>
    </row>
    <row r="17"/>
    <row r="18"/>
    <row r="19"/>
    <row r="20" ht="16" customHeight="1">
      <c r="B20" s="35" t="inlineStr">
        <is>
          <t>DESIGNATION DE L'ENTITE</t>
        </is>
      </c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</row>
    <row r="21"/>
    <row r="22" ht="18" customHeight="1">
      <c r="B22" s="37" t="inlineStr">
        <is>
          <t>DENOMINATION SOCIALE :</t>
        </is>
      </c>
      <c r="E22" s="38" t="inlineStr">
        <is>
          <t>CLUB SOLIDARITE QUARTIER</t>
        </is>
      </c>
      <c r="F22" s="39" t="n"/>
      <c r="G22" s="39" t="n"/>
      <c r="H22" s="39" t="n"/>
      <c r="I22" s="39" t="n"/>
      <c r="J22" s="39" t="n"/>
    </row>
    <row r="23"/>
    <row r="24">
      <c r="B24" s="37" t="inlineStr">
        <is>
          <t>SIGLE USUEL :</t>
        </is>
      </c>
      <c r="E24" s="38" t="inlineStr"/>
      <c r="F24" s="39" t="n"/>
      <c r="G24" s="39" t="n"/>
      <c r="H24" s="39" t="n"/>
      <c r="I24" s="39" t="n"/>
      <c r="J24" s="39" t="n"/>
    </row>
    <row r="25"/>
    <row r="26" ht="18" customHeight="1">
      <c r="B26" s="37" t="inlineStr">
        <is>
          <t>ADRESSE COMPLETE :</t>
        </is>
      </c>
      <c r="E26" s="38" t="inlineStr"/>
      <c r="F26" s="39" t="n"/>
      <c r="G26" s="39" t="n"/>
      <c r="H26" s="39" t="n"/>
      <c r="I26" s="39" t="n"/>
      <c r="J26" s="39" t="n"/>
    </row>
    <row r="27"/>
    <row r="28" ht="18" customHeight="1">
      <c r="B28" s="40" t="inlineStr">
        <is>
          <t>N° de compte contribuable (NCC) :</t>
        </is>
      </c>
      <c r="E28" s="38" t="inlineStr">
        <is>
          <t>ASBL-0093</t>
        </is>
      </c>
      <c r="F28" s="39" t="n"/>
      <c r="G28" s="39" t="n"/>
      <c r="H28" s="39" t="n"/>
      <c r="I28" s="39" t="n"/>
      <c r="J28" s="39" t="n"/>
    </row>
    <row r="29"/>
    <row r="30" ht="14" customHeight="1">
      <c r="B30" s="40" t="inlineStr">
        <is>
          <t>N° de télédéclarant (NTD) :</t>
        </is>
      </c>
      <c r="E30" s="38" t="inlineStr"/>
      <c r="F30" s="39" t="n"/>
      <c r="G30" s="39" t="n"/>
      <c r="H30" s="39" t="n"/>
      <c r="I30" s="39" t="n"/>
      <c r="J30" s="39" t="n"/>
    </row>
    <row r="31" ht="17" customHeight="1"/>
    <row r="32" ht="30" customHeight="1">
      <c r="B32" s="41" t="inlineStr">
        <is>
          <t>SYSTEME MINIMAL DE TRESORERIE</t>
        </is>
      </c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</row>
    <row r="33" ht="14" customHeight="1"/>
    <row r="34">
      <c r="B34" s="43" t="inlineStr">
        <is>
          <t>Documents déposés</t>
        </is>
      </c>
      <c r="H34" s="43" t="inlineStr">
        <is>
          <t>Réservé à l'administration</t>
        </is>
      </c>
    </row>
    <row r="35">
      <c r="B35" s="44" t="inlineStr">
        <is>
          <t>Fiche d'identification et renseignements divers</t>
        </is>
      </c>
      <c r="C35" s="45" t="n"/>
      <c r="D35" s="45" t="n"/>
      <c r="E35" s="45" t="n"/>
      <c r="F35" s="46" t="inlineStr">
        <is>
          <t>X</t>
        </is>
      </c>
      <c r="H35" s="47" t="inlineStr">
        <is>
          <t>Date de dépôt</t>
        </is>
      </c>
      <c r="I35" s="45" t="n"/>
      <c r="J35" s="45" t="n"/>
      <c r="K35" s="45" t="n"/>
    </row>
    <row r="36">
      <c r="B36" s="44" t="inlineStr">
        <is>
          <t>Bilan (actif et passif)</t>
        </is>
      </c>
      <c r="C36" s="45" t="n"/>
      <c r="D36" s="45" t="n"/>
      <c r="E36" s="45" t="n"/>
      <c r="F36" s="46" t="inlineStr">
        <is>
          <t>X</t>
        </is>
      </c>
      <c r="H36" s="45" t="n"/>
      <c r="I36" s="45" t="n"/>
      <c r="J36" s="45" t="n"/>
      <c r="K36" s="45" t="n"/>
    </row>
    <row r="37">
      <c r="B37" s="44" t="inlineStr">
        <is>
          <t>Compte de résultat</t>
        </is>
      </c>
      <c r="C37" s="45" t="n"/>
      <c r="D37" s="45" t="n"/>
      <c r="E37" s="45" t="n"/>
      <c r="F37" s="46" t="inlineStr">
        <is>
          <t>X</t>
        </is>
      </c>
      <c r="H37" s="45" t="n"/>
      <c r="I37" s="45" t="n"/>
      <c r="J37" s="45" t="n"/>
      <c r="K37" s="45" t="n"/>
    </row>
    <row r="38">
      <c r="B38" s="44" t="inlineStr">
        <is>
          <t>Notes annexes 1 à 5</t>
        </is>
      </c>
      <c r="C38" s="45" t="n"/>
      <c r="D38" s="45" t="n"/>
      <c r="E38" s="45" t="n"/>
      <c r="F38" s="46" t="inlineStr">
        <is>
          <t>X</t>
        </is>
      </c>
      <c r="H38" s="45" t="n"/>
      <c r="I38" s="45" t="n"/>
      <c r="J38" s="45" t="n"/>
      <c r="K38" s="45" t="n"/>
    </row>
    <row r="39">
      <c r="H39" s="47" t="inlineStr">
        <is>
          <t>Nom de l'agent ayant réceptionné le dépôt</t>
        </is>
      </c>
      <c r="I39" s="45" t="n"/>
      <c r="J39" s="45" t="n"/>
      <c r="K39" s="45" t="n"/>
    </row>
    <row r="40">
      <c r="H40" s="45" t="n"/>
      <c r="I40" s="45" t="n"/>
      <c r="J40" s="45" t="n"/>
      <c r="K40" s="45" t="n"/>
    </row>
    <row r="41">
      <c r="H41" s="45" t="n"/>
      <c r="I41" s="45" t="n"/>
      <c r="J41" s="45" t="n"/>
      <c r="K41" s="45" t="n"/>
    </row>
    <row r="42">
      <c r="H42" s="45" t="n"/>
      <c r="I42" s="45" t="n"/>
      <c r="J42" s="45" t="n"/>
      <c r="K42" s="45" t="n"/>
    </row>
    <row r="43">
      <c r="H43" s="47" t="inlineStr">
        <is>
          <t>Signature de l'agent et cachet du service</t>
        </is>
      </c>
      <c r="I43" s="45" t="n"/>
      <c r="J43" s="45" t="n"/>
      <c r="K43" s="45" t="n"/>
    </row>
    <row r="44">
      <c r="H44" s="45" t="n"/>
      <c r="I44" s="45" t="n"/>
      <c r="J44" s="45" t="n"/>
      <c r="K44" s="45" t="n"/>
    </row>
    <row r="45">
      <c r="H45" s="45" t="n"/>
      <c r="I45" s="45" t="n"/>
      <c r="J45" s="45" t="n"/>
      <c r="K45" s="45" t="n"/>
    </row>
    <row r="46">
      <c r="H46" s="45" t="n"/>
      <c r="I46" s="45" t="n"/>
      <c r="J46" s="45" t="n"/>
      <c r="K46" s="45" t="n"/>
    </row>
    <row r="47"/>
    <row r="48">
      <c r="B48" s="44" t="inlineStr">
        <is>
          <t>Nombre de pages déposées par exemplaire :</t>
        </is>
      </c>
      <c r="C48" s="45" t="n"/>
      <c r="D48" s="45" t="n"/>
      <c r="E48" s="45" t="n"/>
      <c r="F48" s="45" t="n"/>
    </row>
    <row r="49">
      <c r="B49" s="44" t="inlineStr">
        <is>
          <t>Nombre d'exemplaires déposés :</t>
        </is>
      </c>
      <c r="C49" s="45" t="n"/>
      <c r="D49" s="45" t="n"/>
      <c r="E49" s="45" t="n"/>
      <c r="F49" s="45" t="n"/>
    </row>
  </sheetData>
  <mergeCells count="22">
    <mergeCell ref="B49:E49"/>
    <mergeCell ref="E28:J28"/>
    <mergeCell ref="B20:K20"/>
    <mergeCell ref="E30:J30"/>
    <mergeCell ref="B36:E36"/>
    <mergeCell ref="B35:E35"/>
    <mergeCell ref="B32:K32"/>
    <mergeCell ref="H35:K35"/>
    <mergeCell ref="C16:J16"/>
    <mergeCell ref="E26:J26"/>
    <mergeCell ref="H43:K43"/>
    <mergeCell ref="H44:K46"/>
    <mergeCell ref="E22:J22"/>
    <mergeCell ref="H39:K39"/>
    <mergeCell ref="B48:E48"/>
    <mergeCell ref="B12:K12"/>
    <mergeCell ref="H40:K42"/>
    <mergeCell ref="E24:J24"/>
    <mergeCell ref="B13:K13"/>
    <mergeCell ref="B38:E38"/>
    <mergeCell ref="B37:E37"/>
    <mergeCell ref="H36:K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12" customHeight="1">
      <c r="A1" s="48" t="inlineStr">
        <is>
          <t>- 1 -</t>
        </is>
      </c>
    </row>
    <row r="2" ht="26" customHeight="1">
      <c r="I2" s="49" t="inlineStr">
        <is>
          <t>FICHE 1</t>
        </is>
      </c>
      <c r="J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F4" s="39" t="n"/>
      <c r="G4" s="39" t="n"/>
      <c r="I4" s="52" t="inlineStr">
        <is>
          <t>Sigle usuel :</t>
        </is>
      </c>
      <c r="J4" s="51" t="inlineStr"/>
    </row>
    <row r="5" ht="15" customHeight="1">
      <c r="A5" s="37" t="inlineStr">
        <is>
          <t>N° de compte contribuable (NCC) : ASBL-0093</t>
        </is>
      </c>
      <c r="G5" s="37" t="inlineStr">
        <is>
          <t>Exercice clos le 31-12-2025</t>
        </is>
      </c>
      <c r="I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53" t="inlineStr">
        <is>
          <t>FICHE D'IDENTIFICATION ET RENSEIGNEMENTS DIVERS</t>
        </is>
      </c>
    </row>
    <row r="8">
      <c r="A8" s="54" t="inlineStr">
        <is>
          <t>SYCEBNL - Système minimal de trésorerie</t>
        </is>
      </c>
    </row>
    <row r="9"/>
    <row r="10" ht="24" customHeight="1">
      <c r="A10" s="55" t="inlineStr">
        <is>
          <t>ZA</t>
        </is>
      </c>
      <c r="B10" s="56" t="inlineStr">
        <is>
          <t>EXERCICE COMPTABLE</t>
        </is>
      </c>
      <c r="C10" s="57" t="n"/>
      <c r="D10" s="57" t="n"/>
      <c r="E10" s="57" t="n"/>
      <c r="F10" s="57" t="n"/>
      <c r="G10" s="58" t="inlineStr">
        <is>
          <t>DU : 01-01-2025    AU : 31-12-2025</t>
        </is>
      </c>
      <c r="H10" s="57" t="n"/>
      <c r="I10" s="57" t="n"/>
      <c r="J10" s="57" t="n"/>
    </row>
    <row r="11" ht="24" customHeight="1">
      <c r="A11" s="55" t="inlineStr">
        <is>
          <t>ZB</t>
        </is>
      </c>
      <c r="B11" s="56" t="inlineStr">
        <is>
          <t>DATE D'ARRETE EFFECTIF DES COMPTES</t>
        </is>
      </c>
      <c r="C11" s="57" t="n"/>
      <c r="D11" s="57" t="n"/>
      <c r="E11" s="57" t="n"/>
      <c r="F11" s="57" t="n"/>
      <c r="G11" s="58" t="inlineStr"/>
      <c r="H11" s="57" t="n"/>
      <c r="I11" s="57" t="n"/>
      <c r="J11" s="57" t="n"/>
    </row>
    <row r="12" ht="24" customHeight="1">
      <c r="A12" s="55" t="inlineStr">
        <is>
          <t>ZC</t>
        </is>
      </c>
      <c r="B12" s="56" t="inlineStr">
        <is>
          <t>EXERCICE PRECEDENT CLOS LE</t>
        </is>
      </c>
      <c r="C12" s="57" t="n"/>
      <c r="D12" s="57" t="n"/>
      <c r="E12" s="57" t="n"/>
      <c r="F12" s="57" t="n"/>
      <c r="G12" s="58" t="inlineStr"/>
      <c r="H12" s="57" t="n"/>
      <c r="I12" s="57" t="n"/>
      <c r="J12" s="57" t="n"/>
    </row>
    <row r="13" ht="24" customHeight="1">
      <c r="A13" s="55" t="inlineStr">
        <is>
          <t>ZD</t>
        </is>
      </c>
      <c r="B13" s="56" t="inlineStr">
        <is>
          <t>DUREE DE L'EXERCICE PRECEDENT (EN MOIS)</t>
        </is>
      </c>
      <c r="C13" s="57" t="n"/>
      <c r="D13" s="57" t="n"/>
      <c r="E13" s="57" t="n"/>
      <c r="F13" s="57" t="n"/>
      <c r="G13" s="58" t="inlineStr"/>
      <c r="H13" s="57" t="n"/>
      <c r="I13" s="57" t="n"/>
      <c r="J13" s="57" t="n"/>
    </row>
    <row r="14" ht="24" customHeight="1">
      <c r="A14" s="55" t="inlineStr">
        <is>
          <t>ZE</t>
        </is>
      </c>
      <c r="B14" s="56" t="inlineStr">
        <is>
          <t>N° REGISTRE (RCCM, F92, CONVENTION...) ET GREFFE</t>
        </is>
      </c>
      <c r="C14" s="57" t="n"/>
      <c r="D14" s="57" t="n"/>
      <c r="E14" s="57" t="n"/>
      <c r="F14" s="57" t="n"/>
      <c r="G14" s="58" t="inlineStr"/>
      <c r="H14" s="57" t="n"/>
      <c r="I14" s="57" t="n"/>
      <c r="J14" s="57" t="n"/>
    </row>
    <row r="15" ht="24" customHeight="1">
      <c r="A15" s="55" t="inlineStr">
        <is>
          <t>ZF</t>
        </is>
      </c>
      <c r="B15" s="56" t="inlineStr">
        <is>
          <t>N° REPERTOIRE DES ENTITES</t>
        </is>
      </c>
      <c r="C15" s="57" t="n"/>
      <c r="D15" s="57" t="n"/>
      <c r="E15" s="57" t="n"/>
      <c r="F15" s="57" t="n"/>
      <c r="G15" s="58" t="inlineStr"/>
      <c r="H15" s="57" t="n"/>
      <c r="I15" s="57" t="n"/>
      <c r="J15" s="57" t="n"/>
    </row>
    <row r="16" ht="24" customHeight="1">
      <c r="A16" s="55" t="inlineStr">
        <is>
          <t>ZG</t>
        </is>
      </c>
      <c r="B16" s="56" t="inlineStr">
        <is>
          <t>N° DE CAISSE SOCIALE</t>
        </is>
      </c>
      <c r="C16" s="57" t="n"/>
      <c r="D16" s="57" t="n"/>
      <c r="E16" s="57" t="n"/>
      <c r="F16" s="57" t="n"/>
      <c r="G16" s="58" t="inlineStr"/>
      <c r="H16" s="57" t="n"/>
      <c r="I16" s="57" t="n"/>
      <c r="J16" s="57" t="n"/>
    </row>
    <row r="17" ht="24" customHeight="1">
      <c r="A17" s="55" t="inlineStr">
        <is>
          <t>ZH</t>
        </is>
      </c>
      <c r="B17" s="56" t="inlineStr">
        <is>
          <t>N° CODE IMPORTATEUR</t>
        </is>
      </c>
      <c r="C17" s="57" t="n"/>
      <c r="D17" s="57" t="n"/>
      <c r="E17" s="57" t="n"/>
      <c r="F17" s="57" t="n"/>
      <c r="G17" s="58" t="inlineStr"/>
      <c r="H17" s="57" t="n"/>
      <c r="I17" s="57" t="n"/>
      <c r="J17" s="57" t="n"/>
    </row>
    <row r="18" ht="24" customHeight="1">
      <c r="A18" s="55" t="inlineStr">
        <is>
          <t>ZI</t>
        </is>
      </c>
      <c r="B18" s="56" t="inlineStr">
        <is>
          <t>CODE ACTIVITE PRINCIPALE</t>
        </is>
      </c>
      <c r="C18" s="57" t="n"/>
      <c r="D18" s="57" t="n"/>
      <c r="E18" s="57" t="n"/>
      <c r="F18" s="57" t="n"/>
      <c r="G18" s="58" t="inlineStr"/>
      <c r="H18" s="57" t="n"/>
      <c r="I18" s="57" t="n"/>
      <c r="J18" s="57" t="n"/>
    </row>
    <row r="19" ht="24" customHeight="1">
      <c r="A19" s="55" t="inlineStr">
        <is>
          <t>ZJ</t>
        </is>
      </c>
      <c r="B19" s="56" t="inlineStr">
        <is>
          <t>DESIGNATION DE L'ENTITE ET SIGLE</t>
        </is>
      </c>
      <c r="C19" s="57" t="n"/>
      <c r="D19" s="57" t="n"/>
      <c r="E19" s="57" t="n"/>
      <c r="F19" s="57" t="n"/>
      <c r="G19" s="58" t="inlineStr">
        <is>
          <t>CLUB SOLIDARITE QUARTIER</t>
        </is>
      </c>
      <c r="H19" s="57" t="n"/>
      <c r="I19" s="57" t="n"/>
      <c r="J19" s="57" t="n"/>
    </row>
    <row r="20" ht="24" customHeight="1">
      <c r="A20" s="55" t="inlineStr">
        <is>
          <t>ZK</t>
        </is>
      </c>
      <c r="B20" s="56" t="inlineStr">
        <is>
          <t>N° DE TELEPHONE, ADRESSE E-MAIL, BOITE POSTALE, VILLE</t>
        </is>
      </c>
      <c r="C20" s="57" t="n"/>
      <c r="D20" s="57" t="n"/>
      <c r="E20" s="57" t="n"/>
      <c r="F20" s="57" t="n"/>
      <c r="G20" s="58" t="inlineStr"/>
      <c r="H20" s="57" t="n"/>
      <c r="I20" s="57" t="n"/>
      <c r="J20" s="57" t="n"/>
    </row>
    <row r="21" ht="24" customHeight="1">
      <c r="A21" s="55" t="inlineStr">
        <is>
          <t>ZL</t>
        </is>
      </c>
      <c r="B21" s="56" t="inlineStr">
        <is>
          <t>ADRESSE GEOGRAPHIQUE COMPLETE (IMMEUBLE, RUE, QUARTIER, VILLE, PAYS)</t>
        </is>
      </c>
      <c r="C21" s="57" t="n"/>
      <c r="D21" s="57" t="n"/>
      <c r="E21" s="57" t="n"/>
      <c r="F21" s="57" t="n"/>
      <c r="G21" s="58" t="inlineStr"/>
      <c r="H21" s="57" t="n"/>
      <c r="I21" s="57" t="n"/>
      <c r="J21" s="57" t="n"/>
    </row>
    <row r="22" ht="24" customHeight="1">
      <c r="A22" s="55" t="inlineStr">
        <is>
          <t>ZM</t>
        </is>
      </c>
      <c r="B22" s="56" t="inlineStr">
        <is>
          <t>DESIGNATION PRECISE DE L'ACTIVITE PRINCIPALE EXERCEE</t>
        </is>
      </c>
      <c r="C22" s="57" t="n"/>
      <c r="D22" s="57" t="n"/>
      <c r="E22" s="57" t="n"/>
      <c r="F22" s="57" t="n"/>
      <c r="G22" s="58" t="inlineStr"/>
      <c r="H22" s="57" t="n"/>
      <c r="I22" s="57" t="n"/>
      <c r="J22" s="57" t="n"/>
    </row>
    <row r="23" ht="24" customHeight="1">
      <c r="A23" s="55" t="inlineStr">
        <is>
          <t>ZN</t>
        </is>
      </c>
      <c r="B23" s="56" t="inlineStr">
        <is>
          <t>% DE CAPACITE DE PRODUCTION UTILE</t>
        </is>
      </c>
      <c r="C23" s="57" t="n"/>
      <c r="D23" s="57" t="n"/>
      <c r="E23" s="57" t="n"/>
      <c r="F23" s="57" t="n"/>
      <c r="G23" s="58" t="inlineStr"/>
      <c r="H23" s="57" t="n"/>
      <c r="I23" s="57" t="n"/>
      <c r="J23" s="57" t="n"/>
    </row>
    <row r="24" ht="24" customHeight="1">
      <c r="A24" s="55" t="inlineStr">
        <is>
          <t>ZO</t>
        </is>
      </c>
      <c r="B24" s="56" t="inlineStr">
        <is>
          <t>NOM, ADRESSE, TELEPHONE, E-MAIL ET QUALITE DE LA PERSONNE A CONTACTER EN CAS DE DEMANDE</t>
        </is>
      </c>
      <c r="C24" s="57" t="n"/>
      <c r="D24" s="57" t="n"/>
      <c r="E24" s="57" t="n"/>
      <c r="F24" s="57" t="n"/>
      <c r="G24" s="58" t="inlineStr"/>
      <c r="H24" s="57" t="n"/>
      <c r="I24" s="57" t="n"/>
      <c r="J24" s="57" t="n"/>
    </row>
    <row r="25" ht="24" customHeight="1">
      <c r="A25" s="55" t="inlineStr">
        <is>
          <t>ZP</t>
        </is>
      </c>
      <c r="B25" s="56" t="inlineStr">
        <is>
          <t>NOM, ADRESSE, TELEPHONE ET E-MAIL DU SALARIE OU DU PROFESSIONNEL COMPTABLE AYANT ETABLI LES ETATS FINANCIERS</t>
        </is>
      </c>
      <c r="C25" s="57" t="n"/>
      <c r="D25" s="57" t="n"/>
      <c r="E25" s="57" t="n"/>
      <c r="F25" s="57" t="n"/>
      <c r="G25" s="58" t="inlineStr"/>
      <c r="H25" s="57" t="n"/>
      <c r="I25" s="57" t="n"/>
      <c r="J25" s="57" t="n"/>
    </row>
    <row r="26" ht="24" customHeight="1">
      <c r="A26" s="55" t="inlineStr">
        <is>
          <t>ZQ</t>
        </is>
      </c>
      <c r="B26" s="56" t="inlineStr">
        <is>
          <t>NOM, ADRESSE, TELEPHONE, E-MAIL ET N° D'INSCRIPTION A L'ORDRE DE L'EXPERT-COMPTABLE AYANT DELIVRE L'ATTESTATION DE VISA</t>
        </is>
      </c>
      <c r="C26" s="57" t="n"/>
      <c r="D26" s="57" t="n"/>
      <c r="E26" s="57" t="n"/>
      <c r="F26" s="57" t="n"/>
      <c r="G26" s="58" t="inlineStr"/>
      <c r="H26" s="57" t="n"/>
      <c r="I26" s="57" t="n"/>
      <c r="J26" s="57" t="n"/>
    </row>
    <row r="27" ht="24" customHeight="1">
      <c r="A27" s="55" t="inlineStr">
        <is>
          <t>ZR</t>
        </is>
      </c>
      <c r="B27" s="56" t="inlineStr">
        <is>
          <t>NOM, ADRESSE, TELEPHONE, E-MAIL ET N° D'INSCRIPTION DU COMMISSAIRE AUX COMPTES, LE CAS ECHEANT</t>
        </is>
      </c>
      <c r="C27" s="57" t="n"/>
      <c r="D27" s="57" t="n"/>
      <c r="E27" s="57" t="n"/>
      <c r="F27" s="57" t="n"/>
      <c r="G27" s="58" t="inlineStr"/>
      <c r="H27" s="57" t="n"/>
      <c r="I27" s="57" t="n"/>
      <c r="J27" s="57" t="n"/>
    </row>
    <row r="28" ht="24" customHeight="1">
      <c r="A28" s="55" t="inlineStr">
        <is>
          <t>ZS</t>
        </is>
      </c>
      <c r="B28" s="56" t="inlineStr">
        <is>
          <t>ETATS FINANCIERS APPROUVES PAR L'ORGANE COMPETENT (OUI / NON)</t>
        </is>
      </c>
      <c r="C28" s="57" t="n"/>
      <c r="D28" s="57" t="n"/>
      <c r="E28" s="57" t="n"/>
      <c r="F28" s="57" t="n"/>
      <c r="G28" s="58" t="inlineStr"/>
      <c r="H28" s="57" t="n"/>
      <c r="I28" s="57" t="n"/>
      <c r="J28" s="57" t="n"/>
    </row>
    <row r="29" ht="24" customHeight="1">
      <c r="A29" s="55" t="inlineStr">
        <is>
          <t>ZT</t>
        </is>
      </c>
      <c r="B29" s="56" t="inlineStr">
        <is>
          <t>NOM DU SIGNATAIRE DES ETATS FINANCIERS</t>
        </is>
      </c>
      <c r="C29" s="57" t="n"/>
      <c r="D29" s="57" t="n"/>
      <c r="E29" s="57" t="n"/>
      <c r="F29" s="57" t="n"/>
      <c r="G29" s="58" t="inlineStr"/>
      <c r="H29" s="57" t="n"/>
      <c r="I29" s="57" t="n"/>
      <c r="J29" s="57" t="n"/>
    </row>
    <row r="30" ht="24" customHeight="1">
      <c r="A30" s="55" t="inlineStr">
        <is>
          <t>ZU</t>
        </is>
      </c>
      <c r="B30" s="56" t="inlineStr">
        <is>
          <t>QUALITE DU SIGNATAIRE DES ETATS FINANCIERS</t>
        </is>
      </c>
      <c r="C30" s="57" t="n"/>
      <c r="D30" s="57" t="n"/>
      <c r="E30" s="57" t="n"/>
      <c r="F30" s="57" t="n"/>
      <c r="G30" s="58" t="inlineStr"/>
      <c r="H30" s="57" t="n"/>
      <c r="I30" s="57" t="n"/>
      <c r="J30" s="57" t="n"/>
    </row>
    <row r="31" ht="24" customHeight="1">
      <c r="A31" s="55" t="inlineStr">
        <is>
          <t>ZV</t>
        </is>
      </c>
      <c r="B31" s="56" t="inlineStr">
        <is>
          <t>DATE DE SIGNATURE</t>
        </is>
      </c>
      <c r="C31" s="57" t="n"/>
      <c r="D31" s="57" t="n"/>
      <c r="E31" s="57" t="n"/>
      <c r="F31" s="57" t="n"/>
      <c r="G31" s="58" t="inlineStr"/>
      <c r="H31" s="57" t="n"/>
      <c r="I31" s="57" t="n"/>
      <c r="J31" s="57" t="n"/>
    </row>
    <row r="32" ht="24" customHeight="1">
      <c r="A32" s="55" t="inlineStr">
        <is>
          <t>ZW</t>
        </is>
      </c>
      <c r="B32" s="56" t="inlineStr">
        <is>
          <t>DOMICILIATIONS BANCAIRES (BANQUE ET NUMERO DE COMPTE)</t>
        </is>
      </c>
      <c r="C32" s="57" t="n"/>
      <c r="D32" s="57" t="n"/>
      <c r="E32" s="57" t="n"/>
      <c r="F32" s="57" t="n"/>
      <c r="G32" s="58" t="inlineStr"/>
      <c r="H32" s="57" t="n"/>
      <c r="I32" s="57" t="n"/>
      <c r="J32" s="57" t="n"/>
    </row>
    <row r="33"/>
    <row r="34">
      <c r="B34" s="59" t="inlineStr">
        <is>
          <t>Signature</t>
        </is>
      </c>
      <c r="C34" s="60" t="n"/>
      <c r="D34" s="60" t="n"/>
      <c r="E34" s="60" t="n"/>
    </row>
  </sheetData>
  <mergeCells count="51">
    <mergeCell ref="A8:J8"/>
    <mergeCell ref="G26:J26"/>
    <mergeCell ref="B16:F16"/>
    <mergeCell ref="I2:J2"/>
    <mergeCell ref="B25:F25"/>
    <mergeCell ref="G20:J20"/>
    <mergeCell ref="G29:J29"/>
    <mergeCell ref="B31:F31"/>
    <mergeCell ref="G16:J16"/>
    <mergeCell ref="B22:F22"/>
    <mergeCell ref="G25:J25"/>
    <mergeCell ref="B18:F18"/>
    <mergeCell ref="B27:F27"/>
    <mergeCell ref="G32:J32"/>
    <mergeCell ref="B21:F21"/>
    <mergeCell ref="G22:J22"/>
    <mergeCell ref="B12:F12"/>
    <mergeCell ref="G31:J31"/>
    <mergeCell ref="B11:F11"/>
    <mergeCell ref="G12:J12"/>
    <mergeCell ref="G21:J21"/>
    <mergeCell ref="B23:F23"/>
    <mergeCell ref="B14:F14"/>
    <mergeCell ref="G11:J11"/>
    <mergeCell ref="G27:J27"/>
    <mergeCell ref="B17:F17"/>
    <mergeCell ref="B13:F13"/>
    <mergeCell ref="B29:F29"/>
    <mergeCell ref="G17:J17"/>
    <mergeCell ref="G23:J23"/>
    <mergeCell ref="B10:F10"/>
    <mergeCell ref="B28:F28"/>
    <mergeCell ref="B19:F19"/>
    <mergeCell ref="B4:G4"/>
    <mergeCell ref="A7:J7"/>
    <mergeCell ref="G19:J19"/>
    <mergeCell ref="G10:J10"/>
    <mergeCell ref="G28:J28"/>
    <mergeCell ref="B30:F30"/>
    <mergeCell ref="G13:J13"/>
    <mergeCell ref="G18:J18"/>
    <mergeCell ref="B24:F24"/>
    <mergeCell ref="B20:F20"/>
    <mergeCell ref="B15:F15"/>
    <mergeCell ref="G24:J24"/>
    <mergeCell ref="G30:J30"/>
    <mergeCell ref="G15:J15"/>
    <mergeCell ref="B34:E34"/>
    <mergeCell ref="B32:F32"/>
    <mergeCell ref="B26:F26"/>
    <mergeCell ref="G14:J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3" customWidth="1" min="5" max="5"/>
    <col width="8" customWidth="1" min="6" max="6"/>
    <col width="8" customWidth="1" min="7" max="7"/>
    <col width="11" customWidth="1" min="8" max="8"/>
    <col width="11" customWidth="1" min="9" max="9"/>
    <col width="11" customWidth="1" min="10" max="10"/>
  </cols>
  <sheetData>
    <row r="1" ht="12" customHeight="1">
      <c r="A1" s="48" t="inlineStr">
        <is>
          <t>- 2 -</t>
        </is>
      </c>
    </row>
    <row r="2" ht="26" customHeight="1">
      <c r="I2" s="49" t="inlineStr">
        <is>
          <t>FICHE 2</t>
        </is>
      </c>
      <c r="J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F4" s="39" t="n"/>
      <c r="G4" s="39" t="n"/>
      <c r="I4" s="52" t="inlineStr">
        <is>
          <t>Sigle usuel :</t>
        </is>
      </c>
      <c r="J4" s="51" t="inlineStr"/>
    </row>
    <row r="5" ht="15" customHeight="1">
      <c r="A5" s="37" t="inlineStr">
        <is>
          <t>N° de compte contribuable (NCC) : ASBL-0093</t>
        </is>
      </c>
      <c r="G5" s="37" t="inlineStr">
        <is>
          <t>Exercice clos le 31-12-2025</t>
        </is>
      </c>
      <c r="I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61" t="inlineStr">
        <is>
          <t>FICHE D'IDENTIFICATION ET RENSEIGNEMENTS DIVERS</t>
        </is>
      </c>
    </row>
    <row r="8">
      <c r="A8" s="62" t="inlineStr">
        <is>
          <t>EQUIPE DE L'ENTITE A BUT NON LUCRATIF</t>
        </is>
      </c>
    </row>
    <row r="9"/>
    <row r="10" ht="34" customHeight="1">
      <c r="A10" s="1" t="inlineStr">
        <is>
          <t>Nom et Prénoms</t>
        </is>
      </c>
      <c r="B10" s="2" t="n"/>
      <c r="C10" s="2" t="inlineStr">
        <is>
          <t>Nationalité</t>
        </is>
      </c>
      <c r="D10" s="2" t="inlineStr">
        <is>
          <t>Autres nationalités (à préciser) (2)</t>
        </is>
      </c>
      <c r="E10" s="2" t="inlineStr">
        <is>
          <t>Qualité</t>
        </is>
      </c>
      <c r="F10" s="2" t="inlineStr">
        <is>
          <t>N° d'identification fiscale</t>
        </is>
      </c>
      <c r="G10" s="2" t="n"/>
      <c r="H10" s="2" t="inlineStr">
        <is>
          <t>Adresse (BP, ville, pays, adresse géographique et adresse e-mail)</t>
        </is>
      </c>
      <c r="I10" s="2" t="n"/>
      <c r="J10" s="3" t="n"/>
    </row>
    <row r="11" ht="26" customHeight="1">
      <c r="A11" s="45" t="n"/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</row>
    <row r="12" ht="26" customHeight="1">
      <c r="A12" s="45" t="n"/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</row>
    <row r="13" ht="26" customHeight="1">
      <c r="A13" s="45" t="n"/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</row>
    <row r="14" ht="26" customHeight="1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</row>
    <row r="15" ht="26" customHeight="1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</row>
    <row r="16" ht="26" customHeight="1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</row>
    <row r="17" ht="26" customHeight="1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</row>
    <row r="18" ht="26" customHeight="1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</row>
    <row r="19" ht="26" customHeight="1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</row>
    <row r="20" ht="26" customHeight="1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</row>
    <row r="21" ht="26" customHeight="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</row>
    <row r="22" ht="26" customHeight="1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</row>
    <row r="23" ht="26" customHeight="1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</row>
    <row r="24" ht="26" customHeight="1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</row>
    <row r="25" ht="26" customHeight="1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</row>
    <row r="26" ht="26" customHeight="1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</row>
    <row r="27" ht="26" customHeight="1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</row>
    <row r="28" ht="26" customHeight="1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</row>
    <row r="29" ht="26" customHeight="1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</row>
    <row r="30" ht="26" customHeight="1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</row>
    <row r="31"/>
    <row r="32">
      <c r="A32" s="63" t="inlineStr">
        <is>
          <t>(2) Mentionner les autres nationalités le cas échéant.</t>
        </is>
      </c>
    </row>
  </sheetData>
  <mergeCells count="67">
    <mergeCell ref="F11:G11"/>
    <mergeCell ref="A24:B24"/>
    <mergeCell ref="A30:B30"/>
    <mergeCell ref="A8:J8"/>
    <mergeCell ref="A15:B15"/>
    <mergeCell ref="F29:G29"/>
    <mergeCell ref="F10:G10"/>
    <mergeCell ref="F16:G16"/>
    <mergeCell ref="I2:J2"/>
    <mergeCell ref="A11:B11"/>
    <mergeCell ref="F19:G19"/>
    <mergeCell ref="F25:G25"/>
    <mergeCell ref="H17:J17"/>
    <mergeCell ref="H11:J11"/>
    <mergeCell ref="H16:J16"/>
    <mergeCell ref="F21:G21"/>
    <mergeCell ref="F12:G12"/>
    <mergeCell ref="A16:B16"/>
    <mergeCell ref="F24:G24"/>
    <mergeCell ref="F30:G30"/>
    <mergeCell ref="F15:G15"/>
    <mergeCell ref="H22:J22"/>
    <mergeCell ref="A25:B25"/>
    <mergeCell ref="H28:J28"/>
    <mergeCell ref="H13:J13"/>
    <mergeCell ref="H19:J19"/>
    <mergeCell ref="F20:G20"/>
    <mergeCell ref="F18:G18"/>
    <mergeCell ref="H27:J27"/>
    <mergeCell ref="H12:J12"/>
    <mergeCell ref="A18:B18"/>
    <mergeCell ref="F26:G26"/>
    <mergeCell ref="A27:B27"/>
    <mergeCell ref="F17:G17"/>
    <mergeCell ref="A12:B12"/>
    <mergeCell ref="H15:J15"/>
    <mergeCell ref="A26:B26"/>
    <mergeCell ref="A21:B21"/>
    <mergeCell ref="H24:J24"/>
    <mergeCell ref="H18:J18"/>
    <mergeCell ref="H14:J14"/>
    <mergeCell ref="H23:J23"/>
    <mergeCell ref="F23:G23"/>
    <mergeCell ref="H30:J30"/>
    <mergeCell ref="B4:G4"/>
    <mergeCell ref="A7:J7"/>
    <mergeCell ref="A14:B14"/>
    <mergeCell ref="F22:G22"/>
    <mergeCell ref="F28:G28"/>
    <mergeCell ref="F13:G13"/>
    <mergeCell ref="A17:B17"/>
    <mergeCell ref="A23:B23"/>
    <mergeCell ref="H26:J26"/>
    <mergeCell ref="F27:G27"/>
    <mergeCell ref="H29:J29"/>
    <mergeCell ref="A22:B22"/>
    <mergeCell ref="H20:J20"/>
    <mergeCell ref="A20:B20"/>
    <mergeCell ref="H10:J10"/>
    <mergeCell ref="A29:B29"/>
    <mergeCell ref="A19:B19"/>
    <mergeCell ref="A10:B10"/>
    <mergeCell ref="A28:B28"/>
    <mergeCell ref="A13:B13"/>
    <mergeCell ref="F14:G14"/>
    <mergeCell ref="H25:J25"/>
    <mergeCell ref="H21:J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6" customWidth="1" min="3" max="3"/>
    <col width="13.5" customWidth="1" min="4" max="4"/>
    <col width="13.5" customWidth="1" min="5" max="5"/>
    <col width="5" customWidth="1" min="6" max="6"/>
    <col width="34" customWidth="1" min="7" max="7"/>
    <col width="6" customWidth="1" min="8" max="8"/>
    <col width="13.5" customWidth="1" min="9" max="9"/>
    <col width="13.5" customWidth="1" min="10" max="10"/>
  </cols>
  <sheetData>
    <row r="1" ht="12" customHeight="1">
      <c r="A1" s="48" t="inlineStr">
        <is>
          <t>- 3 -</t>
        </is>
      </c>
    </row>
    <row r="2" ht="26" customHeight="1">
      <c r="I2" s="49" t="inlineStr">
        <is>
          <t>BILAN SYCEBNL - SMT
PAGE 1/1</t>
        </is>
      </c>
      <c r="J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F4" s="39" t="n"/>
      <c r="G4" s="39" t="n"/>
      <c r="I4" s="52" t="inlineStr">
        <is>
          <t>Sigle usuel :</t>
        </is>
      </c>
      <c r="J4" s="51" t="inlineStr"/>
    </row>
    <row r="5" ht="15" customHeight="1">
      <c r="A5" s="37" t="inlineStr">
        <is>
          <t>N° de compte contribuable (NCC) : ASBL-0093</t>
        </is>
      </c>
      <c r="G5" s="37" t="inlineStr">
        <is>
          <t>Exercice clos le 31-12-2025</t>
        </is>
      </c>
      <c r="I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C7" s="64" t="inlineStr">
        <is>
          <t>BILAN</t>
        </is>
      </c>
      <c r="D7" s="65" t="n"/>
      <c r="E7" s="65" t="n"/>
      <c r="F7" s="65" t="n"/>
      <c r="G7" s="65" t="n"/>
      <c r="H7" s="65" t="n"/>
    </row>
    <row r="8" ht="24" customHeight="1">
      <c r="A8" s="66" t="inlineStr">
        <is>
          <t>REF</t>
        </is>
      </c>
      <c r="B8" s="67" t="inlineStr">
        <is>
          <t>ACTIF</t>
        </is>
      </c>
      <c r="C8" s="67" t="inlineStr">
        <is>
          <t>NOTE</t>
        </is>
      </c>
      <c r="D8" s="67" t="inlineStr">
        <is>
          <t>EXERCICE N</t>
        </is>
      </c>
      <c r="E8" s="68" t="inlineStr">
        <is>
          <t>EXERCICE N-1</t>
        </is>
      </c>
      <c r="F8" s="66" t="inlineStr">
        <is>
          <t>REF</t>
        </is>
      </c>
      <c r="G8" s="67" t="inlineStr">
        <is>
          <t>PASSIF</t>
        </is>
      </c>
      <c r="H8" s="67" t="inlineStr">
        <is>
          <t>NOTE</t>
        </is>
      </c>
      <c r="I8" s="67" t="inlineStr">
        <is>
          <t>EXERCICE N</t>
        </is>
      </c>
      <c r="J8" s="68" t="inlineStr">
        <is>
          <t>EXERCICE N-1</t>
        </is>
      </c>
    </row>
    <row r="9" ht="24" customHeight="1">
      <c r="A9" s="69" t="n"/>
      <c r="B9" s="70" t="n"/>
      <c r="C9" s="70" t="n"/>
      <c r="D9" s="70" t="n"/>
      <c r="E9" s="71" t="n"/>
      <c r="F9" s="69" t="n"/>
      <c r="G9" s="70" t="n"/>
      <c r="H9" s="70" t="n"/>
      <c r="I9" s="70" t="n"/>
      <c r="J9" s="71" t="n"/>
    </row>
    <row r="10" ht="18" customHeight="1">
      <c r="A10" s="72" t="inlineStr">
        <is>
          <t>GA</t>
        </is>
      </c>
      <c r="B10" s="73" t="inlineStr">
        <is>
          <t>Immobilisations (1)</t>
        </is>
      </c>
      <c r="C10" s="73" t="inlineStr">
        <is>
          <t>1</t>
        </is>
      </c>
      <c r="D10" s="74">
        <f>'Bilan-Actif'!D9</f>
        <v/>
      </c>
      <c r="E10" s="75">
        <f>'Bilan-Actif'!E9</f>
        <v/>
      </c>
      <c r="F10" s="72" t="inlineStr">
        <is>
          <t>HA</t>
        </is>
      </c>
      <c r="G10" s="73" t="inlineStr">
        <is>
          <t>Dotations</t>
        </is>
      </c>
      <c r="H10" s="73" t="inlineStr">
        <is>
          <t>5</t>
        </is>
      </c>
      <c r="I10" s="74">
        <f>'Bilan-Passif'!D9</f>
        <v/>
      </c>
      <c r="J10" s="75">
        <f>'Bilan-Passif'!E9</f>
        <v/>
      </c>
    </row>
    <row r="11" ht="18" customHeight="1">
      <c r="A11" s="72" t="inlineStr">
        <is>
          <t>GB</t>
        </is>
      </c>
      <c r="B11" s="73" t="inlineStr">
        <is>
          <t>Stocks</t>
        </is>
      </c>
      <c r="C11" s="73" t="inlineStr">
        <is>
          <t>2</t>
        </is>
      </c>
      <c r="D11" s="74">
        <f>'Bilan-Actif'!D10</f>
        <v/>
      </c>
      <c r="E11" s="75">
        <f>'Bilan-Actif'!E10</f>
        <v/>
      </c>
      <c r="F11" s="72" t="inlineStr">
        <is>
          <t>HB</t>
        </is>
      </c>
      <c r="G11" s="73" t="inlineStr">
        <is>
          <t>Résultat net de l'exercice (en + ou en -)</t>
        </is>
      </c>
      <c r="H11" s="73" t="inlineStr"/>
      <c r="I11" s="74">
        <f>'Bilan-Passif'!D10</f>
        <v/>
      </c>
      <c r="J11" s="75">
        <f>'Bilan-Passif'!E10</f>
        <v/>
      </c>
    </row>
    <row r="12" ht="18" customHeight="1">
      <c r="A12" s="72" t="inlineStr">
        <is>
          <t>GC</t>
        </is>
      </c>
      <c r="B12" s="73" t="inlineStr">
        <is>
          <t>Adhérents, clients-usagers et autres débiteurs</t>
        </is>
      </c>
      <c r="C12" s="73" t="inlineStr">
        <is>
          <t>3</t>
        </is>
      </c>
      <c r="D12" s="74">
        <f>'Bilan-Actif'!D11</f>
        <v/>
      </c>
      <c r="E12" s="75">
        <f>'Bilan-Actif'!E11</f>
        <v/>
      </c>
      <c r="F12" s="72" t="inlineStr">
        <is>
          <t>HC</t>
        </is>
      </c>
      <c r="G12" s="73" t="inlineStr">
        <is>
          <t>Autres fonds propres</t>
        </is>
      </c>
      <c r="H12" s="73" t="inlineStr"/>
      <c r="I12" s="74">
        <f>'Bilan-Passif'!D11</f>
        <v/>
      </c>
      <c r="J12" s="75">
        <f>'Bilan-Passif'!E11</f>
        <v/>
      </c>
    </row>
    <row r="13" ht="18" customHeight="1">
      <c r="A13" s="72" t="inlineStr">
        <is>
          <t>GD</t>
        </is>
      </c>
      <c r="B13" s="73" t="inlineStr">
        <is>
          <t>Caisse</t>
        </is>
      </c>
      <c r="C13" s="73" t="inlineStr">
        <is>
          <t>4</t>
        </is>
      </c>
      <c r="D13" s="74">
        <f>'Bilan-Actif'!D12</f>
        <v/>
      </c>
      <c r="E13" s="75">
        <f>'Bilan-Actif'!E12</f>
        <v/>
      </c>
      <c r="F13" s="72" t="inlineStr">
        <is>
          <t>HD</t>
        </is>
      </c>
      <c r="G13" s="73" t="inlineStr">
        <is>
          <t>Fournisseurs et autres créditeurs</t>
        </is>
      </c>
      <c r="H13" s="73" t="inlineStr">
        <is>
          <t>3</t>
        </is>
      </c>
      <c r="I13" s="74">
        <f>'Bilan-Passif'!D12</f>
        <v/>
      </c>
      <c r="J13" s="75">
        <f>'Bilan-Passif'!E12</f>
        <v/>
      </c>
    </row>
    <row r="14" ht="18" customHeight="1">
      <c r="A14" s="72" t="inlineStr">
        <is>
          <t>GE</t>
        </is>
      </c>
      <c r="B14" s="73" t="inlineStr">
        <is>
          <t>Banque (en + ou en -)</t>
        </is>
      </c>
      <c r="C14" s="73" t="inlineStr">
        <is>
          <t>4</t>
        </is>
      </c>
      <c r="D14" s="74">
        <f>'Bilan-Actif'!D13</f>
        <v/>
      </c>
      <c r="E14" s="75">
        <f>'Bilan-Actif'!E13</f>
        <v/>
      </c>
      <c r="F14" s="76" t="inlineStr">
        <is>
          <t>HZ</t>
        </is>
      </c>
      <c r="G14" s="77" t="inlineStr">
        <is>
          <t>TOTAL PASSIF</t>
        </is>
      </c>
      <c r="H14" s="77" t="n"/>
      <c r="I14" s="78">
        <f>'Bilan-Passif'!D13</f>
        <v/>
      </c>
      <c r="J14" s="79">
        <f>'Bilan-Passif'!E13</f>
        <v/>
      </c>
    </row>
    <row r="15" ht="18" customHeight="1">
      <c r="A15" s="76" t="inlineStr">
        <is>
          <t>GZ</t>
        </is>
      </c>
      <c r="B15" s="77" t="inlineStr">
        <is>
          <t>TOTAL ACTIF</t>
        </is>
      </c>
      <c r="C15" s="77" t="n"/>
      <c r="D15" s="78">
        <f>'Bilan-Actif'!D14</f>
        <v/>
      </c>
      <c r="E15" s="79">
        <f>'Bilan-Actif'!E14</f>
        <v/>
      </c>
      <c r="F15" s="15" t="n"/>
      <c r="G15" s="28" t="n"/>
      <c r="H15" s="28" t="n"/>
      <c r="I15" s="28" t="n"/>
      <c r="J15" s="29" t="n"/>
    </row>
  </sheetData>
  <mergeCells count="13">
    <mergeCell ref="A8:A9"/>
    <mergeCell ref="E8:E9"/>
    <mergeCell ref="C8:C9"/>
    <mergeCell ref="H8:H9"/>
    <mergeCell ref="F8:F9"/>
    <mergeCell ref="G8:G9"/>
    <mergeCell ref="I8:I9"/>
    <mergeCell ref="I2:J2"/>
    <mergeCell ref="J8:J9"/>
    <mergeCell ref="D8:D9"/>
    <mergeCell ref="B4:G4"/>
    <mergeCell ref="B8:B9"/>
    <mergeCell ref="C7:H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6.5" customWidth="1" min="3" max="3"/>
    <col width="15.7" customWidth="1" min="4" max="4"/>
    <col width="15.7" customWidth="1" min="5" max="5"/>
  </cols>
  <sheetData>
    <row r="1" ht="12" customHeight="1">
      <c r="A1" s="48" t="inlineStr">
        <is>
          <t>- 4 -</t>
        </is>
      </c>
    </row>
    <row r="2" ht="26" customHeight="1">
      <c r="D2" s="49" t="inlineStr">
        <is>
          <t>BILAN SYCEBNL - SMT
PAGE 1/2</t>
        </is>
      </c>
      <c r="E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/>
    </row>
    <row r="5" ht="15" customHeight="1">
      <c r="A5" s="37" t="inlineStr">
        <is>
          <t>N° de compte contribuable (NCC) : ASBL-0093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64" t="inlineStr">
        <is>
          <t>BILAN</t>
        </is>
      </c>
      <c r="B7" s="65" t="n"/>
      <c r="C7" s="65" t="n"/>
      <c r="D7" s="65" t="n"/>
      <c r="E7" s="65" t="n"/>
    </row>
    <row r="8" ht="22" customHeight="1">
      <c r="A8" s="1" t="inlineStr">
        <is>
          <t>REF</t>
        </is>
      </c>
      <c r="B8" s="2" t="inlineStr">
        <is>
          <t>ACTIF</t>
        </is>
      </c>
      <c r="C8" s="2" t="inlineStr">
        <is>
          <t>NOTE</t>
        </is>
      </c>
      <c r="D8" s="2" t="inlineStr">
        <is>
          <t>EXERCICE N</t>
        </is>
      </c>
      <c r="E8" s="3" t="inlineStr">
        <is>
          <t>EXERCICE N-1</t>
        </is>
      </c>
    </row>
    <row r="9" ht="22" customHeight="1">
      <c r="A9" s="72" t="inlineStr">
        <is>
          <t>GA</t>
        </is>
      </c>
      <c r="B9" s="73" t="inlineStr">
        <is>
          <t>Immobilisations (1)</t>
        </is>
      </c>
      <c r="C9" s="73" t="inlineStr">
        <is>
          <t>1</t>
        </is>
      </c>
      <c r="D9" s="74">
        <f>SUMIF('BALANCE N'!$A$2:$A$50,"2*",'BALANCE N'!$F$2:$F$50)-SUMIF('BALANCE N'!$A$2:$A$50,"2*",'BALANCE N'!$G$2:$G$50)</f>
        <v/>
      </c>
      <c r="E9" s="75" t="n"/>
    </row>
    <row r="10" ht="22" customHeight="1">
      <c r="A10" s="72" t="inlineStr">
        <is>
          <t>GB</t>
        </is>
      </c>
      <c r="B10" s="73" t="inlineStr">
        <is>
          <t>Stocks</t>
        </is>
      </c>
      <c r="C10" s="73" t="inlineStr">
        <is>
          <t>2</t>
        </is>
      </c>
      <c r="D10" s="74">
        <f>SUMIF('BALANCE N'!$A$2:$A$50,"3*",'BALANCE N'!$F$2:$F$50)-SUMIF('BALANCE N'!$A$2:$A$50,"3*",'BALANCE N'!$G$2:$G$50)</f>
        <v/>
      </c>
      <c r="E10" s="75" t="n"/>
    </row>
    <row r="11" ht="22" customHeight="1">
      <c r="A11" s="72" t="inlineStr">
        <is>
          <t>GC</t>
        </is>
      </c>
      <c r="B11" s="73" t="inlineStr">
        <is>
          <t>Adhérents, clients-usagers et autres débiteurs</t>
        </is>
      </c>
      <c r="C11" s="73" t="inlineStr">
        <is>
          <t>3</t>
        </is>
      </c>
      <c r="D11" s="74">
        <f>SUMIF('BALANCE N'!$A$2:$A$50,"4*",'BALANCE N'!$F$2:$F$50)-(SUMIF('BALANCE N'!$A$2:$A$50,"49*",'BALANCE N'!$G$2:$G$50)+SUMIF('BALANCE N'!$A$2:$A$50,"590*",'BALANCE N'!$G$2:$G$50)+SUMIF('BALANCE N'!$A$2:$A$50,"591*",'BALANCE N'!$G$2:$G$50))+(SUMIF('BALANCE N'!$A$2:$A$50,"50*",'BALANCE N'!$F$2:$F$50)-SUMIF('BALANCE N'!$A$2:$A$50,"50*",'BALANCE N'!$G$2:$G$50)+SUMIF('BALANCE N'!$A$2:$A$50,"51*",'BALANCE N'!$F$2:$F$50)-SUMIF('BALANCE N'!$A$2:$A$50,"51*",'BALANCE N'!$G$2:$G$50))</f>
        <v/>
      </c>
      <c r="E11" s="75" t="n"/>
    </row>
    <row r="12" ht="22" customHeight="1">
      <c r="A12" s="72" t="inlineStr">
        <is>
          <t>GD</t>
        </is>
      </c>
      <c r="B12" s="73" t="inlineStr">
        <is>
          <t>Caisse</t>
        </is>
      </c>
      <c r="C12" s="73" t="inlineStr">
        <is>
          <t>4</t>
        </is>
      </c>
      <c r="D12" s="74">
        <f>SUMIF('BALANCE N'!$A$2:$A$50,"57*",'BALANCE N'!$F$2:$F$50)-SUMIF('BALANCE N'!$A$2:$A$50,"57*",'BALANCE N'!$G$2:$G$50)</f>
        <v/>
      </c>
      <c r="E12" s="75" t="n"/>
    </row>
    <row r="13" ht="22" customHeight="1">
      <c r="A13" s="72" t="inlineStr">
        <is>
          <t>GE</t>
        </is>
      </c>
      <c r="B13" s="73" t="inlineStr">
        <is>
          <t>Banque (en + ou en -)</t>
        </is>
      </c>
      <c r="C13" s="73" t="inlineStr">
        <is>
          <t>4</t>
        </is>
      </c>
      <c r="D13" s="74">
        <f>SUMIF('BALANCE N'!$A$2:$A$50,"53*",'BALANCE N'!$F$2:$F$50)-SUMIF('BALANCE N'!$A$2:$A$50,"53*",'BALANCE N'!$G$2:$G$50)+SUMIF('BALANCE N'!$A$2:$A$50,"56*",'BALANCE N'!$F$2:$F$50)-SUMIF('BALANCE N'!$A$2:$A$50,"56*",'BALANCE N'!$G$2:$G$50)+SUMIF('BALANCE N'!$A$2:$A$50,"58*",'BALANCE N'!$F$2:$F$50)-SUMIF('BALANCE N'!$A$2:$A$50,"58*",'BALANCE N'!$G$2:$G$50)+SUMIF('BALANCE N'!$A$2:$A$50,"52*",'BALANCE N'!$F$2:$F$50)-SUMIF('BALANCE N'!$A$2:$A$50,"52*",'BALANCE N'!$G$2:$G$50)+SUMIF('BALANCE N'!$A$2:$A$50,"55*",'BALANCE N'!$F$2:$F$50)-SUMIF('BALANCE N'!$A$2:$A$50,"55*",'BALANCE N'!$G$2:$G$50)-(SUMIF('BALANCE N'!$A$2:$A$50,"593*",'BALANCE N'!$G$2:$G$50)+SUMIF('BALANCE N'!$A$2:$A$50,"595*",'BALANCE N'!$G$2:$G$50)+SUMIF('BALANCE N'!$A$2:$A$50,"592*",'BALANCE N'!$G$2:$G$50))</f>
        <v/>
      </c>
      <c r="E13" s="75" t="n"/>
    </row>
    <row r="14" ht="22" customHeight="1">
      <c r="A14" s="76" t="inlineStr">
        <is>
          <t>GZ</t>
        </is>
      </c>
      <c r="B14" s="77" t="inlineStr">
        <is>
          <t>TOTAL ACTIF</t>
        </is>
      </c>
      <c r="C14" s="77" t="n"/>
      <c r="D14" s="78">
        <f>SUM(D9:D13)</f>
        <v/>
      </c>
      <c r="E14" s="79" t="n"/>
    </row>
    <row r="15"/>
    <row r="16">
      <c r="A16" s="37" t="inlineStr">
        <is>
          <t>(1) à faire figurer sur l'état de situation si montants significatifs (Partie 4, ch. 4).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6.5" customWidth="1" min="3" max="3"/>
    <col width="15.7" customWidth="1" min="4" max="4"/>
    <col width="15.7" customWidth="1" min="5" max="5"/>
  </cols>
  <sheetData>
    <row r="1" ht="12" customHeight="1">
      <c r="A1" s="48" t="inlineStr">
        <is>
          <t>- 5 -</t>
        </is>
      </c>
    </row>
    <row r="2" ht="26" customHeight="1">
      <c r="D2" s="49" t="inlineStr">
        <is>
          <t>BILAN SYCEBNL - SMT
PAGE 2/2</t>
        </is>
      </c>
      <c r="E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/>
    </row>
    <row r="5" ht="15" customHeight="1">
      <c r="A5" s="37" t="inlineStr">
        <is>
          <t>N° de compte contribuable (NCC) : ASBL-0093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64" t="inlineStr">
        <is>
          <t>BILAN</t>
        </is>
      </c>
      <c r="B7" s="65" t="n"/>
      <c r="C7" s="65" t="n"/>
      <c r="D7" s="65" t="n"/>
      <c r="E7" s="65" t="n"/>
    </row>
    <row r="8" ht="22" customHeight="1">
      <c r="A8" s="1" t="inlineStr">
        <is>
          <t>REF</t>
        </is>
      </c>
      <c r="B8" s="2" t="inlineStr">
        <is>
          <t>PASSIF</t>
        </is>
      </c>
      <c r="C8" s="2" t="inlineStr">
        <is>
          <t>NOTE</t>
        </is>
      </c>
      <c r="D8" s="2" t="inlineStr">
        <is>
          <t>EXERCICE N</t>
        </is>
      </c>
      <c r="E8" s="3" t="inlineStr">
        <is>
          <t>EXERCICE N-1</t>
        </is>
      </c>
    </row>
    <row r="9" ht="22" customHeight="1">
      <c r="A9" s="72" t="inlineStr">
        <is>
          <t>HA</t>
        </is>
      </c>
      <c r="B9" s="73" t="inlineStr">
        <is>
          <t>Dotations</t>
        </is>
      </c>
      <c r="C9" s="73" t="inlineStr">
        <is>
          <t>5</t>
        </is>
      </c>
      <c r="D9" s="74">
        <f>SUMIF('BALANCE N'!$A$2:$A$50,"10*",'BALANCE N'!$G$2:$G$50)-SUMIF('BALANCE N'!$A$2:$A$50,"10*",'BALANCE N'!$F$2:$F$50)</f>
        <v/>
      </c>
      <c r="E9" s="75" t="n"/>
    </row>
    <row r="10" ht="22" customHeight="1">
      <c r="A10" s="72" t="inlineStr">
        <is>
          <t>HB</t>
        </is>
      </c>
      <c r="B10" s="73" t="inlineStr">
        <is>
          <t>Résultat net de l'exercice (en + ou en -)</t>
        </is>
      </c>
      <c r="C10" s="73" t="inlineStr"/>
      <c r="D10" s="74">
        <f>'Résultat'!D24+(SUMIF('BALANCE N'!$A$2:$A$50,"13*",'BALANCE N'!$G$2:$G$50)-SUMIF('BALANCE N'!$A$2:$A$50,"13*",'BALANCE N'!$F$2:$F$50))</f>
        <v/>
      </c>
      <c r="E10" s="75" t="n"/>
    </row>
    <row r="11" ht="22" customHeight="1">
      <c r="A11" s="72" t="inlineStr">
        <is>
          <t>HC</t>
        </is>
      </c>
      <c r="B11" s="73" t="inlineStr">
        <is>
          <t>Autres fonds propres</t>
        </is>
      </c>
      <c r="C11" s="73" t="inlineStr"/>
      <c r="D11" s="74">
        <f>SUMIF('BALANCE N'!$A$2:$A$50,"17*",'BALANCE N'!$G$2:$G$50)-SUMIF('BALANCE N'!$A$2:$A$50,"17*",'BALANCE N'!$F$2:$F$50)+SUMIF('BALANCE N'!$A$2:$A$50,"19*",'BALANCE N'!$G$2:$G$50)-SUMIF('BALANCE N'!$A$2:$A$50,"19*",'BALANCE N'!$F$2:$F$50)+SUMIF('BALANCE N'!$A$2:$A$50,"12*",'BALANCE N'!$G$2:$G$50)-SUMIF('BALANCE N'!$A$2:$A$50,"12*",'BALANCE N'!$F$2:$F$50)+SUMIF('BALANCE N'!$A$2:$A$50,"16*",'BALANCE N'!$G$2:$G$50)-SUMIF('BALANCE N'!$A$2:$A$50,"16*",'BALANCE N'!$F$2:$F$50)+SUMIF('BALANCE N'!$A$2:$A$50,"11*",'BALANCE N'!$G$2:$G$50)-SUMIF('BALANCE N'!$A$2:$A$50,"11*",'BALANCE N'!$F$2:$F$50)+SUMIF('BALANCE N'!$A$2:$A$50,"14*",'BALANCE N'!$G$2:$G$50)-SUMIF('BALANCE N'!$A$2:$A$50,"14*",'BALANCE N'!$F$2:$F$50)+SUMIF('BALANCE N'!$A$2:$A$50,"15*",'BALANCE N'!$G$2:$G$50)-SUMIF('BALANCE N'!$A$2:$A$50,"15*",'BALANCE N'!$F$2:$F$50)+SUMIF('BALANCE N'!$A$2:$A$50,"18*",'BALANCE N'!$G$2:$G$50)-SUMIF('BALANCE N'!$A$2:$A$50,"18*",'BALANCE N'!$F$2:$F$50)</f>
        <v/>
      </c>
      <c r="E11" s="75" t="n"/>
    </row>
    <row r="12" ht="22" customHeight="1">
      <c r="A12" s="72" t="inlineStr">
        <is>
          <t>HD</t>
        </is>
      </c>
      <c r="B12" s="73" t="inlineStr">
        <is>
          <t>Fournisseurs et autres créditeurs</t>
        </is>
      </c>
      <c r="C12" s="73" t="inlineStr">
        <is>
          <t>3</t>
        </is>
      </c>
      <c r="D12" s="74">
        <f>SUMIF('BALANCE N'!$A$2:$A$50,"4*",'BALANCE N'!$G$2:$G$50)-SUMIF('BALANCE N'!$A$2:$A$50,"49*",'BALANCE N'!$G$2:$G$50)+(SUMIF('BALANCE N'!$A$2:$A$50,"599*",'BALANCE N'!$G$2:$G$50)-SUMIF('BALANCE N'!$A$2:$A$50,"599*",'BALANCE N'!$F$2:$F$50))</f>
        <v/>
      </c>
      <c r="E12" s="75" t="n"/>
    </row>
    <row r="13" ht="22" customHeight="1">
      <c r="A13" s="76" t="inlineStr">
        <is>
          <t>HZ</t>
        </is>
      </c>
      <c r="B13" s="77" t="inlineStr">
        <is>
          <t>TOTAL PASSIF</t>
        </is>
      </c>
      <c r="C13" s="77" t="n"/>
      <c r="D13" s="78">
        <f>SUM(D9:D12)</f>
        <v/>
      </c>
      <c r="E13" s="79" t="n"/>
    </row>
    <row r="14"/>
    <row r="15">
      <c r="A15" s="37" t="inlineStr">
        <is>
          <t>Autres fonds propres : réserves, report à nouveau, subventions, fonds affectés/reportés, emprunts et provisions (le modèle SMT ne les distingue pas).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.5" customWidth="1" min="3" max="3"/>
    <col width="15.7" customWidth="1" min="4" max="4"/>
    <col width="15.7" customWidth="1" min="5" max="5"/>
  </cols>
  <sheetData>
    <row r="1" ht="12" customHeight="1">
      <c r="A1" s="48" t="inlineStr">
        <is>
          <t>- 6 -</t>
        </is>
      </c>
    </row>
    <row r="2" ht="26" customHeight="1">
      <c r="D2" s="49" t="inlineStr">
        <is>
          <t>COMPTE DE RESULTAT
SYCEBNL - SMT</t>
        </is>
      </c>
      <c r="E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/>
    </row>
    <row r="5" ht="15" customHeight="1">
      <c r="A5" s="37" t="inlineStr">
        <is>
          <t>N° de compte contribuable (NCC) : ASBL-0093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80" t="inlineStr">
        <is>
          <t>COMPTE DE RESULTAT</t>
        </is>
      </c>
      <c r="B7" s="65" t="n"/>
      <c r="C7" s="65" t="n"/>
      <c r="D7" s="65" t="n"/>
      <c r="E7" s="65" t="n"/>
    </row>
    <row r="8" ht="22" customHeight="1">
      <c r="A8" s="1" t="inlineStr">
        <is>
          <t>REF</t>
        </is>
      </c>
      <c r="B8" s="2" t="inlineStr">
        <is>
          <t>LIBELLES</t>
        </is>
      </c>
      <c r="C8" s="2" t="inlineStr">
        <is>
          <t>NOTE</t>
        </is>
      </c>
      <c r="D8" s="2" t="inlineStr">
        <is>
          <t>EXERCICE N</t>
        </is>
      </c>
      <c r="E8" s="3" t="inlineStr">
        <is>
          <t>EXERCICE N-1</t>
        </is>
      </c>
    </row>
    <row r="9" ht="22" customHeight="1">
      <c r="A9" s="72" t="inlineStr">
        <is>
          <t>KA</t>
        </is>
      </c>
      <c r="B9" s="73" t="inlineStr">
        <is>
          <t>Revenus encaissés</t>
        </is>
      </c>
      <c r="C9" s="73" t="inlineStr">
        <is>
          <t>4</t>
        </is>
      </c>
      <c r="D9" s="74">
        <f>SUMIF('BALANCE N'!$A$2:$A$50,"70*",'BALANCE N'!$G$2:$G$50)-SUMIF('BALANCE N'!$A$2:$A$50,"70*",'BALANCE N'!$F$2:$F$50)</f>
        <v/>
      </c>
      <c r="E9" s="75" t="n"/>
    </row>
    <row r="10" ht="22" customHeight="1">
      <c r="A10" s="72" t="inlineStr">
        <is>
          <t>KB</t>
        </is>
      </c>
      <c r="B10" s="73" t="inlineStr">
        <is>
          <t>Autres recettes sur activités</t>
        </is>
      </c>
      <c r="C10" s="73" t="inlineStr">
        <is>
          <t>4</t>
        </is>
      </c>
      <c r="D10" s="74">
        <f>SUMIF('BALANCE N'!$A$2:$A$50,"84*",'BALANCE N'!$G$2:$G$50)-SUMIF('BALANCE N'!$A$2:$A$50,"84*",'BALANCE N'!$F$2:$F$50)+SUMIF('BALANCE N'!$A$2:$A$50,"72*",'BALANCE N'!$G$2:$G$50)-SUMIF('BALANCE N'!$A$2:$A$50,"72*",'BALANCE N'!$F$2:$F$50)+SUMIF('BALANCE N'!$A$2:$A$50,"71*",'BALANCE N'!$G$2:$G$50)-SUMIF('BALANCE N'!$A$2:$A$50,"71*",'BALANCE N'!$F$2:$F$50)+SUMIF('BALANCE N'!$A$2:$A$50,"77*",'BALANCE N'!$G$2:$G$50)-SUMIF('BALANCE N'!$A$2:$A$50,"77*",'BALANCE N'!$F$2:$F$50)+SUMIF('BALANCE N'!$A$2:$A$50,"79*",'BALANCE N'!$G$2:$G$50)-SUMIF('BALANCE N'!$A$2:$A$50,"79*",'BALANCE N'!$F$2:$F$50)+SUMIF('BALANCE N'!$A$2:$A$50,"78*",'BALANCE N'!$G$2:$G$50)-SUMIF('BALANCE N'!$A$2:$A$50,"78*",'BALANCE N'!$F$2:$F$50)+SUMIF('BALANCE N'!$A$2:$A$50,"82*",'BALANCE N'!$G$2:$G$50)-SUMIF('BALANCE N'!$A$2:$A$50,"82*",'BALANCE N'!$F$2:$F$50)+SUMIF('BALANCE N'!$A$2:$A$50,"88*",'BALANCE N'!$G$2:$G$50)-SUMIF('BALANCE N'!$A$2:$A$50,"88*",'BALANCE N'!$F$2:$F$50)+SUMIF('BALANCE N'!$A$2:$A$50,"86*",'BALANCE N'!$G$2:$G$50)-SUMIF('BALANCE N'!$A$2:$A$50,"86*",'BALANCE N'!$F$2:$F$50)+SUMIF('BALANCE N'!$A$2:$A$50,"75*",'BALANCE N'!$G$2:$G$50)-SUMIF('BALANCE N'!$A$2:$A$50,"75*",'BALANCE N'!$F$2:$F$50)</f>
        <v/>
      </c>
      <c r="E10" s="75" t="n"/>
    </row>
    <row r="11" ht="22" customHeight="1">
      <c r="A11" s="81" t="inlineStr">
        <is>
          <t>KX</t>
        </is>
      </c>
      <c r="B11" s="82" t="inlineStr">
        <is>
          <t>TOTAL DES REVENUS ENCAISSÉS (A)</t>
        </is>
      </c>
      <c r="C11" s="82" t="inlineStr"/>
      <c r="D11" s="83">
        <f>D9+D10</f>
        <v/>
      </c>
      <c r="E11" s="84" t="n"/>
    </row>
    <row r="12" ht="22" customHeight="1">
      <c r="A12" s="72" t="inlineStr">
        <is>
          <t>JA</t>
        </is>
      </c>
      <c r="B12" s="73" t="inlineStr">
        <is>
          <t>Dépenses sur achats</t>
        </is>
      </c>
      <c r="C12" s="73" t="inlineStr">
        <is>
          <t>4</t>
        </is>
      </c>
      <c r="D12" s="74">
        <f>SUMIF('BALANCE N'!$A$2:$A$50,"60*",'BALANCE N'!$F$2:$F$50)-SUMIF('BALANCE N'!$A$2:$A$50,"60*",'BALANCE N'!$G$2:$G$50)-SUMIF('BALANCE N'!$A$2:$A$50,"603*",'BALANCE N'!$F$2:$F$50)+SUMIF('BALANCE N'!$A$2:$A$50,"603*",'BALANCE N'!$G$2:$G$50)</f>
        <v/>
      </c>
      <c r="E12" s="75" t="n"/>
    </row>
    <row r="13" ht="22" customHeight="1">
      <c r="A13" s="72" t="inlineStr">
        <is>
          <t>JB</t>
        </is>
      </c>
      <c r="B13" s="73" t="inlineStr">
        <is>
          <t>Dépenses sur loyers</t>
        </is>
      </c>
      <c r="C13" s="73" t="inlineStr">
        <is>
          <t>4</t>
        </is>
      </c>
      <c r="D13" s="74">
        <f>SUMIF('BALANCE N'!$A$2:$A$50,"622*",'BALANCE N'!$F$2:$F$50)-SUMIF('BALANCE N'!$A$2:$A$50,"622*",'BALANCE N'!$G$2:$G$50)</f>
        <v/>
      </c>
      <c r="E13" s="75" t="n"/>
    </row>
    <row r="14" ht="22" customHeight="1">
      <c r="A14" s="72" t="inlineStr">
        <is>
          <t>JC</t>
        </is>
      </c>
      <c r="B14" s="73" t="inlineStr">
        <is>
          <t>Dépenses sur salaires</t>
        </is>
      </c>
      <c r="C14" s="73" t="inlineStr">
        <is>
          <t>4</t>
        </is>
      </c>
      <c r="D14" s="74">
        <f>SUMIF('BALANCE N'!$A$2:$A$50,"66*",'BALANCE N'!$F$2:$F$50)-SUMIF('BALANCE N'!$A$2:$A$50,"66*",'BALANCE N'!$G$2:$G$50)</f>
        <v/>
      </c>
      <c r="E14" s="75" t="n"/>
    </row>
    <row r="15" ht="22" customHeight="1">
      <c r="A15" s="72" t="inlineStr">
        <is>
          <t>JD</t>
        </is>
      </c>
      <c r="B15" s="73" t="inlineStr">
        <is>
          <t>Dépenses sur impôts et taxes</t>
        </is>
      </c>
      <c r="C15" s="73" t="inlineStr">
        <is>
          <t>4</t>
        </is>
      </c>
      <c r="D15" s="74">
        <f>SUMIF('BALANCE N'!$A$2:$A$50,"64*",'BALANCE N'!$F$2:$F$50)-SUMIF('BALANCE N'!$A$2:$A$50,"64*",'BALANCE N'!$G$2:$G$50)</f>
        <v/>
      </c>
      <c r="E15" s="75" t="n"/>
    </row>
    <row r="16" ht="22" customHeight="1">
      <c r="A16" s="72" t="inlineStr">
        <is>
          <t>JE</t>
        </is>
      </c>
      <c r="B16" s="73" t="inlineStr">
        <is>
          <t>Charges d'intérêts</t>
        </is>
      </c>
      <c r="C16" s="73" t="inlineStr">
        <is>
          <t>4</t>
        </is>
      </c>
      <c r="D16" s="74">
        <f>SUMIF('BALANCE N'!$A$2:$A$50,"67*",'BALANCE N'!$F$2:$F$50)-SUMIF('BALANCE N'!$A$2:$A$50,"67*",'BALANCE N'!$G$2:$G$50)</f>
        <v/>
      </c>
      <c r="E16" s="75" t="n"/>
    </row>
    <row r="17" ht="22" customHeight="1">
      <c r="A17" s="72" t="inlineStr">
        <is>
          <t>JF</t>
        </is>
      </c>
      <c r="B17" s="73" t="inlineStr">
        <is>
          <t>Autres dépenses sur activités</t>
        </is>
      </c>
      <c r="C17" s="73" t="inlineStr">
        <is>
          <t>4</t>
        </is>
      </c>
      <c r="D17" s="74">
        <f>SUMIF('BALANCE N'!$A$2:$A$50,"61*",'BALANCE N'!$F$2:$F$50)-SUMIF('BALANCE N'!$A$2:$A$50,"61*",'BALANCE N'!$G$2:$G$50)+SUMIF('BALANCE N'!$A$2:$A$50,"62*",'BALANCE N'!$F$2:$F$50)-SUMIF('BALANCE N'!$A$2:$A$50,"62*",'BALANCE N'!$G$2:$G$50)-SUMIF('BALANCE N'!$A$2:$A$50,"81*",'BALANCE N'!$F$2:$F$50)+SUMIF('BALANCE N'!$A$2:$A$50,"81*",'BALANCE N'!$G$2:$G$50)-SUMIF('BALANCE N'!$A$2:$A$50,"65*",'BALANCE N'!$F$2:$F$50)+SUMIF('BALANCE N'!$A$2:$A$50,"65*",'BALANCE N'!$G$2:$G$50)-SUMIF('BALANCE N'!$A$2:$A$50,"63*",'BALANCE N'!$F$2:$F$50)+SUMIF('BALANCE N'!$A$2:$A$50,"63*",'BALANCE N'!$G$2:$G$50)-SUMIF('BALANCE N'!$A$2:$A$50,"83*",'BALANCE N'!$F$2:$F$50)+SUMIF('BALANCE N'!$A$2:$A$50,"83*",'BALANCE N'!$G$2:$G$50)-SUMIF('BALANCE N'!$A$2:$A$50,"87*",'BALANCE N'!$F$2:$F$50)+SUMIF('BALANCE N'!$A$2:$A$50,"87*",'BALANCE N'!$G$2:$G$50)-SUMIF('BALANCE N'!$A$2:$A$50,"622*",'BALANCE N'!$F$2:$F$50)+SUMIF('BALANCE N'!$A$2:$A$50,"622*",'BALANCE N'!$G$2:$G$50)</f>
        <v/>
      </c>
      <c r="E17" s="75" t="n"/>
    </row>
    <row r="18" ht="22" customHeight="1">
      <c r="A18" s="81" t="inlineStr">
        <is>
          <t>JX</t>
        </is>
      </c>
      <c r="B18" s="82" t="inlineStr">
        <is>
          <t>TOTAL DÉPENSES SUR CHARGES (B)</t>
        </is>
      </c>
      <c r="C18" s="82" t="inlineStr"/>
      <c r="D18" s="83">
        <f>D12+D13+D14+D15+D16+D17</f>
        <v/>
      </c>
      <c r="E18" s="84" t="n"/>
    </row>
    <row r="19" ht="22" customHeight="1">
      <c r="A19" s="81" t="inlineStr">
        <is>
          <t>KZ</t>
        </is>
      </c>
      <c r="B19" s="85" t="inlineStr">
        <is>
          <t>SOLDE : excédent (+) ou insuffisance (-) de recettes (C = A - B)</t>
        </is>
      </c>
      <c r="C19" s="85" t="inlineStr"/>
      <c r="D19" s="86">
        <f>D11-D18</f>
        <v/>
      </c>
      <c r="E19" s="87" t="n"/>
    </row>
    <row r="20" ht="22" customHeight="1">
      <c r="A20" s="72" t="inlineStr">
        <is>
          <t>VA</t>
        </is>
      </c>
      <c r="B20" s="73" t="inlineStr">
        <is>
          <t>+ Variations des stocks sur les achats [N - (N-1)]</t>
        </is>
      </c>
      <c r="C20" s="73" t="inlineStr">
        <is>
          <t>2</t>
        </is>
      </c>
      <c r="D20" s="74">
        <f>(SUMIF('BALANCE N'!$A$2:$A$50,"603*",'BALANCE N'!$G$2:$G$50)-SUMIF('BALANCE N'!$A$2:$A$50,"603*",'BALANCE N'!$F$2:$F$50))+(SUMIF('BALANCE N'!$A$2:$A$50,"73*",'BALANCE N'!$G$2:$G$50)-SUMIF('BALANCE N'!$A$2:$A$50,"73*",'BALANCE N'!$F$2:$F$50))</f>
        <v/>
      </c>
      <c r="E20" s="75" t="n"/>
    </row>
    <row r="21" ht="22" customHeight="1">
      <c r="A21" s="72" t="inlineStr">
        <is>
          <t>VB</t>
        </is>
      </c>
      <c r="B21" s="73" t="inlineStr">
        <is>
          <t>+ Variation des créances [N - (N-1)] - à saisir depuis la Note 3</t>
        </is>
      </c>
      <c r="C21" s="73" t="inlineStr">
        <is>
          <t>3</t>
        </is>
      </c>
      <c r="D21" s="74" t="n">
        <v>0</v>
      </c>
      <c r="E21" s="75" t="n"/>
    </row>
    <row r="22" ht="22" customHeight="1">
      <c r="A22" s="72" t="inlineStr">
        <is>
          <t>VC</t>
        </is>
      </c>
      <c r="B22" s="73" t="inlineStr">
        <is>
          <t>- Variation des dettes d'exploitation [N - (N-1)] - à saisir depuis la Note 3</t>
        </is>
      </c>
      <c r="C22" s="73" t="inlineStr">
        <is>
          <t>3</t>
        </is>
      </c>
      <c r="D22" s="74" t="n">
        <v>0</v>
      </c>
      <c r="E22" s="75" t="n"/>
    </row>
    <row r="23" ht="22" customHeight="1">
      <c r="A23" s="72" t="inlineStr">
        <is>
          <t>JG</t>
        </is>
      </c>
      <c r="B23" s="73" t="inlineStr">
        <is>
          <t>DOTATIONS AUX AMORTISSEMENTS</t>
        </is>
      </c>
      <c r="C23" s="73" t="inlineStr"/>
      <c r="D23" s="74">
        <f>SUMIF('BALANCE N'!$A$2:$A$50,"69*",'BALANCE N'!$F$2:$F$50)-SUMIF('BALANCE N'!$A$2:$A$50,"69*",'BALANCE N'!$G$2:$G$50)+SUMIF('BALANCE N'!$A$2:$A$50,"85*",'BALANCE N'!$F$2:$F$50)-SUMIF('BALANCE N'!$A$2:$A$50,"85*",'BALANCE N'!$G$2:$G$50)+SUMIF('BALANCE N'!$A$2:$A$50,"68*",'BALANCE N'!$F$2:$F$50)-SUMIF('BALANCE N'!$A$2:$A$50,"68*",'BALANCE N'!$G$2:$G$50)</f>
        <v/>
      </c>
      <c r="E23" s="75" t="n"/>
    </row>
    <row r="24" ht="22" customHeight="1">
      <c r="A24" s="76" t="inlineStr">
        <is>
          <t>KZC</t>
        </is>
      </c>
      <c r="B24" s="88" t="inlineStr">
        <is>
          <t>RÉSULTAT NET DE L'EXERCICE</t>
        </is>
      </c>
      <c r="C24" s="88" t="inlineStr"/>
      <c r="D24" s="89">
        <f>D19+D20+D21-D22-D23</f>
        <v/>
      </c>
      <c r="E24" s="90" t="n"/>
    </row>
    <row r="25"/>
    <row r="26">
      <c r="A26" s="37" t="inlineStr">
        <is>
          <t>Les variations de créances (VB) et de dettes (VC) se saisissent depuis l'état extra-comptable de la Note 3 ; si la balance porte une classe 4 mouvementée (base engagement), les laisser à zéro.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9" customWidth="1" min="2" max="2"/>
    <col width="10" customWidth="1" min="3" max="3"/>
    <col width="8" customWidth="1" min="4" max="4"/>
    <col width="17" customWidth="1" min="5" max="5"/>
    <col width="9.5" customWidth="1" min="6" max="6"/>
    <col width="8" customWidth="1" min="7" max="7"/>
    <col width="21.5" customWidth="1" min="8" max="8"/>
    <col width="6.3" customWidth="1" min="9" max="9"/>
    <col width="6.3" customWidth="1" min="10" max="10"/>
  </cols>
  <sheetData>
    <row r="1" ht="12" customHeight="1">
      <c r="A1" s="48" t="inlineStr">
        <is>
          <t>- 7 -</t>
        </is>
      </c>
    </row>
    <row r="2" ht="26" customHeight="1">
      <c r="I2" s="49" t="inlineStr">
        <is>
          <t>NOTES ANNEXES</t>
        </is>
      </c>
      <c r="J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F4" s="39" t="n"/>
      <c r="G4" s="39" t="n"/>
      <c r="I4" s="52" t="inlineStr">
        <is>
          <t>Sigle usuel :</t>
        </is>
      </c>
      <c r="J4" s="51" t="inlineStr"/>
    </row>
    <row r="5" ht="15" customHeight="1">
      <c r="A5" s="37" t="inlineStr">
        <is>
          <t>N° de compte contribuable (NCC) : ASBL-0093</t>
        </is>
      </c>
      <c r="G5" s="37" t="inlineStr">
        <is>
          <t>Exercice clos le 31-12-2025</t>
        </is>
      </c>
      <c r="I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2" customHeight="1">
      <c r="A7" s="91" t="inlineStr">
        <is>
          <t>FICHE RECAPITULATIVE NOTES ANNEXES PRESENTEES (1)</t>
        </is>
      </c>
    </row>
    <row r="8" ht="19" customHeight="1">
      <c r="A8" s="1" t="inlineStr">
        <is>
          <t>NOTES</t>
        </is>
      </c>
      <c r="B8" s="2" t="inlineStr">
        <is>
          <t>INTITULES</t>
        </is>
      </c>
      <c r="C8" s="2" t="n"/>
      <c r="D8" s="2" t="n"/>
      <c r="E8" s="2" t="n"/>
      <c r="F8" s="2" t="n"/>
      <c r="G8" s="2" t="n"/>
      <c r="H8" s="2" t="n"/>
      <c r="I8" s="2" t="inlineStr">
        <is>
          <t>A (2)</t>
        </is>
      </c>
      <c r="J8" s="3" t="inlineStr">
        <is>
          <t>N/A (2)</t>
        </is>
      </c>
    </row>
    <row r="9" ht="16" customHeight="1">
      <c r="A9" s="92" t="inlineStr">
        <is>
          <t>Partie 1 : Notes sur le bilan</t>
        </is>
      </c>
      <c r="B9" s="93" t="n"/>
      <c r="C9" s="93" t="n"/>
      <c r="D9" s="93" t="n"/>
      <c r="E9" s="93" t="n"/>
      <c r="F9" s="93" t="n"/>
      <c r="G9" s="93" t="n"/>
      <c r="H9" s="93" t="n"/>
      <c r="I9" s="93" t="n"/>
      <c r="J9" s="93" t="n"/>
    </row>
    <row r="10">
      <c r="A10" s="94" t="inlineStr">
        <is>
          <t>Note 1</t>
        </is>
      </c>
      <c r="B10" s="95" t="inlineStr">
        <is>
          <t>Tableau d'acquisition et de suivi du matériel, du mobilier et des cautions</t>
        </is>
      </c>
      <c r="C10" s="45" t="n"/>
      <c r="D10" s="45" t="n"/>
      <c r="E10" s="45" t="n"/>
      <c r="F10" s="45" t="n"/>
      <c r="G10" s="45" t="n"/>
      <c r="H10" s="45" t="n"/>
      <c r="I10" s="45" t="n"/>
      <c r="J10" s="45" t="n"/>
    </row>
    <row r="11">
      <c r="A11" s="94" t="inlineStr">
        <is>
          <t>Note 2</t>
        </is>
      </c>
      <c r="B11" s="95" t="inlineStr">
        <is>
          <t>État des stocks</t>
        </is>
      </c>
      <c r="C11" s="45" t="n"/>
      <c r="D11" s="45" t="n"/>
      <c r="E11" s="45" t="n"/>
      <c r="F11" s="45" t="n"/>
      <c r="G11" s="45" t="n"/>
      <c r="H11" s="45" t="n"/>
      <c r="I11" s="45" t="n"/>
      <c r="J11" s="45" t="n"/>
    </row>
    <row r="12">
      <c r="A12" s="94" t="inlineStr">
        <is>
          <t>Note 3</t>
        </is>
      </c>
      <c r="B12" s="95" t="inlineStr">
        <is>
          <t>État des créances et des dettes non échues</t>
        </is>
      </c>
      <c r="C12" s="45" t="n"/>
      <c r="D12" s="45" t="n"/>
      <c r="E12" s="45" t="n"/>
      <c r="F12" s="45" t="n"/>
      <c r="G12" s="45" t="n"/>
      <c r="H12" s="45" t="n"/>
      <c r="I12" s="45" t="n"/>
      <c r="J12" s="45" t="n"/>
    </row>
    <row r="13">
      <c r="A13" s="94" t="inlineStr">
        <is>
          <t>Note 5</t>
        </is>
      </c>
      <c r="B13" s="95" t="inlineStr">
        <is>
          <t>Dotations</t>
        </is>
      </c>
      <c r="C13" s="45" t="n"/>
      <c r="D13" s="45" t="n"/>
      <c r="E13" s="45" t="n"/>
      <c r="F13" s="45" t="n"/>
      <c r="G13" s="45" t="n"/>
      <c r="H13" s="45" t="n"/>
      <c r="I13" s="45" t="n"/>
      <c r="J13" s="45" t="n"/>
    </row>
    <row r="14" ht="16" customHeight="1">
      <c r="A14" s="92" t="inlineStr">
        <is>
          <t>Partie 2 : Notes sur le compte de résultat</t>
        </is>
      </c>
      <c r="B14" s="93" t="n"/>
      <c r="C14" s="93" t="n"/>
      <c r="D14" s="93" t="n"/>
      <c r="E14" s="93" t="n"/>
      <c r="F14" s="93" t="n"/>
      <c r="G14" s="93" t="n"/>
      <c r="H14" s="93" t="n"/>
      <c r="I14" s="93" t="n"/>
      <c r="J14" s="93" t="n"/>
    </row>
    <row r="15">
      <c r="A15" s="94" t="inlineStr">
        <is>
          <t>Note 4</t>
        </is>
      </c>
      <c r="B15" s="95" t="inlineStr">
        <is>
          <t>Journal unique de trésorerie</t>
        </is>
      </c>
      <c r="C15" s="45" t="n"/>
      <c r="D15" s="45" t="n"/>
      <c r="E15" s="45" t="n"/>
      <c r="F15" s="45" t="n"/>
      <c r="G15" s="45" t="n"/>
      <c r="H15" s="45" t="n"/>
      <c r="I15" s="45" t="n"/>
      <c r="J15" s="45" t="n"/>
    </row>
    <row r="16"/>
    <row r="17" ht="30" customHeight="1">
      <c r="A17" s="96" t="inlineStr">
        <is>
          <t>(1) Les notes non documentées ne doivent pas être jointes aux états financiers ; dans une note, les lignes non chiffrées doivent être supprimées.</t>
        </is>
      </c>
    </row>
    <row r="18">
      <c r="A18" s="96" t="inlineStr">
        <is>
          <t>(2) A : applicable ; N/A : non applicable. Cocher la colonne correspondante pour chaque note.</t>
        </is>
      </c>
    </row>
  </sheetData>
  <mergeCells count="13">
    <mergeCell ref="B8:H8"/>
    <mergeCell ref="A14:J14"/>
    <mergeCell ref="B13:H13"/>
    <mergeCell ref="A17:J17"/>
    <mergeCell ref="A9:J9"/>
    <mergeCell ref="I2:J2"/>
    <mergeCell ref="A18:J18"/>
    <mergeCell ref="B12:H12"/>
    <mergeCell ref="B4:G4"/>
    <mergeCell ref="A7:J7"/>
    <mergeCell ref="B15:H15"/>
    <mergeCell ref="B10:H10"/>
    <mergeCell ref="B11:H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8" customWidth="1" min="2" max="2"/>
    <col width="15" customWidth="1" min="3" max="3"/>
    <col width="15" customWidth="1" min="4" max="4"/>
    <col width="13" customWidth="1" min="5" max="5"/>
    <col width="13" customWidth="1" min="6" max="6"/>
    <col width="15" customWidth="1" min="7" max="7"/>
  </cols>
  <sheetData>
    <row r="1" ht="12" customHeight="1">
      <c r="A1" s="48" t="inlineStr">
        <is>
          <t>- 8 -</t>
        </is>
      </c>
    </row>
    <row r="2" ht="26" customHeight="1">
      <c r="F2" s="49" t="inlineStr">
        <is>
          <t>NOTE 1
SYCEBNL - SMT</t>
        </is>
      </c>
      <c r="G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F4" s="52" t="inlineStr">
        <is>
          <t>Sigle usuel :</t>
        </is>
      </c>
      <c r="G4" s="51" t="inlineStr"/>
    </row>
    <row r="5" ht="15" customHeight="1">
      <c r="A5" s="37" t="inlineStr">
        <is>
          <t>N° de compte contribuable (NCC) : ASBL-0093</t>
        </is>
      </c>
      <c r="D5" s="37" t="inlineStr">
        <is>
          <t>Exercice clos le 31-12-2025</t>
        </is>
      </c>
      <c r="F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91" t="inlineStr">
        <is>
          <t>NOTE 1 : TABLEAU D'ACQUISITION ET DE SUIVI DU MATERIEL, DU MOBILIER ET AUTRES IMMOBILISATIONS</t>
        </is>
      </c>
    </row>
    <row r="8">
      <c r="A8" s="1" t="inlineStr">
        <is>
          <t>Date</t>
        </is>
      </c>
      <c r="B8" s="2" t="inlineStr">
        <is>
          <t>Désignation</t>
        </is>
      </c>
      <c r="C8" s="2" t="inlineStr">
        <is>
          <t>Montant</t>
        </is>
      </c>
      <c r="D8" s="2" t="inlineStr">
        <is>
          <t>Date d'acquisition</t>
        </is>
      </c>
      <c r="E8" s="2" t="inlineStr">
        <is>
          <t>Durée d'utilité</t>
        </is>
      </c>
      <c r="F8" s="2" t="inlineStr">
        <is>
          <t>Date de sortie</t>
        </is>
      </c>
      <c r="G8" s="3" t="inlineStr">
        <is>
          <t>Prix de cession</t>
        </is>
      </c>
    </row>
    <row r="9">
      <c r="A9" s="4" t="n"/>
      <c r="B9" s="4" t="inlineStr">
        <is>
          <t>2441 - Matériel et mobilier de bureau</t>
        </is>
      </c>
      <c r="C9" s="5">
        <f>SUMIF('BALANCE N'!$A$2:$A$50,"2441*",'BALANCE N'!$F$2:$F$50)-SUMIF('BALANCE N'!$A$2:$A$50,"2441*",'BALANCE N'!$G$2:$G$50)</f>
        <v/>
      </c>
      <c r="D9" s="4" t="n"/>
      <c r="E9" s="4" t="n"/>
      <c r="F9" s="4" t="n"/>
      <c r="G9" s="5" t="n"/>
    </row>
    <row r="10">
      <c r="A10" s="4" t="n"/>
      <c r="B10" s="4" t="inlineStr">
        <is>
          <t>TOTAL IMMOBILISATIONS BRUTES</t>
        </is>
      </c>
      <c r="C10" s="5">
        <f>SUM(C9:C9)</f>
        <v/>
      </c>
      <c r="D10" s="4" t="n"/>
      <c r="E10" s="4" t="n"/>
      <c r="F10" s="4" t="n"/>
      <c r="G10" s="5" t="n"/>
    </row>
    <row r="11">
      <c r="A11" s="4" t="n"/>
      <c r="B11" s="4" t="inlineStr">
        <is>
          <t>Amortissements et dépréciations cumulés (28/29)</t>
        </is>
      </c>
      <c r="C11" s="5">
        <f>SUMIF('BALANCE N'!$A$2:$A$50,"29*",'BALANCE N'!$G$2:$G$50)-SUMIF('BALANCE N'!$A$2:$A$50,"29*",'BALANCE N'!$F$2:$F$50)+SUMIF('BALANCE N'!$A$2:$A$50,"28*",'BALANCE N'!$G$2:$G$50)-SUMIF('BALANCE N'!$A$2:$A$50,"28*",'BALANCE N'!$F$2:$F$50)</f>
        <v/>
      </c>
      <c r="D11" s="4" t="n"/>
      <c r="E11" s="4" t="n"/>
      <c r="F11" s="4" t="n"/>
      <c r="G11" s="5" t="n"/>
    </row>
    <row r="12">
      <c r="A12" s="85" t="n"/>
      <c r="B12" s="85" t="inlineStr">
        <is>
          <t>VALEUR NETTE (= poste GA du bilan)</t>
        </is>
      </c>
      <c r="C12" s="86">
        <f>C10-C11</f>
        <v/>
      </c>
      <c r="D12" s="85" t="n"/>
      <c r="E12" s="85" t="n"/>
      <c r="F12" s="85" t="n"/>
      <c r="G12" s="97" t="n"/>
    </row>
  </sheetData>
  <mergeCells count="3">
    <mergeCell ref="F2:G2"/>
    <mergeCell ref="A7:G7"/>
    <mergeCell ref="B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4" customWidth="1" min="4" max="4"/>
    <col width="16" customWidth="1" min="5" max="5"/>
  </cols>
  <sheetData>
    <row r="1" ht="12" customHeight="1">
      <c r="A1" s="48" t="inlineStr">
        <is>
          <t>- 9 -</t>
        </is>
      </c>
    </row>
    <row r="2" ht="26" customHeight="1">
      <c r="D2" s="49" t="inlineStr">
        <is>
          <t>NOTE 2
SYCEBNL - SMT</t>
        </is>
      </c>
      <c r="E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/>
    </row>
    <row r="5" ht="15" customHeight="1">
      <c r="A5" s="37" t="inlineStr">
        <is>
          <t>N° de compte contribuable (NCC) : ASBL-0093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91" t="inlineStr">
        <is>
          <t>NOTE 2 : ETAT DES STOCKS</t>
        </is>
      </c>
    </row>
    <row r="8">
      <c r="A8" s="1" t="inlineStr">
        <is>
          <t>Référence</t>
        </is>
      </c>
      <c r="B8" s="2" t="inlineStr">
        <is>
          <t>Désignation</t>
        </is>
      </c>
      <c r="C8" s="2" t="inlineStr">
        <is>
          <t>Quantité</t>
        </is>
      </c>
      <c r="D8" s="2" t="inlineStr">
        <is>
          <t>Prix unitaire</t>
        </is>
      </c>
      <c r="E8" s="3" t="inlineStr">
        <is>
          <t>Montant</t>
        </is>
      </c>
    </row>
    <row r="9">
      <c r="A9" s="4" t="inlineStr">
        <is>
          <t>331</t>
        </is>
      </c>
      <c r="B9" s="4" t="inlineStr">
        <is>
          <t>Matières consommables</t>
        </is>
      </c>
      <c r="C9" s="4" t="n"/>
      <c r="D9" s="4" t="n"/>
      <c r="E9" s="5">
        <f>SUMIF('BALANCE N'!$A$2:$A$50,"331*",'BALANCE N'!$F$2:$F$50)-SUMIF('BALANCE N'!$A$2:$A$50,"331*",'BALANCE N'!$G$2:$G$50)</f>
        <v/>
      </c>
    </row>
    <row r="10"/>
    <row r="11"/>
    <row r="12">
      <c r="A12" s="85" t="n"/>
      <c r="B12" s="85" t="inlineStr">
        <is>
          <t>VALEUR DU STOCK FINAL</t>
        </is>
      </c>
      <c r="C12" s="85" t="n"/>
      <c r="D12" s="85" t="n"/>
      <c r="E12" s="86">
        <f>SUMIF('BALANCE N'!$A$2:$A$50,"3*",'BALANCE N'!$F$2:$F$50)-SUMIF('BALANCE N'!$A$2:$A$50,"3*",'BALANCE N'!$G$2:$G$50)</f>
        <v/>
      </c>
    </row>
    <row r="13">
      <c r="A13" s="85" t="n"/>
      <c r="B13" s="85" t="inlineStr">
        <is>
          <t>VALEUR DU STOCK INITIAL</t>
        </is>
      </c>
      <c r="C13" s="85" t="n"/>
      <c r="D13" s="85" t="n"/>
      <c r="E13" s="86" t="n">
        <v>0</v>
      </c>
    </row>
  </sheetData>
  <mergeCells count="2">
    <mergeCell ref="A7:E7"/>
    <mergeCell ref="D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 ht="12" customHeight="1">
      <c r="A1" s="48" t="inlineStr">
        <is>
          <t>- 10 -</t>
        </is>
      </c>
    </row>
    <row r="2" ht="26" customHeight="1">
      <c r="E2" s="49" t="inlineStr">
        <is>
          <t>NOTE 3
SYCEBNL - SMT</t>
        </is>
      </c>
      <c r="F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C4" s="39" t="n"/>
      <c r="E4" s="52" t="inlineStr">
        <is>
          <t>Sigle usuel :</t>
        </is>
      </c>
      <c r="F4" s="51" t="inlineStr"/>
    </row>
    <row r="5" ht="15" customHeight="1">
      <c r="A5" s="37" t="inlineStr">
        <is>
          <t>N° de compte contribuable (NCC) : ASBL-0093</t>
        </is>
      </c>
      <c r="C5" s="37" t="inlineStr">
        <is>
          <t>Exercice clos le 31-12-2025</t>
        </is>
      </c>
      <c r="E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91" t="inlineStr">
        <is>
          <t>NOTE 3 : ETAT DES CREANCES ET DES DETTES NON ECHUES</t>
        </is>
      </c>
    </row>
    <row r="8">
      <c r="A8" s="43" t="inlineStr">
        <is>
          <t>CRÉANCES - nom des clients-usagers et autres débiteurs</t>
        </is>
      </c>
    </row>
    <row r="9">
      <c r="A9" s="1" t="inlineStr">
        <is>
          <t>Date</t>
        </is>
      </c>
      <c r="B9" s="2" t="inlineStr">
        <is>
          <t>Nom</t>
        </is>
      </c>
      <c r="C9" s="2" t="inlineStr">
        <is>
          <t>Montant au 31/12/N</t>
        </is>
      </c>
      <c r="D9" s="2" t="inlineStr">
        <is>
          <t>Montant au 01/01/N</t>
        </is>
      </c>
      <c r="E9" s="2" t="inlineStr">
        <is>
          <t>Variation en valeur</t>
        </is>
      </c>
      <c r="F9" s="3" t="inlineStr">
        <is>
          <t>Variation en %</t>
        </is>
      </c>
    </row>
    <row r="10">
      <c r="A10" s="4" t="n"/>
      <c r="B10" s="4" t="n"/>
      <c r="C10" s="5" t="n"/>
      <c r="D10" s="5" t="n"/>
      <c r="E10" s="5">
        <f>C10-D10</f>
        <v/>
      </c>
      <c r="F10" s="4">
        <f>IF(D10=0,"",(C10-D10)/D10)</f>
        <v/>
      </c>
    </row>
    <row r="11">
      <c r="A11" s="4" t="n"/>
      <c r="B11" s="4" t="n"/>
      <c r="C11" s="5" t="n"/>
      <c r="D11" s="5" t="n"/>
      <c r="E11" s="5">
        <f>C11-D11</f>
        <v/>
      </c>
      <c r="F11" s="4">
        <f>IF(D11=0,"",(C11-D11)/D11)</f>
        <v/>
      </c>
    </row>
    <row r="12">
      <c r="A12" s="4" t="n"/>
      <c r="B12" s="4" t="n"/>
      <c r="C12" s="5" t="n"/>
      <c r="D12" s="5" t="n"/>
      <c r="E12" s="5">
        <f>C12-D12</f>
        <v/>
      </c>
      <c r="F12" s="4">
        <f>IF(D12=0,"",(C12-D12)/D12)</f>
        <v/>
      </c>
    </row>
    <row r="13">
      <c r="A13" s="4" t="n"/>
      <c r="B13" s="4" t="n"/>
      <c r="C13" s="5" t="n"/>
      <c r="D13" s="5" t="n"/>
      <c r="E13" s="5">
        <f>C13-D13</f>
        <v/>
      </c>
      <c r="F13" s="4">
        <f>IF(D13=0,"",(C13-D13)/D13)</f>
        <v/>
      </c>
    </row>
    <row r="14">
      <c r="A14" s="4" t="n"/>
      <c r="B14" s="4" t="n"/>
      <c r="C14" s="5" t="n"/>
      <c r="D14" s="5" t="n"/>
      <c r="E14" s="5">
        <f>C14-D14</f>
        <v/>
      </c>
      <c r="F14" s="4">
        <f>IF(D14=0,"",(C14-D14)/D14)</f>
        <v/>
      </c>
    </row>
    <row r="15">
      <c r="A15" s="4" t="n"/>
      <c r="B15" s="4" t="n"/>
      <c r="C15" s="5" t="n"/>
      <c r="D15" s="5" t="n"/>
      <c r="E15" s="5">
        <f>C15-D15</f>
        <v/>
      </c>
      <c r="F15" s="4">
        <f>IF(D15=0,"",(C15-D15)/D15)</f>
        <v/>
      </c>
    </row>
    <row r="16">
      <c r="A16" s="85" t="n"/>
      <c r="B16" s="85" t="inlineStr">
        <is>
          <t>TOTAL DES CRÉANCES</t>
        </is>
      </c>
      <c r="C16" s="86">
        <f>SUM(C10:C15)</f>
        <v/>
      </c>
      <c r="D16" s="86">
        <f>SUM(D10:D15)</f>
        <v/>
      </c>
      <c r="E16" s="86">
        <f>SUM(E10:E15)</f>
        <v/>
      </c>
      <c r="F16" s="85" t="n"/>
    </row>
    <row r="17">
      <c r="B17" s="98" t="inlineStr">
        <is>
          <t>Rappel balance (classe 4, soldes débiteurs) - contrôle</t>
        </is>
      </c>
      <c r="C17" s="99">
        <f>SUMIF('BALANCE N'!$A$2:$A$50,"4*",'BALANCE N'!$F$2:$F$50)</f>
        <v/>
      </c>
      <c r="D17" s="99">
        <f>0</f>
        <v/>
      </c>
    </row>
    <row r="18"/>
    <row r="19"/>
    <row r="20">
      <c r="A20" s="43" t="inlineStr">
        <is>
          <t>DETTES - nom des fournisseurs et autres créditeurs</t>
        </is>
      </c>
    </row>
    <row r="21">
      <c r="A21" s="1" t="inlineStr">
        <is>
          <t>Date</t>
        </is>
      </c>
      <c r="B21" s="2" t="inlineStr">
        <is>
          <t>Nom</t>
        </is>
      </c>
      <c r="C21" s="2" t="inlineStr">
        <is>
          <t>Montant au 31/12/N</t>
        </is>
      </c>
      <c r="D21" s="2" t="inlineStr">
        <is>
          <t>Montant au 01/01/N</t>
        </is>
      </c>
      <c r="E21" s="2" t="inlineStr">
        <is>
          <t>Variation en valeur</t>
        </is>
      </c>
      <c r="F21" s="3" t="inlineStr">
        <is>
          <t>Variation en %</t>
        </is>
      </c>
    </row>
    <row r="22">
      <c r="A22" s="4" t="n"/>
      <c r="B22" s="4" t="n"/>
      <c r="C22" s="5" t="n"/>
      <c r="D22" s="5" t="n"/>
      <c r="E22" s="5">
        <f>C22-D22</f>
        <v/>
      </c>
      <c r="F22" s="4">
        <f>IF(D22=0,"",(C22-D22)/D22)</f>
        <v/>
      </c>
    </row>
    <row r="23">
      <c r="A23" s="4" t="n"/>
      <c r="B23" s="4" t="n"/>
      <c r="C23" s="5" t="n"/>
      <c r="D23" s="5" t="n"/>
      <c r="E23" s="5">
        <f>C23-D23</f>
        <v/>
      </c>
      <c r="F23" s="4">
        <f>IF(D23=0,"",(C23-D23)/D23)</f>
        <v/>
      </c>
    </row>
    <row r="24">
      <c r="A24" s="4" t="n"/>
      <c r="B24" s="4" t="n"/>
      <c r="C24" s="5" t="n"/>
      <c r="D24" s="5" t="n"/>
      <c r="E24" s="5">
        <f>C24-D24</f>
        <v/>
      </c>
      <c r="F24" s="4">
        <f>IF(D24=0,"",(C24-D24)/D24)</f>
        <v/>
      </c>
    </row>
    <row r="25">
      <c r="A25" s="4" t="n"/>
      <c r="B25" s="4" t="n"/>
      <c r="C25" s="5" t="n"/>
      <c r="D25" s="5" t="n"/>
      <c r="E25" s="5">
        <f>C25-D25</f>
        <v/>
      </c>
      <c r="F25" s="4">
        <f>IF(D25=0,"",(C25-D25)/D25)</f>
        <v/>
      </c>
    </row>
    <row r="26">
      <c r="A26" s="4" t="n"/>
      <c r="B26" s="4" t="n"/>
      <c r="C26" s="5" t="n"/>
      <c r="D26" s="5" t="n"/>
      <c r="E26" s="5">
        <f>C26-D26</f>
        <v/>
      </c>
      <c r="F26" s="4">
        <f>IF(D26=0,"",(C26-D26)/D26)</f>
        <v/>
      </c>
    </row>
    <row r="27">
      <c r="A27" s="4" t="n"/>
      <c r="B27" s="4" t="n"/>
      <c r="C27" s="5" t="n"/>
      <c r="D27" s="5" t="n"/>
      <c r="E27" s="5">
        <f>C27-D27</f>
        <v/>
      </c>
      <c r="F27" s="4">
        <f>IF(D27=0,"",(C27-D27)/D27)</f>
        <v/>
      </c>
    </row>
    <row r="28">
      <c r="A28" s="85" t="n"/>
      <c r="B28" s="85" t="inlineStr">
        <is>
          <t>TOTAL DES DETTES</t>
        </is>
      </c>
      <c r="C28" s="86">
        <f>SUM(C22:C27)</f>
        <v/>
      </c>
      <c r="D28" s="86">
        <f>SUM(D22:D27)</f>
        <v/>
      </c>
      <c r="E28" s="86">
        <f>SUM(E22:E27)</f>
        <v/>
      </c>
      <c r="F28" s="85" t="n"/>
    </row>
    <row r="29">
      <c r="B29" s="98" t="inlineStr">
        <is>
          <t>Rappel balance (classe 4, soldes créditeurs) - contrôle</t>
        </is>
      </c>
      <c r="C29" s="99">
        <f>SUMIF('BALANCE N'!$A$2:$A$50,"4*",'BALANCE N'!$G$2:$G$50)</f>
        <v/>
      </c>
      <c r="D29" s="99">
        <f>0</f>
        <v/>
      </c>
    </row>
    <row r="30"/>
    <row r="31"/>
    <row r="32">
      <c r="A32" s="98" t="inlineStr">
        <is>
          <t>Reporter la variation des créances en VB et celle des dettes en VC du compte de résultat.</t>
        </is>
      </c>
    </row>
  </sheetData>
  <mergeCells count="3">
    <mergeCell ref="E2:F2"/>
    <mergeCell ref="B4:C4"/>
    <mergeCell ref="A7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1" customWidth="1" min="8" max="8"/>
    <col width="18" customWidth="1" min="9" max="9"/>
    <col width="20" customWidth="1" min="10" max="10"/>
    <col width="14" customWidth="1" min="11" max="11"/>
  </cols>
  <sheetData>
    <row r="1" ht="12" customHeight="1">
      <c r="A1" s="48" t="inlineStr">
        <is>
          <t>- 11 -</t>
        </is>
      </c>
    </row>
    <row r="2" ht="26" customHeight="1">
      <c r="J2" s="49" t="inlineStr">
        <is>
          <t>NOTE 4
SYCEBNL - SMT</t>
        </is>
      </c>
      <c r="K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F4" s="39" t="n"/>
      <c r="G4" s="39" t="n"/>
      <c r="H4" s="39" t="n"/>
      <c r="J4" s="52" t="inlineStr">
        <is>
          <t>Sigle usuel :</t>
        </is>
      </c>
      <c r="K4" s="51" t="inlineStr"/>
    </row>
    <row r="5" ht="15" customHeight="1">
      <c r="A5" s="37" t="inlineStr">
        <is>
          <t>N° de compte contribuable (NCC) : ASBL-0093</t>
        </is>
      </c>
      <c r="H5" s="37" t="inlineStr">
        <is>
          <t>Exercice clos le 31-12-2025</t>
        </is>
      </c>
      <c r="J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91" t="inlineStr">
        <is>
          <t>NOTE 4 : JOURNAL UNIQUE DE TRESORERIE</t>
        </is>
      </c>
    </row>
    <row r="8">
      <c r="A8" s="1" t="inlineStr">
        <is>
          <t>Dates</t>
        </is>
      </c>
      <c r="B8" s="2" t="inlineStr">
        <is>
          <t>Libellés</t>
        </is>
      </c>
      <c r="C8" s="2" t="inlineStr">
        <is>
          <t>Recettes</t>
        </is>
      </c>
      <c r="D8" s="2" t="inlineStr">
        <is>
          <t>Dépenses</t>
        </is>
      </c>
      <c r="E8" s="2" t="inlineStr">
        <is>
          <t>Solde</t>
        </is>
      </c>
      <c r="F8" s="2" t="inlineStr">
        <is>
          <t>Vent. recettes : Cotisations</t>
        </is>
      </c>
      <c r="G8" s="2" t="inlineStr">
        <is>
          <t>Subventions</t>
        </is>
      </c>
      <c r="H8" s="2" t="inlineStr">
        <is>
          <t>Autres</t>
        </is>
      </c>
      <c r="I8" s="2" t="inlineStr">
        <is>
          <t>Vent. dépenses : Achats de biens liés à l'activité</t>
        </is>
      </c>
      <c r="J8" s="2" t="inlineStr">
        <is>
          <t>Autres achats / Transport / Services extérieurs</t>
        </is>
      </c>
      <c r="K8" s="3" t="inlineStr">
        <is>
          <t>Salaires / Autres</t>
        </is>
      </c>
    </row>
    <row r="9">
      <c r="A9" s="4" t="n"/>
      <c r="B9" s="4" t="inlineStr">
        <is>
          <t>Report à nouveau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4" t="n"/>
      <c r="B10" s="4" t="n"/>
      <c r="C10" s="5" t="n"/>
      <c r="D10" s="5" t="n"/>
      <c r="E10" s="5">
        <f>E9+C10-D10</f>
        <v/>
      </c>
      <c r="F10" s="5" t="n"/>
      <c r="G10" s="5" t="n"/>
      <c r="H10" s="5" t="n"/>
      <c r="I10" s="5" t="n"/>
      <c r="J10" s="5" t="n"/>
      <c r="K10" s="5" t="n"/>
    </row>
    <row r="11">
      <c r="A11" s="4" t="n"/>
      <c r="B11" s="4" t="n"/>
      <c r="C11" s="5" t="n"/>
      <c r="D11" s="5" t="n"/>
      <c r="E11" s="5">
        <f>E10+C11-D11</f>
        <v/>
      </c>
      <c r="F11" s="5" t="n"/>
      <c r="G11" s="5" t="n"/>
      <c r="H11" s="5" t="n"/>
      <c r="I11" s="5" t="n"/>
      <c r="J11" s="5" t="n"/>
      <c r="K11" s="5" t="n"/>
    </row>
    <row r="12">
      <c r="A12" s="4" t="n"/>
      <c r="B12" s="4" t="n"/>
      <c r="C12" s="5" t="n"/>
      <c r="D12" s="5" t="n"/>
      <c r="E12" s="5">
        <f>E11+C12-D12</f>
        <v/>
      </c>
      <c r="F12" s="5" t="n"/>
      <c r="G12" s="5" t="n"/>
      <c r="H12" s="5" t="n"/>
      <c r="I12" s="5" t="n"/>
      <c r="J12" s="5" t="n"/>
      <c r="K12" s="5" t="n"/>
    </row>
    <row r="13">
      <c r="A13" s="4" t="n"/>
      <c r="B13" s="4" t="n"/>
      <c r="C13" s="5" t="n"/>
      <c r="D13" s="5" t="n"/>
      <c r="E13" s="5">
        <f>E12+C13-D13</f>
        <v/>
      </c>
      <c r="F13" s="5" t="n"/>
      <c r="G13" s="5" t="n"/>
      <c r="H13" s="5" t="n"/>
      <c r="I13" s="5" t="n"/>
      <c r="J13" s="5" t="n"/>
      <c r="K13" s="5" t="n"/>
    </row>
    <row r="14">
      <c r="A14" s="4" t="n"/>
      <c r="B14" s="4" t="n"/>
      <c r="C14" s="5" t="n"/>
      <c r="D14" s="5" t="n"/>
      <c r="E14" s="5">
        <f>E13+C14-D14</f>
        <v/>
      </c>
      <c r="F14" s="5" t="n"/>
      <c r="G14" s="5" t="n"/>
      <c r="H14" s="5" t="n"/>
      <c r="I14" s="5" t="n"/>
      <c r="J14" s="5" t="n"/>
      <c r="K14" s="5" t="n"/>
    </row>
    <row r="15">
      <c r="A15" s="4" t="n"/>
      <c r="B15" s="4" t="n"/>
      <c r="C15" s="5" t="n"/>
      <c r="D15" s="5" t="n"/>
      <c r="E15" s="5">
        <f>E14+C15-D15</f>
        <v/>
      </c>
      <c r="F15" s="5" t="n"/>
      <c r="G15" s="5" t="n"/>
      <c r="H15" s="5" t="n"/>
      <c r="I15" s="5" t="n"/>
      <c r="J15" s="5" t="n"/>
      <c r="K15" s="5" t="n"/>
    </row>
    <row r="16">
      <c r="A16" s="4" t="n"/>
      <c r="B16" s="4" t="n"/>
      <c r="C16" s="5" t="n"/>
      <c r="D16" s="5" t="n"/>
      <c r="E16" s="5">
        <f>E15+C16-D16</f>
        <v/>
      </c>
      <c r="F16" s="5" t="n"/>
      <c r="G16" s="5" t="n"/>
      <c r="H16" s="5" t="n"/>
      <c r="I16" s="5" t="n"/>
      <c r="J16" s="5" t="n"/>
      <c r="K16" s="5" t="n"/>
    </row>
    <row r="17">
      <c r="A17" s="4" t="n"/>
      <c r="B17" s="4" t="n"/>
      <c r="C17" s="5" t="n"/>
      <c r="D17" s="5" t="n"/>
      <c r="E17" s="5">
        <f>E16+C17-D17</f>
        <v/>
      </c>
      <c r="F17" s="5" t="n"/>
      <c r="G17" s="5" t="n"/>
      <c r="H17" s="5" t="n"/>
      <c r="I17" s="5" t="n"/>
      <c r="J17" s="5" t="n"/>
      <c r="K17" s="5" t="n"/>
    </row>
    <row r="18">
      <c r="A18" s="4" t="n"/>
      <c r="B18" s="4" t="n"/>
      <c r="C18" s="5" t="n"/>
      <c r="D18" s="5" t="n"/>
      <c r="E18" s="5">
        <f>E17+C18-D18</f>
        <v/>
      </c>
      <c r="F18" s="5" t="n"/>
      <c r="G18" s="5" t="n"/>
      <c r="H18" s="5" t="n"/>
      <c r="I18" s="5" t="n"/>
      <c r="J18" s="5" t="n"/>
      <c r="K18" s="5" t="n"/>
    </row>
    <row r="19">
      <c r="A19" s="4" t="n"/>
      <c r="B19" s="4" t="n"/>
      <c r="C19" s="5" t="n"/>
      <c r="D19" s="5" t="n"/>
      <c r="E19" s="5">
        <f>E18+C19-D19</f>
        <v/>
      </c>
      <c r="F19" s="5" t="n"/>
      <c r="G19" s="5" t="n"/>
      <c r="H19" s="5" t="n"/>
      <c r="I19" s="5" t="n"/>
      <c r="J19" s="5" t="n"/>
      <c r="K19" s="5" t="n"/>
    </row>
    <row r="20">
      <c r="A20" s="4" t="n"/>
      <c r="B20" s="4" t="n"/>
      <c r="C20" s="5" t="n"/>
      <c r="D20" s="5" t="n"/>
      <c r="E20" s="5">
        <f>E19+C20-D20</f>
        <v/>
      </c>
      <c r="F20" s="5" t="n"/>
      <c r="G20" s="5" t="n"/>
      <c r="H20" s="5" t="n"/>
      <c r="I20" s="5" t="n"/>
      <c r="J20" s="5" t="n"/>
      <c r="K20" s="5" t="n"/>
    </row>
    <row r="21">
      <c r="A21" s="4" t="n"/>
      <c r="B21" s="4" t="n"/>
      <c r="C21" s="5" t="n"/>
      <c r="D21" s="5" t="n"/>
      <c r="E21" s="5">
        <f>E20+C21-D21</f>
        <v/>
      </c>
      <c r="F21" s="5" t="n"/>
      <c r="G21" s="5" t="n"/>
      <c r="H21" s="5" t="n"/>
      <c r="I21" s="5" t="n"/>
      <c r="J21" s="5" t="n"/>
      <c r="K21" s="5" t="n"/>
    </row>
    <row r="22">
      <c r="A22" s="4" t="n"/>
      <c r="B22" s="4" t="n"/>
      <c r="C22" s="5" t="n"/>
      <c r="D22" s="5" t="n"/>
      <c r="E22" s="5">
        <f>E21+C22-D22</f>
        <v/>
      </c>
      <c r="F22" s="5" t="n"/>
      <c r="G22" s="5" t="n"/>
      <c r="H22" s="5" t="n"/>
      <c r="I22" s="5" t="n"/>
      <c r="J22" s="5" t="n"/>
      <c r="K22" s="5" t="n"/>
    </row>
    <row r="23">
      <c r="A23" s="4" t="n"/>
      <c r="B23" s="4" t="n"/>
      <c r="C23" s="5" t="n"/>
      <c r="D23" s="5" t="n"/>
      <c r="E23" s="5">
        <f>E22+C23-D23</f>
        <v/>
      </c>
      <c r="F23" s="5" t="n"/>
      <c r="G23" s="5" t="n"/>
      <c r="H23" s="5" t="n"/>
      <c r="I23" s="5" t="n"/>
      <c r="J23" s="5" t="n"/>
      <c r="K23" s="5" t="n"/>
    </row>
    <row r="24">
      <c r="A24" s="85" t="n"/>
      <c r="B24" s="85" t="inlineStr">
        <is>
          <t>Solde à reporter</t>
        </is>
      </c>
      <c r="C24" s="97" t="n"/>
      <c r="D24" s="97" t="n"/>
      <c r="E24" s="86">
        <f>E23</f>
        <v/>
      </c>
      <c r="F24" s="97" t="n"/>
      <c r="G24" s="97" t="n"/>
      <c r="H24" s="97" t="n"/>
      <c r="I24" s="97" t="n"/>
      <c r="J24" s="97" t="n"/>
      <c r="K24" s="97" t="n"/>
    </row>
  </sheetData>
  <mergeCells count="3">
    <mergeCell ref="B4:H4"/>
    <mergeCell ref="J2:K2"/>
    <mergeCell ref="A7:K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4" customWidth="1" min="4" max="4"/>
  </cols>
  <sheetData>
    <row r="1" ht="12" customHeight="1">
      <c r="A1" s="48" t="inlineStr">
        <is>
          <t>- 12 -</t>
        </is>
      </c>
    </row>
    <row r="2" ht="26" customHeight="1">
      <c r="D2" s="49" t="inlineStr">
        <is>
          <t>NOTE 5
SYCEBNL - SMT</t>
        </is>
      </c>
      <c r="E2" s="50" t="n"/>
    </row>
    <row r="3" ht="15" customHeight="1">
      <c r="A3" s="37" t="inlineStr">
        <is>
          <t>Dénomination sociale : CLUB SOLIDARITE QUARTIER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/>
    </row>
    <row r="5" ht="15" customHeight="1">
      <c r="A5" s="37" t="inlineStr">
        <is>
          <t>N° de compte contribuable (NCC) : ASBL-0093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91" t="inlineStr">
        <is>
          <t>NOTE 5 : DOTATION</t>
        </is>
      </c>
    </row>
    <row r="8">
      <c r="A8" s="1" t="inlineStr">
        <is>
          <t>Nom et prénoms des membres</t>
        </is>
      </c>
      <c r="B8" s="2" t="inlineStr">
        <is>
          <t>Nationalité</t>
        </is>
      </c>
      <c r="C8" s="2" t="inlineStr">
        <is>
          <t>Montant</t>
        </is>
      </c>
      <c r="D8" s="3" t="inlineStr">
        <is>
          <t>Avec / sans droit d'entrée</t>
        </is>
      </c>
    </row>
    <row r="9">
      <c r="A9" s="100" t="inlineStr">
        <is>
          <t>Dotation non consomptible - rappel balance</t>
        </is>
      </c>
      <c r="B9" s="100" t="n"/>
      <c r="C9" s="101">
        <f>SUMIF('BALANCE N'!$A$2:$A$50,"101*",'BALANCE N'!$G$2:$G$50)-SUMIF('BALANCE N'!$A$2:$A$50,"101*",'BALANCE N'!$F$2:$F$50)+SUMIF('BALANCE N'!$A$2:$A$50,"102*",'BALANCE N'!$G$2:$G$50)-SUMIF('BALANCE N'!$A$2:$A$50,"102*",'BALANCE N'!$F$2:$F$50)</f>
        <v/>
      </c>
      <c r="D9" s="100" t="n"/>
    </row>
    <row r="10">
      <c r="A10" s="4" t="n"/>
      <c r="B10" s="4" t="n"/>
      <c r="C10" s="5" t="n"/>
      <c r="D10" s="4" t="n"/>
    </row>
    <row r="11">
      <c r="A11" s="4" t="n"/>
      <c r="B11" s="4" t="n"/>
      <c r="C11" s="5" t="n"/>
      <c r="D11" s="4" t="n"/>
    </row>
    <row r="12">
      <c r="A12" s="4" t="n"/>
      <c r="B12" s="4" t="n"/>
      <c r="C12" s="5" t="n"/>
      <c r="D12" s="4" t="n"/>
    </row>
    <row r="13">
      <c r="A13" s="100" t="inlineStr">
        <is>
          <t>Droit d'entrée - rappel balance</t>
        </is>
      </c>
      <c r="B13" s="100" t="n"/>
      <c r="C13" s="101">
        <f>SUMIF('BALANCE N'!$A$2:$A$50,"103*",'BALANCE N'!$G$2:$G$50)-SUMIF('BALANCE N'!$A$2:$A$50,"103*",'BALANCE N'!$F$2:$F$50)</f>
        <v/>
      </c>
      <c r="D13" s="100" t="n"/>
    </row>
    <row r="14">
      <c r="A14" s="4" t="n"/>
      <c r="B14" s="4" t="n"/>
      <c r="C14" s="5" t="n"/>
      <c r="D14" s="4" t="n"/>
    </row>
    <row r="15">
      <c r="A15" s="4" t="n"/>
      <c r="B15" s="4" t="n"/>
      <c r="C15" s="5" t="n"/>
      <c r="D15" s="4" t="n"/>
    </row>
    <row r="16">
      <c r="A16" s="4" t="n"/>
      <c r="B16" s="4" t="n"/>
      <c r="C16" s="5" t="n"/>
      <c r="D16" s="4" t="n"/>
    </row>
    <row r="17">
      <c r="A17" s="100" t="inlineStr">
        <is>
          <t>Dotation consomptible - rappel balance</t>
        </is>
      </c>
      <c r="B17" s="100" t="n"/>
      <c r="C17" s="101">
        <f>SUMIF('BALANCE N'!$A$2:$A$50,"104*",'BALANCE N'!$G$2:$G$50)-SUMIF('BALANCE N'!$A$2:$A$50,"104*",'BALANCE N'!$F$2:$F$50)</f>
        <v/>
      </c>
      <c r="D17" s="100" t="n"/>
    </row>
    <row r="18">
      <c r="A18" s="4" t="n"/>
      <c r="B18" s="4" t="n"/>
      <c r="C18" s="5" t="n"/>
      <c r="D18" s="4" t="n"/>
    </row>
    <row r="19">
      <c r="A19" s="4" t="n"/>
      <c r="B19" s="4" t="n"/>
      <c r="C19" s="5" t="n"/>
      <c r="D19" s="4" t="n"/>
    </row>
    <row r="20">
      <c r="A20" s="4" t="n"/>
      <c r="B20" s="4" t="n"/>
      <c r="C20" s="5" t="n"/>
      <c r="D20" s="4" t="n"/>
    </row>
    <row r="21">
      <c r="A21" s="85" t="inlineStr">
        <is>
          <t>TOTAL</t>
        </is>
      </c>
      <c r="B21" s="85" t="n"/>
      <c r="C21" s="86">
        <f>C9+C13+C17</f>
        <v/>
      </c>
      <c r="D21" s="85" t="n"/>
    </row>
  </sheetData>
  <mergeCells count="2">
    <mergeCell ref="A7:E7"/>
    <mergeCell ref="D2:E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1.2" customWidth="1" min="1" max="1"/>
    <col width="14.8" customWidth="1" min="2" max="2"/>
    <col width="11.5" customWidth="1" min="3" max="3"/>
    <col width="19.8" customWidth="1" min="4" max="4"/>
    <col width="14.5" customWidth="1" min="5" max="5"/>
    <col width="10.3" customWidth="1" min="6" max="6"/>
    <col width="13.5" customWidth="1" min="7" max="7"/>
    <col width="6.3" customWidth="1" min="8" max="8"/>
  </cols>
  <sheetData>
    <row r="1" ht="26" customHeight="1">
      <c r="A1" s="53" t="inlineStr">
        <is>
          <t>TABLE DES COMMENTAIRES</t>
        </is>
      </c>
      <c r="G1" s="102" t="inlineStr">
        <is>
          <t>COMMENTAIRES
PAGE 1/2</t>
        </is>
      </c>
      <c r="H1" s="50" t="n"/>
    </row>
    <row r="2">
      <c r="A2" s="63" t="inlineStr">
        <is>
          <t>Dénomination sociale : CLUB SOLIDARITE QUARTIER</t>
        </is>
      </c>
    </row>
    <row r="3">
      <c r="A3" s="63" t="inlineStr">
        <is>
          <t xml:space="preserve">Adresse : </t>
        </is>
      </c>
      <c r="F3" s="63" t="inlineStr">
        <is>
          <t xml:space="preserve">Sigle usuel : </t>
        </is>
      </c>
    </row>
    <row r="4">
      <c r="A4" s="63" t="inlineStr">
        <is>
          <t>N° de compte contribuable (NCC) : ASBL-0093</t>
        </is>
      </c>
      <c r="E4" s="63" t="inlineStr">
        <is>
          <t>Exercice clos le 31-12-2025</t>
        </is>
      </c>
      <c r="G4" s="63" t="inlineStr">
        <is>
          <t>Durée (en mois) : 12</t>
        </is>
      </c>
    </row>
    <row r="5">
      <c r="A5" s="63" t="inlineStr">
        <is>
          <t xml:space="preserve">N° de télédéclarant (NTD) : </t>
        </is>
      </c>
    </row>
    <row r="6" ht="17" customHeight="1">
      <c r="A6" s="103" t="inlineStr">
        <is>
          <t>Partie 1 : Notes sur le bilan</t>
        </is>
      </c>
      <c r="B6" s="104" t="n"/>
      <c r="C6" s="104" t="n"/>
      <c r="D6" s="104" t="n"/>
      <c r="E6" s="104" t="n"/>
      <c r="F6" s="104" t="n"/>
      <c r="G6" s="104" t="n"/>
      <c r="H6" s="104" t="n"/>
    </row>
    <row r="7" ht="16" customHeight="1">
      <c r="A7" s="105" t="inlineStr">
        <is>
          <t>Note 1</t>
        </is>
      </c>
      <c r="B7" s="106" t="inlineStr">
        <is>
          <t>Tableau d'acquisition et de suivi du matériel, du mobilier et des cautions</t>
        </is>
      </c>
      <c r="C7" s="45" t="n"/>
      <c r="D7" s="45" t="n"/>
      <c r="E7" s="45" t="n"/>
      <c r="F7" s="45" t="n"/>
      <c r="G7" s="45" t="n"/>
      <c r="H7" s="45" t="n"/>
    </row>
    <row r="8" ht="110" customHeight="1">
      <c r="A8" s="107" t="n"/>
      <c r="B8" s="45" t="n"/>
      <c r="C8" s="45" t="n"/>
      <c r="D8" s="45" t="n"/>
      <c r="E8" s="45" t="n"/>
      <c r="F8" s="45" t="n"/>
      <c r="G8" s="45" t="n"/>
      <c r="H8" s="45" t="n"/>
    </row>
    <row r="9" ht="16" customHeight="1">
      <c r="A9" s="105" t="inlineStr">
        <is>
          <t>Note 2</t>
        </is>
      </c>
      <c r="B9" s="106" t="inlineStr">
        <is>
          <t>État des stocks</t>
        </is>
      </c>
      <c r="C9" s="45" t="n"/>
      <c r="D9" s="45" t="n"/>
      <c r="E9" s="45" t="n"/>
      <c r="F9" s="45" t="n"/>
      <c r="G9" s="45" t="n"/>
      <c r="H9" s="45" t="n"/>
    </row>
    <row r="10" ht="110" customHeight="1">
      <c r="A10" s="107" t="n"/>
      <c r="B10" s="45" t="n"/>
      <c r="C10" s="45" t="n"/>
      <c r="D10" s="45" t="n"/>
      <c r="E10" s="45" t="n"/>
      <c r="F10" s="45" t="n"/>
      <c r="G10" s="45" t="n"/>
      <c r="H10" s="45" t="n"/>
    </row>
    <row r="11" ht="16" customHeight="1">
      <c r="A11" s="105" t="inlineStr">
        <is>
          <t>Note 3</t>
        </is>
      </c>
      <c r="B11" s="106" t="inlineStr">
        <is>
          <t>État des créances et des dettes non échues</t>
        </is>
      </c>
      <c r="C11" s="45" t="n"/>
      <c r="D11" s="45" t="n"/>
      <c r="E11" s="45" t="n"/>
      <c r="F11" s="45" t="n"/>
      <c r="G11" s="45" t="n"/>
      <c r="H11" s="45" t="n"/>
    </row>
    <row r="12" ht="110" customHeight="1">
      <c r="A12" s="107" t="n"/>
      <c r="B12" s="45" t="n"/>
      <c r="C12" s="45" t="n"/>
      <c r="D12" s="45" t="n"/>
      <c r="E12" s="45" t="n"/>
      <c r="F12" s="45" t="n"/>
      <c r="G12" s="45" t="n"/>
      <c r="H12" s="45" t="n"/>
    </row>
    <row r="13" ht="16" customHeight="1">
      <c r="A13" s="105" t="inlineStr">
        <is>
          <t>Note 5</t>
        </is>
      </c>
      <c r="B13" s="106" t="inlineStr">
        <is>
          <t>Dotations</t>
        </is>
      </c>
      <c r="C13" s="45" t="n"/>
      <c r="D13" s="45" t="n"/>
      <c r="E13" s="45" t="n"/>
      <c r="F13" s="45" t="n"/>
      <c r="G13" s="45" t="n"/>
      <c r="H13" s="45" t="n"/>
    </row>
    <row r="14" ht="110" customHeight="1">
      <c r="A14" s="107" t="n"/>
      <c r="B14" s="45" t="n"/>
      <c r="C14" s="45" t="n"/>
      <c r="D14" s="45" t="n"/>
      <c r="E14" s="45" t="n"/>
      <c r="F14" s="45" t="n"/>
      <c r="G14" s="45" t="n"/>
      <c r="H14" s="45" t="n"/>
    </row>
    <row r="15" ht="26" customHeight="1">
      <c r="A15" s="53" t="inlineStr">
        <is>
          <t>TABLE DES COMMENTAIRES</t>
        </is>
      </c>
      <c r="G15" s="102" t="inlineStr">
        <is>
          <t>COMMENTAIRES
PAGE 2/2</t>
        </is>
      </c>
      <c r="H15" s="50" t="n"/>
    </row>
    <row r="16">
      <c r="A16" s="63" t="inlineStr">
        <is>
          <t>Dénomination sociale : CLUB SOLIDARITE QUARTIER</t>
        </is>
      </c>
    </row>
    <row r="17">
      <c r="A17" s="63" t="inlineStr">
        <is>
          <t xml:space="preserve">Adresse : </t>
        </is>
      </c>
      <c r="F17" s="63" t="inlineStr">
        <is>
          <t xml:space="preserve">Sigle usuel : </t>
        </is>
      </c>
    </row>
    <row r="18">
      <c r="A18" s="63" t="inlineStr">
        <is>
          <t>N° de compte contribuable (NCC) : ASBL-0093</t>
        </is>
      </c>
      <c r="E18" s="63" t="inlineStr">
        <is>
          <t>Exercice clos le 31-12-2025</t>
        </is>
      </c>
      <c r="G18" s="63" t="inlineStr">
        <is>
          <t>Durée (en mois) : 12</t>
        </is>
      </c>
    </row>
    <row r="19">
      <c r="A19" s="63" t="inlineStr">
        <is>
          <t xml:space="preserve">N° de télédéclarant (NTD) : </t>
        </is>
      </c>
    </row>
    <row r="20" ht="17" customHeight="1">
      <c r="A20" s="103" t="inlineStr">
        <is>
          <t>Partie 2 : Notes sur le compte de résultat</t>
        </is>
      </c>
      <c r="B20" s="104" t="n"/>
      <c r="C20" s="104" t="n"/>
      <c r="D20" s="104" t="n"/>
      <c r="E20" s="104" t="n"/>
      <c r="F20" s="104" t="n"/>
      <c r="G20" s="104" t="n"/>
      <c r="H20" s="104" t="n"/>
    </row>
    <row r="21" ht="16" customHeight="1">
      <c r="A21" s="105" t="inlineStr">
        <is>
          <t>Note 4</t>
        </is>
      </c>
      <c r="B21" s="106" t="inlineStr">
        <is>
          <t>Journal unique de trésorerie</t>
        </is>
      </c>
      <c r="C21" s="45" t="n"/>
      <c r="D21" s="45" t="n"/>
      <c r="E21" s="45" t="n"/>
      <c r="F21" s="45" t="n"/>
      <c r="G21" s="45" t="n"/>
      <c r="H21" s="45" t="n"/>
    </row>
    <row r="22" ht="110" customHeight="1">
      <c r="A22" s="107" t="n"/>
      <c r="B22" s="45" t="n"/>
      <c r="C22" s="45" t="n"/>
      <c r="D22" s="45" t="n"/>
      <c r="E22" s="45" t="n"/>
      <c r="F22" s="45" t="n"/>
      <c r="G22" s="45" t="n"/>
      <c r="H22" s="45" t="n"/>
    </row>
  </sheetData>
  <mergeCells count="16">
    <mergeCell ref="A12:H12"/>
    <mergeCell ref="B9:H9"/>
    <mergeCell ref="B13:H13"/>
    <mergeCell ref="A20:H20"/>
    <mergeCell ref="G1:H1"/>
    <mergeCell ref="A1:F1"/>
    <mergeCell ref="G15:H15"/>
    <mergeCell ref="B21:H21"/>
    <mergeCell ref="A10:H10"/>
    <mergeCell ref="A14:H14"/>
    <mergeCell ref="B7:H7"/>
    <mergeCell ref="B11:H11"/>
    <mergeCell ref="A8:H8"/>
    <mergeCell ref="A15:F15"/>
    <mergeCell ref="A6:H6"/>
    <mergeCell ref="A22:H2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10" customWidth="1" min="3" max="3"/>
  </cols>
  <sheetData>
    <row r="1">
      <c r="A1" s="1" t="inlineStr">
        <is>
          <t>Contrôle</t>
        </is>
      </c>
      <c r="B1" s="2" t="inlineStr">
        <is>
          <t>Valeur</t>
        </is>
      </c>
      <c r="C1" s="3" t="inlineStr">
        <is>
          <t>Attendu</t>
        </is>
      </c>
    </row>
    <row r="2">
      <c r="A2" s="4" t="inlineStr">
        <is>
          <t>Total solde débit balance</t>
        </is>
      </c>
      <c r="B2" s="5">
        <f>SUM('BALANCE N'!F2:F18)</f>
        <v/>
      </c>
      <c r="C2" s="4" t="inlineStr"/>
    </row>
    <row r="3">
      <c r="A3" s="4" t="inlineStr">
        <is>
          <t>Total solde crédit balance</t>
        </is>
      </c>
      <c r="B3" s="5">
        <f>SUM('BALANCE N'!G2:G18)</f>
        <v/>
      </c>
      <c r="C3" s="4" t="inlineStr"/>
    </row>
    <row r="4">
      <c r="A4" s="4" t="inlineStr">
        <is>
          <t>Écart balance (doit être 0)</t>
        </is>
      </c>
      <c r="B4" s="5">
        <f>B2-B3</f>
        <v/>
      </c>
      <c r="C4" s="4" t="n">
        <v>0</v>
      </c>
    </row>
    <row r="5">
      <c r="A5" s="4" t="inlineStr">
        <is>
          <t>Total actif (GZ)</t>
        </is>
      </c>
      <c r="B5" s="5">
        <f>'Bilan-Actif'!D14</f>
        <v/>
      </c>
      <c r="C5" s="4" t="inlineStr"/>
    </row>
    <row r="6">
      <c r="A6" s="4" t="inlineStr">
        <is>
          <t>Total passif (HZ)</t>
        </is>
      </c>
      <c r="B6" s="5">
        <f>'Bilan-Passif'!D13</f>
        <v/>
      </c>
      <c r="C6" s="4" t="inlineStr"/>
    </row>
    <row r="7">
      <c r="A7" s="4" t="inlineStr">
        <is>
          <t>Écart actif - passif (doit être 0)</t>
        </is>
      </c>
      <c r="B7" s="5">
        <f>B5-B6</f>
        <v/>
      </c>
      <c r="C7" s="4" t="n">
        <v>0</v>
      </c>
    </row>
    <row r="8">
      <c r="A8" s="4" t="inlineStr">
        <is>
          <t>Résultat net (compte de résultat, KZC)</t>
        </is>
      </c>
      <c r="B8" s="5">
        <f>'Résultat'!D24</f>
        <v/>
      </c>
      <c r="C8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62" customWidth="1" min="4" max="4"/>
    <col width="62" customWidth="1" min="5" max="5"/>
  </cols>
  <sheetData>
    <row r="1">
      <c r="A1" s="1" t="inlineStr">
        <is>
          <t>Gravité</t>
        </is>
      </c>
      <c r="B1" s="2" t="inlineStr">
        <is>
          <t>Compte</t>
        </is>
      </c>
      <c r="C1" s="2" t="inlineStr">
        <is>
          <t>Intitulé</t>
        </is>
      </c>
      <c r="D1" s="2" t="inlineStr">
        <is>
          <t>Problème</t>
        </is>
      </c>
      <c r="E1" s="3" t="inlineStr">
        <is>
          <t>Solution proposée</t>
        </is>
      </c>
    </row>
    <row r="2">
      <c r="A2" s="4" t="inlineStr">
        <is>
          <t>INFO</t>
        </is>
      </c>
      <c r="B2" s="4" t="inlineStr"/>
      <c r="C2" s="4" t="inlineStr">
        <is>
          <t>Classe 4</t>
        </is>
      </c>
      <c r="D2" s="4" t="inlineStr">
        <is>
          <t>La balance porte des comptes de tiers : recettes/dépenses incluent des montants non encaissés/décaissés (base engagement).</t>
        </is>
      </c>
      <c r="E2" s="4" t="inlineStr">
        <is>
          <t>Laisser VB/VC à zéro dans ce cas ; ne les servir que pour une balance de trésorerie pure (Note 3).</t>
        </is>
      </c>
    </row>
    <row r="3">
      <c r="A3" s="4" t="inlineStr">
        <is>
          <t>INFO</t>
        </is>
      </c>
      <c r="B3" s="4" t="inlineStr"/>
      <c r="C3" s="4" t="inlineStr">
        <is>
          <t>SMT - seuil</t>
        </is>
      </c>
      <c r="D3" s="4" t="inlineStr">
        <is>
          <t>Vérifier l'assujettissement : ressources annuelles ≤ 30 M FCFA (Acte uniforme SYCEBNL, art. 5-6).</t>
        </is>
      </c>
      <c r="E3" s="4" t="inlineStr">
        <is>
          <t>Au-delà, monter le jeu du Système normal (monter_etats_sycebnl.py) ou des projets (monter_projets.py).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2026-09-01T01:28:30Z</dcterms:created>
  <dcterms:modified xsi:type="dcterms:W3CDTF">2026-09-01T01:28:30Z</dcterms:modified>
</cp:coreProperties>
</file>