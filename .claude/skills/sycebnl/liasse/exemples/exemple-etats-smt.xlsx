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CONTROLE BALANCE" sheetId="2" state="visible" r:id="rId2"/>
    <sheet name="Couverture" sheetId="3" state="visible" r:id="rId3"/>
    <sheet name="Garde" sheetId="4" state="visible" r:id="rId4"/>
    <sheet name="Fiche 1" sheetId="5" state="visible" r:id="rId5"/>
    <sheet name="Fiche 2" sheetId="6" state="visible" r:id="rId6"/>
    <sheet name="Bilan paysage" sheetId="7" state="visible" r:id="rId7"/>
    <sheet name="Bilan-Actif" sheetId="8" state="visible" r:id="rId8"/>
    <sheet name="Bilan-Passif" sheetId="9" state="visible" r:id="rId9"/>
    <sheet name="Résultat" sheetId="10" state="visible" r:id="rId10"/>
    <sheet name="NOTES ANNEXES" sheetId="11" state="visible" r:id="rId11"/>
    <sheet name="NOTE 1 IMMOBILISATIONS" sheetId="12" state="visible" r:id="rId12"/>
    <sheet name="NOTE 2 STOCKS" sheetId="13" state="visible" r:id="rId13"/>
    <sheet name="NOTE 3 CREANCES-DETTES" sheetId="14" state="visible" r:id="rId14"/>
    <sheet name="NOTE 4 JOURNAL TRESORERIE" sheetId="15" state="visible" r:id="rId15"/>
    <sheet name="NOTE 5 DOTATIONS" sheetId="16" state="visible" r:id="rId16"/>
    <sheet name="TABLE COMMENTAIRE" sheetId="17" state="visible" r:id="rId17"/>
    <sheet name="CONTROLES" sheetId="18" state="visible" r:id="rId18"/>
    <sheet name="ANOMAL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\ _€_-;\-* #,##0\ _€_-;_-* &quot;-&quot;\ _€_-;_-@_-"/>
  </numFmts>
  <fonts count="25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2"/>
    </font>
    <font>
      <name val="Arial"/>
      <b val="1"/>
      <color rgb="00008000"/>
      <sz val="11"/>
    </font>
    <font>
      <name val="Arial"/>
      <b val="1"/>
      <sz val="8"/>
    </font>
    <font>
      <name val="Arial Black"/>
      <b val="1"/>
      <sz val="10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003366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5" borderId="12" applyAlignment="1" pivotButton="0" quotePrefix="0" xfId="0">
      <alignment horizontal="left" vertical="center" wrapText="1"/>
    </xf>
    <xf numFmtId="164" fontId="6" fillId="5" borderId="12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7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7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0" pivotButton="0" quotePrefix="0" xfId="0"/>
    <xf numFmtId="0" fontId="0" fillId="0" borderId="18" pivotButton="0" quotePrefix="0" xfId="0"/>
    <xf numFmtId="0" fontId="1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8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10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27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8" applyAlignment="1" pivotButton="0" quotePrefix="0" xfId="0">
      <alignment horizontal="center" vertical="center" wrapText="1"/>
    </xf>
    <xf numFmtId="0" fontId="5" fillId="2" borderId="29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164" fontId="3" fillId="0" borderId="1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64" fontId="6" fillId="5" borderId="13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0" applyAlignment="1" pivotButton="0" quotePrefix="0" xfId="0">
      <alignment vertical="center"/>
    </xf>
    <xf numFmtId="164" fontId="5" fillId="4" borderId="10" applyAlignment="1" pivotButton="0" quotePrefix="0" xfId="0">
      <alignment vertical="center"/>
    </xf>
    <xf numFmtId="0" fontId="6" fillId="3" borderId="12" applyAlignment="1" pivotButton="0" quotePrefix="0" xfId="0">
      <alignment horizontal="left" vertical="center" wrapText="1"/>
    </xf>
    <xf numFmtId="164" fontId="6" fillId="3" borderId="12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8" pivotButton="0" quotePrefix="0" xfId="0"/>
    <xf numFmtId="164" fontId="3" fillId="0" borderId="8" pivotButton="0" quotePrefix="0" xfId="0"/>
    <xf numFmtId="164" fontId="5" fillId="4" borderId="8" applyAlignment="1" pivotButton="0" quotePrefix="0" xfId="0">
      <alignment horizontal="left" vertical="center" wrapText="1"/>
    </xf>
    <xf numFmtId="0" fontId="24" fillId="0" borderId="0" pivotButton="0" quotePrefix="0" xfId="0"/>
    <xf numFmtId="164" fontId="24" fillId="0" borderId="0" pivotButton="0" quotePrefix="0" xfId="0"/>
    <xf numFmtId="0" fontId="5" fillId="0" borderId="8" pivotButton="0" quotePrefix="0" xfId="0"/>
    <xf numFmtId="164" fontId="5" fillId="0" borderId="8" pivotButton="0" quotePrefix="0" xfId="0"/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1011</t>
        </is>
      </c>
      <c r="B2" s="4" t="inlineStr">
        <is>
          <t>Dotation non consomptible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1500000</v>
      </c>
    </row>
    <row r="3">
      <c r="A3" s="4" t="inlineStr">
        <is>
          <t>112</t>
        </is>
      </c>
      <c r="B3" s="4" t="inlineStr">
        <is>
          <t>Réserves statutaires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200000</v>
      </c>
    </row>
    <row r="4">
      <c r="A4" s="4" t="inlineStr">
        <is>
          <t>2441</t>
        </is>
      </c>
      <c r="B4" s="4" t="inlineStr">
        <is>
          <t>Matériel et mobilier de bureau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1500000</v>
      </c>
      <c r="H4" s="5" t="n">
        <v>0</v>
      </c>
    </row>
    <row r="5">
      <c r="A5" s="4" t="inlineStr">
        <is>
          <t>2844</t>
        </is>
      </c>
      <c r="B5" s="4" t="inlineStr">
        <is>
          <t>Amortissements du matériel et mobilier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500000</v>
      </c>
    </row>
    <row r="6">
      <c r="A6" s="4" t="inlineStr">
        <is>
          <t>331</t>
        </is>
      </c>
      <c r="B6" s="4" t="inlineStr">
        <is>
          <t>Matières consommables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200000</v>
      </c>
      <c r="H6" s="5" t="n">
        <v>0</v>
      </c>
    </row>
    <row r="7">
      <c r="A7" s="4" t="inlineStr">
        <is>
          <t>4011</t>
        </is>
      </c>
      <c r="B7" s="4" t="inlineStr">
        <is>
          <t>Fournisseurs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150000</v>
      </c>
    </row>
    <row r="8">
      <c r="A8" s="4" t="inlineStr">
        <is>
          <t>521</t>
        </is>
      </c>
      <c r="B8" s="4" t="inlineStr">
        <is>
          <t>Banques locales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1200000</v>
      </c>
      <c r="H8" s="5" t="n">
        <v>0</v>
      </c>
    </row>
    <row r="9">
      <c r="A9" s="4" t="inlineStr">
        <is>
          <t>571</t>
        </is>
      </c>
      <c r="B9" s="4" t="inlineStr">
        <is>
          <t>Caisse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400000</v>
      </c>
      <c r="H9" s="5" t="n">
        <v>0</v>
      </c>
    </row>
    <row r="10">
      <c r="A10" s="4" t="inlineStr">
        <is>
          <t>601</t>
        </is>
      </c>
      <c r="B10" s="4" t="inlineStr">
        <is>
          <t>Achats de biens et services liés à l'activité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1800000</v>
      </c>
      <c r="H10" s="5" t="n">
        <v>0</v>
      </c>
    </row>
    <row r="11">
      <c r="A11" s="4" t="inlineStr">
        <is>
          <t>616</t>
        </is>
      </c>
      <c r="B11" s="4" t="inlineStr">
        <is>
          <t>Transports de plis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150000</v>
      </c>
      <c r="H11" s="5" t="n">
        <v>0</v>
      </c>
    </row>
    <row r="12">
      <c r="A12" s="4" t="inlineStr">
        <is>
          <t>622</t>
        </is>
      </c>
      <c r="B12" s="4" t="inlineStr">
        <is>
          <t>Locations et charges locatives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600000</v>
      </c>
      <c r="H12" s="5" t="n">
        <v>0</v>
      </c>
    </row>
    <row r="13">
      <c r="A13" s="4" t="inlineStr">
        <is>
          <t>641</t>
        </is>
      </c>
      <c r="B13" s="4" t="inlineStr">
        <is>
          <t>Impôts et taxes directs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100000</v>
      </c>
      <c r="H13" s="5" t="n">
        <v>0</v>
      </c>
    </row>
    <row r="14">
      <c r="A14" s="4" t="inlineStr">
        <is>
          <t>661</t>
        </is>
      </c>
      <c r="B14" s="4" t="inlineStr">
        <is>
          <t>Salaires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1300000</v>
      </c>
      <c r="H14" s="5" t="n">
        <v>0</v>
      </c>
    </row>
    <row r="15">
      <c r="A15" s="4" t="inlineStr">
        <is>
          <t>681</t>
        </is>
      </c>
      <c r="B15" s="4" t="inlineStr">
        <is>
          <t>Dotations aux amortissements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250000</v>
      </c>
      <c r="H15" s="5" t="n">
        <v>0</v>
      </c>
    </row>
    <row r="16">
      <c r="A16" s="4" t="inlineStr">
        <is>
          <t>701</t>
        </is>
      </c>
      <c r="B16" s="4" t="inlineStr">
        <is>
          <t>Cotisations des adhérents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2500000</v>
      </c>
    </row>
    <row r="17">
      <c r="A17" s="4" t="inlineStr">
        <is>
          <t>7041</t>
        </is>
      </c>
      <c r="B17" s="4" t="inlineStr">
        <is>
          <t>Dons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1600000</v>
      </c>
    </row>
    <row r="18">
      <c r="A18" s="4" t="inlineStr">
        <is>
          <t>711</t>
        </is>
      </c>
      <c r="B18" s="4" t="inlineStr">
        <is>
          <t>Subventions d'exploitation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1050000</v>
      </c>
    </row>
    <row r="19" ht="20" customHeight="1">
      <c r="A19" s="6" t="n"/>
      <c r="B19" s="6" t="inlineStr">
        <is>
          <t>TOTAL GENERAL</t>
        </is>
      </c>
      <c r="C19" s="7">
        <f>SUM(C2:C18)</f>
        <v/>
      </c>
      <c r="D19" s="7">
        <f>SUM(D2:D18)</f>
        <v/>
      </c>
      <c r="E19" s="7">
        <f>SUM(E2:E18)</f>
        <v/>
      </c>
      <c r="F19" s="7">
        <f>SUM(F2:F18)</f>
        <v/>
      </c>
      <c r="G19" s="7">
        <f>SUM(G2:G18)</f>
        <v/>
      </c>
      <c r="H19" s="7">
        <f>SUM(H2:H18)</f>
        <v/>
      </c>
    </row>
    <row r="20">
      <c r="A20" s="8" t="n"/>
      <c r="B20" s="8" t="inlineStr">
        <is>
          <t>Contrôle d'équilibre par solde (débit - crédit, doit être 0)</t>
        </is>
      </c>
      <c r="C20" s="9">
        <f>C19-D19</f>
        <v/>
      </c>
      <c r="D20" s="9" t="n"/>
      <c r="E20" s="9">
        <f>E19-F19</f>
        <v/>
      </c>
      <c r="F20" s="9" t="n"/>
      <c r="G20" s="9">
        <f>G19-H19</f>
        <v/>
      </c>
      <c r="H2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N'!C2:C18)</f>
        <v/>
      </c>
      <c r="C3" s="17">
        <f>SUM('BALANCE N'!D2:D18)</f>
        <v/>
      </c>
      <c r="D3" s="17">
        <f>SUM('BALANCE N'!E2:E18)</f>
        <v/>
      </c>
      <c r="E3" s="17">
        <f>SUM('BALANCE N'!F2:F18)</f>
        <v/>
      </c>
      <c r="F3" s="17">
        <f>SUM('BALANCE N'!G2:G18)</f>
        <v/>
      </c>
      <c r="G3" s="18">
        <f>SUM('BALANCE N'!H2:H18)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</sheetData>
  <mergeCells count="5">
    <mergeCell ref="F4:G4"/>
    <mergeCell ref="A1:G1"/>
    <mergeCell ref="A2:A4"/>
    <mergeCell ref="D4:E4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CLUB SOLIDARITE QUARTIER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SMT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Associations, Ordres Professionnels, Fondations et Assimilées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CLUB SOLIDARITE QUARTIER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/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ASBL-0093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MINIMAL DE TRESORERIE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Notes annexes 1 à 5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2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Système minimal de trésorerie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01-01-2025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CLUB SOLIDARITE QUARTIER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- 3 -</t>
        </is>
      </c>
    </row>
    <row r="2" ht="26" customHeight="1">
      <c r="I2" s="53" t="inlineStr">
        <is>
          <t>BILAN SYCEBNL - SMT
PAGE 1/1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EXERCICE N</t>
        </is>
      </c>
      <c r="E8" s="72" t="inlineStr">
        <is>
          <t>EXERCICE N-1</t>
        </is>
      </c>
      <c r="F8" s="70" t="inlineStr">
        <is>
          <t>REF</t>
        </is>
      </c>
      <c r="G8" s="71" t="inlineStr">
        <is>
          <t>PASSIF</t>
        </is>
      </c>
      <c r="H8" s="71" t="inlineStr">
        <is>
          <t>NOTE</t>
        </is>
      </c>
      <c r="I8" s="71" t="inlineStr">
        <is>
          <t>EXERCICE N</t>
        </is>
      </c>
      <c r="J8" s="72" t="inlineStr">
        <is>
          <t>EXERCICE N-1</t>
        </is>
      </c>
    </row>
    <row r="9" ht="24" customHeight="1">
      <c r="A9" s="73" t="n"/>
      <c r="B9" s="74" t="n"/>
      <c r="C9" s="74" t="n"/>
      <c r="D9" s="74" t="n"/>
      <c r="E9" s="75" t="n"/>
      <c r="F9" s="73" t="n"/>
      <c r="G9" s="74" t="n"/>
      <c r="H9" s="74" t="n"/>
      <c r="I9" s="74" t="n"/>
      <c r="J9" s="75" t="n"/>
    </row>
    <row r="10" ht="18" customHeight="1">
      <c r="A10" s="76" t="inlineStr">
        <is>
          <t>GA</t>
        </is>
      </c>
      <c r="B10" s="4" t="inlineStr">
        <is>
          <t>Immobilisations (1)</t>
        </is>
      </c>
      <c r="C10" s="4" t="inlineStr">
        <is>
          <t>1</t>
        </is>
      </c>
      <c r="D10" s="5">
        <f>'Bilan-Actif'!D9</f>
        <v/>
      </c>
      <c r="E10" s="77">
        <f>'Bilan-Actif'!E9</f>
        <v/>
      </c>
      <c r="F10" s="76" t="inlineStr">
        <is>
          <t>HA</t>
        </is>
      </c>
      <c r="G10" s="4" t="inlineStr">
        <is>
          <t>Dotations</t>
        </is>
      </c>
      <c r="H10" s="4" t="inlineStr">
        <is>
          <t>5</t>
        </is>
      </c>
      <c r="I10" s="5">
        <f>'Bilan-Passif'!D9</f>
        <v/>
      </c>
      <c r="J10" s="77">
        <f>'Bilan-Passif'!E9</f>
        <v/>
      </c>
    </row>
    <row r="11" ht="18" customHeight="1">
      <c r="A11" s="76" t="inlineStr">
        <is>
          <t>GB</t>
        </is>
      </c>
      <c r="B11" s="4" t="inlineStr">
        <is>
          <t>Stocks</t>
        </is>
      </c>
      <c r="C11" s="4" t="inlineStr">
        <is>
          <t>2</t>
        </is>
      </c>
      <c r="D11" s="5">
        <f>'Bilan-Actif'!D10</f>
        <v/>
      </c>
      <c r="E11" s="77">
        <f>'Bilan-Actif'!E10</f>
        <v/>
      </c>
      <c r="F11" s="76" t="inlineStr">
        <is>
          <t>HB</t>
        </is>
      </c>
      <c r="G11" s="4" t="inlineStr">
        <is>
          <t>Résultat net de l'exercice (en + ou en -)</t>
        </is>
      </c>
      <c r="H11" s="4" t="inlineStr"/>
      <c r="I11" s="5">
        <f>'Bilan-Passif'!D10</f>
        <v/>
      </c>
      <c r="J11" s="77">
        <f>'Bilan-Passif'!E10</f>
        <v/>
      </c>
    </row>
    <row r="12" ht="18" customHeight="1">
      <c r="A12" s="76" t="inlineStr">
        <is>
          <t>GC</t>
        </is>
      </c>
      <c r="B12" s="4" t="inlineStr">
        <is>
          <t>Adhérents, clients-usagers et autres débiteurs</t>
        </is>
      </c>
      <c r="C12" s="4" t="inlineStr">
        <is>
          <t>3</t>
        </is>
      </c>
      <c r="D12" s="5">
        <f>'Bilan-Actif'!D11</f>
        <v/>
      </c>
      <c r="E12" s="77">
        <f>'Bilan-Actif'!E11</f>
        <v/>
      </c>
      <c r="F12" s="76" t="inlineStr">
        <is>
          <t>HC</t>
        </is>
      </c>
      <c r="G12" s="4" t="inlineStr">
        <is>
          <t>Autres fonds propres</t>
        </is>
      </c>
      <c r="H12" s="4" t="inlineStr"/>
      <c r="I12" s="5">
        <f>'Bilan-Passif'!D11</f>
        <v/>
      </c>
      <c r="J12" s="77">
        <f>'Bilan-Passif'!E11</f>
        <v/>
      </c>
    </row>
    <row r="13" ht="18" customHeight="1">
      <c r="A13" s="76" t="inlineStr">
        <is>
          <t>GD</t>
        </is>
      </c>
      <c r="B13" s="4" t="inlineStr">
        <is>
          <t>Caisse</t>
        </is>
      </c>
      <c r="C13" s="4" t="inlineStr">
        <is>
          <t>4</t>
        </is>
      </c>
      <c r="D13" s="5">
        <f>'Bilan-Actif'!D12</f>
        <v/>
      </c>
      <c r="E13" s="77">
        <f>'Bilan-Actif'!E12</f>
        <v/>
      </c>
      <c r="F13" s="76" t="inlineStr">
        <is>
          <t>HD</t>
        </is>
      </c>
      <c r="G13" s="4" t="inlineStr">
        <is>
          <t>Fournisseurs et autres créditeurs</t>
        </is>
      </c>
      <c r="H13" s="4" t="inlineStr">
        <is>
          <t>3</t>
        </is>
      </c>
      <c r="I13" s="5">
        <f>'Bilan-Passif'!D12</f>
        <v/>
      </c>
      <c r="J13" s="77">
        <f>'Bilan-Passif'!E12</f>
        <v/>
      </c>
    </row>
    <row r="14" ht="18" customHeight="1">
      <c r="A14" s="76" t="inlineStr">
        <is>
          <t>GE</t>
        </is>
      </c>
      <c r="B14" s="4" t="inlineStr">
        <is>
          <t>Banque (en + ou en -)</t>
        </is>
      </c>
      <c r="C14" s="4" t="inlineStr">
        <is>
          <t>4</t>
        </is>
      </c>
      <c r="D14" s="5">
        <f>'Bilan-Actif'!D13</f>
        <v/>
      </c>
      <c r="E14" s="77">
        <f>'Bilan-Actif'!E13</f>
        <v/>
      </c>
      <c r="F14" s="78" t="inlineStr">
        <is>
          <t>HZ</t>
        </is>
      </c>
      <c r="G14" s="6" t="inlineStr">
        <is>
          <t>TOTAL PASSIF</t>
        </is>
      </c>
      <c r="H14" s="6" t="n"/>
      <c r="I14" s="7">
        <f>'Bilan-Passif'!D13</f>
        <v/>
      </c>
      <c r="J14" s="79">
        <f>'Bilan-Passif'!E13</f>
        <v/>
      </c>
    </row>
    <row r="15" ht="18" customHeight="1">
      <c r="A15" s="78" t="inlineStr">
        <is>
          <t>GZ</t>
        </is>
      </c>
      <c r="B15" s="6" t="inlineStr">
        <is>
          <t>TOTAL ACTIF</t>
        </is>
      </c>
      <c r="C15" s="6" t="n"/>
      <c r="D15" s="7">
        <f>'Bilan-Actif'!D14</f>
        <v/>
      </c>
      <c r="E15" s="79">
        <f>'Bilan-Actif'!E14</f>
        <v/>
      </c>
      <c r="F15" s="19" t="n"/>
      <c r="G15" s="32" t="n"/>
      <c r="H15" s="32" t="n"/>
      <c r="I15" s="32" t="n"/>
      <c r="J15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- 4 -</t>
        </is>
      </c>
    </row>
    <row r="2" ht="26" customHeight="1">
      <c r="D2" s="53" t="inlineStr">
        <is>
          <t>BILAN SYCEBNL - SMT
PAGE 1/2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GA</t>
        </is>
      </c>
      <c r="B9" s="4" t="inlineStr">
        <is>
          <t>Immobilisations (1)</t>
        </is>
      </c>
      <c r="C9" s="4" t="inlineStr">
        <is>
          <t>1</t>
        </is>
      </c>
      <c r="D9" s="5">
        <f>SUMIF('BALANCE N'!$A$2:$A$50,"2*",'BALANCE N'!$G$2:$G$50)-SUMIF('BALANCE N'!$A$2:$A$50,"2*",'BALANCE N'!$H$2:$H$50)</f>
        <v/>
      </c>
      <c r="E9" s="77" t="n"/>
    </row>
    <row r="10" ht="22" customHeight="1">
      <c r="A10" s="76" t="inlineStr">
        <is>
          <t>GB</t>
        </is>
      </c>
      <c r="B10" s="4" t="inlineStr">
        <is>
          <t>Stocks</t>
        </is>
      </c>
      <c r="C10" s="4" t="inlineStr">
        <is>
          <t>2</t>
        </is>
      </c>
      <c r="D10" s="5">
        <f>SUMIF('BALANCE N'!$A$2:$A$50,"3*",'BALANCE N'!$G$2:$G$50)-SUMIF('BALANCE N'!$A$2:$A$50,"3*",'BALANCE N'!$H$2:$H$50)</f>
        <v/>
      </c>
      <c r="E10" s="77" t="n"/>
    </row>
    <row r="11" ht="22" customHeight="1">
      <c r="A11" s="76" t="inlineStr">
        <is>
          <t>GC</t>
        </is>
      </c>
      <c r="B11" s="4" t="inlineStr">
        <is>
          <t>Adhérents, clients-usagers et autres débiteurs</t>
        </is>
      </c>
      <c r="C11" s="4" t="inlineStr">
        <is>
          <t>3</t>
        </is>
      </c>
      <c r="D11" s="5">
        <f>SUMIF('BALANCE N'!$A$2:$A$50,"4*",'BALANCE N'!$G$2:$G$50)-(SUMIF('BALANCE N'!$A$2:$A$50,"49*",'BALANCE N'!$H$2:$H$50)+SUMIF('BALANCE N'!$A$2:$A$50,"590*",'BALANCE N'!$H$2:$H$50)+SUMIF('BALANCE N'!$A$2:$A$50,"591*",'BALANCE N'!$H$2:$H$50))+(SUMIF('BALANCE N'!$A$2:$A$50,"51*",'BALANCE N'!$G$2:$G$50)-SUMIF('BALANCE N'!$A$2:$A$50,"51*",'BALANCE N'!$H$2:$H$50)+SUMIF('BALANCE N'!$A$2:$A$50,"50*",'BALANCE N'!$G$2:$G$50)-SUMIF('BALANCE N'!$A$2:$A$50,"50*",'BALANCE N'!$H$2:$H$50))</f>
        <v/>
      </c>
      <c r="E11" s="77" t="n"/>
    </row>
    <row r="12" ht="22" customHeight="1">
      <c r="A12" s="76" t="inlineStr">
        <is>
          <t>GD</t>
        </is>
      </c>
      <c r="B12" s="4" t="inlineStr">
        <is>
          <t>Caisse</t>
        </is>
      </c>
      <c r="C12" s="4" t="inlineStr">
        <is>
          <t>4</t>
        </is>
      </c>
      <c r="D12" s="5">
        <f>SUMIF('BALANCE N'!$A$2:$A$50,"57*",'BALANCE N'!$G$2:$G$50)-SUMIF('BALANCE N'!$A$2:$A$50,"57*",'BALANCE N'!$H$2:$H$50)</f>
        <v/>
      </c>
      <c r="E12" s="77" t="n"/>
    </row>
    <row r="13" ht="22" customHeight="1">
      <c r="A13" s="76" t="inlineStr">
        <is>
          <t>GE</t>
        </is>
      </c>
      <c r="B13" s="4" t="inlineStr">
        <is>
          <t>Banque (en + ou en -)</t>
        </is>
      </c>
      <c r="C13" s="4" t="inlineStr">
        <is>
          <t>4</t>
        </is>
      </c>
      <c r="D13" s="5">
        <f>SUMIF('BALANCE N'!$A$2:$A$50,"58*",'BALANCE N'!$G$2:$G$50)-SUMIF('BALANCE N'!$A$2:$A$50,"58*",'BALANCE N'!$H$2:$H$50)+SUMIF('BALANCE N'!$A$2:$A$50,"55*",'BALANCE N'!$G$2:$G$50)-SUMIF('BALANCE N'!$A$2:$A$50,"55*",'BALANCE N'!$H$2:$H$50)+SUMIF('BALANCE N'!$A$2:$A$50,"52*",'BALANCE N'!$G$2:$G$50)-SUMIF('BALANCE N'!$A$2:$A$50,"52*",'BALANCE N'!$H$2:$H$50)+SUMIF('BALANCE N'!$A$2:$A$50,"53*",'BALANCE N'!$G$2:$G$50)-SUMIF('BALANCE N'!$A$2:$A$50,"53*",'BALANCE N'!$H$2:$H$50)+SUMIF('BALANCE N'!$A$2:$A$50,"56*",'BALANCE N'!$G$2:$G$50)-SUMIF('BALANCE N'!$A$2:$A$50,"56*",'BALANCE N'!$H$2:$H$50)-(SUMIF('BALANCE N'!$A$2:$A$50,"595*",'BALANCE N'!$H$2:$H$50)+SUMIF('BALANCE N'!$A$2:$A$50,"593*",'BALANCE N'!$H$2:$H$50)+SUMIF('BALANCE N'!$A$2:$A$50,"592*",'BALANCE N'!$H$2:$H$50))</f>
        <v/>
      </c>
      <c r="E13" s="77" t="n"/>
    </row>
    <row r="14" ht="22" customHeight="1">
      <c r="A14" s="78" t="inlineStr">
        <is>
          <t>GZ</t>
        </is>
      </c>
      <c r="B14" s="6" t="inlineStr">
        <is>
          <t>TOTAL ACTIF</t>
        </is>
      </c>
      <c r="C14" s="6" t="n"/>
      <c r="D14" s="7">
        <f>SUM(D9:D13)</f>
        <v/>
      </c>
      <c r="E14" s="79" t="n"/>
    </row>
    <row r="15"/>
    <row r="16">
      <c r="A16" s="41" t="inlineStr">
        <is>
          <t>(1) à faire figurer sur l'état de situation si montants significatifs (Partie 4, ch. 4).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SYCEBNL - SMT
PAGE 2/2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HA</t>
        </is>
      </c>
      <c r="B9" s="4" t="inlineStr">
        <is>
          <t>Dotations</t>
        </is>
      </c>
      <c r="C9" s="4" t="inlineStr">
        <is>
          <t>5</t>
        </is>
      </c>
      <c r="D9" s="5">
        <f>SUMIF('BALANCE N'!$A$2:$A$50,"10*",'BALANCE N'!$H$2:$H$50)-SUMIF('BALANCE N'!$A$2:$A$50,"10*",'BALANCE N'!$G$2:$G$50)</f>
        <v/>
      </c>
      <c r="E9" s="77" t="n"/>
    </row>
    <row r="10" ht="22" customHeight="1">
      <c r="A10" s="76" t="inlineStr">
        <is>
          <t>HB</t>
        </is>
      </c>
      <c r="B10" s="4" t="inlineStr">
        <is>
          <t>Résultat net de l'exercice (en + ou en -)</t>
        </is>
      </c>
      <c r="C10" s="4" t="inlineStr"/>
      <c r="D10" s="5">
        <f>'Résultat'!D24+(SUMIF('BALANCE N'!$A$2:$A$50,"13*",'BALANCE N'!$H$2:$H$50)-SUMIF('BALANCE N'!$A$2:$A$50,"13*",'BALANCE N'!$G$2:$G$50))</f>
        <v/>
      </c>
      <c r="E10" s="77" t="n"/>
    </row>
    <row r="11" ht="22" customHeight="1">
      <c r="A11" s="76" t="inlineStr">
        <is>
          <t>HC</t>
        </is>
      </c>
      <c r="B11" s="4" t="inlineStr">
        <is>
          <t>Autres fonds propres</t>
        </is>
      </c>
      <c r="C11" s="4" t="inlineStr"/>
      <c r="D11" s="5">
        <f>SUMIF('BALANCE N'!$A$2:$A$50,"18*",'BALANCE N'!$H$2:$H$50)-SUMIF('BALANCE N'!$A$2:$A$50,"18*",'BALANCE N'!$G$2:$G$50)+SUMIF('BALANCE N'!$A$2:$A$50,"12*",'BALANCE N'!$H$2:$H$50)-SUMIF('BALANCE N'!$A$2:$A$50,"12*",'BALANCE N'!$G$2:$G$50)+SUMIF('BALANCE N'!$A$2:$A$50,"14*",'BALANCE N'!$H$2:$H$50)-SUMIF('BALANCE N'!$A$2:$A$50,"14*",'BALANCE N'!$G$2:$G$50)+SUMIF('BALANCE N'!$A$2:$A$50,"16*",'BALANCE N'!$H$2:$H$50)-SUMIF('BALANCE N'!$A$2:$A$50,"16*",'BALANCE N'!$G$2:$G$50)+SUMIF('BALANCE N'!$A$2:$A$50,"15*",'BALANCE N'!$H$2:$H$50)-SUMIF('BALANCE N'!$A$2:$A$50,"15*",'BALANCE N'!$G$2:$G$50)+SUMIF('BALANCE N'!$A$2:$A$50,"19*",'BALANCE N'!$H$2:$H$50)-SUMIF('BALANCE N'!$A$2:$A$50,"19*",'BALANCE N'!$G$2:$G$50)+SUMIF('BALANCE N'!$A$2:$A$50,"17*",'BALANCE N'!$H$2:$H$50)-SUMIF('BALANCE N'!$A$2:$A$50,"17*",'BALANCE N'!$G$2:$G$50)+SUMIF('BALANCE N'!$A$2:$A$50,"11*",'BALANCE N'!$H$2:$H$50)-SUMIF('BALANCE N'!$A$2:$A$50,"11*",'BALANCE N'!$G$2:$G$50)</f>
        <v/>
      </c>
      <c r="E11" s="77" t="n"/>
    </row>
    <row r="12" ht="22" customHeight="1">
      <c r="A12" s="76" t="inlineStr">
        <is>
          <t>HD</t>
        </is>
      </c>
      <c r="B12" s="4" t="inlineStr">
        <is>
          <t>Fournisseurs et autres créditeurs</t>
        </is>
      </c>
      <c r="C12" s="4" t="inlineStr">
        <is>
          <t>3</t>
        </is>
      </c>
      <c r="D12" s="5">
        <f>SUMIF('BALANCE N'!$A$2:$A$50,"4*",'BALANCE N'!$H$2:$H$50)-SUMIF('BALANCE N'!$A$2:$A$50,"49*",'BALANCE N'!$H$2:$H$50)+(SUMIF('BALANCE N'!$A$2:$A$50,"599*",'BALANCE N'!$H$2:$H$50)-SUMIF('BALANCE N'!$A$2:$A$50,"599*",'BALANCE N'!$G$2:$G$50))</f>
        <v/>
      </c>
      <c r="E12" s="77" t="n"/>
    </row>
    <row r="13" ht="22" customHeight="1">
      <c r="A13" s="78" t="inlineStr">
        <is>
          <t>HZ</t>
        </is>
      </c>
      <c r="B13" s="6" t="inlineStr">
        <is>
          <t>TOTAL PASSIF</t>
        </is>
      </c>
      <c r="C13" s="6" t="n"/>
      <c r="D13" s="7">
        <f>SUM(D9:D12)</f>
        <v/>
      </c>
      <c r="E13" s="79" t="n"/>
    </row>
    <row r="14"/>
    <row r="15">
      <c r="A15" s="41" t="inlineStr">
        <is>
          <t>Autres fonds propres : réserves, report à nouveau, subventions, fonds affectés/reportés, emprunts et provisions (le modèle SMT ne les distingue pas).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0" t="inlineStr">
        <is>
          <t>COMPTE DE RESULTAT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KA</t>
        </is>
      </c>
      <c r="B9" s="4" t="inlineStr">
        <is>
          <t>Revenus encaissés</t>
        </is>
      </c>
      <c r="C9" s="4" t="inlineStr">
        <is>
          <t>4</t>
        </is>
      </c>
      <c r="D9" s="5">
        <f>SUMIF('BALANCE N'!$A$2:$A$50,"70*",'BALANCE N'!$H$2:$H$50)-SUMIF('BALANCE N'!$A$2:$A$50,"70*",'BALANCE N'!$G$2:$G$50)</f>
        <v/>
      </c>
      <c r="E9" s="77" t="n"/>
    </row>
    <row r="10" ht="22" customHeight="1">
      <c r="A10" s="76" t="inlineStr">
        <is>
          <t>KB</t>
        </is>
      </c>
      <c r="B10" s="4" t="inlineStr">
        <is>
          <t>Autres recettes sur activités</t>
        </is>
      </c>
      <c r="C10" s="4" t="inlineStr">
        <is>
          <t>4</t>
        </is>
      </c>
      <c r="D10" s="5">
        <f>SUMIF('BALANCE N'!$A$2:$A$50,"78*",'BALANCE N'!$H$2:$H$50)-SUMIF('BALANCE N'!$A$2:$A$50,"78*",'BALANCE N'!$G$2:$G$50)+SUMIF('BALANCE N'!$A$2:$A$50,"71*",'BALANCE N'!$H$2:$H$50)-SUMIF('BALANCE N'!$A$2:$A$50,"71*",'BALANCE N'!$G$2:$G$50)+SUMIF('BALANCE N'!$A$2:$A$50,"72*",'BALANCE N'!$H$2:$H$50)-SUMIF('BALANCE N'!$A$2:$A$50,"72*",'BALANCE N'!$G$2:$G$50)+SUMIF('BALANCE N'!$A$2:$A$50,"75*",'BALANCE N'!$H$2:$H$50)-SUMIF('BALANCE N'!$A$2:$A$50,"75*",'BALANCE N'!$G$2:$G$50)+SUMIF('BALANCE N'!$A$2:$A$50,"86*",'BALANCE N'!$H$2:$H$50)-SUMIF('BALANCE N'!$A$2:$A$50,"86*",'BALANCE N'!$G$2:$G$50)+SUMIF('BALANCE N'!$A$2:$A$50,"82*",'BALANCE N'!$H$2:$H$50)-SUMIF('BALANCE N'!$A$2:$A$50,"82*",'BALANCE N'!$G$2:$G$50)+SUMIF('BALANCE N'!$A$2:$A$50,"77*",'BALANCE N'!$H$2:$H$50)-SUMIF('BALANCE N'!$A$2:$A$50,"77*",'BALANCE N'!$G$2:$G$50)+SUMIF('BALANCE N'!$A$2:$A$50,"79*",'BALANCE N'!$H$2:$H$50)-SUMIF('BALANCE N'!$A$2:$A$50,"79*",'BALANCE N'!$G$2:$G$50)+SUMIF('BALANCE N'!$A$2:$A$50,"84*",'BALANCE N'!$H$2:$H$50)-SUMIF('BALANCE N'!$A$2:$A$50,"84*",'BALANCE N'!$G$2:$G$50)+SUMIF('BALANCE N'!$A$2:$A$50,"88*",'BALANCE N'!$H$2:$H$50)-SUMIF('BALANCE N'!$A$2:$A$50,"88*",'BALANCE N'!$G$2:$G$50)</f>
        <v/>
      </c>
      <c r="E10" s="77" t="n"/>
    </row>
    <row r="11" ht="22" customHeight="1">
      <c r="A11" s="81" t="inlineStr">
        <is>
          <t>KX</t>
        </is>
      </c>
      <c r="B11" s="82" t="inlineStr">
        <is>
          <t>TOTAL DES REVENUS ENCAISSÉS (A)</t>
        </is>
      </c>
      <c r="C11" s="82" t="inlineStr"/>
      <c r="D11" s="83">
        <f>D9+D10</f>
        <v/>
      </c>
      <c r="E11" s="84" t="n"/>
    </row>
    <row r="12" ht="22" customHeight="1">
      <c r="A12" s="76" t="inlineStr">
        <is>
          <t>JA</t>
        </is>
      </c>
      <c r="B12" s="4" t="inlineStr">
        <is>
          <t>Dépenses sur achats</t>
        </is>
      </c>
      <c r="C12" s="4" t="inlineStr">
        <is>
          <t>4</t>
        </is>
      </c>
      <c r="D12" s="5">
        <f>SUMIF('BALANCE N'!$A$2:$A$50,"60*",'BALANCE N'!$G$2:$G$50)-SUMIF('BALANCE N'!$A$2:$A$50,"60*",'BALANCE N'!$H$2:$H$50)-SUMIF('BALANCE N'!$A$2:$A$50,"603*",'BALANCE N'!$G$2:$G$50)+SUMIF('BALANCE N'!$A$2:$A$50,"603*",'BALANCE N'!$H$2:$H$50)</f>
        <v/>
      </c>
      <c r="E12" s="77" t="n"/>
    </row>
    <row r="13" ht="22" customHeight="1">
      <c r="A13" s="76" t="inlineStr">
        <is>
          <t>JB</t>
        </is>
      </c>
      <c r="B13" s="4" t="inlineStr">
        <is>
          <t>Dépenses sur loyers</t>
        </is>
      </c>
      <c r="C13" s="4" t="inlineStr">
        <is>
          <t>4</t>
        </is>
      </c>
      <c r="D13" s="5">
        <f>SUMIF('BALANCE N'!$A$2:$A$50,"622*",'BALANCE N'!$G$2:$G$50)-SUMIF('BALANCE N'!$A$2:$A$50,"622*",'BALANCE N'!$H$2:$H$50)</f>
        <v/>
      </c>
      <c r="E13" s="77" t="n"/>
    </row>
    <row r="14" ht="22" customHeight="1">
      <c r="A14" s="76" t="inlineStr">
        <is>
          <t>JC</t>
        </is>
      </c>
      <c r="B14" s="4" t="inlineStr">
        <is>
          <t>Dépenses sur salaires</t>
        </is>
      </c>
      <c r="C14" s="4" t="inlineStr">
        <is>
          <t>4</t>
        </is>
      </c>
      <c r="D14" s="5">
        <f>SUMIF('BALANCE N'!$A$2:$A$50,"66*",'BALANCE N'!$G$2:$G$50)-SUMIF('BALANCE N'!$A$2:$A$50,"66*",'BALANCE N'!$H$2:$H$50)</f>
        <v/>
      </c>
      <c r="E14" s="77" t="n"/>
    </row>
    <row r="15" ht="22" customHeight="1">
      <c r="A15" s="76" t="inlineStr">
        <is>
          <t>JD</t>
        </is>
      </c>
      <c r="B15" s="4" t="inlineStr">
        <is>
          <t>Dépenses sur impôts et taxes</t>
        </is>
      </c>
      <c r="C15" s="4" t="inlineStr">
        <is>
          <t>4</t>
        </is>
      </c>
      <c r="D15" s="5">
        <f>SUMIF('BALANCE N'!$A$2:$A$50,"64*",'BALANCE N'!$G$2:$G$50)-SUMIF('BALANCE N'!$A$2:$A$50,"64*",'BALANCE N'!$H$2:$H$50)</f>
        <v/>
      </c>
      <c r="E15" s="77" t="n"/>
    </row>
    <row r="16" ht="22" customHeight="1">
      <c r="A16" s="76" t="inlineStr">
        <is>
          <t>JE</t>
        </is>
      </c>
      <c r="B16" s="4" t="inlineStr">
        <is>
          <t>Charges d'intérêts</t>
        </is>
      </c>
      <c r="C16" s="4" t="inlineStr">
        <is>
          <t>4</t>
        </is>
      </c>
      <c r="D16" s="5">
        <f>SUMIF('BALANCE N'!$A$2:$A$50,"67*",'BALANCE N'!$G$2:$G$50)-SUMIF('BALANCE N'!$A$2:$A$50,"67*",'BALANCE N'!$H$2:$H$50)</f>
        <v/>
      </c>
      <c r="E16" s="77" t="n"/>
    </row>
    <row r="17" ht="22" customHeight="1">
      <c r="A17" s="76" t="inlineStr">
        <is>
          <t>JF</t>
        </is>
      </c>
      <c r="B17" s="4" t="inlineStr">
        <is>
          <t>Autres dépenses sur activités</t>
        </is>
      </c>
      <c r="C17" s="4" t="inlineStr">
        <is>
          <t>4</t>
        </is>
      </c>
      <c r="D17" s="5">
        <f>SUMIF('BALANCE N'!$A$2:$A$50,"62*",'BALANCE N'!$G$2:$G$50)-SUMIF('BALANCE N'!$A$2:$A$50,"62*",'BALANCE N'!$H$2:$H$50)+SUMIF('BALANCE N'!$A$2:$A$50,"61*",'BALANCE N'!$G$2:$G$50)-SUMIF('BALANCE N'!$A$2:$A$50,"61*",'BALANCE N'!$H$2:$H$50)-SUMIF('BALANCE N'!$A$2:$A$50,"81*",'BALANCE N'!$G$2:$G$50)+SUMIF('BALANCE N'!$A$2:$A$50,"81*",'BALANCE N'!$H$2:$H$50)-SUMIF('BALANCE N'!$A$2:$A$50,"63*",'BALANCE N'!$G$2:$G$50)+SUMIF('BALANCE N'!$A$2:$A$50,"63*",'BALANCE N'!$H$2:$H$50)-SUMIF('BALANCE N'!$A$2:$A$50,"65*",'BALANCE N'!$G$2:$G$50)+SUMIF('BALANCE N'!$A$2:$A$50,"65*",'BALANCE N'!$H$2:$H$50)-SUMIF('BALANCE N'!$A$2:$A$50,"83*",'BALANCE N'!$G$2:$G$50)+SUMIF('BALANCE N'!$A$2:$A$50,"83*",'BALANCE N'!$H$2:$H$50)-SUMIF('BALANCE N'!$A$2:$A$50,"87*",'BALANCE N'!$G$2:$G$50)+SUMIF('BALANCE N'!$A$2:$A$50,"87*",'BALANCE N'!$H$2:$H$50)-SUMIF('BALANCE N'!$A$2:$A$50,"622*",'BALANCE N'!$G$2:$G$50)+SUMIF('BALANCE N'!$A$2:$A$50,"622*",'BALANCE N'!$H$2:$H$50)</f>
        <v/>
      </c>
      <c r="E17" s="77" t="n"/>
    </row>
    <row r="18" ht="22" customHeight="1">
      <c r="A18" s="81" t="inlineStr">
        <is>
          <t>JX</t>
        </is>
      </c>
      <c r="B18" s="82" t="inlineStr">
        <is>
          <t>TOTAL DÉPENSES SUR CHARGES (B)</t>
        </is>
      </c>
      <c r="C18" s="82" t="inlineStr"/>
      <c r="D18" s="83">
        <f>D12+D13+D14+D15+D16+D17</f>
        <v/>
      </c>
      <c r="E18" s="84" t="n"/>
    </row>
    <row r="19" ht="22" customHeight="1">
      <c r="A19" s="81" t="inlineStr">
        <is>
          <t>KZ</t>
        </is>
      </c>
      <c r="B19" s="8" t="inlineStr">
        <is>
          <t>SOLDE : excédent (+) ou insuffisance (-) de recettes (C = A - B)</t>
        </is>
      </c>
      <c r="C19" s="8" t="inlineStr"/>
      <c r="D19" s="9">
        <f>D11-D18</f>
        <v/>
      </c>
      <c r="E19" s="85" t="n"/>
    </row>
    <row r="20" ht="22" customHeight="1">
      <c r="A20" s="76" t="inlineStr">
        <is>
          <t>VA</t>
        </is>
      </c>
      <c r="B20" s="4" t="inlineStr">
        <is>
          <t>+ Variations des stocks sur les achats [N - (N-1)]</t>
        </is>
      </c>
      <c r="C20" s="4" t="inlineStr">
        <is>
          <t>2</t>
        </is>
      </c>
      <c r="D20" s="5">
        <f>(SUMIF('BALANCE N'!$A$2:$A$50,"603*",'BALANCE N'!$H$2:$H$50)-SUMIF('BALANCE N'!$A$2:$A$50,"603*",'BALANCE N'!$G$2:$G$50))+(SUMIF('BALANCE N'!$A$2:$A$50,"73*",'BALANCE N'!$H$2:$H$50)-SUMIF('BALANCE N'!$A$2:$A$50,"73*",'BALANCE N'!$G$2:$G$50))</f>
        <v/>
      </c>
      <c r="E20" s="77" t="n"/>
    </row>
    <row r="21" ht="22" customHeight="1">
      <c r="A21" s="76" t="inlineStr">
        <is>
          <t>VB</t>
        </is>
      </c>
      <c r="B21" s="4" t="inlineStr">
        <is>
          <t>+ Variation des créances [N - (N-1)] - à saisir depuis la Note 3</t>
        </is>
      </c>
      <c r="C21" s="4" t="inlineStr">
        <is>
          <t>3</t>
        </is>
      </c>
      <c r="D21" s="5" t="n">
        <v>0</v>
      </c>
      <c r="E21" s="77" t="n"/>
    </row>
    <row r="22" ht="22" customHeight="1">
      <c r="A22" s="76" t="inlineStr">
        <is>
          <t>VC</t>
        </is>
      </c>
      <c r="B22" s="4" t="inlineStr">
        <is>
          <t>- Variation des dettes d'exploitation [N - (N-1)] - à saisir depuis la Note 3</t>
        </is>
      </c>
      <c r="C22" s="4" t="inlineStr">
        <is>
          <t>3</t>
        </is>
      </c>
      <c r="D22" s="5" t="n">
        <v>0</v>
      </c>
      <c r="E22" s="77" t="n"/>
    </row>
    <row r="23" ht="22" customHeight="1">
      <c r="A23" s="76" t="inlineStr">
        <is>
          <t>JG</t>
        </is>
      </c>
      <c r="B23" s="4" t="inlineStr">
        <is>
          <t>DOTATIONS AUX AMORTISSEMENTS</t>
        </is>
      </c>
      <c r="C23" s="4" t="inlineStr"/>
      <c r="D23" s="5">
        <f>SUMIF('BALANCE N'!$A$2:$A$50,"85*",'BALANCE N'!$G$2:$G$50)-SUMIF('BALANCE N'!$A$2:$A$50,"85*",'BALANCE N'!$H$2:$H$50)+SUMIF('BALANCE N'!$A$2:$A$50,"69*",'BALANCE N'!$G$2:$G$50)-SUMIF('BALANCE N'!$A$2:$A$50,"69*",'BALANCE N'!$H$2:$H$50)+SUMIF('BALANCE N'!$A$2:$A$50,"68*",'BALANCE N'!$G$2:$G$50)-SUMIF('BALANCE N'!$A$2:$A$50,"68*",'BALANCE N'!$H$2:$H$50)</f>
        <v/>
      </c>
      <c r="E23" s="77" t="n"/>
    </row>
    <row r="24" ht="22" customHeight="1">
      <c r="A24" s="78" t="inlineStr">
        <is>
          <t>KZC</t>
        </is>
      </c>
      <c r="B24" s="86" t="inlineStr">
        <is>
          <t>RÉSULTAT NET DE L'EXERCICE</t>
        </is>
      </c>
      <c r="C24" s="86" t="inlineStr"/>
      <c r="D24" s="87">
        <f>D19+D20+D21-D22-D23</f>
        <v/>
      </c>
      <c r="E24" s="88" t="n"/>
    </row>
    <row r="25"/>
    <row r="26">
      <c r="A26" s="41" t="inlineStr">
        <is>
          <t>Les variations de créances (VB) et de dettes (VC) se saisissent depuis l'état extra-comptable de la Note 3 ; si la balance porte une classe 4 mouvementée (base engagement), les laisser à zéro.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- 7 -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ASBL-0093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89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90" t="inlineStr">
        <is>
          <t>Partie 1 : Notes sur le bilan</t>
        </is>
      </c>
      <c r="B9" s="91" t="n"/>
      <c r="C9" s="91" t="n"/>
      <c r="D9" s="91" t="n"/>
      <c r="E9" s="91" t="n"/>
      <c r="F9" s="91" t="n"/>
      <c r="G9" s="91" t="n"/>
      <c r="H9" s="91" t="n"/>
      <c r="I9" s="91" t="n"/>
      <c r="J9" s="91" t="n"/>
    </row>
    <row r="10">
      <c r="A10" s="92" t="inlineStr">
        <is>
          <t>Note 1</t>
        </is>
      </c>
      <c r="B10" s="93" t="inlineStr">
        <is>
          <t>Tableau d'acquisition et de suivi du matériel, du mobilier et des cautions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92" t="inlineStr">
        <is>
          <t>Note 2</t>
        </is>
      </c>
      <c r="B11" s="93" t="inlineStr">
        <is>
          <t>État des stocks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92" t="inlineStr">
        <is>
          <t>Note 3</t>
        </is>
      </c>
      <c r="B12" s="93" t="inlineStr">
        <is>
          <t>État des créances et des dettes non échues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>
      <c r="A13" s="92" t="inlineStr">
        <is>
          <t>Note 5</t>
        </is>
      </c>
      <c r="B13" s="93" t="inlineStr">
        <is>
          <t>Dotations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16" customHeight="1">
      <c r="A14" s="90" t="inlineStr">
        <is>
          <t>Partie 2 : Notes sur le compte de résultat</t>
        </is>
      </c>
      <c r="B14" s="91" t="n"/>
      <c r="C14" s="91" t="n"/>
      <c r="D14" s="91" t="n"/>
      <c r="E14" s="91" t="n"/>
      <c r="F14" s="91" t="n"/>
      <c r="G14" s="91" t="n"/>
      <c r="H14" s="91" t="n"/>
      <c r="I14" s="91" t="n"/>
      <c r="J14" s="91" t="n"/>
    </row>
    <row r="15">
      <c r="A15" s="92" t="inlineStr">
        <is>
          <t>Note 4</t>
        </is>
      </c>
      <c r="B15" s="93" t="inlineStr">
        <is>
          <t>Journal unique de trésorerie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/>
    <row r="17" ht="30" customHeight="1">
      <c r="A17" s="94" t="inlineStr">
        <is>
          <t>(1) Les notes non documentées ne doivent pas être jointes aux états financiers ; dans une note, les lignes non chiffrées doivent être supprimées.</t>
        </is>
      </c>
    </row>
    <row r="18">
      <c r="A18" s="94" t="inlineStr">
        <is>
          <t>(2) A : applicable ; N/A : non applicable. Cocher la colonne correspondante pour chaque note.</t>
        </is>
      </c>
    </row>
  </sheetData>
  <mergeCells count="13">
    <mergeCell ref="B8:H8"/>
    <mergeCell ref="A14:J14"/>
    <mergeCell ref="B13:H13"/>
    <mergeCell ref="A17:J17"/>
    <mergeCell ref="A9:J9"/>
    <mergeCell ref="I2:J2"/>
    <mergeCell ref="A18:J18"/>
    <mergeCell ref="B12:H12"/>
    <mergeCell ref="B4:G4"/>
    <mergeCell ref="A7:J7"/>
    <mergeCell ref="B15:H15"/>
    <mergeCell ref="B10:H10"/>
    <mergeCell ref="B11:H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5" customWidth="1" min="3" max="3"/>
    <col width="15" customWidth="1" min="4" max="4"/>
    <col width="13" customWidth="1" min="5" max="5"/>
    <col width="13" customWidth="1" min="6" max="6"/>
    <col width="15" customWidth="1" min="7" max="7"/>
  </cols>
  <sheetData>
    <row r="1" ht="12" customHeight="1">
      <c r="A1" s="52" t="inlineStr">
        <is>
          <t>- 8 -</t>
        </is>
      </c>
    </row>
    <row r="2" ht="26" customHeight="1">
      <c r="F2" s="53" t="inlineStr">
        <is>
          <t>NOTE 1
SYCEBNL - SMT</t>
        </is>
      </c>
      <c r="G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/>
    </row>
    <row r="5" ht="15" customHeight="1">
      <c r="A5" s="41" t="inlineStr">
        <is>
          <t>N° de compte contribuable (NCC) : ASBL-0093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1 : TABLEAU D'ACQUISITION ET DE SUIVI DU MATERIEL, DU MOBILIER ET AUTRES IMMOBILISATIONS</t>
        </is>
      </c>
    </row>
    <row r="8">
      <c r="A8" s="1" t="inlineStr">
        <is>
          <t>Date</t>
        </is>
      </c>
      <c r="B8" s="2" t="inlineStr">
        <is>
          <t>Désignation</t>
        </is>
      </c>
      <c r="C8" s="2" t="inlineStr">
        <is>
          <t>Montant</t>
        </is>
      </c>
      <c r="D8" s="2" t="inlineStr">
        <is>
          <t>Date d'acquisition</t>
        </is>
      </c>
      <c r="E8" s="2" t="inlineStr">
        <is>
          <t>Durée d'utilité</t>
        </is>
      </c>
      <c r="F8" s="2" t="inlineStr">
        <is>
          <t>Date de sortie</t>
        </is>
      </c>
      <c r="G8" s="3" t="inlineStr">
        <is>
          <t>Prix de cession</t>
        </is>
      </c>
    </row>
    <row r="9">
      <c r="A9" s="95" t="n"/>
      <c r="B9" s="95" t="inlineStr">
        <is>
          <t>2441 - Matériel et mobilier de bureau</t>
        </is>
      </c>
      <c r="C9" s="96">
        <f>SUMIF('BALANCE N'!$A$2:$A$50,"2441*",'BALANCE N'!$G$2:$G$50)-SUMIF('BALANCE N'!$A$2:$A$50,"2441*",'BALANCE N'!$H$2:$H$50)</f>
        <v/>
      </c>
      <c r="D9" s="95" t="n"/>
      <c r="E9" s="95" t="n"/>
      <c r="F9" s="95" t="n"/>
      <c r="G9" s="96" t="n"/>
    </row>
    <row r="10">
      <c r="A10" s="95" t="n"/>
      <c r="B10" s="95" t="inlineStr">
        <is>
          <t>TOTAL IMMOBILISATIONS BRUTES</t>
        </is>
      </c>
      <c r="C10" s="96">
        <f>SUM(C9:C9)</f>
        <v/>
      </c>
      <c r="D10" s="95" t="n"/>
      <c r="E10" s="95" t="n"/>
      <c r="F10" s="95" t="n"/>
      <c r="G10" s="96" t="n"/>
    </row>
    <row r="11">
      <c r="A11" s="95" t="n"/>
      <c r="B11" s="95" t="inlineStr">
        <is>
          <t>Amortissements et dépréciations cumulés (28/29)</t>
        </is>
      </c>
      <c r="C11" s="96">
        <f>SUMIF('BALANCE N'!$A$2:$A$50,"29*",'BALANCE N'!$H$2:$H$50)-SUMIF('BALANCE N'!$A$2:$A$50,"29*",'BALANCE N'!$G$2:$G$50)+SUMIF('BALANCE N'!$A$2:$A$50,"28*",'BALANCE N'!$H$2:$H$50)-SUMIF('BALANCE N'!$A$2:$A$50,"28*",'BALANCE N'!$G$2:$G$50)</f>
        <v/>
      </c>
      <c r="D11" s="95" t="n"/>
      <c r="E11" s="95" t="n"/>
      <c r="F11" s="95" t="n"/>
      <c r="G11" s="96" t="n"/>
    </row>
    <row r="12">
      <c r="A12" s="8" t="n"/>
      <c r="B12" s="8" t="inlineStr">
        <is>
          <t>VALEUR NETTE (= poste GA du bilan)</t>
        </is>
      </c>
      <c r="C12" s="9">
        <f>C10-C11</f>
        <v/>
      </c>
      <c r="D12" s="8" t="n"/>
      <c r="E12" s="8" t="n"/>
      <c r="F12" s="8" t="n"/>
      <c r="G12" s="97" t="n"/>
    </row>
  </sheetData>
  <mergeCells count="3">
    <mergeCell ref="F2:G2"/>
    <mergeCell ref="A7:G7"/>
    <mergeCell ref="B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NOTE 2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2 : ETAT DES STOCKS</t>
        </is>
      </c>
    </row>
    <row r="8">
      <c r="A8" s="1" t="inlineStr">
        <is>
          <t>Référence</t>
        </is>
      </c>
      <c r="B8" s="2" t="inlineStr">
        <is>
          <t>Désignation</t>
        </is>
      </c>
      <c r="C8" s="2" t="inlineStr">
        <is>
          <t>Quantité</t>
        </is>
      </c>
      <c r="D8" s="2" t="inlineStr">
        <is>
          <t>Prix unitaire</t>
        </is>
      </c>
      <c r="E8" s="3" t="inlineStr">
        <is>
          <t>Montant</t>
        </is>
      </c>
    </row>
    <row r="9">
      <c r="A9" s="95" t="inlineStr">
        <is>
          <t>331</t>
        </is>
      </c>
      <c r="B9" s="95" t="inlineStr">
        <is>
          <t>Matières consommables</t>
        </is>
      </c>
      <c r="C9" s="95" t="n"/>
      <c r="D9" s="95" t="n"/>
      <c r="E9" s="96">
        <f>SUMIF('BALANCE N'!$A$2:$A$50,"331*",'BALANCE N'!$G$2:$G$50)-SUMIF('BALANCE N'!$A$2:$A$50,"331*",'BALANCE N'!$H$2:$H$50)</f>
        <v/>
      </c>
    </row>
    <row r="10"/>
    <row r="11"/>
    <row r="12">
      <c r="A12" s="8" t="n"/>
      <c r="B12" s="8" t="inlineStr">
        <is>
          <t>VALEUR DU STOCK FINAL</t>
        </is>
      </c>
      <c r="C12" s="8" t="n"/>
      <c r="D12" s="8" t="n"/>
      <c r="E12" s="9">
        <f>SUMIF('BALANCE N'!$A$2:$A$50,"3*",'BALANCE N'!$G$2:$G$50)-SUMIF('BALANCE N'!$A$2:$A$50,"3*",'BALANCE N'!$H$2:$H$50)</f>
        <v/>
      </c>
    </row>
    <row r="13">
      <c r="A13" s="8" t="n"/>
      <c r="B13" s="8" t="inlineStr">
        <is>
          <t>VALEUR DU STOCK INITIAL</t>
        </is>
      </c>
      <c r="C13" s="8" t="n"/>
      <c r="D13" s="8" t="n"/>
      <c r="E13" s="9" t="n">
        <v>0</v>
      </c>
    </row>
  </sheetData>
  <mergeCells count="2"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3
SYCEBNL - SMT</t>
        </is>
      </c>
      <c r="F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3 : ETAT DES CREANCES ET DES DETTES NON ECHUES</t>
        </is>
      </c>
    </row>
    <row r="8">
      <c r="A8" s="47" t="inlineStr">
        <is>
          <t>CRÉANCES - nom des clients-usagers et autres débiteurs</t>
        </is>
      </c>
    </row>
    <row r="9">
      <c r="A9" s="1" t="inlineStr">
        <is>
          <t>Date</t>
        </is>
      </c>
      <c r="B9" s="2" t="inlineStr">
        <is>
          <t>Nom</t>
        </is>
      </c>
      <c r="C9" s="2" t="inlineStr">
        <is>
          <t>Montant au 31/12/N</t>
        </is>
      </c>
      <c r="D9" s="2" t="inlineStr">
        <is>
          <t>Montant au 01/01/N</t>
        </is>
      </c>
      <c r="E9" s="2" t="inlineStr">
        <is>
          <t>Variation en valeur</t>
        </is>
      </c>
      <c r="F9" s="3" t="inlineStr">
        <is>
          <t>Variation en %</t>
        </is>
      </c>
    </row>
    <row r="10">
      <c r="A10" s="95" t="n"/>
      <c r="B10" s="95" t="n"/>
      <c r="C10" s="96" t="n"/>
      <c r="D10" s="96" t="n"/>
      <c r="E10" s="96">
        <f>C10-D10</f>
        <v/>
      </c>
      <c r="F10" s="95">
        <f>IF(D10=0,"",(C10-D10)/D10)</f>
        <v/>
      </c>
    </row>
    <row r="11">
      <c r="A11" s="95" t="n"/>
      <c r="B11" s="95" t="n"/>
      <c r="C11" s="96" t="n"/>
      <c r="D11" s="96" t="n"/>
      <c r="E11" s="96">
        <f>C11-D11</f>
        <v/>
      </c>
      <c r="F11" s="95">
        <f>IF(D11=0,"",(C11-D11)/D11)</f>
        <v/>
      </c>
    </row>
    <row r="12">
      <c r="A12" s="95" t="n"/>
      <c r="B12" s="95" t="n"/>
      <c r="C12" s="96" t="n"/>
      <c r="D12" s="96" t="n"/>
      <c r="E12" s="96">
        <f>C12-D12</f>
        <v/>
      </c>
      <c r="F12" s="95">
        <f>IF(D12=0,"",(C12-D12)/D12)</f>
        <v/>
      </c>
    </row>
    <row r="13">
      <c r="A13" s="95" t="n"/>
      <c r="B13" s="95" t="n"/>
      <c r="C13" s="96" t="n"/>
      <c r="D13" s="96" t="n"/>
      <c r="E13" s="96">
        <f>C13-D13</f>
        <v/>
      </c>
      <c r="F13" s="95">
        <f>IF(D13=0,"",(C13-D13)/D13)</f>
        <v/>
      </c>
    </row>
    <row r="14">
      <c r="A14" s="95" t="n"/>
      <c r="B14" s="95" t="n"/>
      <c r="C14" s="96" t="n"/>
      <c r="D14" s="96" t="n"/>
      <c r="E14" s="96">
        <f>C14-D14</f>
        <v/>
      </c>
      <c r="F14" s="95">
        <f>IF(D14=0,"",(C14-D14)/D14)</f>
        <v/>
      </c>
    </row>
    <row r="15">
      <c r="A15" s="95" t="n"/>
      <c r="B15" s="95" t="n"/>
      <c r="C15" s="96" t="n"/>
      <c r="D15" s="96" t="n"/>
      <c r="E15" s="96">
        <f>C15-D15</f>
        <v/>
      </c>
      <c r="F15" s="95">
        <f>IF(D15=0,"",(C15-D15)/D15)</f>
        <v/>
      </c>
    </row>
    <row r="16">
      <c r="A16" s="8" t="n"/>
      <c r="B16" s="8" t="inlineStr">
        <is>
          <t>TOTAL DES CRÉANCES</t>
        </is>
      </c>
      <c r="C16" s="9">
        <f>SUM(C10:C15)</f>
        <v/>
      </c>
      <c r="D16" s="9">
        <f>SUM(D10:D15)</f>
        <v/>
      </c>
      <c r="E16" s="9">
        <f>SUM(E10:E15)</f>
        <v/>
      </c>
      <c r="F16" s="8" t="n"/>
    </row>
    <row r="17">
      <c r="B17" s="98" t="inlineStr">
        <is>
          <t>Rappel balance (classe 4, soldes débiteurs) - contrôle</t>
        </is>
      </c>
      <c r="C17" s="99">
        <f>SUMIF('BALANCE N'!$A$2:$A$50,"4*",'BALANCE N'!$G$2:$G$50)</f>
        <v/>
      </c>
      <c r="D17" s="99">
        <f>0</f>
        <v/>
      </c>
    </row>
    <row r="18"/>
    <row r="19"/>
    <row r="20">
      <c r="A20" s="47" t="inlineStr">
        <is>
          <t>DETTES - nom des fournisseurs et autres créditeurs</t>
        </is>
      </c>
    </row>
    <row r="21">
      <c r="A21" s="1" t="inlineStr">
        <is>
          <t>Date</t>
        </is>
      </c>
      <c r="B21" s="2" t="inlineStr">
        <is>
          <t>Nom</t>
        </is>
      </c>
      <c r="C21" s="2" t="inlineStr">
        <is>
          <t>Montant au 31/12/N</t>
        </is>
      </c>
      <c r="D21" s="2" t="inlineStr">
        <is>
          <t>Montant au 01/01/N</t>
        </is>
      </c>
      <c r="E21" s="2" t="inlineStr">
        <is>
          <t>Variation en valeur</t>
        </is>
      </c>
      <c r="F21" s="3" t="inlineStr">
        <is>
          <t>Variation en %</t>
        </is>
      </c>
    </row>
    <row r="22">
      <c r="A22" s="95" t="n"/>
      <c r="B22" s="95" t="n"/>
      <c r="C22" s="96" t="n"/>
      <c r="D22" s="96" t="n"/>
      <c r="E22" s="96">
        <f>C22-D22</f>
        <v/>
      </c>
      <c r="F22" s="95">
        <f>IF(D22=0,"",(C22-D22)/D22)</f>
        <v/>
      </c>
    </row>
    <row r="23">
      <c r="A23" s="95" t="n"/>
      <c r="B23" s="95" t="n"/>
      <c r="C23" s="96" t="n"/>
      <c r="D23" s="96" t="n"/>
      <c r="E23" s="96">
        <f>C23-D23</f>
        <v/>
      </c>
      <c r="F23" s="95">
        <f>IF(D23=0,"",(C23-D23)/D23)</f>
        <v/>
      </c>
    </row>
    <row r="24">
      <c r="A24" s="95" t="n"/>
      <c r="B24" s="95" t="n"/>
      <c r="C24" s="96" t="n"/>
      <c r="D24" s="96" t="n"/>
      <c r="E24" s="96">
        <f>C24-D24</f>
        <v/>
      </c>
      <c r="F24" s="95">
        <f>IF(D24=0,"",(C24-D24)/D24)</f>
        <v/>
      </c>
    </row>
    <row r="25">
      <c r="A25" s="95" t="n"/>
      <c r="B25" s="95" t="n"/>
      <c r="C25" s="96" t="n"/>
      <c r="D25" s="96" t="n"/>
      <c r="E25" s="96">
        <f>C25-D25</f>
        <v/>
      </c>
      <c r="F25" s="95">
        <f>IF(D25=0,"",(C25-D25)/D25)</f>
        <v/>
      </c>
    </row>
    <row r="26">
      <c r="A26" s="95" t="n"/>
      <c r="B26" s="95" t="n"/>
      <c r="C26" s="96" t="n"/>
      <c r="D26" s="96" t="n"/>
      <c r="E26" s="96">
        <f>C26-D26</f>
        <v/>
      </c>
      <c r="F26" s="95">
        <f>IF(D26=0,"",(C26-D26)/D26)</f>
        <v/>
      </c>
    </row>
    <row r="27">
      <c r="A27" s="95" t="n"/>
      <c r="B27" s="95" t="n"/>
      <c r="C27" s="96" t="n"/>
      <c r="D27" s="96" t="n"/>
      <c r="E27" s="96">
        <f>C27-D27</f>
        <v/>
      </c>
      <c r="F27" s="95">
        <f>IF(D27=0,"",(C27-D27)/D27)</f>
        <v/>
      </c>
    </row>
    <row r="28">
      <c r="A28" s="8" t="n"/>
      <c r="B28" s="8" t="inlineStr">
        <is>
          <t>TOTAL DES DETTES</t>
        </is>
      </c>
      <c r="C28" s="9">
        <f>SUM(C22:C27)</f>
        <v/>
      </c>
      <c r="D28" s="9">
        <f>SUM(D22:D27)</f>
        <v/>
      </c>
      <c r="E28" s="9">
        <f>SUM(E22:E27)</f>
        <v/>
      </c>
      <c r="F28" s="8" t="n"/>
    </row>
    <row r="29">
      <c r="B29" s="98" t="inlineStr">
        <is>
          <t>Rappel balance (classe 4, soldes créditeurs) - contrôle</t>
        </is>
      </c>
      <c r="C29" s="99">
        <f>SUMIF('BALANCE N'!$A$2:$A$50,"4*",'BALANCE N'!$H$2:$H$50)</f>
        <v/>
      </c>
      <c r="D29" s="99">
        <f>0</f>
        <v/>
      </c>
    </row>
    <row r="30"/>
    <row r="31"/>
    <row r="32">
      <c r="A32" s="98" t="inlineStr">
        <is>
          <t>Reporter la variation des créances en VB et celle des dettes en VC du compte de résultat.</t>
        </is>
      </c>
    </row>
  </sheetData>
  <mergeCells count="3"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1" customWidth="1" min="8" max="8"/>
    <col width="18" customWidth="1" min="9" max="9"/>
    <col width="20" customWidth="1" min="10" max="10"/>
    <col width="14" customWidth="1" min="11" max="11"/>
  </cols>
  <sheetData>
    <row r="1" ht="12" customHeight="1">
      <c r="A1" s="52" t="inlineStr">
        <is>
          <t>- 11 -</t>
        </is>
      </c>
    </row>
    <row r="2" ht="26" customHeight="1">
      <c r="J2" s="53" t="inlineStr">
        <is>
          <t>NOTE 4
SYCEBNL - SMT</t>
        </is>
      </c>
      <c r="K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H4" s="43" t="n"/>
      <c r="J4" s="56" t="inlineStr">
        <is>
          <t>Sigle usuel :</t>
        </is>
      </c>
      <c r="K4" s="55" t="inlineStr"/>
    </row>
    <row r="5" ht="15" customHeight="1">
      <c r="A5" s="41" t="inlineStr">
        <is>
          <t>N° de compte contribuable (NCC) : ASBL-0093</t>
        </is>
      </c>
      <c r="H5" s="41" t="inlineStr">
        <is>
          <t>Exercice clos le 31-12-2025</t>
        </is>
      </c>
      <c r="J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4 : JOURNAL UNIQUE DE TRESORERIE</t>
        </is>
      </c>
    </row>
    <row r="8">
      <c r="A8" s="1" t="inlineStr">
        <is>
          <t>Dates</t>
        </is>
      </c>
      <c r="B8" s="2" t="inlineStr">
        <is>
          <t>Libellés</t>
        </is>
      </c>
      <c r="C8" s="2" t="inlineStr">
        <is>
          <t>Recettes</t>
        </is>
      </c>
      <c r="D8" s="2" t="inlineStr">
        <is>
          <t>Dépenses</t>
        </is>
      </c>
      <c r="E8" s="2" t="inlineStr">
        <is>
          <t>Solde</t>
        </is>
      </c>
      <c r="F8" s="2" t="inlineStr">
        <is>
          <t>Vent. recettes : Cotisations</t>
        </is>
      </c>
      <c r="G8" s="2" t="inlineStr">
        <is>
          <t>Subventions</t>
        </is>
      </c>
      <c r="H8" s="2" t="inlineStr">
        <is>
          <t>Autres</t>
        </is>
      </c>
      <c r="I8" s="2" t="inlineStr">
        <is>
          <t>Vent. dépenses : Achats de biens liés à l'activité</t>
        </is>
      </c>
      <c r="J8" s="2" t="inlineStr">
        <is>
          <t>Autres achats / Transport / Services extérieurs</t>
        </is>
      </c>
      <c r="K8" s="3" t="inlineStr">
        <is>
          <t>Salaires / Autres</t>
        </is>
      </c>
    </row>
    <row r="9">
      <c r="A9" s="95" t="n"/>
      <c r="B9" s="95" t="inlineStr">
        <is>
          <t>Report à nouveau</t>
        </is>
      </c>
      <c r="C9" s="96" t="n"/>
      <c r="D9" s="96" t="n"/>
      <c r="E9" s="96" t="n"/>
      <c r="F9" s="96" t="n"/>
      <c r="G9" s="96" t="n"/>
      <c r="H9" s="96" t="n"/>
      <c r="I9" s="96" t="n"/>
      <c r="J9" s="96" t="n"/>
      <c r="K9" s="96" t="n"/>
    </row>
    <row r="10">
      <c r="A10" s="95" t="n"/>
      <c r="B10" s="95" t="n"/>
      <c r="C10" s="96" t="n"/>
      <c r="D10" s="96" t="n"/>
      <c r="E10" s="96">
        <f>E9+C10-D10</f>
        <v/>
      </c>
      <c r="F10" s="96" t="n"/>
      <c r="G10" s="96" t="n"/>
      <c r="H10" s="96" t="n"/>
      <c r="I10" s="96" t="n"/>
      <c r="J10" s="96" t="n"/>
      <c r="K10" s="96" t="n"/>
    </row>
    <row r="11">
      <c r="A11" s="95" t="n"/>
      <c r="B11" s="95" t="n"/>
      <c r="C11" s="96" t="n"/>
      <c r="D11" s="96" t="n"/>
      <c r="E11" s="96">
        <f>E10+C11-D11</f>
        <v/>
      </c>
      <c r="F11" s="96" t="n"/>
      <c r="G11" s="96" t="n"/>
      <c r="H11" s="96" t="n"/>
      <c r="I11" s="96" t="n"/>
      <c r="J11" s="96" t="n"/>
      <c r="K11" s="96" t="n"/>
    </row>
    <row r="12">
      <c r="A12" s="95" t="n"/>
      <c r="B12" s="95" t="n"/>
      <c r="C12" s="96" t="n"/>
      <c r="D12" s="96" t="n"/>
      <c r="E12" s="96">
        <f>E11+C12-D12</f>
        <v/>
      </c>
      <c r="F12" s="96" t="n"/>
      <c r="G12" s="96" t="n"/>
      <c r="H12" s="96" t="n"/>
      <c r="I12" s="96" t="n"/>
      <c r="J12" s="96" t="n"/>
      <c r="K12" s="96" t="n"/>
    </row>
    <row r="13">
      <c r="A13" s="95" t="n"/>
      <c r="B13" s="95" t="n"/>
      <c r="C13" s="96" t="n"/>
      <c r="D13" s="96" t="n"/>
      <c r="E13" s="96">
        <f>E12+C13-D13</f>
        <v/>
      </c>
      <c r="F13" s="96" t="n"/>
      <c r="G13" s="96" t="n"/>
      <c r="H13" s="96" t="n"/>
      <c r="I13" s="96" t="n"/>
      <c r="J13" s="96" t="n"/>
      <c r="K13" s="96" t="n"/>
    </row>
    <row r="14">
      <c r="A14" s="95" t="n"/>
      <c r="B14" s="95" t="n"/>
      <c r="C14" s="96" t="n"/>
      <c r="D14" s="96" t="n"/>
      <c r="E14" s="96">
        <f>E13+C14-D14</f>
        <v/>
      </c>
      <c r="F14" s="96" t="n"/>
      <c r="G14" s="96" t="n"/>
      <c r="H14" s="96" t="n"/>
      <c r="I14" s="96" t="n"/>
      <c r="J14" s="96" t="n"/>
      <c r="K14" s="96" t="n"/>
    </row>
    <row r="15">
      <c r="A15" s="95" t="n"/>
      <c r="B15" s="95" t="n"/>
      <c r="C15" s="96" t="n"/>
      <c r="D15" s="96" t="n"/>
      <c r="E15" s="96">
        <f>E14+C15-D15</f>
        <v/>
      </c>
      <c r="F15" s="96" t="n"/>
      <c r="G15" s="96" t="n"/>
      <c r="H15" s="96" t="n"/>
      <c r="I15" s="96" t="n"/>
      <c r="J15" s="96" t="n"/>
      <c r="K15" s="96" t="n"/>
    </row>
    <row r="16">
      <c r="A16" s="95" t="n"/>
      <c r="B16" s="95" t="n"/>
      <c r="C16" s="96" t="n"/>
      <c r="D16" s="96" t="n"/>
      <c r="E16" s="96">
        <f>E15+C16-D16</f>
        <v/>
      </c>
      <c r="F16" s="96" t="n"/>
      <c r="G16" s="96" t="n"/>
      <c r="H16" s="96" t="n"/>
      <c r="I16" s="96" t="n"/>
      <c r="J16" s="96" t="n"/>
      <c r="K16" s="96" t="n"/>
    </row>
    <row r="17">
      <c r="A17" s="95" t="n"/>
      <c r="B17" s="95" t="n"/>
      <c r="C17" s="96" t="n"/>
      <c r="D17" s="96" t="n"/>
      <c r="E17" s="96">
        <f>E16+C17-D17</f>
        <v/>
      </c>
      <c r="F17" s="96" t="n"/>
      <c r="G17" s="96" t="n"/>
      <c r="H17" s="96" t="n"/>
      <c r="I17" s="96" t="n"/>
      <c r="J17" s="96" t="n"/>
      <c r="K17" s="96" t="n"/>
    </row>
    <row r="18">
      <c r="A18" s="95" t="n"/>
      <c r="B18" s="95" t="n"/>
      <c r="C18" s="96" t="n"/>
      <c r="D18" s="96" t="n"/>
      <c r="E18" s="96">
        <f>E17+C18-D18</f>
        <v/>
      </c>
      <c r="F18" s="96" t="n"/>
      <c r="G18" s="96" t="n"/>
      <c r="H18" s="96" t="n"/>
      <c r="I18" s="96" t="n"/>
      <c r="J18" s="96" t="n"/>
      <c r="K18" s="96" t="n"/>
    </row>
    <row r="19">
      <c r="A19" s="95" t="n"/>
      <c r="B19" s="95" t="n"/>
      <c r="C19" s="96" t="n"/>
      <c r="D19" s="96" t="n"/>
      <c r="E19" s="96">
        <f>E18+C19-D19</f>
        <v/>
      </c>
      <c r="F19" s="96" t="n"/>
      <c r="G19" s="96" t="n"/>
      <c r="H19" s="96" t="n"/>
      <c r="I19" s="96" t="n"/>
      <c r="J19" s="96" t="n"/>
      <c r="K19" s="96" t="n"/>
    </row>
    <row r="20">
      <c r="A20" s="95" t="n"/>
      <c r="B20" s="95" t="n"/>
      <c r="C20" s="96" t="n"/>
      <c r="D20" s="96" t="n"/>
      <c r="E20" s="96">
        <f>E19+C20-D20</f>
        <v/>
      </c>
      <c r="F20" s="96" t="n"/>
      <c r="G20" s="96" t="n"/>
      <c r="H20" s="96" t="n"/>
      <c r="I20" s="96" t="n"/>
      <c r="J20" s="96" t="n"/>
      <c r="K20" s="96" t="n"/>
    </row>
    <row r="21">
      <c r="A21" s="95" t="n"/>
      <c r="B21" s="95" t="n"/>
      <c r="C21" s="96" t="n"/>
      <c r="D21" s="96" t="n"/>
      <c r="E21" s="96">
        <f>E20+C21-D21</f>
        <v/>
      </c>
      <c r="F21" s="96" t="n"/>
      <c r="G21" s="96" t="n"/>
      <c r="H21" s="96" t="n"/>
      <c r="I21" s="96" t="n"/>
      <c r="J21" s="96" t="n"/>
      <c r="K21" s="96" t="n"/>
    </row>
    <row r="22">
      <c r="A22" s="95" t="n"/>
      <c r="B22" s="95" t="n"/>
      <c r="C22" s="96" t="n"/>
      <c r="D22" s="96" t="n"/>
      <c r="E22" s="96">
        <f>E21+C22-D22</f>
        <v/>
      </c>
      <c r="F22" s="96" t="n"/>
      <c r="G22" s="96" t="n"/>
      <c r="H22" s="96" t="n"/>
      <c r="I22" s="96" t="n"/>
      <c r="J22" s="96" t="n"/>
      <c r="K22" s="96" t="n"/>
    </row>
    <row r="23">
      <c r="A23" s="95" t="n"/>
      <c r="B23" s="95" t="n"/>
      <c r="C23" s="96" t="n"/>
      <c r="D23" s="96" t="n"/>
      <c r="E23" s="96">
        <f>E22+C23-D23</f>
        <v/>
      </c>
      <c r="F23" s="96" t="n"/>
      <c r="G23" s="96" t="n"/>
      <c r="H23" s="96" t="n"/>
      <c r="I23" s="96" t="n"/>
      <c r="J23" s="96" t="n"/>
      <c r="K23" s="96" t="n"/>
    </row>
    <row r="24">
      <c r="A24" s="8" t="n"/>
      <c r="B24" s="8" t="inlineStr">
        <is>
          <t>Solde à reporter</t>
        </is>
      </c>
      <c r="C24" s="97" t="n"/>
      <c r="D24" s="97" t="n"/>
      <c r="E24" s="9">
        <f>E23</f>
        <v/>
      </c>
      <c r="F24" s="97" t="n"/>
      <c r="G24" s="97" t="n"/>
      <c r="H24" s="97" t="n"/>
      <c r="I24" s="97" t="n"/>
      <c r="J24" s="97" t="n"/>
      <c r="K24" s="97" t="n"/>
    </row>
  </sheetData>
  <mergeCells count="3">
    <mergeCell ref="B4:H4"/>
    <mergeCell ref="J2:K2"/>
    <mergeCell ref="A7:K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24" customWidth="1" min="4" max="4"/>
  </cols>
  <sheetData>
    <row r="1" ht="12" customHeight="1">
      <c r="A1" s="52" t="inlineStr">
        <is>
          <t>- 12 -</t>
        </is>
      </c>
    </row>
    <row r="2" ht="26" customHeight="1">
      <c r="D2" s="53" t="inlineStr">
        <is>
          <t>NOTE 5
SYCEBNL - SMT</t>
        </is>
      </c>
      <c r="E2" s="54" t="n"/>
    </row>
    <row r="3" ht="15" customHeight="1">
      <c r="A3" s="41" t="inlineStr">
        <is>
          <t>Dénomination sociale : CLUB SOLIDARITE QUARTIER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ASBL-0093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5 : DOTATION</t>
        </is>
      </c>
    </row>
    <row r="8">
      <c r="A8" s="1" t="inlineStr">
        <is>
          <t>Nom et prénoms des membres</t>
        </is>
      </c>
      <c r="B8" s="2" t="inlineStr">
        <is>
          <t>Nationalité</t>
        </is>
      </c>
      <c r="C8" s="2" t="inlineStr">
        <is>
          <t>Montant</t>
        </is>
      </c>
      <c r="D8" s="3" t="inlineStr">
        <is>
          <t>Avec / sans droit d'entrée</t>
        </is>
      </c>
    </row>
    <row r="9">
      <c r="A9" s="100" t="inlineStr">
        <is>
          <t>Dotation non consomptible - rappel balance</t>
        </is>
      </c>
      <c r="B9" s="100" t="n"/>
      <c r="C9" s="101">
        <f>SUMIF('BALANCE N'!$A$2:$A$50,"102*",'BALANCE N'!$H$2:$H$50)-SUMIF('BALANCE N'!$A$2:$A$50,"102*",'BALANCE N'!$G$2:$G$50)+SUMIF('BALANCE N'!$A$2:$A$50,"101*",'BALANCE N'!$H$2:$H$50)-SUMIF('BALANCE N'!$A$2:$A$50,"101*",'BALANCE N'!$G$2:$G$50)</f>
        <v/>
      </c>
      <c r="D9" s="100" t="n"/>
    </row>
    <row r="10">
      <c r="A10" s="95" t="n"/>
      <c r="B10" s="95" t="n"/>
      <c r="C10" s="96" t="n"/>
      <c r="D10" s="95" t="n"/>
    </row>
    <row r="11">
      <c r="A11" s="95" t="n"/>
      <c r="B11" s="95" t="n"/>
      <c r="C11" s="96" t="n"/>
      <c r="D11" s="95" t="n"/>
    </row>
    <row r="12">
      <c r="A12" s="95" t="n"/>
      <c r="B12" s="95" t="n"/>
      <c r="C12" s="96" t="n"/>
      <c r="D12" s="95" t="n"/>
    </row>
    <row r="13">
      <c r="A13" s="100" t="inlineStr">
        <is>
          <t>Droit d'entrée - rappel balance</t>
        </is>
      </c>
      <c r="B13" s="100" t="n"/>
      <c r="C13" s="101">
        <f>SUMIF('BALANCE N'!$A$2:$A$50,"103*",'BALANCE N'!$H$2:$H$50)-SUMIF('BALANCE N'!$A$2:$A$50,"103*",'BALANCE N'!$G$2:$G$50)</f>
        <v/>
      </c>
      <c r="D13" s="100" t="n"/>
    </row>
    <row r="14">
      <c r="A14" s="95" t="n"/>
      <c r="B14" s="95" t="n"/>
      <c r="C14" s="96" t="n"/>
      <c r="D14" s="95" t="n"/>
    </row>
    <row r="15">
      <c r="A15" s="95" t="n"/>
      <c r="B15" s="95" t="n"/>
      <c r="C15" s="96" t="n"/>
      <c r="D15" s="95" t="n"/>
    </row>
    <row r="16">
      <c r="A16" s="95" t="n"/>
      <c r="B16" s="95" t="n"/>
      <c r="C16" s="96" t="n"/>
      <c r="D16" s="95" t="n"/>
    </row>
    <row r="17">
      <c r="A17" s="100" t="inlineStr">
        <is>
          <t>Dotation consomptible - rappel balance</t>
        </is>
      </c>
      <c r="B17" s="100" t="n"/>
      <c r="C17" s="101">
        <f>SUMIF('BALANCE N'!$A$2:$A$50,"104*",'BALANCE N'!$H$2:$H$50)-SUMIF('BALANCE N'!$A$2:$A$50,"104*",'BALANCE N'!$G$2:$G$50)</f>
        <v/>
      </c>
      <c r="D17" s="100" t="n"/>
    </row>
    <row r="18">
      <c r="A18" s="95" t="n"/>
      <c r="B18" s="95" t="n"/>
      <c r="C18" s="96" t="n"/>
      <c r="D18" s="95" t="n"/>
    </row>
    <row r="19">
      <c r="A19" s="95" t="n"/>
      <c r="B19" s="95" t="n"/>
      <c r="C19" s="96" t="n"/>
      <c r="D19" s="95" t="n"/>
    </row>
    <row r="20">
      <c r="A20" s="95" t="n"/>
      <c r="B20" s="95" t="n"/>
      <c r="C20" s="96" t="n"/>
      <c r="D20" s="95" t="n"/>
    </row>
    <row r="21">
      <c r="A21" s="8" t="inlineStr">
        <is>
          <t>TOTAL</t>
        </is>
      </c>
      <c r="B21" s="8" t="n"/>
      <c r="C21" s="9">
        <f>C9+C13+C17</f>
        <v/>
      </c>
      <c r="D21" s="8" t="n"/>
    </row>
  </sheetData>
  <mergeCells count="2">
    <mergeCell ref="A7:E7"/>
    <mergeCell ref="D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02" t="inlineStr">
        <is>
          <t>COMMENTAIRES
PAGE 1/2</t>
        </is>
      </c>
      <c r="H1" s="54" t="n"/>
    </row>
    <row r="2">
      <c r="A2" s="67" t="inlineStr">
        <is>
          <t>Dénomination sociale : CLUB SOLIDARITE QUARTIER</t>
        </is>
      </c>
    </row>
    <row r="3">
      <c r="A3" s="67" t="inlineStr">
        <is>
          <t xml:space="preserve">Adresse : </t>
        </is>
      </c>
      <c r="F3" s="67" t="inlineStr">
        <is>
          <t xml:space="preserve">Sigle usuel : </t>
        </is>
      </c>
    </row>
    <row r="4">
      <c r="A4" s="67" t="inlineStr">
        <is>
          <t>N° de compte contribuable (NCC) : ASBL-0093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03" t="inlineStr">
        <is>
          <t>Partie 1 : Notes sur le bilan</t>
        </is>
      </c>
      <c r="B6" s="104" t="n"/>
      <c r="C6" s="104" t="n"/>
      <c r="D6" s="104" t="n"/>
      <c r="E6" s="104" t="n"/>
      <c r="F6" s="104" t="n"/>
      <c r="G6" s="104" t="n"/>
      <c r="H6" s="104" t="n"/>
    </row>
    <row r="7" ht="16" customHeight="1">
      <c r="A7" s="105" t="inlineStr">
        <is>
          <t>Note 1</t>
        </is>
      </c>
      <c r="B7" s="106" t="inlineStr">
        <is>
          <t>Tableau d'acquisition et de suivi du matériel, du mobilier et des cautions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07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05" t="inlineStr">
        <is>
          <t>Note 2</t>
        </is>
      </c>
      <c r="B9" s="106" t="inlineStr">
        <is>
          <t>État des stocks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07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05" t="inlineStr">
        <is>
          <t>Note 3</t>
        </is>
      </c>
      <c r="B11" s="106" t="inlineStr">
        <is>
          <t>État des créances et des dettes non échues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07" t="n"/>
      <c r="B12" s="49" t="n"/>
      <c r="C12" s="49" t="n"/>
      <c r="D12" s="49" t="n"/>
      <c r="E12" s="49" t="n"/>
      <c r="F12" s="49" t="n"/>
      <c r="G12" s="49" t="n"/>
      <c r="H12" s="49" t="n"/>
    </row>
    <row r="13" ht="16" customHeight="1">
      <c r="A13" s="105" t="inlineStr">
        <is>
          <t>Note 5</t>
        </is>
      </c>
      <c r="B13" s="106" t="inlineStr">
        <is>
          <t>Dotations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07" t="n"/>
      <c r="B14" s="49" t="n"/>
      <c r="C14" s="49" t="n"/>
      <c r="D14" s="49" t="n"/>
      <c r="E14" s="49" t="n"/>
      <c r="F14" s="49" t="n"/>
      <c r="G14" s="49" t="n"/>
      <c r="H14" s="49" t="n"/>
    </row>
    <row r="15" ht="26" customHeight="1">
      <c r="A15" s="57" t="inlineStr">
        <is>
          <t>TABLE DES COMMENTAIRES</t>
        </is>
      </c>
      <c r="G15" s="102" t="inlineStr">
        <is>
          <t>COMMENTAIRES
PAGE 2/2</t>
        </is>
      </c>
      <c r="H15" s="54" t="n"/>
    </row>
    <row r="16">
      <c r="A16" s="67" t="inlineStr">
        <is>
          <t>Dénomination sociale : CLUB SOLIDARITE QUARTIER</t>
        </is>
      </c>
    </row>
    <row r="17">
      <c r="A17" s="67" t="inlineStr">
        <is>
          <t xml:space="preserve">Adresse : </t>
        </is>
      </c>
      <c r="F17" s="67" t="inlineStr">
        <is>
          <t xml:space="preserve">Sigle usuel : </t>
        </is>
      </c>
    </row>
    <row r="18">
      <c r="A18" s="67" t="inlineStr">
        <is>
          <t>N° de compte contribuable (NCC) : ASBL-0093</t>
        </is>
      </c>
      <c r="E18" s="67" t="inlineStr">
        <is>
          <t>Exercice clos le 31-12-2025</t>
        </is>
      </c>
      <c r="G18" s="67" t="inlineStr">
        <is>
          <t>Durée (en mois) : 12</t>
        </is>
      </c>
    </row>
    <row r="19">
      <c r="A19" s="67" t="inlineStr">
        <is>
          <t xml:space="preserve">N° de télédéclarant (NTD) : </t>
        </is>
      </c>
    </row>
    <row r="20" ht="17" customHeight="1">
      <c r="A20" s="103" t="inlineStr">
        <is>
          <t>Partie 2 : Notes sur le compte de résultat</t>
        </is>
      </c>
      <c r="B20" s="104" t="n"/>
      <c r="C20" s="104" t="n"/>
      <c r="D20" s="104" t="n"/>
      <c r="E20" s="104" t="n"/>
      <c r="F20" s="104" t="n"/>
      <c r="G20" s="104" t="n"/>
      <c r="H20" s="104" t="n"/>
    </row>
    <row r="21" ht="16" customHeight="1">
      <c r="A21" s="105" t="inlineStr">
        <is>
          <t>Note 4</t>
        </is>
      </c>
      <c r="B21" s="106" t="inlineStr">
        <is>
          <t>Journal unique de trésorerie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07" t="n"/>
      <c r="B22" s="49" t="n"/>
      <c r="C22" s="49" t="n"/>
      <c r="D22" s="49" t="n"/>
      <c r="E22" s="49" t="n"/>
      <c r="F22" s="49" t="n"/>
      <c r="G22" s="49" t="n"/>
      <c r="H22" s="49" t="n"/>
    </row>
  </sheetData>
  <mergeCells count="16">
    <mergeCell ref="A12:H12"/>
    <mergeCell ref="B9:H9"/>
    <mergeCell ref="B13:H13"/>
    <mergeCell ref="A20:H20"/>
    <mergeCell ref="G1:H1"/>
    <mergeCell ref="A1:F1"/>
    <mergeCell ref="G15:H15"/>
    <mergeCell ref="B21:H21"/>
    <mergeCell ref="A10:H10"/>
    <mergeCell ref="A14:H14"/>
    <mergeCell ref="B7:H7"/>
    <mergeCell ref="B11:H11"/>
    <mergeCell ref="A8:H8"/>
    <mergeCell ref="A15:F15"/>
    <mergeCell ref="A6:H6"/>
    <mergeCell ref="A22:H2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95" t="inlineStr">
        <is>
          <t>Total solde de clôture débit balance</t>
        </is>
      </c>
      <c r="B2" s="96">
        <f>SUM('BALANCE N'!G2:G18)</f>
        <v/>
      </c>
      <c r="C2" s="95" t="inlineStr"/>
    </row>
    <row r="3">
      <c r="A3" s="95" t="inlineStr">
        <is>
          <t>Total solde de clôture crédit balance</t>
        </is>
      </c>
      <c r="B3" s="96">
        <f>SUM('BALANCE N'!H2:H18)</f>
        <v/>
      </c>
      <c r="C3" s="95" t="inlineStr"/>
    </row>
    <row r="4">
      <c r="A4" s="95" t="inlineStr">
        <is>
          <t>Écart balance (doit être 0)</t>
        </is>
      </c>
      <c r="B4" s="96">
        <f>B2-B3</f>
        <v/>
      </c>
      <c r="C4" s="95" t="n">
        <v>0</v>
      </c>
    </row>
    <row r="5">
      <c r="A5" s="95" t="inlineStr">
        <is>
          <t>Total actif (GZ)</t>
        </is>
      </c>
      <c r="B5" s="96">
        <f>'Bilan-Actif'!D14</f>
        <v/>
      </c>
      <c r="C5" s="95" t="inlineStr"/>
    </row>
    <row r="6">
      <c r="A6" s="95" t="inlineStr">
        <is>
          <t>Total passif (HZ)</t>
        </is>
      </c>
      <c r="B6" s="96">
        <f>'Bilan-Passif'!D13</f>
        <v/>
      </c>
      <c r="C6" s="95" t="inlineStr"/>
    </row>
    <row r="7">
      <c r="A7" s="95" t="inlineStr">
        <is>
          <t>Écart actif - passif (doit être 0)</t>
        </is>
      </c>
      <c r="B7" s="96">
        <f>B5-B6</f>
        <v/>
      </c>
      <c r="C7" s="95" t="n">
        <v>0</v>
      </c>
    </row>
    <row r="8">
      <c r="A8" s="95" t="inlineStr">
        <is>
          <t>Résultat net (compte de résultat, KZC)</t>
        </is>
      </c>
      <c r="B8" s="96">
        <f>'Résultat'!D24</f>
        <v/>
      </c>
      <c r="C8" s="95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95" t="inlineStr">
        <is>
          <t>INFO</t>
        </is>
      </c>
      <c r="B2" s="95" t="inlineStr"/>
      <c r="C2" s="95" t="inlineStr">
        <is>
          <t>Classe 4</t>
        </is>
      </c>
      <c r="D2" s="95" t="inlineStr">
        <is>
          <t>La balance porte des comptes de tiers : recettes/dépenses incluent des montants non encaissés/décaissés (base engagement).</t>
        </is>
      </c>
      <c r="E2" s="95" t="inlineStr">
        <is>
          <t>Laisser VB/VC à zéro dans ce cas ; ne les servir que pour une balance de trésorerie pure (Note 3).</t>
        </is>
      </c>
    </row>
    <row r="3">
      <c r="A3" s="95" t="inlineStr">
        <is>
          <t>INFO</t>
        </is>
      </c>
      <c r="B3" s="95" t="inlineStr"/>
      <c r="C3" s="95" t="inlineStr">
        <is>
          <t>SMT - seuil</t>
        </is>
      </c>
      <c r="D3" s="95" t="inlineStr">
        <is>
          <t>Vérifier l'assujettissement : ressources annuelles ≤ 30 M FCFA (Acte uniforme SYCEBNL, art. 5-6).</t>
        </is>
      </c>
      <c r="E3" s="95" t="inlineStr">
        <is>
          <t>Au-delà, monter le jeu du Système normal (monter_etats_sycebnl.py) ou des projets (monter_projets.py).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2026-09-01T02:03:50Z</dcterms:created>
  <dcterms:modified xsi:type="dcterms:W3CDTF">2026-09-01T02:03:50Z</dcterms:modified>
</cp:coreProperties>
</file>