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5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4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4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4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100000</v>
      </c>
      <c r="H11" s="5" t="n">
        <v>0</v>
      </c>
    </row>
    <row r="12" ht="20" customHeight="1">
      <c r="A12" s="6" t="n"/>
      <c r="B12" s="6" t="inlineStr">
        <is>
          <t>TOTAL GENERAL</t>
        </is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</row>
    <row r="13">
      <c r="A13" s="8" t="n"/>
      <c r="B13" s="8" t="inlineStr">
        <is>
          <t>Contrôle d'équilibre par solde (débit - crédit, doit être 0)</t>
        </is>
      </c>
      <c r="C13" s="9">
        <f>C12-D12</f>
        <v/>
      </c>
      <c r="D13" s="9" t="n"/>
      <c r="E13" s="9">
        <f>E12-F12</f>
        <v/>
      </c>
      <c r="F13" s="9" t="n"/>
      <c r="G13" s="9">
        <f>G12-H12</f>
        <v/>
      </c>
      <c r="H1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N-1'!C2:C11)</f>
        <v/>
      </c>
      <c r="C6" s="17">
        <f>SUM('BALANCE N-1'!D2:D11)</f>
        <v/>
      </c>
      <c r="D6" s="17">
        <f>SUM('BALANCE N-1'!E2:E11)</f>
        <v/>
      </c>
      <c r="E6" s="17">
        <f>SUM('BALANCE N-1'!F2:F11)</f>
        <v/>
      </c>
      <c r="F6" s="17">
        <f>SUM('BALANCE N-1'!G2:G11)</f>
        <v/>
      </c>
      <c r="G6" s="18">
        <f>SUM('BALANCE N-1'!H2:H11)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N'!$A$2:$A$50,"162*",'BALANCE N'!$H$2:$H$50)-SUMIF('BALANCE N'!$A$2:$A$50,"162*",'BALANCE N'!$G$2:$G$50)+SUMIF('BALANCE N'!$A$2:$A$50,"462*",'BALANCE N'!$H$2:$H$50)-SUMIF('BALANCE N'!$A$2:$A$50,"462*",'BALANCE N'!$G$2:$G$50))-(SUMIF('BALANCE N-1'!$A$2:$A$50,"162*",'BALANCE N-1'!$H$2:$H$50)-SUMIF('BALANCE N-1'!$A$2:$A$50,"162*",'BALANCE N-1'!$G$2:$G$50)+SUMIF('BALANCE N-1'!$A$2:$A$50,"462*",'BALANCE N-1'!$H$2:$H$50)-SUMIF('BALANCE N-1'!$A$2:$A$50,"462*",'BALANCE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N'!$A$2:$A$50,"163*",'BALANCE N'!$H$2:$H$50)-SUMIF('BALANCE N'!$A$2:$A$50,"163*",'BALANCE N'!$G$2:$G$50)+SUMIF('BALANCE N'!$A$2:$A$50,"463*",'BALANCE N'!$H$2:$H$50)-SUMIF('BALANCE N'!$A$2:$A$50,"463*",'BALANCE N'!$G$2:$G$50))-(SUMIF('BALANCE N-1'!$A$2:$A$50,"163*",'BALANCE N-1'!$H$2:$H$50)-SUMIF('BALANCE N-1'!$A$2:$A$50,"163*",'BALANCE N-1'!$G$2:$G$50)+SUMIF('BALANCE N-1'!$A$2:$A$50,"463*",'BALANCE N-1'!$H$2:$H$50)-SUMIF('BALANCE N-1'!$A$2:$A$50,"463*",'BALANCE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N'!$A$2:$A$50,"464*",'BALANCE N'!$H$2:$H$50)-SUMIF('BALANCE N'!$A$2:$A$50,"464*",'BALANCE N'!$G$2:$G$50)+SUMIF('BALANCE N'!$A$2:$A$50,"168*",'BALANCE N'!$H$2:$H$50)-SUMIF('BALANCE N'!$A$2:$A$50,"168*",'BALANCE N'!$G$2:$G$50)+SUMIF('BALANCE N'!$A$2:$A$50,"164*",'BALANCE N'!$H$2:$H$50)-SUMIF('BALANCE N'!$A$2:$A$50,"164*",'BALANCE N'!$G$2:$G$50)+SUMIF('BALANCE N'!$A$2:$A$50,"165*",'BALANCE N'!$H$2:$H$50)-SUMIF('BALANCE N'!$A$2:$A$50,"165*",'BALANCE N'!$G$2:$G$50)+SUMIF('BALANCE N'!$A$2:$A$50,"161*",'BALANCE N'!$H$2:$H$50)-SUMIF('BALANCE N'!$A$2:$A$50,"161*",'BALANCE N'!$G$2:$G$50))-(SUMIF('BALANCE N-1'!$A$2:$A$50,"464*",'BALANCE N-1'!$H$2:$H$50)-SUMIF('BALANCE N-1'!$A$2:$A$50,"464*",'BALANCE N-1'!$G$2:$G$50)+SUMIF('BALANCE N-1'!$A$2:$A$50,"168*",'BALANCE N-1'!$H$2:$H$50)-SUMIF('BALANCE N-1'!$A$2:$A$50,"168*",'BALANCE N-1'!$G$2:$G$50)+SUMIF('BALANCE N-1'!$A$2:$A$50,"164*",'BALANCE N-1'!$H$2:$H$50)-SUMIF('BALANCE N-1'!$A$2:$A$50,"164*",'BALANCE N-1'!$G$2:$G$50)+SUMIF('BALANCE N-1'!$A$2:$A$50,"165*",'BALANCE N-1'!$H$2:$H$50)-SUMIF('BALANCE N-1'!$A$2:$A$50,"165*",'BALANCE N-1'!$G$2:$G$50)+SUMIF('BALANCE N-1'!$A$2:$A$50,"161*",'BALANCE N-1'!$H$2:$H$50)-SUMIF('BALANCE N-1'!$A$2:$A$50,"161*",'BALANCE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N-1'!$H$2:$H$50)+SUMIF('BALANCE N-1'!$A$2:$A$50,"2396*",'BALANCE N-1'!$G$2:$G$50)-SUMIF('BALANCE N-1'!$A$2:$A$50,"2396*",'BALANCE N-1'!$H$2:$H$50)</f>
        <v/>
      </c>
      <c r="D16" s="5">
        <f>E16-C16</f>
        <v/>
      </c>
      <c r="E16" s="71">
        <f>SUMIF('BALANCE N'!$A$2:$A$50,"233*",'BALANCE N'!$G$2:$G$50)-SUMIF('BALANCE N'!$A$2:$A$50,"233*",'BALANCE N'!$H$2:$H$50)+SUMIF('BALANCE N'!$A$2:$A$50,"231*",'BALANCE N'!$G$2:$G$50)-SUMIF('BALANCE N'!$A$2:$A$50,"231*",'BALANCE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N'!$H$2:$H$50)+SUMIF('BALANCE N'!$A$2:$A$50,"2396*",'BALANCE N'!$G$2:$G$50)-SUMIF('BALANCE N'!$A$2:$A$50,"2396*",'BALANCE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N-1'!$A$2:$A$50,"234*",'BALANCE N-1'!$G$2:$G$50)-SUMIF('BALANCE N-1'!$A$2:$A$50,"234*",'BALANCE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</f>
        <v/>
      </c>
      <c r="D17" s="5">
        <f>E17-C17</f>
        <v/>
      </c>
      <c r="E17" s="71">
        <f>SUMIF('BALANCE N'!$A$2:$A$50,"235*",'BALANCE N'!$G$2:$G$50)-SUMIF('BALANCE N'!$A$2:$A$50,"235*",'BALANCE N'!$H$2:$H$50)+SUMIF('BALANCE N'!$A$2:$A$50,"238*",'BALANCE N'!$G$2:$G$50)-SUMIF('BALANCE N'!$A$2:$A$50,"238*",'BALANCE N'!$H$2:$H$50)+SUMIF('BALANCE N'!$A$2:$A$50,"234*",'BALANCE N'!$G$2:$G$50)-SUMIF('BALANCE N'!$A$2:$A$50,"234*",'BALANCE N'!$H$2:$H$50)+SUMIF('BALANCE N'!$A$2:$A$50,"2395*",'BALANCE N'!$G$2:$G$50)-SUMIF('BALANCE N'!$A$2:$A$50,"2395*",'BALANCE N'!$H$2:$H$50)+SUMIF('BALANCE N'!$A$2:$A$50,"2394*",'BALANCE N'!$G$2:$G$50)-SUMIF('BALANCE N'!$A$2:$A$50,"2394*",'BALANCE N'!$H$2:$H$50)+SUMIF('BALANCE N'!$A$2:$A$50,"2398*",'BALANCE N'!$G$2:$G$50)-SUMIF('BALANCE N'!$A$2:$A$50,"2398*",'BALANCE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N-1'!$A$2:$A$50,"26*",'BALANCE N-1'!$G$2:$G$50)-SUMIF('BALANCE N-1'!$A$2:$A$50,"26*",'BALANCE N-1'!$H$2:$H$50)+SUMIF('BALANCE N-1'!$A$2:$A$50,"27*",'BALANCE N-1'!$G$2:$G$50)-SUMIF('BALANCE N-1'!$A$2:$A$50,"27*",'BALANCE N-1'!$H$2:$H$50)</f>
        <v/>
      </c>
      <c r="D21" s="5">
        <f>E21-C21</f>
        <v/>
      </c>
      <c r="E21" s="71">
        <f>SUMIF('BALANCE N'!$A$2:$A$50,"26*",'BALANCE N'!$G$2:$G$50)-SUMIF('BALANCE N'!$A$2:$A$50,"26*",'BALANCE N'!$H$2:$H$50)+SUMIF('BALANCE N'!$A$2:$A$50,"27*",'BALANCE N'!$G$2:$G$50)-SUMIF('BALANCE N'!$A$2:$A$50,"27*",'BALANCE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N'!$A$2:$A$50,"281*",'BALANCE N'!$H$2:$H$50)-SUMIF('BALANCE N'!$A$2:$A$50,"281*",'BALANCE N'!$G$2:$G$50)+SUMIF('BALANCE N'!$A$2:$A$50,"291*",'BALANCE N'!$H$2:$H$50)-SUMIF('BALANCE N'!$A$2:$A$50,"291*",'BALANCE N'!$G$2:$G$50)))</f>
        <v/>
      </c>
      <c r="E9" s="71">
        <f>((SUMIF('BALANCE N-1'!$A$2:$A$50,"21*",'BALANCE N-1'!$G$2:$G$50)-SUMIF('BALANCE N-1'!$A$2:$A$50,"21*",'BALANCE N-1'!$H$2:$H$50)))-((SUMIF('BALANCE N-1'!$A$2:$A$50,"281*",'BALANCE N-1'!$H$2:$H$50)-SUMIF('BALANCE N-1'!$A$2:$A$50,"281*",'BALANCE N-1'!$G$2:$G$50)+SUMIF('BALANCE N-1'!$A$2:$A$50,"291*",'BALANCE N-1'!$H$2:$H$50)-SUMIF('BALANCE N-1'!$A$2:$A$50,"291*",'BALANCE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N'!$A$2:$A$50,"233*",'BALANCE N'!$G$2:$G$50)-SUMIF('BALANCE N'!$A$2:$A$50,"233*",'BALANCE N'!$H$2:$H$50)+SUMIF('BALANCE N'!$A$2:$A$50,"231*",'BALANCE N'!$G$2:$G$50)-SUMIF('BALANCE N'!$A$2:$A$50,"231*",'BALANCE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N'!$H$2:$H$50)+SUMIF('BALANCE N'!$A$2:$A$50,"2396*",'BALANCE N'!$G$2:$G$50)-SUMIF('BALANCE N'!$A$2:$A$50,"2396*",'BALANCE N'!$H$2:$H$50)))-((SUMIF('BALANCE N'!$A$2:$A$50,"292*",'BALANCE N'!$H$2:$H$50)-SUMIF('BALANCE N'!$A$2:$A$50,"292*",'BALANCE N'!$G$2:$G$50)+SUMIF('BALANCE N'!$A$2:$A$50,"282*",'BALANCE N'!$H$2:$H$50)-SUMIF('BALANCE N'!$A$2:$A$50,"282*",'BALANCE N'!$G$2:$G$50)+SUMIF('BALANCE N'!$A$2:$A$50,"2832*",'BALANCE N'!$H$2:$H$50)-SUMIF('BALANCE N'!$A$2:$A$50,"2832*",'BALANCE N'!$G$2:$G$50)+SUMIF('BALANCE N'!$A$2:$A$50,"2939*",'BALANCE N'!$H$2:$H$50)-SUMIF('BALANCE N'!$A$2:$A$50,"2939*",'BALANCE N'!$G$2:$G$50)+SUMIF('BALANCE N'!$A$2:$A$50,"2831*",'BALANCE N'!$H$2:$H$50)-SUMIF('BALANCE N'!$A$2:$A$50,"2831*",'BALANCE N'!$G$2:$G$50)+SUMIF('BALANCE N'!$A$2:$A$50,"2932*",'BALANCE N'!$H$2:$H$50)-SUMIF('BALANCE N'!$A$2:$A$50,"2932*",'BALANCE N'!$G$2:$G$50)+SUMIF('BALANCE N'!$A$2:$A$50,"2833*",'BALANCE N'!$H$2:$H$50)-SUMIF('BALANCE N'!$A$2:$A$50,"2833*",'BALANCE N'!$G$2:$G$50)+SUMIF('BALANCE N'!$A$2:$A$50,"2931*",'BALANCE N'!$H$2:$H$50)-SUMIF('BALANCE N'!$A$2:$A$50,"2931*",'BALANCE N'!$G$2:$G$50)+SUMIF('BALANCE N'!$A$2:$A$50,"2933*",'BALANCE N'!$H$2:$H$50)-SUMIF('BALANCE N'!$A$2:$A$50,"2933*",'BALANCE N'!$G$2:$G$50)))</f>
        <v/>
      </c>
      <c r="E10" s="71">
        <f>((SUMIF('BALANCE N-1'!$A$2:$A$50,"22*",'BALANCE N-1'!$G$2:$G$50)-SUMIF('BALANCE N-1'!$A$2:$A$50,"22*",'BALANCE N-1'!$H$2:$H$50)+SUMIF('BALANCE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N-1'!$H$2:$H$50)+SUMIF('BALANCE N-1'!$A$2:$A$50,"2396*",'BALANCE N-1'!$G$2:$G$50)-SUMIF('BALANCE N-1'!$A$2:$A$50,"2396*",'BALANCE N-1'!$H$2:$H$50)))-((SUMIF('BALANCE N-1'!$A$2:$A$50,"292*",'BALANCE N-1'!$H$2:$H$50)-SUMIF('BALANCE N-1'!$A$2:$A$50,"292*",'BALANCE N-1'!$G$2:$G$50)+SUMIF('BALANCE N-1'!$A$2:$A$50,"282*",'BALANCE N-1'!$H$2:$H$50)-SUMIF('BALANCE N-1'!$A$2:$A$50,"282*",'BALANCE N-1'!$G$2:$G$50)+SUMIF('BALANCE N-1'!$A$2:$A$50,"2832*",'BALANCE N-1'!$H$2:$H$50)-SUMIF('BALANCE N-1'!$A$2:$A$50,"2832*",'BALANCE N-1'!$G$2:$G$50)+SUMIF('BALANCE N-1'!$A$2:$A$50,"2939*",'BALANCE N-1'!$H$2:$H$50)-SUMIF('BALANCE N-1'!$A$2:$A$50,"2939*",'BALANCE N-1'!$G$2:$G$50)+SUMIF('BALANCE N-1'!$A$2:$A$50,"2831*",'BALANCE N-1'!$H$2:$H$50)-SUMIF('BALANCE N-1'!$A$2:$A$50,"2831*",'BALANCE N-1'!$G$2:$G$50)+SUMIF('BALANCE N-1'!$A$2:$A$50,"2932*",'BALANCE N-1'!$H$2:$H$50)-SUMIF('BALANCE N-1'!$A$2:$A$50,"2932*",'BALANCE N-1'!$G$2:$G$50)+SUMIF('BALANCE N-1'!$A$2:$A$50,"2833*",'BALANCE N-1'!$H$2:$H$50)-SUMIF('BALANCE N-1'!$A$2:$A$50,"2833*",'BALANCE N-1'!$G$2:$G$50)+SUMIF('BALANCE N-1'!$A$2:$A$50,"2931*",'BALANCE N-1'!$H$2:$H$50)-SUMIF('BALANCE N-1'!$A$2:$A$50,"2931*",'BALANCE N-1'!$G$2:$G$50)+SUMIF('BALANCE N-1'!$A$2:$A$50,"2933*",'BALANCE N-1'!$H$2:$H$50)-SUMIF('BALANCE N-1'!$A$2:$A$50,"2933*",'BALANCE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N'!$A$2:$A$50,"235*",'BALANCE N'!$G$2:$G$50)-SUMIF('BALANCE N'!$A$2:$A$50,"235*",'BALANCE N'!$H$2:$H$50)+SUMIF('BALANCE N'!$A$2:$A$50,"238*",'BALANCE N'!$G$2:$G$50)-SUMIF('BALANCE N'!$A$2:$A$50,"238*",'BALANCE N'!$H$2:$H$50)+SUMIF('BALANCE N'!$A$2:$A$50,"234*",'BALANCE N'!$G$2:$G$50)-SUMIF('BALANCE N'!$A$2:$A$50,"234*",'BALANCE N'!$H$2:$H$50)+SUMIF('BALANCE N'!$A$2:$A$50,"2395*",'BALANCE N'!$G$2:$G$50)-SUMIF('BALANCE N'!$A$2:$A$50,"2395*",'BALANCE N'!$H$2:$H$50)+SUMIF('BALANCE N'!$A$2:$A$50,"2394*",'BALANCE N'!$G$2:$G$50)-SUMIF('BALANCE N'!$A$2:$A$50,"2394*",'BALANCE N'!$H$2:$H$50)+SUMIF('BALANCE N'!$A$2:$A$50,"2398*",'BALANCE N'!$G$2:$G$50)-SUMIF('BALANCE N'!$A$2:$A$50,"2398*",'BALANCE N'!$H$2:$H$50)))-((SUMIF('BALANCE N'!$A$2:$A$50,"2835*",'BALANCE N'!$H$2:$H$50)-SUMIF('BALANCE N'!$A$2:$A$50,"2835*",'BALANCE N'!$G$2:$G$50)+SUMIF('BALANCE N'!$A$2:$A$50,"2938*",'BALANCE N'!$H$2:$H$50)-SUMIF('BALANCE N'!$A$2:$A$50,"2938*",'BALANCE N'!$G$2:$G$50)+SUMIF('BALANCE N'!$A$2:$A$50,"2834*",'BALANCE N'!$H$2:$H$50)-SUMIF('BALANCE N'!$A$2:$A$50,"2834*",'BALANCE N'!$G$2:$G$50)+SUMIF('BALANCE N'!$A$2:$A$50,"2934*",'BALANCE N'!$H$2:$H$50)-SUMIF('BALANCE N'!$A$2:$A$50,"2934*",'BALANCE N'!$G$2:$G$50)+SUMIF('BALANCE N'!$A$2:$A$50,"2838*",'BALANCE N'!$H$2:$H$50)-SUMIF('BALANCE N'!$A$2:$A$50,"2838*",'BALANCE N'!$G$2:$G$50)+SUMIF('BALANCE N'!$A$2:$A$50,"2935*",'BALANCE N'!$H$2:$H$50)-SUMIF('BALANCE N'!$A$2:$A$50,"2935*",'BALANCE N'!$G$2:$G$50)))</f>
        <v/>
      </c>
      <c r="E11" s="71">
        <f>((SUMIF('BALANCE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N-1'!$A$2:$A$50,"234*",'BALANCE N-1'!$G$2:$G$50)-SUMIF('BALANCE N-1'!$A$2:$A$50,"234*",'BALANCE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N-1'!$H$2:$H$50)))-((SUMIF('BALANCE N-1'!$A$2:$A$50,"2835*",'BALANCE N-1'!$H$2:$H$50)-SUMIF('BALANCE N-1'!$A$2:$A$50,"2835*",'BALANCE N-1'!$G$2:$G$50)+SUMIF('BALANCE N-1'!$A$2:$A$50,"2938*",'BALANCE N-1'!$H$2:$H$50)-SUMIF('BALANCE N-1'!$A$2:$A$50,"2938*",'BALANCE N-1'!$G$2:$G$50)+SUMIF('BALANCE N-1'!$A$2:$A$50,"2834*",'BALANCE N-1'!$H$2:$H$50)-SUMIF('BALANCE N-1'!$A$2:$A$50,"2834*",'BALANCE N-1'!$G$2:$G$50)+SUMIF('BALANCE N-1'!$A$2:$A$50,"2934*",'BALANCE N-1'!$H$2:$H$50)-SUMIF('BALANCE N-1'!$A$2:$A$50,"2934*",'BALANCE N-1'!$G$2:$G$50)+SUMIF('BALANCE N-1'!$A$2:$A$50,"2838*",'BALANCE N-1'!$H$2:$H$50)-SUMIF('BALANCE N-1'!$A$2:$A$50,"2838*",'BALANCE N-1'!$G$2:$G$50)+SUMIF('BALANCE N-1'!$A$2:$A$50,"2935*",'BALANCE N-1'!$H$2:$H$50)-SUMIF('BALANCE N-1'!$A$2:$A$50,"2935*",'BALANCE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N'!$A$2:$A$50,"294*",'BALANCE N'!$H$2:$H$50)-SUMIF('BALANCE N'!$A$2:$A$50,"294*",'BALANCE N'!$G$2:$G$50)+SUMIF('BALANCE N'!$A$2:$A$50,"284*",'BALANCE N'!$H$2:$H$50)-SUMIF('BALANCE N'!$A$2:$A$50,"284*",'BALANCE N'!$G$2:$G$50)-SUMIF('BALANCE N'!$A$2:$A$50,"2945*",'BALANCE N'!$H$2:$H$50)+SUMIF('BALANCE N'!$A$2:$A$50,"2945*",'BALANCE N'!$G$2:$G$50)-SUMIF('BALANCE N'!$A$2:$A$50,"2845*",'BALANCE N'!$H$2:$H$50)+SUMIF('BALANCE N'!$A$2:$A$50,"2845*",'BALANCE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N-1'!$A$2:$A$50,"294*",'BALANCE N-1'!$H$2:$H$50)-SUMIF('BALANCE N-1'!$A$2:$A$50,"294*",'BALANCE N-1'!$G$2:$G$50)+SUMIF('BALANCE N-1'!$A$2:$A$50,"284*",'BALANCE N-1'!$H$2:$H$50)-SUMIF('BALANCE N-1'!$A$2:$A$50,"284*",'BALANCE N-1'!$G$2:$G$50)-SUMIF('BALANCE N-1'!$A$2:$A$50,"2945*",'BALANCE N-1'!$H$2:$H$50)+SUMIF('BALANCE N-1'!$A$2:$A$50,"2945*",'BALANCE N-1'!$G$2:$G$50)-SUMIF('BALANCE N-1'!$A$2:$A$50,"2845*",'BALANCE N-1'!$H$2:$H$50)+SUMIF('BALANCE N-1'!$A$2:$A$50,"2845*",'BALANCE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N'!$A$2:$A$50,"2945*",'BALANCE N'!$H$2:$H$50)-SUMIF('BALANCE N'!$A$2:$A$50,"2945*",'BALANCE N'!$G$2:$G$50)+SUMIF('BALANCE N'!$A$2:$A$50,"2845*",'BALANCE N'!$H$2:$H$50)-SUMIF('BALANCE N'!$A$2:$A$50,"2845*",'BALANCE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N-1'!$A$2:$A$50,"2945*",'BALANCE N-1'!$H$2:$H$50)-SUMIF('BALANCE N-1'!$A$2:$A$50,"2945*",'BALANCE N-1'!$G$2:$G$50)+SUMIF('BALANCE N-1'!$A$2:$A$50,"2845*",'BALANCE N-1'!$H$2:$H$50)-SUMIF('BALANCE N-1'!$A$2:$A$50,"2845*",'BALANCE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N'!$H$2:$H$50)))-((SUMIF('BALANCE N'!$A$2:$A$50,"296*",'BALANCE N'!$H$2:$H$50)-SUMIF('BALANCE N'!$A$2:$A$50,"296*",'BALANCE N'!$G$2:$G$50)+SUMIF('BALANCE N'!$A$2:$A$50,"297*",'BALANCE N'!$H$2:$H$50)-SUMIF('BALANCE N'!$A$2:$A$50,"297*",'BALANCE N'!$G$2:$G$50)-SUMIF('BALANCE N'!$A$2:$A$50,"2975*",'BALANCE N'!$H$2:$H$50)+SUMIF('BALANCE N'!$A$2:$A$50,"2975*",'BALANCE N'!$G$2:$G$50)))</f>
        <v/>
      </c>
      <c r="E16" s="71">
        <f>((SUMIF('BALANCE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N-1'!$H$2:$H$50)))-((SUMIF('BALANCE N-1'!$A$2:$A$50,"296*",'BALANCE N-1'!$H$2:$H$50)-SUMIF('BALANCE N-1'!$A$2:$A$50,"296*",'BALANCE N-1'!$G$2:$G$50)+SUMIF('BALANCE N-1'!$A$2:$A$50,"297*",'BALANCE N-1'!$H$2:$H$50)-SUMIF('BALANCE N-1'!$A$2:$A$50,"297*",'BALANCE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N'!$A$2:$A$50,"31*",'BALANCE N'!$G$2:$G$50)-SUMIF('BALANCE N'!$A$2:$A$50,"31*",'BALANCE N'!$H$2:$H$50)+SUMIF('BALANCE N'!$A$2:$A$50,"34*",'BALANCE N'!$G$2:$G$50)-SUMIF('BALANCE N'!$A$2:$A$50,"34*",'BALANCE N'!$H$2:$H$50)+SUMIF('BALANCE N'!$A$2:$A$50,"36*",'BALANCE N'!$G$2:$G$50)-SUMIF('BALANCE N'!$A$2:$A$50,"36*",'BALANCE N'!$H$2:$H$50)+SUMIF('BALANCE N'!$A$2:$A$50,"37*",'BALANCE N'!$G$2:$G$50)-SUMIF('BALANCE N'!$A$2:$A$50,"37*",'BALANCE N'!$H$2:$H$50)+SUMIF('BALANCE N'!$A$2:$A$50,"32*",'BALANCE N'!$G$2:$G$50)-SUMIF('BALANCE N'!$A$2:$A$50,"32*",'BALANCE N'!$H$2:$H$50)+SUMIF('BALANCE N'!$A$2:$A$50,"33*",'BALANCE N'!$G$2:$G$50)-SUMIF('BALANCE N'!$A$2:$A$50,"33*",'BALANCE N'!$H$2:$H$50)+SUMIF('BALANCE N'!$A$2:$A$50,"38*",'BALANCE N'!$G$2:$G$50)-SUMIF('BALANCE N'!$A$2:$A$50,"38*",'BALANCE N'!$H$2:$H$50)))-((SUMIF('BALANCE N'!$A$2:$A$50,"39*",'BALANCE N'!$H$2:$H$50)-SUMIF('BALANCE N'!$A$2:$A$50,"39*",'BALANCE N'!$G$2:$G$50)))</f>
        <v/>
      </c>
      <c r="E19" s="71">
        <f>((SUMIF('BALANCE N-1'!$A$2:$A$50,"31*",'BALANCE N-1'!$G$2:$G$50)-SUMIF('BALANCE N-1'!$A$2:$A$50,"31*",'BALANCE N-1'!$H$2:$H$50)+SUMIF('BALANCE N-1'!$A$2:$A$50,"34*",'BALANCE N-1'!$G$2:$G$50)-SUMIF('BALANCE N-1'!$A$2:$A$50,"34*",'BALANCE N-1'!$H$2:$H$50)+SUMIF('BALANCE N-1'!$A$2:$A$50,"36*",'BALANCE N-1'!$G$2:$G$50)-SUMIF('BALANCE N-1'!$A$2:$A$50,"36*",'BALANCE N-1'!$H$2:$H$50)+SUMIF('BALANCE N-1'!$A$2:$A$50,"37*",'BALANCE N-1'!$G$2:$G$50)-SUMIF('BALANCE N-1'!$A$2:$A$50,"37*",'BALANCE N-1'!$H$2:$H$50)+SUMIF('BALANCE N-1'!$A$2:$A$50,"32*",'BALANCE N-1'!$G$2:$G$50)-SUMIF('BALANCE N-1'!$A$2:$A$50,"32*",'BALANCE N-1'!$H$2:$H$50)+SUMIF('BALANCE N-1'!$A$2:$A$50,"33*",'BALANCE N-1'!$G$2:$G$50)-SUMIF('BALANCE N-1'!$A$2:$A$50,"33*",'BALANCE N-1'!$H$2:$H$50)+SUMIF('BALANCE N-1'!$A$2:$A$50,"38*",'BALANCE N-1'!$G$2:$G$50)-SUMIF('BALANCE N-1'!$A$2:$A$50,"38*",'BALANCE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N'!$A$2:$A$50,"419*",'BALANCE N'!$G$2:$G$50)+SUMIF('BALANCE N'!$A$2:$A$50,"419*",'BALANCE N'!$H$2:$H$50)-SUMIF('BALANCE N'!$A$2:$A$50,"411*",'BALANCE N'!$G$2:$G$50)+SUMIF('BALANCE N'!$A$2:$A$50,"411*",'BALANCE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N-1'!$A$2:$A$50,"419*",'BALANCE N-1'!$G$2:$G$50)+SUMIF('BALANCE N-1'!$A$2:$A$50,"419*",'BALANCE N-1'!$H$2:$H$50)-SUMIF('BALANCE N-1'!$A$2:$A$50,"411*",'BALANCE N-1'!$G$2:$G$50)+SUMIF('BALANCE N-1'!$A$2:$A$50,"411*",'BALANCE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N'!$A$2:$A$50,"43*",'BALANCE N'!$G$2:$G$50)+SUMIF('BALANCE N'!$A$2:$A$50,"44*",'BALANCE N'!$G$2:$G$50)+SUMIF('BALANCE N'!$A$2:$A$50,"42*",'BALANCE N'!$G$2:$G$50)+SUMIF('BALANCE N'!$A$2:$A$50,"47*",'BALANCE N'!$G$2:$G$50)-SUMIF('BALANCE N'!$A$2:$A$50,"478*",'BALANCE N'!$G$2:$G$50)))-((SUMIF('BALANCE N'!$A$2:$A$50,"497*",'BALANCE N'!$H$2:$H$50)-SUMIF('BALANCE N'!$A$2:$A$50,"497*",'BALANCE N'!$G$2:$G$50)+SUMIF('BALANCE N'!$A$2:$A$50,"494*",'BALANCE N'!$H$2:$H$50)-SUMIF('BALANCE N'!$A$2:$A$50,"494*",'BALANCE N'!$G$2:$G$50)+SUMIF('BALANCE N'!$A$2:$A$50,"492*",'BALANCE N'!$H$2:$H$50)-SUMIF('BALANCE N'!$A$2:$A$50,"492*",'BALANCE N'!$G$2:$G$50)+SUMIF('BALANCE N'!$A$2:$A$50,"493*",'BALANCE N'!$H$2:$H$50)-SUMIF('BALANCE N'!$A$2:$A$50,"493*",'BALANCE N'!$G$2:$G$50)))</f>
        <v/>
      </c>
      <c r="E22" s="71">
        <f>((SUMIF('BALANCE N-1'!$A$2:$A$50,"43*",'BALANCE N-1'!$G$2:$G$50)+SUMIF('BALANCE N-1'!$A$2:$A$50,"44*",'BALANCE N-1'!$G$2:$G$50)+SUMIF('BALANCE N-1'!$A$2:$A$50,"42*",'BALANCE N-1'!$G$2:$G$50)+SUMIF('BALANCE N-1'!$A$2:$A$50,"47*",'BALANCE N-1'!$G$2:$G$50)-SUMIF('BALANCE N-1'!$A$2:$A$50,"478*",'BALANCE N-1'!$G$2:$G$50)))-((SUMIF('BALANCE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N'!$A$2:$A$50,"52*",'BALANCE N'!$G$2:$G$50)-SUMIF('BALANCE N'!$A$2:$A$50,"52*",'BALANCE N'!$H$2:$H$50)+SUMIF('BALANCE N'!$A$2:$A$50,"57*",'BALANCE N'!$G$2:$G$50)-SUMIF('BALANCE N'!$A$2:$A$50,"57*",'BALANCE N'!$H$2:$H$50)+SUMIF('BALANCE N'!$A$2:$A$50,"53*",'BALANCE N'!$G$2:$G$50)-SUMIF('BALANCE N'!$A$2:$A$50,"53*",'BALANCE N'!$H$2:$H$50)+SUMIF('BALANCE N'!$A$2:$A$50,"55*",'BALANCE N'!$G$2:$G$50)-SUMIF('BALANCE N'!$A$2:$A$50,"55*",'BALANCE N'!$H$2:$H$50)))-((SUMIF('BALANCE N'!$A$2:$A$50,"593*",'BALANCE N'!$H$2:$H$50)-SUMIF('BALANCE N'!$A$2:$A$50,"593*",'BALANCE N'!$G$2:$G$50)+SUMIF('BALANCE N'!$A$2:$A$50,"592*",'BALANCE N'!$H$2:$H$50)-SUMIF('BALANCE N'!$A$2:$A$50,"592*",'BALANCE N'!$G$2:$G$50)+SUMIF('BALANCE N'!$A$2:$A$50,"595*",'BALANCE N'!$H$2:$H$50)-SUMIF('BALANCE N'!$A$2:$A$50,"595*",'BALANCE N'!$G$2:$G$50)))</f>
        <v/>
      </c>
      <c r="E25" s="71">
        <f>((SUMIF('BALANCE N-1'!$A$2:$A$50,"52*",'BALANCE N-1'!$G$2:$G$50)-SUMIF('BALANCE N-1'!$A$2:$A$50,"52*",'BALANCE N-1'!$H$2:$H$50)+SUMIF('BALANCE N-1'!$A$2:$A$50,"57*",'BALANCE N-1'!$G$2:$G$50)-SUMIF('BALANCE N-1'!$A$2:$A$50,"57*",'BALANCE N-1'!$H$2:$H$50)+SUMIF('BALANCE N-1'!$A$2:$A$50,"53*",'BALANCE N-1'!$G$2:$G$50)-SUMIF('BALANCE N-1'!$A$2:$A$50,"53*",'BALANCE N-1'!$H$2:$H$50)+SUMIF('BALANCE N-1'!$A$2:$A$50,"55*",'BALANCE N-1'!$G$2:$G$50)-SUMIF('BALANCE N-1'!$A$2:$A$50,"55*",'BALANCE N-1'!$H$2:$H$50)))-((SUMIF('BALANCE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N'!$A$2:$A$50,"484*",'BALANCE N'!$H$2:$H$50)-SUMIF('BALANCE N'!$A$2:$A$50,"484*",'BALANCE N'!$G$2:$G$50)+SUMIF('BALANCE N'!$A$2:$A$50,"481*",'BALANCE N'!$H$2:$H$50)-SUMIF('BALANCE N'!$A$2:$A$50,"481*",'BALANCE N'!$G$2:$G$50)+SUMIF('BALANCE N'!$A$2:$A$50,"4998*",'BALANCE N'!$H$2:$H$50)-SUMIF('BALANCE N'!$A$2:$A$50,"4998*",'BALANCE N'!$G$2:$G$50))</f>
        <v/>
      </c>
      <c r="E18" s="71">
        <f>(SUMIF('BALANCE N-1'!$A$2:$A$50,"484*",'BALANCE N-1'!$H$2:$H$50)-SUMIF('BALANCE N-1'!$A$2:$A$50,"484*",'BALANCE N-1'!$G$2:$G$50)+SUMIF('BALANCE N-1'!$A$2:$A$50,"481*",'BALANCE N-1'!$H$2:$H$50)-SUMIF('BALANCE N-1'!$A$2:$A$50,"481*",'BALANCE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N'!$A$2:$A$50,"43*",'BALANCE N'!$H$2:$H$50)+SUMIF('BALANCE N'!$A$2:$A$50,"44*",'BALANCE N'!$H$2:$H$50)+SUMIF('BALANCE N'!$A$2:$A$50,"42*",'BALANCE N'!$H$2:$H$50)+SUMIF('BALANCE N'!$A$2:$A$50,"47*",'BALANCE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N-1'!$A$2:$A$50,"43*",'BALANCE N-1'!$H$2:$H$50)+SUMIF('BALANCE N-1'!$A$2:$A$50,"44*",'BALANCE N-1'!$H$2:$H$50)+SUMIF('BALANCE N-1'!$A$2:$A$50,"42*",'BALANCE N-1'!$H$2:$H$50)+SUMIF('BALANCE N-1'!$A$2:$A$50,"47*",'BALANCE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</f>
        <v/>
      </c>
      <c r="E22" s="71">
        <f>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N'!$A$2:$A$50,"73*",'BALANCE N'!$H$2:$H$50)-SUMIF('BALANCE N'!$A$2:$A$50,"73*",'BALANCE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N'!$A$2:$A$50,"72*",'BALANCE N'!$H$2:$H$50)-SUMIF('BALANCE N'!$A$2:$A$50,"72*",'BALANCE N'!$G$2:$G$50)+SUMIF('BALANCE N'!$A$2:$A$50,"78*",'BALANCE N'!$H$2:$H$50)-SUMIF('BALANCE N'!$A$2:$A$50,"78*",'BALANCE N'!$G$2:$G$50)+SUMIF('BALANCE N'!$A$2:$A$50,"708*",'BALANCE N'!$H$2:$H$50)-SUMIF('BALANCE N'!$A$2:$A$50,"708*",'BALANCE N'!$G$2:$G$50)+SUMIF('BALANCE N'!$A$2:$A$50,"707*",'BALANCE N'!$H$2:$H$50)-SUMIF('BALANCE N'!$A$2:$A$50,"707*",'BALANCE N'!$G$2:$G$50)+SUMIF('BALANCE N'!$A$2:$A$50,"706*",'BALANCE N'!$H$2:$H$50)-SUMIF('BALANCE N'!$A$2:$A$50,"706*",'BALANCE N'!$G$2:$G$50))</f>
        <v/>
      </c>
      <c r="E12" s="71">
        <f>(SUMIF('BALANCE N-1'!$A$2:$A$50,"73*",'BALANCE N-1'!$H$2:$H$50)-SUMIF('BALANCE N-1'!$A$2:$A$50,"73*",'BALANCE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N-1'!$A$2:$A$50,"72*",'BALANCE N-1'!$H$2:$H$50)-SUMIF('BALANCE N-1'!$A$2:$A$50,"72*",'BALANCE N-1'!$G$2:$G$50)+SUMIF('BALANCE N-1'!$A$2:$A$50,"78*",'BALANCE N-1'!$H$2:$H$50)-SUMIF('BALANCE N-1'!$A$2:$A$50,"78*",'BALANCE N-1'!$G$2:$G$50)+SUMIF('BALANCE N-1'!$A$2:$A$50,"708*",'BALANCE N-1'!$H$2:$H$50)-SUMIF('BALANCE N-1'!$A$2:$A$50,"708*",'BALANCE N-1'!$G$2:$G$50)+SUMIF('BALANCE N-1'!$A$2:$A$50,"707*",'BALANCE N-1'!$H$2:$H$50)-SUMIF('BALANCE N-1'!$A$2:$A$50,"707*",'BALANCE N-1'!$G$2:$G$50)+SUMIF('BALANCE N-1'!$A$2:$A$50,"706*",'BALANCE N-1'!$H$2:$H$50)-SUMIF('BALANCE N-1'!$A$2:$A$50,"706*",'BALANCE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N'!$A$2:$A$50,"602*",'BALANCE N'!$H$2:$H$50)-SUMIF('BALANCE N'!$A$2:$A$50,"602*",'BALANCE N'!$G$2:$G$50)+SUMIF('BALANCE N'!$A$2:$A$50,"601*",'BALANCE N'!$H$2:$H$50)-SUMIF('BALANCE N'!$A$2:$A$50,"601*",'BALANCE N'!$G$2:$G$50))</f>
        <v/>
      </c>
      <c r="E15" s="71">
        <f>(SUMIF('BALANCE N-1'!$A$2:$A$50,"602*",'BALANCE N-1'!$H$2:$H$50)-SUMIF('BALANCE N-1'!$A$2:$A$50,"602*",'BALANCE N-1'!$G$2:$G$50)+SUMIF('BALANCE N-1'!$A$2:$A$50,"601*",'BALANCE N-1'!$H$2:$H$50)-SUMIF('BALANCE N-1'!$A$2:$A$50,"601*",'BALANCE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N'!$A$2:$A$50,"605*",'BALANCE N'!$H$2:$H$50)-SUMIF('BALANCE N'!$A$2:$A$50,"605*",'BALANCE N'!$G$2:$G$50)+SUMIF('BALANCE N'!$A$2:$A$50,"606*",'BALANCE N'!$H$2:$H$50)-SUMIF('BALANCE N'!$A$2:$A$50,"606*",'BALANCE N'!$G$2:$G$50)+SUMIF('BALANCE N'!$A$2:$A$50,"604*",'BALANCE N'!$H$2:$H$50)-SUMIF('BALANCE N'!$A$2:$A$50,"604*",'BALANCE N'!$G$2:$G$50)+SUMIF('BALANCE N'!$A$2:$A$50,"608*",'BALANCE N'!$H$2:$H$50)-SUMIF('BALANCE N'!$A$2:$A$50,"608*",'BALANCE N'!$G$2:$G$50))</f>
        <v/>
      </c>
      <c r="E16" s="71">
        <f>(SUMIF('BALANCE N-1'!$A$2:$A$50,"605*",'BALANCE N-1'!$H$2:$H$50)-SUMIF('BALANCE N-1'!$A$2:$A$50,"605*",'BALANCE N-1'!$G$2:$G$50)+SUMIF('BALANCE N-1'!$A$2:$A$50,"606*",'BALANCE N-1'!$H$2:$H$50)-SUMIF('BALANCE N-1'!$A$2:$A$50,"606*",'BALANCE N-1'!$G$2:$G$50)+SUMIF('BALANCE N-1'!$A$2:$A$50,"604*",'BALANCE N-1'!$H$2:$H$50)-SUMIF('BALANCE N-1'!$A$2:$A$50,"604*",'BALANCE N-1'!$G$2:$G$50)+SUMIF('BALANCE N-1'!$A$2:$A$50,"608*",'BALANCE N-1'!$H$2:$H$50)-SUMIF('BALANCE N-1'!$A$2:$A$50,"608*",'BALANCE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N'!$A$2:$A$50,"68*",'BALANCE N'!$H$2:$H$50)-SUMIF('BALANCE N'!$A$2:$A$50,"68*",'BALANCE N'!$G$2:$G$50)+SUMIF('BALANCE N'!$A$2:$A$50,"69*",'BALANCE N'!$H$2:$H$50)-SUMIF('BALANCE N'!$A$2:$A$50,"69*",'BALANCE N'!$G$2:$G$50))</f>
        <v/>
      </c>
      <c r="E24" s="71">
        <f>(SUMIF('BALANCE N-1'!$A$2:$A$50,"68*",'BALANCE N-1'!$H$2:$H$50)-SUMIF('BALANCE N-1'!$A$2:$A$50,"68*",'BALANCE N-1'!$G$2:$G$50)+SUMIF('BALANCE N-1'!$A$2:$A$50,"69*",'BALANCE N-1'!$H$2:$H$50)-SUMIF('BALANCE N-1'!$A$2:$A$50,"69*",'BALANCE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N'!$A$2:$A$50,"82*",'BALANCE N'!$H$2:$H$50)-SUMIF('BALANCE N'!$A$2:$A$50,"82*",'BALANCE N'!$G$2:$G$50)+SUMIF('BALANCE N'!$A$2:$A$50,"84*",'BALANCE N'!$H$2:$H$50)-SUMIF('BALANCE N'!$A$2:$A$50,"84*",'BALANCE N'!$G$2:$G$50)+SUMIF('BALANCE N'!$A$2:$A$50,"88*",'BALANCE N'!$H$2:$H$50)-SUMIF('BALANCE N'!$A$2:$A$50,"88*",'BALANCE N'!$G$2:$G$50)+SUMIF('BALANCE N'!$A$2:$A$50,"86*",'BALANCE N'!$H$2:$H$50)-SUMIF('BALANCE N'!$A$2:$A$50,"86*",'BALANCE N'!$G$2:$G$50))</f>
        <v/>
      </c>
      <c r="E25" s="71">
        <f>(SUMIF('BALANCE N-1'!$A$2:$A$50,"82*",'BALANCE N-1'!$H$2:$H$50)-SUMIF('BALANCE N-1'!$A$2:$A$50,"82*",'BALANCE N-1'!$G$2:$G$50)+SUMIF('BALANCE N-1'!$A$2:$A$50,"84*",'BALANCE N-1'!$H$2:$H$50)-SUMIF('BALANCE N-1'!$A$2:$A$50,"84*",'BALANCE N-1'!$G$2:$G$50)+SUMIF('BALANCE N-1'!$A$2:$A$50,"88*",'BALANCE N-1'!$H$2:$H$50)-SUMIF('BALANCE N-1'!$A$2:$A$50,"88*",'BALANCE N-1'!$G$2:$G$50)+SUMIF('BALANCE N-1'!$A$2:$A$50,"86*",'BALANCE N-1'!$H$2:$H$50)-SUMIF('BALANCE N-1'!$A$2:$A$50,"86*",'BALANCE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N'!$A$2:$A$50,"83*",'BALANCE N'!$H$2:$H$50)-SUMIF('BALANCE N'!$A$2:$A$50,"83*",'BALANCE N'!$G$2:$G$50)+SUMIF('BALANCE N'!$A$2:$A$50,"81*",'BALANCE N'!$H$2:$H$50)-SUMIF('BALANCE N'!$A$2:$A$50,"81*",'BALANCE N'!$G$2:$G$50)+SUMIF('BALANCE N'!$A$2:$A$50,"87*",'BALANCE N'!$H$2:$H$50)-SUMIF('BALANCE N'!$A$2:$A$50,"87*",'BALANCE N'!$G$2:$G$50)+SUMIF('BALANCE N'!$A$2:$A$50,"85*",'BALANCE N'!$H$2:$H$50)-SUMIF('BALANCE N'!$A$2:$A$50,"85*",'BALANCE N'!$G$2:$G$50))</f>
        <v/>
      </c>
      <c r="E26" s="71">
        <f>(SUMIF('BALANCE N-1'!$A$2:$A$50,"83*",'BALANCE N-1'!$H$2:$H$50)-SUMIF('BALANCE N-1'!$A$2:$A$50,"83*",'BALANCE N-1'!$G$2:$G$50)+SUMIF('BALANCE N-1'!$A$2:$A$50,"81*",'BALANCE N-1'!$H$2:$H$50)-SUMIF('BALANCE N-1'!$A$2:$A$50,"81*",'BALANCE N-1'!$G$2:$G$50)+SUMIF('BALANCE N-1'!$A$2:$A$50,"87*",'BALANCE N-1'!$H$2:$H$50)-SUMIF('BALANCE N-1'!$A$2:$A$50,"87*",'BALANCE N-1'!$G$2:$G$50)+SUMIF('BALANCE N-1'!$A$2:$A$50,"85*",'BALANCE N-1'!$H$2:$H$50)-SUMIF('BALANCE N-1'!$A$2:$A$50,"85*",'BALANCE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</sheetData>
  <mergeCells count="36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8" t="inlineStr">
        <is>
          <t>IMMOBILISATIONS INCORPORELLES</t>
        </is>
      </c>
      <c r="B9" s="119" t="n"/>
      <c r="C9" s="119" t="n"/>
      <c r="D9" s="119" t="n"/>
      <c r="E9" s="119" t="n"/>
    </row>
    <row r="10">
      <c r="A10" s="84" t="inlineStr">
        <is>
          <t>Brevets, licences, logiciels et droits similaires</t>
        </is>
      </c>
      <c r="B10" s="85">
        <f>SUMIF('BALANCE N-1'!$A$2:$A$50,"213*",'BALANCE N-1'!$G$2:$G$50)-SUMIF('BALANCE N-1'!$A$2:$A$50,"213*",'BALANCE N-1'!$H$2:$H$50)+SUMIF('BALANCE N-1'!$A$2:$A$50,"214*",'BALANCE N-1'!$G$2:$G$50)-SUMIF('BALANCE N-1'!$A$2:$A$50,"214*",'BALANCE N-1'!$H$2:$H$50)+SUMIF('BALANCE N-1'!$A$2:$A$50,"212*",'BALANCE N-1'!$G$2:$G$50)-SUMIF('BALANCE N-1'!$A$2:$A$50,"212*",'BALANCE N-1'!$H$2:$H$50)</f>
        <v/>
      </c>
      <c r="C10" s="85">
        <f>MAX(0,(SUMIF('BALANCE N'!$A$2:$A$50,"213*",'BALANCE N'!$G$2:$G$50)-SUMIF('BALANCE N'!$A$2:$A$50,"213*",'BALANCE N'!$H$2:$H$50)+SUMIF('BALANCE N'!$A$2:$A$50,"214*",'BALANCE N'!$G$2:$G$50)-SUMIF('BALANCE N'!$A$2:$A$50,"214*",'BALANCE N'!$H$2:$H$50)+SUMIF('BALANCE N'!$A$2:$A$50,"212*",'BALANCE N'!$G$2:$G$50)-SUMIF('BALANCE N'!$A$2:$A$50,"212*",'BALANCE N'!$H$2:$H$50))-(SUMIF('BALANCE N-1'!$A$2:$A$50,"213*",'BALANCE N-1'!$G$2:$G$50)-SUMIF('BALANCE N-1'!$A$2:$A$50,"213*",'BALANCE N-1'!$H$2:$H$50)+SUMIF('BALANCE N-1'!$A$2:$A$50,"214*",'BALANCE N-1'!$G$2:$G$50)-SUMIF('BALANCE N-1'!$A$2:$A$50,"214*",'BALANCE N-1'!$H$2:$H$50)+SUMIF('BALANCE N-1'!$A$2:$A$50,"212*",'BALANCE N-1'!$G$2:$G$50)-SUMIF('BALANCE N-1'!$A$2:$A$50,"212*",'BALANCE N-1'!$H$2:$H$50)))</f>
        <v/>
      </c>
      <c r="D10" s="85">
        <f>MAX(0,(SUMIF('BALANCE N-1'!$A$2:$A$50,"213*",'BALANCE N-1'!$G$2:$G$50)-SUMIF('BALANCE N-1'!$A$2:$A$50,"213*",'BALANCE N-1'!$H$2:$H$50)+SUMIF('BALANCE N-1'!$A$2:$A$50,"214*",'BALANCE N-1'!$G$2:$G$50)-SUMIF('BALANCE N-1'!$A$2:$A$50,"214*",'BALANCE N-1'!$H$2:$H$50)+SUMIF('BALANCE N-1'!$A$2:$A$50,"212*",'BALANCE N-1'!$G$2:$G$50)-SUMIF('BALANCE N-1'!$A$2:$A$50,"212*",'BALANCE N-1'!$H$2:$H$50))-(SUMIF('BALANCE N'!$A$2:$A$50,"213*",'BALANCE N'!$G$2:$G$50)-SUMIF('BALANCE N'!$A$2:$A$50,"213*",'BALANCE N'!$H$2:$H$50)+SUMIF('BALANCE N'!$A$2:$A$50,"214*",'BALANCE N'!$G$2:$G$50)-SUMIF('BALANCE N'!$A$2:$A$50,"214*",'BALANCE N'!$H$2:$H$50)+SUMIF('BALANCE N'!$A$2:$A$50,"212*",'BALANCE N'!$G$2:$G$50)-SUMIF('BALANCE N'!$A$2:$A$50,"212*",'BALANCE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N-1'!$A$2:$A$50,"219*",'BALANCE N-1'!$G$2:$G$50)-SUMIF('BALANCE N-1'!$A$2:$A$50,"219*",'BALANCE N-1'!$H$2:$H$50)+SUMIF('BALANCE N-1'!$A$2:$A$50,"218*",'BALANCE N-1'!$G$2:$G$50)-SUMIF('BALANCE N-1'!$A$2:$A$50,"218*",'BALANCE N-1'!$H$2:$H$50)</f>
        <v/>
      </c>
      <c r="C12" s="85">
        <f>MAX(0,(SUMIF('BALANCE N'!$A$2:$A$50,"219*",'BALANCE N'!$G$2:$G$50)-SUMIF('BALANCE N'!$A$2:$A$50,"219*",'BALANCE N'!$H$2:$H$50)+SUMIF('BALANCE N'!$A$2:$A$50,"218*",'BALANCE N'!$G$2:$G$50)-SUMIF('BALANCE N'!$A$2:$A$50,"218*",'BALANCE N'!$H$2:$H$50))-(SUMIF('BALANCE N-1'!$A$2:$A$50,"219*",'BALANCE N-1'!$G$2:$G$50)-SUMIF('BALANCE N-1'!$A$2:$A$50,"219*",'BALANCE N-1'!$H$2:$H$50)+SUMIF('BALANCE N-1'!$A$2:$A$50,"218*",'BALANCE N-1'!$G$2:$G$50)-SUMIF('BALANCE N-1'!$A$2:$A$50,"218*",'BALANCE N-1'!$H$2:$H$50)))</f>
        <v/>
      </c>
      <c r="D12" s="85">
        <f>MAX(0,(SUMIF('BALANCE N-1'!$A$2:$A$50,"219*",'BALANCE N-1'!$G$2:$G$50)-SUMIF('BALANCE N-1'!$A$2:$A$50,"219*",'BALANCE N-1'!$H$2:$H$50)+SUMIF('BALANCE N-1'!$A$2:$A$50,"218*",'BALANCE N-1'!$G$2:$G$50)-SUMIF('BALANCE N-1'!$A$2:$A$50,"218*",'BALANCE N-1'!$H$2:$H$50))-(SUMIF('BALANCE N'!$A$2:$A$50,"219*",'BALANCE N'!$G$2:$G$50)-SUMIF('BALANCE N'!$A$2:$A$50,"219*",'BALANCE N'!$H$2:$H$50)+SUMIF('BALANCE N'!$A$2:$A$50,"218*",'BALANCE N'!$G$2:$G$50)-SUMIF('BALANCE N'!$A$2:$A$50,"218*",'BALANCE N'!$H$2:$H$50)))</f>
        <v/>
      </c>
      <c r="E12" s="85">
        <f>B12+C12-D12</f>
        <v/>
      </c>
    </row>
    <row r="13">
      <c r="A13" s="118" t="inlineStr">
        <is>
          <t>IMMOBILISATIONS CORPORELLES</t>
        </is>
      </c>
      <c r="B13" s="119" t="n"/>
      <c r="C13" s="119" t="n"/>
      <c r="D13" s="119" t="n"/>
      <c r="E13" s="119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</f>
        <v/>
      </c>
      <c r="C16" s="85">
        <f>MAX(0,(SUMIF('BALANCE N'!$A$2:$A$50,"233*",'BALANCE N'!$G$2:$G$50)-SUMIF('BALANCE N'!$A$2:$A$50,"233*",'BALANCE N'!$H$2:$H$50)+SUMIF('BALANCE N'!$A$2:$A$50,"231*",'BALANCE N'!$G$2:$G$50)-SUMIF('BALANCE N'!$A$2:$A$50,"231*",'BALANCE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N'!$A$2:$A$50,"2325*",'BALANCE N'!$G$2:$G$50)+SUMIF('BALANCE N'!$A$2:$A$50,"2325*",'BALANCE N'!$H$2:$H$50)-SUMIF('BALANCE N'!$A$2:$A$50,"2315*",'BALANCE N'!$G$2:$G$50)+SUMIF('BALANCE N'!$A$2:$A$50,"2315*",'BALANCE N'!$H$2:$H$50))-(SUMIF('BALANCE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N-1'!$H$2:$H$50)))</f>
        <v/>
      </c>
      <c r="D16" s="85">
        <f>MAX(0,(SUMIF('BALANCE N-1'!$A$2:$A$50,"233*",'BALANCE N-1'!$G$2:$G$50)-SUMIF('BALANCE N-1'!$A$2:$A$50,"233*",'BALANCE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N-1'!$A$2:$A$50,"2393*",'BALANCE N-1'!$G$2:$G$50)-SUMIF('BALANCE N-1'!$A$2:$A$50,"2393*",'BALANCE N-1'!$H$2:$H$50)+SUMIF('BALANCE N-1'!$A$2:$A$50,"2392*",'BALANCE N-1'!$G$2:$G$50)-SUMIF('BALANCE N-1'!$A$2:$A$50,"2392*",'BALANCE N-1'!$H$2:$H$50)+SUMIF('BALANCE N-1'!$A$2:$A$50,"2391*",'BALANCE N-1'!$G$2:$G$50)-SUMIF('BALANCE N-1'!$A$2:$A$50,"2391*",'BALANCE N-1'!$H$2:$H$50)-SUMIF('BALANCE N-1'!$A$2:$A$50,"2325*",'BALANCE N-1'!$G$2:$G$50)+SUMIF('BALANCE N-1'!$A$2:$A$50,"2325*",'BALANCE N-1'!$H$2:$H$50)-SUMIF('BALANCE N-1'!$A$2:$A$50,"2315*",'BALANCE N-1'!$G$2:$G$50)+SUMIF('BALANCE N-1'!$A$2:$A$50,"2315*",'BALANCE N-1'!$H$2:$H$50))-(SUMIF('BALANCE N'!$A$2:$A$50,"233*",'BALANCE N'!$G$2:$G$50)-SUMIF('BALANCE N'!$A$2:$A$50,"233*",'BALANCE N'!$H$2:$H$50)+SUMIF('BALANCE N'!$A$2:$A$50,"231*",'BALANCE N'!$G$2:$G$50)-SUMIF('BALANCE N'!$A$2:$A$50,"231*",'BALANCE N'!$H$2:$H$50)+SUMIF('BALANCE N'!$A$2:$A$50,"232*",'BALANCE N'!$G$2:$G$50)-SUMIF('BALANCE N'!$A$2:$A$50,"232*",'BALANCE N'!$H$2:$H$50)+SUMIF('BALANCE N'!$A$2:$A$50,"2393*",'BALANCE N'!$G$2:$G$50)-SUMIF('BALANCE N'!$A$2:$A$50,"2393*",'BALANCE N'!$H$2:$H$50)+SUMIF('BALANCE N'!$A$2:$A$50,"2392*",'BALANCE N'!$G$2:$G$50)-SUMIF('BALANCE N'!$A$2:$A$50,"2392*",'BALANCE N'!$H$2:$H$50)+SUMIF('BALANCE N'!$A$2:$A$50,"2391*",'BALANCE N'!$G$2:$G$50)-SUMIF('BALANCE N'!$A$2:$A$50,"2391*",'BALANCE N'!$H$2:$H$50)-SUMIF('BALANCE N'!$A$2:$A$50,"2325*",'BALANCE N'!$G$2:$G$50)+SUMIF('BALANCE N'!$A$2:$A$50,"2325*",'BALANCE N'!$H$2:$H$50)-SUMIF('BALANCE N'!$A$2:$A$50,"2315*",'BALANCE N'!$G$2:$G$50)+SUMIF('BALANCE N'!$A$2:$A$50,"2315*",'BALANCE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</f>
        <v/>
      </c>
      <c r="C17" s="85">
        <f>MAX(0,(SUMIF('BALANCE N'!$A$2:$A$50,"2325*",'BALANCE N'!$G$2:$G$50)-SUMIF('BALANCE N'!$A$2:$A$50,"2325*",'BALANCE N'!$H$2:$H$50)+SUMIF('BALANCE N'!$A$2:$A$50,"2396*",'BALANCE N'!$G$2:$G$50)-SUMIF('BALANCE N'!$A$2:$A$50,"2396*",'BALANCE N'!$H$2:$H$50)+SUMIF('BALANCE N'!$A$2:$A$50,"2315*",'BALANCE N'!$G$2:$G$50)-SUMIF('BALANCE N'!$A$2:$A$50,"2315*",'BALANCE N'!$H$2:$H$50))-(SUMIF('BALANCE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N-1'!$H$2:$H$50)))</f>
        <v/>
      </c>
      <c r="D17" s="85">
        <f>MAX(0,(SUMIF('BALANCE N-1'!$A$2:$A$50,"2325*",'BALANCE N-1'!$G$2:$G$50)-SUMIF('BALANCE N-1'!$A$2:$A$50,"2325*",'BALANCE N-1'!$H$2:$H$50)+SUMIF('BALANCE N-1'!$A$2:$A$50,"2396*",'BALANCE N-1'!$G$2:$G$50)-SUMIF('BALANCE N-1'!$A$2:$A$50,"2396*",'BALANCE N-1'!$H$2:$H$50)+SUMIF('BALANCE N-1'!$A$2:$A$50,"2315*",'BALANCE N-1'!$G$2:$G$50)-SUMIF('BALANCE N-1'!$A$2:$A$50,"2315*",'BALANCE N-1'!$H$2:$H$50))-(SUMIF('BALANCE N'!$A$2:$A$50,"2325*",'BALANCE N'!$G$2:$G$50)-SUMIF('BALANCE N'!$A$2:$A$50,"2325*",'BALANCE N'!$H$2:$H$50)+SUMIF('BALANCE N'!$A$2:$A$50,"2396*",'BALANCE N'!$G$2:$G$50)-SUMIF('BALANCE N'!$A$2:$A$50,"2396*",'BALANCE N'!$H$2:$H$50)+SUMIF('BALANCE N'!$A$2:$A$50,"2315*",'BALANCE N'!$G$2:$G$50)-SUMIF('BALANCE N'!$A$2:$A$50,"2315*",'BALANCE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N-1'!$A$2:$A$50,"234*",'BALANCE N-1'!$G$2:$G$50)-SUMIF('BALANCE N-1'!$A$2:$A$50,"234*",'BALANCE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</f>
        <v/>
      </c>
      <c r="C18" s="85">
        <f>MAX(0,(SUMIF('BALANCE N'!$A$2:$A$50,"235*",'BALANCE N'!$G$2:$G$50)-SUMIF('BALANCE N'!$A$2:$A$50,"235*",'BALANCE N'!$H$2:$H$50)+SUMIF('BALANCE N'!$A$2:$A$50,"238*",'BALANCE N'!$G$2:$G$50)-SUMIF('BALANCE N'!$A$2:$A$50,"238*",'BALANCE N'!$H$2:$H$50)+SUMIF('BALANCE N'!$A$2:$A$50,"234*",'BALANCE N'!$G$2:$G$50)-SUMIF('BALANCE N'!$A$2:$A$50,"234*",'BALANCE N'!$H$2:$H$50)+SUMIF('BALANCE N'!$A$2:$A$50,"2395*",'BALANCE N'!$G$2:$G$50)-SUMIF('BALANCE N'!$A$2:$A$50,"2395*",'BALANCE N'!$H$2:$H$50)+SUMIF('BALANCE N'!$A$2:$A$50,"2394*",'BALANCE N'!$G$2:$G$50)-SUMIF('BALANCE N'!$A$2:$A$50,"2394*",'BALANCE N'!$H$2:$H$50)+SUMIF('BALANCE N'!$A$2:$A$50,"2398*",'BALANCE N'!$G$2:$G$50)-SUMIF('BALANCE N'!$A$2:$A$50,"2398*",'BALANCE N'!$H$2:$H$50))-(SUMIF('BALANCE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N-1'!$A$2:$A$50,"234*",'BALANCE N-1'!$G$2:$G$50)-SUMIF('BALANCE N-1'!$A$2:$A$50,"234*",'BALANCE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N-1'!$H$2:$H$50)))</f>
        <v/>
      </c>
      <c r="D18" s="85">
        <f>MAX(0,(SUMIF('BALANCE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N-1'!$A$2:$A$50,"234*",'BALANCE N-1'!$G$2:$G$50)-SUMIF('BALANCE N-1'!$A$2:$A$50,"234*",'BALANCE N-1'!$H$2:$H$50)+SUMIF('BALANCE N-1'!$A$2:$A$50,"2395*",'BALANCE N-1'!$G$2:$G$50)-SUMIF('BALANCE N-1'!$A$2:$A$50,"2395*",'BALANCE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N-1'!$H$2:$H$50))-(SUMIF('BALANCE N'!$A$2:$A$50,"235*",'BALANCE N'!$G$2:$G$50)-SUMIF('BALANCE N'!$A$2:$A$50,"235*",'BALANCE N'!$H$2:$H$50)+SUMIF('BALANCE N'!$A$2:$A$50,"238*",'BALANCE N'!$G$2:$G$50)-SUMIF('BALANCE N'!$A$2:$A$50,"238*",'BALANCE N'!$H$2:$H$50)+SUMIF('BALANCE N'!$A$2:$A$50,"234*",'BALANCE N'!$G$2:$G$50)-SUMIF('BALANCE N'!$A$2:$A$50,"234*",'BALANCE N'!$H$2:$H$50)+SUMIF('BALANCE N'!$A$2:$A$50,"2395*",'BALANCE N'!$G$2:$G$50)-SUMIF('BALANCE N'!$A$2:$A$50,"2395*",'BALANCE N'!$H$2:$H$50)+SUMIF('BALANCE N'!$A$2:$A$50,"2394*",'BALANCE N'!$G$2:$G$50)-SUMIF('BALANCE N'!$A$2:$A$50,"2394*",'BALANCE N'!$H$2:$H$50)+SUMIF('BALANCE N'!$A$2:$A$50,"2398*",'BALANCE N'!$G$2:$G$50)-SUMIF('BALANCE N'!$A$2:$A$50,"2398*",'BALANCE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8" t="inlineStr">
        <is>
          <t>IMMOBILISATIONS FINANCIÈRES</t>
        </is>
      </c>
      <c r="B22" s="119" t="n"/>
      <c r="C22" s="119" t="n"/>
      <c r="D22" s="119" t="n"/>
      <c r="E22" s="119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</f>
        <v/>
      </c>
      <c r="C24" s="85">
        <f>MAX(0,(SUMIF('BALANCE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N'!$H$2:$H$50))-(SUMIF('BALANCE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</f>
        <v/>
      </c>
      <c r="D24" s="85">
        <f>MAX(0,(SUMIF('BALANCE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N-1'!$H$2:$H$50))-(SUMIF('BALANCE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0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N-1'!$A$2:$A$50,"2446*",'BALANCE N-1'!$G$2:$G$50)-SUMIF('BALANCE N-1'!$A$2:$A$50,"2446*",'BALANCE N-1'!$H$2:$H$50)+SUMIF('BALANCE N-1'!$A$2:$A$50,"2416*",'BALANCE N-1'!$G$2:$G$50)-SUMIF('BALANCE N-1'!$A$2:$A$50,"2416*",'BALANCE N-1'!$H$2:$H$50)+SUMIF('BALANCE N-1'!$A$2:$A$50,"2426*",'BALANCE N-1'!$G$2:$G$50)-SUMIF('BALANCE N-1'!$A$2:$A$50,"2426*",'BALANCE N-1'!$H$2:$H$50)</f>
        <v/>
      </c>
      <c r="C12" s="85">
        <f>MAX(0,(SUMIF('BALANCE N'!$A$2:$A$50,"2446*",'BALANCE N'!$G$2:$G$50)-SUMIF('BALANCE N'!$A$2:$A$50,"2446*",'BALANCE N'!$H$2:$H$50)+SUMIF('BALANCE N'!$A$2:$A$50,"2416*",'BALANCE N'!$G$2:$G$50)-SUMIF('BALANCE N'!$A$2:$A$50,"2416*",'BALANCE N'!$H$2:$H$50)+SUMIF('BALANCE N'!$A$2:$A$50,"2426*",'BALANCE N'!$G$2:$G$50)-SUMIF('BALANCE N'!$A$2:$A$50,"2426*",'BALANCE N'!$H$2:$H$50))-(SUMIF('BALANCE N-1'!$A$2:$A$50,"2446*",'BALANCE N-1'!$G$2:$G$50)-SUMIF('BALANCE N-1'!$A$2:$A$50,"2446*",'BALANCE N-1'!$H$2:$H$50)+SUMIF('BALANCE N-1'!$A$2:$A$50,"2416*",'BALANCE N-1'!$G$2:$G$50)-SUMIF('BALANCE N-1'!$A$2:$A$50,"2416*",'BALANCE N-1'!$H$2:$H$50)+SUMIF('BALANCE N-1'!$A$2:$A$50,"2426*",'BALANCE N-1'!$G$2:$G$50)-SUMIF('BALANCE N-1'!$A$2:$A$50,"2426*",'BALANCE N-1'!$H$2:$H$50)))</f>
        <v/>
      </c>
      <c r="D12" s="85">
        <f>MAX(0,(SUMIF('BALANCE N-1'!$A$2:$A$50,"2446*",'BALANCE N-1'!$G$2:$G$50)-SUMIF('BALANCE N-1'!$A$2:$A$50,"2446*",'BALANCE N-1'!$H$2:$H$50)+SUMIF('BALANCE N-1'!$A$2:$A$50,"2416*",'BALANCE N-1'!$G$2:$G$50)-SUMIF('BALANCE N-1'!$A$2:$A$50,"2416*",'BALANCE N-1'!$H$2:$H$50)+SUMIF('BALANCE N-1'!$A$2:$A$50,"2426*",'BALANCE N-1'!$G$2:$G$50)-SUMIF('BALANCE N-1'!$A$2:$A$50,"2426*",'BALANCE N-1'!$H$2:$H$50))-(SUMIF('BALANCE N'!$A$2:$A$50,"2446*",'BALANCE N'!$G$2:$G$50)-SUMIF('BALANCE N'!$A$2:$A$50,"2446*",'BALANCE N'!$H$2:$H$50)+SUMIF('BALANCE N'!$A$2:$A$50,"2416*",'BALANCE N'!$G$2:$G$50)-SUMIF('BALANCE N'!$A$2:$A$50,"2416*",'BALANCE N'!$H$2:$H$50)+SUMIF('BALANCE N'!$A$2:$A$50,"2426*",'BALANCE N'!$G$2:$G$50)-SUMIF('BALANCE N'!$A$2:$A$50,"2426*",'BALANCE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</sheetData>
  <mergeCells count="3">
    <mergeCell ref="A8:E8"/>
    <mergeCell ref="A7:E7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ACTIF CIRCULANT HAO</t>
        </is>
      </c>
      <c r="B9" s="119" t="n"/>
      <c r="C9" s="119" t="n"/>
      <c r="D9" s="119" t="n"/>
      <c r="E9" s="121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2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3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2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3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3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8" t="inlineStr">
        <is>
          <t>DETTES CIRCULANTES HAO</t>
        </is>
      </c>
      <c r="B16" s="119" t="n"/>
      <c r="C16" s="119" t="n"/>
      <c r="D16" s="119" t="n"/>
      <c r="E16" s="121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2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2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3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2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3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2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3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3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2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N'!$A$2:$A$50,"419*",'BALANCE N'!$G$2:$G$50)+SUMIF('BALANCE N'!$A$2:$A$50,"419*",'BALANCE N'!$H$2:$H$50)-SUMIF('BALANCE N'!$A$2:$A$50,"411*",'BALANCE N'!$G$2:$G$50)+SUMIF('BALANCE N'!$A$2:$A$50,"411*",'BALANCE N'!$H$2:$H$50)</f>
        <v/>
      </c>
      <c r="C10" s="85">
        <f>SUMIF('BALANCE N-1'!$A$2:$A$50,"41*",'BALANCE N-1'!$G$2:$G$50)-SUMIF('BALANCE N-1'!$A$2:$A$50,"41*",'BALANCE N-1'!$H$2:$H$50)-SUMIF('BALANCE N-1'!$A$2:$A$50,"419*",'BALANCE N-1'!$G$2:$G$50)+SUMIF('BALANCE N-1'!$A$2:$A$50,"419*",'BALANCE N-1'!$H$2:$H$50)-SUMIF('BALANCE N-1'!$A$2:$A$50,"411*",'BALANCE N-1'!$G$2:$G$50)+SUMIF('BALANCE N-1'!$A$2:$A$50,"411*",'BALANCE N-1'!$H$2:$H$50)</f>
        <v/>
      </c>
      <c r="D10" s="85">
        <f>B10-C10</f>
        <v/>
      </c>
      <c r="E10" s="122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2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2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2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2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3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N'!$A$2:$A$50,"490*",'BALANCE N'!$H$2:$H$50)-SUMIF('BALANCE N'!$A$2:$A$50,"490*",'BALANCE N'!$G$2:$G$50)+SUMIF('BALANCE N'!$A$2:$A$50,"491*",'BALANCE N'!$H$2:$H$50)-SUMIF('BALANCE N'!$A$2:$A$50,"491*",'BALANCE N'!$G$2:$G$50)+SUMIF('BALANCE N'!$A$2:$A$50,"494*",'BALANCE N'!$H$2:$H$50)-SUMIF('BALANCE N'!$A$2:$A$50,"494*",'BALANCE N'!$G$2:$G$50)+SUMIF('BALANCE N'!$A$2:$A$50,"492*",'BALANCE N'!$H$2:$H$50)-SUMIF('BALANCE N'!$A$2:$A$50,"492*",'BALANCE N'!$G$2:$G$50)+SUMIF('BALANCE N'!$A$2:$A$50,"497*",'BALANCE N'!$H$2:$H$50)-SUMIF('BALANCE N'!$A$2:$A$50,"497*",'BALANCE N'!$G$2:$G$50)+SUMIF('BALANCE N'!$A$2:$A$50,"493*",'BALANCE N'!$H$2:$H$50)-SUMIF('BALANCE N'!$A$2:$A$50,"493*",'BALANCE N'!$G$2:$G$50)</f>
        <v/>
      </c>
      <c r="C16" s="85">
        <f>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</f>
        <v/>
      </c>
      <c r="D16" s="85">
        <f>B16-C16</f>
        <v/>
      </c>
      <c r="E16" s="122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3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3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2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3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2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2">
        <f>IF(C16=0,"",(B16-C16)/C16)</f>
        <v/>
      </c>
    </row>
    <row r="17">
      <c r="A17" s="84" t="inlineStr">
        <is>
          <t>Autres banques</t>
        </is>
      </c>
      <c r="B17" s="85">
        <f>SUMIF('BALANCE N'!$A$2:$A$50,"524*",'BALANCE N'!$G$2:$G$50)+SUMIF('BALANCE N'!$A$2:$A$50,"523*",'BALANCE N'!$G$2:$G$50)</f>
        <v/>
      </c>
      <c r="C17" s="85">
        <f>SUMIF('BALANCE N-1'!$A$2:$A$50,"524*",'BALANCE N-1'!$G$2:$G$50)+SUMIF('BALANCE N-1'!$A$2:$A$50,"523*",'BALANCE N-1'!$G$2:$G$50)</f>
        <v/>
      </c>
      <c r="D17" s="85">
        <f>B17-C17</f>
        <v/>
      </c>
      <c r="E17" s="122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2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2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N'!$A$2:$A$50,"538*",'BALANCE N'!$G$2:$G$50)+SUMIF('BALANCE N'!$A$2:$A$50,"533*",'BALANCE N'!$G$2:$G$50)+SUMIF('BALANCE N'!$A$2:$A$50,"532*",'BALANCE N'!$G$2:$G$50)</f>
        <v/>
      </c>
      <c r="C20" s="85">
        <f>SUMIF('BALANCE N-1'!$A$2:$A$50,"538*",'BALANCE N-1'!$G$2:$G$50)+SUMIF('BALANCE N-1'!$A$2:$A$50,"533*",'BALANCE N-1'!$G$2:$G$50)+SUMIF('BALANCE N-1'!$A$2:$A$50,"532*",'BALANCE N-1'!$G$2:$G$50)</f>
        <v/>
      </c>
      <c r="D20" s="85">
        <f>B20-C20</f>
        <v/>
      </c>
      <c r="E20" s="122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2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2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2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3">
        <f>IF(C24=0,"",(B24-C24)/C24)</f>
        <v/>
      </c>
    </row>
    <row r="25">
      <c r="A25" s="84" t="inlineStr">
        <is>
          <t>Dépréciations</t>
        </is>
      </c>
      <c r="B25" s="85">
        <f>SUMIF('BALANCE N'!$A$2:$A$50,"593*",'BALANCE N'!$H$2:$H$50)-SUMIF('BALANCE N'!$A$2:$A$50,"593*",'BALANCE N'!$G$2:$G$50)+SUMIF('BALANCE N'!$A$2:$A$50,"591*",'BALANCE N'!$H$2:$H$50)-SUMIF('BALANCE N'!$A$2:$A$50,"591*",'BALANCE N'!$G$2:$G$50)+SUMIF('BALANCE N'!$A$2:$A$50,"592*",'BALANCE N'!$H$2:$H$50)-SUMIF('BALANCE N'!$A$2:$A$50,"592*",'BALANCE N'!$G$2:$G$50)+SUMIF('BALANCE N'!$A$2:$A$50,"595*",'BALANCE N'!$H$2:$H$50)-SUMIF('BALANCE N'!$A$2:$A$50,"595*",'BALANCE N'!$G$2:$G$50)</f>
        <v/>
      </c>
      <c r="C25" s="85">
        <f>SUMIF('BALANCE N-1'!$A$2:$A$50,"593*",'BALANCE N-1'!$H$2:$H$50)-SUMIF('BALANCE N-1'!$A$2:$A$50,"593*",'BALANCE N-1'!$G$2:$G$50)+SUMIF('BALANCE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</f>
        <v/>
      </c>
      <c r="D25" s="85">
        <f>B25-C25</f>
        <v/>
      </c>
      <c r="E25" s="122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3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3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</sheetData>
  <mergeCells count="2">
    <mergeCell ref="A7:E7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4" t="inlineStr">
        <is>
          <t>FONDS D'INVESTISSEMENT</t>
        </is>
      </c>
      <c r="B9" s="125" t="n"/>
      <c r="C9" s="125" t="n"/>
      <c r="D9" s="125" t="n"/>
      <c r="E9" s="125" t="n"/>
      <c r="F9" s="125" t="n"/>
      <c r="G9" s="125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4" t="inlineStr">
        <is>
          <t>FONDS D'ADMINISTRATION (2)</t>
        </is>
      </c>
      <c r="B15" s="125" t="n"/>
      <c r="C15" s="125" t="n"/>
      <c r="D15" s="125" t="n"/>
      <c r="E15" s="125" t="n"/>
      <c r="F15" s="125" t="n"/>
      <c r="G15" s="125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N'!$A$2:$A$50,"163*",'BALANCE N'!$H$2:$H$50)-SUMIF('BALANCE N'!$A$2:$A$50,"163*",'BALANCE N'!$G$2:$G$50)+SUMIF('BALANCE N'!$A$2:$A$50,"162*",'BALANCE N'!$H$2:$H$50)-SUMIF('BALANCE N'!$A$2:$A$50,"162*",'BALANCE N'!$G$2:$G$50)+SUMIF('BALANCE N'!$A$2:$A$50,"164*",'BALANCE N'!$H$2:$H$50)-SUMIF('BALANCE N'!$A$2:$A$50,"164*",'BALANCE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N'!$A$2:$A$50,"463*",'BALANCE N'!$H$2:$H$50)-SUMIF('BALANCE N'!$A$2:$A$50,"463*",'BALANCE N'!$G$2:$G$50)+SUMIF('BALANCE N'!$A$2:$A$50,"464*",'BALANCE N'!$H$2:$H$50)-SUMIF('BALANCE N'!$A$2:$A$50,"464*",'BALANCE N'!$G$2:$G$50)+SUMIF('BALANCE N'!$A$2:$A$50,"462*",'BALANCE N'!$H$2:$H$50)-SUMIF('BALANCE N'!$A$2:$A$50,"462*",'BALANCE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2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2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2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2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2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2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2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2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3">
        <f>IF(C17=0,"",(B17-C17)/C17)</f>
        <v/>
      </c>
      <c r="F17" s="9" t="n"/>
      <c r="G17" s="9" t="n"/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2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2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2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2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N'!$A$2:$A$50,"188*",'BALANCE N'!$H$2:$H$50)-SUMIF('BALANCE N'!$A$2:$A$50,"188*",'BALANCE N'!$G$2:$G$50)+SUMIF('BALANCE N'!$A$2:$A$50,"181*",'BALANCE N'!$H$2:$H$50)-SUMIF('BALANCE N'!$A$2:$A$50,"181*",'BALANCE N'!$G$2:$G$50)</f>
        <v/>
      </c>
      <c r="C13" s="85">
        <f>SUMIF('BALANCE N-1'!$A$2:$A$50,"188*",'BALANCE N-1'!$H$2:$H$50)-SUMIF('BALANCE N-1'!$A$2:$A$50,"188*",'BALANCE N-1'!$G$2:$G$50)+SUMIF('BALANCE N-1'!$A$2:$A$50,"181*",'BALANCE N-1'!$H$2:$H$50)-SUMIF('BALANCE N-1'!$A$2:$A$50,"181*",'BALANCE N-1'!$G$2:$G$50)</f>
        <v/>
      </c>
      <c r="D13" s="85">
        <f>B13-C13</f>
        <v/>
      </c>
      <c r="E13" s="122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3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2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2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2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2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N'!$A$2:$A$50,"1871*",'BALANCE N'!$H$2:$H$50)+SUMIF('BALANCE N'!$A$2:$A$50,"1871*",'BALANCE N'!$G$2:$G$50)-SUMIF('BALANCE N'!$A$2:$A$50,"1873*",'BALANCE N'!$H$2:$H$50)+SUMIF('BALANCE N'!$A$2:$A$50,"1873*",'BALANCE N'!$G$2:$G$50)-SUMIF('BALANCE N'!$A$2:$A$50,"1872*",'BALANCE N'!$H$2:$H$50)+SUMIF('BALANCE N'!$A$2:$A$50,"1872*",'BALANCE N'!$G$2:$G$50)-SUMIF('BALANCE N'!$A$2:$A$50,"1876*",'BALANCE N'!$H$2:$H$50)+SUMIF('BALANCE N'!$A$2:$A$50,"1876*",'BALANCE N'!$G$2:$G$50)</f>
        <v/>
      </c>
      <c r="C19" s="85">
        <f>SUMIF('BALANCE N-1'!$A$2:$A$50,"187*",'BALANCE N-1'!$H$2:$H$50)-SUMIF('BALANCE N-1'!$A$2:$A$50,"187*",'BALANCE N-1'!$G$2:$G$50)-SUMIF('BALANCE N-1'!$A$2:$A$50,"1871*",'BALANCE N-1'!$H$2:$H$50)+SUMIF('BALANCE N-1'!$A$2:$A$50,"1871*",'BALANCE N-1'!$G$2:$G$50)-SUMIF('BALANCE N-1'!$A$2:$A$50,"1873*",'BALANCE N-1'!$H$2:$H$50)+SUMIF('BALANCE N-1'!$A$2:$A$50,"1873*",'BALANCE N-1'!$G$2:$G$50)-SUMIF('BALANCE N-1'!$A$2:$A$50,"1872*",'BALANCE N-1'!$H$2:$H$50)+SUMIF('BALANCE N-1'!$A$2:$A$50,"1872*",'BALANCE N-1'!$G$2:$G$50)-SUMIF('BALANCE N-1'!$A$2:$A$50,"1876*",'BALANCE N-1'!$H$2:$H$50)+SUMIF('BALANCE N-1'!$A$2:$A$50,"1876*",'BALANCE N-1'!$G$2:$G$50)</f>
        <v/>
      </c>
      <c r="D19" s="85">
        <f>B19-C19</f>
        <v/>
      </c>
      <c r="E19" s="122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3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2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2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2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N'!$A$2:$A$50,"192*",'BALANCE N'!$H$2:$H$50)-SUMIF('BALANCE N'!$A$2:$A$50,"192*",'BALANCE N'!$G$2:$G$50)+SUMIF('BALANCE N'!$A$2:$A$50,"198*",'BALANCE N'!$H$2:$H$50)-SUMIF('BALANCE N'!$A$2:$A$50,"198*",'BALANCE N'!$G$2:$G$50)</f>
        <v/>
      </c>
      <c r="C24" s="85">
        <f>SUMIF('BALANCE N-1'!$A$2:$A$50,"192*",'BALANCE N-1'!$H$2:$H$50)-SUMIF('BALANCE N-1'!$A$2:$A$50,"192*",'BALANCE N-1'!$G$2:$G$50)+SUMIF('BALANCE N-1'!$A$2:$A$50,"198*",'BALANCE N-1'!$H$2:$H$50)-SUMIF('BALANCE N-1'!$A$2:$A$50,"198*",'BALANCE N-1'!$G$2:$G$50)</f>
        <v/>
      </c>
      <c r="D24" s="85">
        <f>B24-C24</f>
        <v/>
      </c>
      <c r="E24" s="122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3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3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2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2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3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2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2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2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N'!$A$2:$A$50,"423*",'BALANCE N'!$H$2:$H$50)+SUMIF('BALANCE N'!$A$2:$A$50,"425*",'BALANCE N'!$H$2:$H$50)+SUMIF('BALANCE N'!$A$2:$A$50,"421*",'BALANCE N'!$H$2:$H$50)+SUMIF('BALANCE N'!$A$2:$A$50,"427*",'BALANCE N'!$H$2:$H$50)+SUMIF('BALANCE N'!$A$2:$A$50,"424*",'BALANCE N'!$H$2:$H$50)+SUMIF('BALANCE N'!$A$2:$A$50,"428*",'BALANCE N'!$H$2:$H$50)-SUMIF('BALANCE N'!$A$2:$A$50,"4281*",'BALANCE N'!$H$2:$H$50)</f>
        <v/>
      </c>
      <c r="C15" s="85">
        <f>SUMIF('BALANCE N-1'!$A$2:$A$50,"423*",'BALANCE N-1'!$H$2:$H$50)+SUMIF('BALANCE N-1'!$A$2:$A$50,"425*",'BALANCE N-1'!$H$2:$H$50)+SUMIF('BALANCE N-1'!$A$2:$A$50,"421*",'BALANCE N-1'!$H$2:$H$50)+SUMIF('BALANCE N-1'!$A$2:$A$50,"427*",'BALANCE N-1'!$H$2:$H$50)+SUMIF('BALANCE N-1'!$A$2:$A$50,"424*",'BALANCE N-1'!$H$2:$H$50)+SUMIF('BALANCE N-1'!$A$2:$A$50,"428*",'BALANCE N-1'!$H$2:$H$50)-SUMIF('BALANCE N-1'!$A$2:$A$50,"4281*",'BALANCE N-1'!$H$2:$H$50)</f>
        <v/>
      </c>
      <c r="D15" s="85">
        <f>B15-C15</f>
        <v/>
      </c>
      <c r="E15" s="122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2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2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2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2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2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3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2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N'!$A$2:$A$50,"445*",'BALANCE N'!$H$2:$H$50)+SUMIF('BALANCE N'!$A$2:$A$50,"443*",'BALANCE N'!$H$2:$H$50)+SUMIF('BALANCE N'!$A$2:$A$50,"444*",'BALANCE N'!$H$2:$H$50)</f>
        <v/>
      </c>
      <c r="C23" s="85">
        <f>SUMIF('BALANCE N-1'!$A$2:$A$50,"445*",'BALANCE N-1'!$H$2:$H$50)+SUMIF('BALANCE N-1'!$A$2:$A$50,"443*",'BALANCE N-1'!$H$2:$H$50)+SUMIF('BALANCE N-1'!$A$2:$A$50,"444*",'BALANCE N-1'!$H$2:$H$50)</f>
        <v/>
      </c>
      <c r="D23" s="85">
        <f>B23-C23</f>
        <v/>
      </c>
      <c r="E23" s="122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2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N'!$A$2:$A$50,"449*",'BALANCE N'!$H$2:$H$50)+SUMIF('BALANCE N'!$A$2:$A$50,"448*",'BALANCE N'!$H$2:$H$50)</f>
        <v/>
      </c>
      <c r="C25" s="85">
        <f>SUMIF('BALANCE N-1'!$A$2:$A$50,"449*",'BALANCE N-1'!$H$2:$H$50)+SUMIF('BALANCE N-1'!$A$2:$A$50,"448*",'BALANCE N-1'!$H$2:$H$50)</f>
        <v/>
      </c>
      <c r="D25" s="85">
        <f>B25-C25</f>
        <v/>
      </c>
      <c r="E25" s="122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3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3">
        <f>IF(C27=0,"",(B27-C27)/C27)</f>
        <v/>
      </c>
      <c r="F27" s="9" t="n"/>
      <c r="G27" s="9" t="n"/>
      <c r="H27" s="9" t="n"/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2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3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Autres banques</t>
        </is>
      </c>
      <c r="B13" s="85">
        <f>SUMIF('BALANCE N'!$A$2:$A$50,"525*",'BALANCE N'!$H$2:$H$50)+SUMIF('BALANCE N'!$A$2:$A$50,"524*",'BALANCE N'!$H$2:$H$50)+SUMIF('BALANCE N'!$A$2:$A$50,"523*",'BALANCE N'!$H$2:$H$50)</f>
        <v/>
      </c>
      <c r="C13" s="85">
        <f>SUMIF('BALANCE N-1'!$A$2:$A$50,"525*",'BALANCE N-1'!$H$2:$H$50)+SUMIF('BALANCE N-1'!$A$2:$A$50,"524*",'BALANCE N-1'!$H$2:$H$50)+SUMIF('BALANCE N-1'!$A$2:$A$50,"523*",'BALANCE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N'!$A$2:$A$50,"566*",'BALANCE N'!$H$2:$H$50)+SUMIF('BALANCE N'!$A$2:$A$50,"526*",'BALANCE N'!$H$2:$H$50)</f>
        <v/>
      </c>
      <c r="C14" s="85">
        <f>SUMIF('BALANCE N-1'!$A$2:$A$50,"566*",'BALANCE N-1'!$H$2:$H$50)+SUMIF('BALANCE N-1'!$A$2:$A$50,"526*",'BALANCE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2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3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3">
        <f>IF(C17=0,"",(B17-C17)/C17)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N'!$A$2:$A$50,"73*",'BALANCE N'!$H$2:$H$50)-SUMIF('BALANCE N'!$A$2:$A$50,"73*",'BALANCE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N'!$A$2:$A$50,"708*",'BALANCE N'!$H$2:$H$50)-SUMIF('BALANCE N'!$A$2:$A$50,"708*",'BALANCE N'!$G$2:$G$50)+SUMIF('BALANCE N'!$A$2:$A$50,"706*",'BALANCE N'!$H$2:$H$50)-SUMIF('BALANCE N'!$A$2:$A$50,"706*",'BALANCE N'!$G$2:$G$50)</f>
        <v/>
      </c>
      <c r="C14" s="85">
        <f>SUMIF('BALANCE N-1'!$A$2:$A$50,"73*",'BALANCE N-1'!$H$2:$H$50)-SUMIF('BALANCE N-1'!$A$2:$A$50,"73*",'BALANCE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N-1'!$A$2:$A$50,"78*",'BALANCE N-1'!$H$2:$H$50)-SUMIF('BALANCE N-1'!$A$2:$A$50,"78*",'BALANCE N-1'!$G$2:$G$50)+SUMIF('BALANCE N-1'!$A$2:$A$50,"708*",'BALANCE N-1'!$H$2:$H$50)-SUMIF('BALANCE N-1'!$A$2:$A$50,"708*",'BALANCE N-1'!$G$2:$G$50)+SUMIF('BALANCE N-1'!$A$2:$A$50,"706*",'BALANCE N-1'!$H$2:$H$50)-SUMIF('BALANCE N-1'!$A$2:$A$50,"706*",'BALANCE N-1'!$G$2:$G$50)</f>
        <v/>
      </c>
      <c r="D14" s="85">
        <f>B14-C14</f>
        <v/>
      </c>
      <c r="E14" s="122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3">
        <f>IF(C15=0,"",(B15-C15)/C15)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2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3">
        <f>IF(C15=0,"",(B15-C15)/C15)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N'!$A$2:$A$50,"618*",'BALANCE N'!$G$2:$G$50)-SUMIF('BALANCE N'!$A$2:$A$50,"618*",'BALANCE N'!$H$2:$H$50)+SUMIF('BALANCE N'!$A$2:$A$50,"619*",'BALANCE N'!$G$2:$G$50)-SUMIF('BALANCE N'!$A$2:$A$50,"619*",'BALANCE N'!$H$2:$H$50)</f>
        <v/>
      </c>
      <c r="C13" s="85">
        <f>SUMIF('BALANCE N-1'!$A$2:$A$50,"618*",'BALANCE N-1'!$G$2:$G$50)-SUMIF('BALANCE N-1'!$A$2:$A$50,"618*",'BALANCE N-1'!$H$2:$H$50)+SUMIF('BALANCE N-1'!$A$2:$A$50,"619*",'BALANCE N-1'!$G$2:$G$50)-SUMIF('BALANCE N-1'!$A$2:$A$50,"619*",'BALANCE N-1'!$H$2:$H$50)</f>
        <v/>
      </c>
      <c r="D13" s="85">
        <f>B13-C13</f>
        <v/>
      </c>
      <c r="E13" s="122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3">
        <f>IF(C14=0,"",(B14-C14)/C14)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2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2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2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2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2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2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2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2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2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2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3">
        <f>IF(C25=0,"",(B25-C25)/C25)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2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3">
        <f>IF(C15=0,"",(B15-C15)/C15)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2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3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2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2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3">
        <f>IF(C17=0,"",(B17-C17)/C17)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N'!$A$2:$A$50,"679*",'BALANCE N'!$G$2:$G$50)-SUMIF('BALANCE N'!$A$2:$A$50,"679*",'BALANCE N'!$H$2:$H$50)+SUMIF('BALANCE N'!$A$2:$A$50,"678*",'BALANCE N'!$G$2:$G$50)-SUMIF('BALANCE N'!$A$2:$A$50,"678*",'BALANCE N'!$H$2:$H$50)</f>
        <v/>
      </c>
      <c r="C15" s="85">
        <f>SUMIF('BALANCE N-1'!$A$2:$A$50,"679*",'BALANCE N-1'!$G$2:$G$50)-SUMIF('BALANCE N-1'!$A$2:$A$50,"679*",'BALANCE N-1'!$H$2:$H$50)+SUMIF('BALANCE N-1'!$A$2:$A$50,"678*",'BALANCE N-1'!$G$2:$G$50)-SUMIF('BALANCE N-1'!$A$2:$A$50,"678*",'BALANCE N-1'!$H$2:$H$50)</f>
        <v/>
      </c>
      <c r="D15" s="85">
        <f>B15-C15</f>
        <v/>
      </c>
      <c r="E15" s="122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3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2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2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2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2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2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N'!$A$2:$A$50,"777*",'BALANCE N'!$H$2:$H$50)-SUMIF('BALANCE N'!$A$2:$A$50,"777*",'BALANCE N'!$G$2:$G$50)+SUMIF('BALANCE N'!$A$2:$A$50,"778*",'BALANCE N'!$H$2:$H$50)-SUMIF('BALANCE N'!$A$2:$A$50,"778*",'BALANCE N'!$G$2:$G$50)</f>
        <v/>
      </c>
      <c r="C22" s="85">
        <f>SUMIF('BALANCE N-1'!$A$2:$A$50,"777*",'BALANCE N-1'!$H$2:$H$50)-SUMIF('BALANCE N-1'!$A$2:$A$50,"777*",'BALANCE N-1'!$G$2:$G$50)+SUMIF('BALANCE N-1'!$A$2:$A$50,"778*",'BALANCE N-1'!$H$2:$H$50)-SUMIF('BALANCE N-1'!$A$2:$A$50,"778*",'BALANCE N-1'!$G$2:$G$50)</f>
        <v/>
      </c>
      <c r="D22" s="85">
        <f>B22-C22</f>
        <v/>
      </c>
      <c r="E22" s="122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2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2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3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3">
        <f>IF(C26=0,"",(B26-C26)/C26)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</f>
        <v/>
      </c>
      <c r="C13" s="85">
        <f>MAX(0,(SUMIF('BALANCE N'!$A$2:$A$50,"490*",'BALANCE N'!$H$2:$H$50)-SUMIF('BALANCE N'!$A$2:$A$50,"490*",'BALANCE N'!$G$2:$G$50)+SUMIF('BALANCE N'!$A$2:$A$50,"491*",'BALANCE N'!$H$2:$H$50)-SUMIF('BALANCE N'!$A$2:$A$50,"491*",'BALANCE N'!$G$2:$G$50)+SUMIF('BALANCE N'!$A$2:$A$50,"494*",'BALANCE N'!$H$2:$H$50)-SUMIF('BALANCE N'!$A$2:$A$50,"494*",'BALANCE N'!$G$2:$G$50)+SUMIF('BALANCE N'!$A$2:$A$50,"492*",'BALANCE N'!$H$2:$H$50)-SUMIF('BALANCE N'!$A$2:$A$50,"492*",'BALANCE N'!$G$2:$G$50)+SUMIF('BALANCE N'!$A$2:$A$50,"497*",'BALANCE N'!$H$2:$H$50)-SUMIF('BALANCE N'!$A$2:$A$50,"497*",'BALANCE N'!$G$2:$G$50)+SUMIF('BALANCE N'!$A$2:$A$50,"493*",'BALANCE N'!$H$2:$H$50)-SUMIF('BALANCE N'!$A$2:$A$50,"493*",'BALANCE N'!$G$2:$G$50))-(SUMIF('BALANCE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N-1'!$G$2:$G$50)))</f>
        <v/>
      </c>
      <c r="D13" s="85" t="n"/>
      <c r="E13" s="85" t="n"/>
      <c r="F13" s="85">
        <f>MAX(0,(SUMIF('BALANCE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N-1'!$A$2:$A$50,"497*",'BALANCE N-1'!$H$2:$H$50)-SUMIF('BALANCE N-1'!$A$2:$A$50,"497*",'BALANCE N-1'!$G$2:$G$50)+SUMIF('BALANCE N-1'!$A$2:$A$50,"493*",'BALANCE N-1'!$H$2:$H$50)-SUMIF('BALANCE N-1'!$A$2:$A$50,"493*",'BALANCE N-1'!$G$2:$G$50))-(SUMIF('BALANCE N'!$A$2:$A$50,"490*",'BALANCE N'!$H$2:$H$50)-SUMIF('BALANCE N'!$A$2:$A$50,"490*",'BALANCE N'!$G$2:$G$50)+SUMIF('BALANCE N'!$A$2:$A$50,"491*",'BALANCE N'!$H$2:$H$50)-SUMIF('BALANCE N'!$A$2:$A$50,"491*",'BALANCE N'!$G$2:$G$50)+SUMIF('BALANCE N'!$A$2:$A$50,"494*",'BALANCE N'!$H$2:$H$50)-SUMIF('BALANCE N'!$A$2:$A$50,"494*",'BALANCE N'!$G$2:$G$50)+SUMIF('BALANCE N'!$A$2:$A$50,"492*",'BALANCE N'!$H$2:$H$50)-SUMIF('BALANCE N'!$A$2:$A$50,"492*",'BALANCE N'!$G$2:$G$50)+SUMIF('BALANCE N'!$A$2:$A$50,"497*",'BALANCE N'!$H$2:$H$50)-SUMIF('BALANCE N'!$A$2:$A$50,"497*",'BALANCE N'!$G$2:$G$50)+SUMIF('BALANCE N'!$A$2:$A$50,"493*",'BALANCE N'!$H$2:$H$50)-SUMIF('BALANCE N'!$A$2:$A$50,"493*",'BALANCE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N-1'!$A$2:$A$50,"593*",'BALANCE N-1'!$H$2:$H$50)-SUMIF('BALANCE N-1'!$A$2:$A$50,"593*",'BALANCE N-1'!$G$2:$G$50)+SUMIF('BALANCE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</f>
        <v/>
      </c>
      <c r="C15" s="85" t="n"/>
      <c r="D15" s="85">
        <f>MAX(0,(SUMIF('BALANCE N'!$A$2:$A$50,"593*",'BALANCE N'!$H$2:$H$50)-SUMIF('BALANCE N'!$A$2:$A$50,"593*",'BALANCE N'!$G$2:$G$50)+SUMIF('BALANCE N'!$A$2:$A$50,"591*",'BALANCE N'!$H$2:$H$50)-SUMIF('BALANCE N'!$A$2:$A$50,"591*",'BALANCE N'!$G$2:$G$50)+SUMIF('BALANCE N'!$A$2:$A$50,"592*",'BALANCE N'!$H$2:$H$50)-SUMIF('BALANCE N'!$A$2:$A$50,"592*",'BALANCE N'!$G$2:$G$50)+SUMIF('BALANCE N'!$A$2:$A$50,"595*",'BALANCE N'!$H$2:$H$50)-SUMIF('BALANCE N'!$A$2:$A$50,"595*",'BALANCE N'!$G$2:$G$50))-(SUMIF('BALANCE N-1'!$A$2:$A$50,"593*",'BALANCE N-1'!$H$2:$H$50)-SUMIF('BALANCE N-1'!$A$2:$A$50,"593*",'BALANCE N-1'!$G$2:$G$50)+SUMIF('BALANCE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N-1'!$G$2:$G$50)))</f>
        <v/>
      </c>
      <c r="E15" s="85" t="n"/>
      <c r="F15" s="85" t="n"/>
      <c r="G15" s="85">
        <f>MAX(0,(SUMIF('BALANCE N-1'!$A$2:$A$50,"593*",'BALANCE N-1'!$H$2:$H$50)-SUMIF('BALANCE N-1'!$A$2:$A$50,"593*",'BALANCE N-1'!$G$2:$G$50)+SUMIF('BALANCE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N-1'!$G$2:$G$50))-(SUMIF('BALANCE N'!$A$2:$A$50,"593*",'BALANCE N'!$H$2:$H$50)-SUMIF('BALANCE N'!$A$2:$A$50,"593*",'BALANCE N'!$G$2:$G$50)+SUMIF('BALANCE N'!$A$2:$A$50,"591*",'BALANCE N'!$H$2:$H$50)-SUMIF('BALANCE N'!$A$2:$A$50,"591*",'BALANCE N'!$G$2:$G$50)+SUMIF('BALANCE N'!$A$2:$A$50,"592*",'BALANCE N'!$H$2:$H$50)-SUMIF('BALANCE N'!$A$2:$A$50,"592*",'BALANCE N'!$G$2:$G$50)+SUMIF('BALANCE N'!$A$2:$A$50,"595*",'BALANCE N'!$H$2:$H$50)-SUMIF('BALANCE N'!$A$2:$A$50,"595*",'BALANCE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</f>
        <v/>
      </c>
      <c r="C16" s="85">
        <f>MAX(0,(SUMIF('BALANCE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N'!$G$2:$G$50))-(SUMIF('BALANCE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N-1'!$G$2:$G$50))-(SUMIF('BALANCE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2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2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2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2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N'!$A$2:$A$50,"839*",'BALANCE N'!$G$2:$G$50)-SUMIF('BALANCE N'!$A$2:$A$50,"839*",'BALANCE N'!$H$2:$H$50)+SUMIF('BALANCE N'!$A$2:$A$50,"838*",'BALANCE N'!$G$2:$G$50)-SUMIF('BALANCE N'!$A$2:$A$50,"838*",'BALANCE N'!$H$2:$H$50)</f>
        <v/>
      </c>
      <c r="C13" s="85">
        <f>SUMIF('BALANCE N-1'!$A$2:$A$50,"839*",'BALANCE N-1'!$G$2:$G$50)-SUMIF('BALANCE N-1'!$A$2:$A$50,"839*",'BALANCE N-1'!$H$2:$H$50)+SUMIF('BALANCE N-1'!$A$2:$A$50,"838*",'BALANCE N-1'!$G$2:$G$50)-SUMIF('BALANCE N-1'!$A$2:$A$50,"838*",'BALANCE N-1'!$H$2:$H$50)</f>
        <v/>
      </c>
      <c r="D13" s="85">
        <f>B13-C13</f>
        <v/>
      </c>
      <c r="E13" s="122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2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2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2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3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2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2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2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2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2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2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2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2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2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3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3">
        <f>IF(C28=0,"",(B28-C28)/C28)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2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2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2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2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2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2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2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2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2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2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2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2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6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7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28" t="inlineStr">
        <is>
          <t>Partie 1 : Informations générales</t>
        </is>
      </c>
      <c r="B6" s="129" t="n"/>
      <c r="C6" s="129" t="n"/>
      <c r="D6" s="129" t="n"/>
      <c r="E6" s="129" t="n"/>
      <c r="F6" s="129" t="n"/>
      <c r="G6" s="129" t="n"/>
      <c r="H6" s="129" t="n"/>
    </row>
    <row r="7" ht="16" customHeight="1">
      <c r="A7" s="130" t="inlineStr">
        <is>
          <t>Note 1</t>
        </is>
      </c>
      <c r="B7" s="131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2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28" t="inlineStr">
        <is>
          <t>Partie 2 : Notes sur le tableau emplois-ressources, le tableau d'exécution budgétaire et la réconciliation de trésorerie</t>
        </is>
      </c>
      <c r="B9" s="129" t="n"/>
      <c r="C9" s="129" t="n"/>
      <c r="D9" s="129" t="n"/>
      <c r="E9" s="129" t="n"/>
      <c r="F9" s="129" t="n"/>
      <c r="G9" s="129" t="n"/>
      <c r="H9" s="129" t="n"/>
    </row>
    <row r="10" ht="16" customHeight="1">
      <c r="A10" s="130" t="inlineStr">
        <is>
          <t>Note 2</t>
        </is>
      </c>
      <c r="B10" s="131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2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28" t="inlineStr">
        <is>
          <t>Partie 3 : Notes sur le bilan</t>
        </is>
      </c>
      <c r="B12" s="129" t="n"/>
      <c r="C12" s="129" t="n"/>
      <c r="D12" s="129" t="n"/>
      <c r="E12" s="129" t="n"/>
      <c r="F12" s="129" t="n"/>
      <c r="G12" s="129" t="n"/>
      <c r="H12" s="129" t="n"/>
    </row>
    <row r="13" ht="16" customHeight="1">
      <c r="A13" s="130" t="inlineStr">
        <is>
          <t>Note 3A</t>
        </is>
      </c>
      <c r="B13" s="131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2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0" t="inlineStr">
        <is>
          <t>Note 3B</t>
        </is>
      </c>
      <c r="B15" s="131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2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7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0" t="inlineStr">
        <is>
          <t>Note 4</t>
        </is>
      </c>
      <c r="B22" s="131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2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0" t="inlineStr">
        <is>
          <t>Note 5</t>
        </is>
      </c>
      <c r="B24" s="131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2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0" t="inlineStr">
        <is>
          <t>Note 6</t>
        </is>
      </c>
      <c r="B26" s="131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2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0" t="inlineStr">
        <is>
          <t>Note 7</t>
        </is>
      </c>
      <c r="B28" s="131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2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7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0" t="inlineStr">
        <is>
          <t>Note 8</t>
        </is>
      </c>
      <c r="B35" s="131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2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0" t="inlineStr">
        <is>
          <t>Note 9</t>
        </is>
      </c>
      <c r="B37" s="131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2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0" t="inlineStr">
        <is>
          <t>Note 10</t>
        </is>
      </c>
      <c r="B39" s="131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2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0" t="inlineStr">
        <is>
          <t>Note 11</t>
        </is>
      </c>
      <c r="B41" s="131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2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7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0" t="inlineStr">
        <is>
          <t>Note 12</t>
        </is>
      </c>
      <c r="B48" s="131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2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0" t="inlineStr">
        <is>
          <t>Note 13</t>
        </is>
      </c>
      <c r="B50" s="131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2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28" t="inlineStr">
        <is>
          <t>Partie 4 : Notes sur le compte d'exploitation</t>
        </is>
      </c>
      <c r="B52" s="129" t="n"/>
      <c r="C52" s="129" t="n"/>
      <c r="D52" s="129" t="n"/>
      <c r="E52" s="129" t="n"/>
      <c r="F52" s="129" t="n"/>
      <c r="G52" s="129" t="n"/>
      <c r="H52" s="129" t="n"/>
    </row>
    <row r="53" ht="16" customHeight="1">
      <c r="A53" s="130" t="inlineStr">
        <is>
          <t>Note 14</t>
        </is>
      </c>
      <c r="B53" s="131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2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0" t="inlineStr">
        <is>
          <t>Note 15</t>
        </is>
      </c>
      <c r="B55" s="131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2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7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0" t="inlineStr">
        <is>
          <t>Note 16</t>
        </is>
      </c>
      <c r="B62" s="131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2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0" t="inlineStr">
        <is>
          <t>Note 17</t>
        </is>
      </c>
      <c r="B64" s="131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2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0" t="inlineStr">
        <is>
          <t>Note 18</t>
        </is>
      </c>
      <c r="B66" s="131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2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0" t="inlineStr">
        <is>
          <t>Note 19</t>
        </is>
      </c>
      <c r="B68" s="131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2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7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0" t="inlineStr">
        <is>
          <t>Note 20A</t>
        </is>
      </c>
      <c r="B75" s="131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2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0" t="inlineStr">
        <is>
          <t>Note 20B</t>
        </is>
      </c>
      <c r="B77" s="131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2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0" t="inlineStr">
        <is>
          <t>Note 21</t>
        </is>
      </c>
      <c r="B79" s="131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2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0" t="inlineStr">
        <is>
          <t>Note 22</t>
        </is>
      </c>
      <c r="B81" s="131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2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7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0" t="inlineStr">
        <is>
          <t>Note 23</t>
        </is>
      </c>
      <c r="B88" s="131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2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0" t="inlineStr">
        <is>
          <t>Note 24</t>
        </is>
      </c>
      <c r="B90" s="131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2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2026-09-01T02:03:49Z</dcterms:created>
  <dcterms:modified xsi:type="dcterms:W3CDTF">2026-09-01T02:03:49Z</dcterms:modified>
</cp:coreProperties>
</file>