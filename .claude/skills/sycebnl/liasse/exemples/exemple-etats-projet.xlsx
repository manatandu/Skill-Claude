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6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25" fillId="0" borderId="0" applyAlignment="1" pivotButton="0" quotePrefix="0" xfId="0">
      <alignment horizontal="center" vertical="center" textRotation="15"/>
    </xf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100000</v>
      </c>
      <c r="H11" s="5" t="n">
        <v>0</v>
      </c>
    </row>
    <row r="12" ht="20" customHeight="1">
      <c r="A12" s="6" t="n"/>
      <c r="B12" s="6" t="inlineStr">
        <is>
          <t>TOTAL GENERAL</t>
        </is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</row>
    <row r="13">
      <c r="A13" s="8" t="n"/>
      <c r="B13" s="8" t="inlineStr">
        <is>
          <t>Contrôle d'équilibre par solde (débit - crédit, doit être 0)</t>
        </is>
      </c>
      <c r="C13" s="9">
        <f>C12-D12</f>
        <v/>
      </c>
      <c r="D13" s="9" t="n"/>
      <c r="E13" s="9">
        <f>E12-F12</f>
        <v/>
      </c>
      <c r="F13" s="9" t="n"/>
      <c r="G13" s="9">
        <f>G12-H12</f>
        <v/>
      </c>
      <c r="H1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N-1'!C2:C11)</f>
        <v/>
      </c>
      <c r="C6" s="17">
        <f>SUM('BALANCE N-1'!D2:D11)</f>
        <v/>
      </c>
      <c r="D6" s="17">
        <f>SUM('BALANCE N-1'!E2:E11)</f>
        <v/>
      </c>
      <c r="E6" s="17">
        <f>SUM('BALANCE N-1'!F2:F11)</f>
        <v/>
      </c>
      <c r="F6" s="17">
        <f>SUM('BALANCE N-1'!G2:G11)</f>
        <v/>
      </c>
      <c r="G6" s="18">
        <f>SUM('BALANCE N-1'!H2:H11)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N'!$A$2:$A$50,"162*",'BALANCE N'!$H$2:$H$50)-SUMIF('BALANCE N'!$A$2:$A$50,"162*",'BALANCE N'!$G$2:$G$50)+SUMIF('BALANCE N'!$A$2:$A$50,"462*",'BALANCE N'!$H$2:$H$50)-SUMIF('BALANCE N'!$A$2:$A$50,"462*",'BALANCE N'!$G$2:$G$50))-(SUMIF('BALANCE N-1'!$A$2:$A$50,"162*",'BALANCE N-1'!$H$2:$H$50)-SUMIF('BALANCE N-1'!$A$2:$A$50,"162*",'BALANCE N-1'!$G$2:$G$50)+SUMIF('BALANCE N-1'!$A$2:$A$50,"462*",'BALANCE N-1'!$H$2:$H$50)-SUMIF('BALANCE N-1'!$A$2:$A$50,"462*",'BALANCE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N'!$A$2:$A$50,"163*",'BALANCE N'!$H$2:$H$50)-SUMIF('BALANCE N'!$A$2:$A$50,"163*",'BALANCE N'!$G$2:$G$50)+SUMIF('BALANCE N'!$A$2:$A$50,"463*",'BALANCE N'!$H$2:$H$50)-SUMIF('BALANCE N'!$A$2:$A$50,"463*",'BALANCE N'!$G$2:$G$50))-(SUMIF('BALANCE N-1'!$A$2:$A$50,"163*",'BALANCE N-1'!$H$2:$H$50)-SUMIF('BALANCE N-1'!$A$2:$A$50,"163*",'BALANCE N-1'!$G$2:$G$50)+SUMIF('BALANCE N-1'!$A$2:$A$50,"463*",'BALANCE N-1'!$H$2:$H$50)-SUMIF('BALANCE N-1'!$A$2:$A$50,"463*",'BALANCE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N'!$A$2:$A$50,"165*",'BALANCE N'!$H$2:$H$50)-SUMIF('BALANCE N'!$A$2:$A$50,"165*",'BALANCE N'!$G$2:$G$50)+SUMIF('BALANCE N'!$A$2:$A$50,"164*",'BALANCE N'!$H$2:$H$50)-SUMIF('BALANCE N'!$A$2:$A$50,"164*",'BALANCE N'!$G$2:$G$50)+SUMIF('BALANCE N'!$A$2:$A$50,"161*",'BALANCE N'!$H$2:$H$50)-SUMIF('BALANCE N'!$A$2:$A$50,"161*",'BALANCE N'!$G$2:$G$50)+SUMIF('BALANCE N'!$A$2:$A$50,"464*",'BALANCE N'!$H$2:$H$50)-SUMIF('BALANCE N'!$A$2:$A$50,"464*",'BALANCE N'!$G$2:$G$50)+SUMIF('BALANCE N'!$A$2:$A$50,"168*",'BALANCE N'!$H$2:$H$50)-SUMIF('BALANCE N'!$A$2:$A$50,"168*",'BALANCE N'!$G$2:$G$50))-(SUMIF('BALANCE N-1'!$A$2:$A$50,"165*",'BALANCE N-1'!$H$2:$H$50)-SUMIF('BALANCE N-1'!$A$2:$A$50,"165*",'BALANCE N-1'!$G$2:$G$50)+SUMIF('BALANCE N-1'!$A$2:$A$50,"164*",'BALANCE N-1'!$H$2:$H$50)-SUMIF('BALANCE N-1'!$A$2:$A$50,"164*",'BALANCE N-1'!$G$2:$G$50)+SUMIF('BALANCE N-1'!$A$2:$A$50,"161*",'BALANCE N-1'!$H$2:$H$50)-SUMIF('BALANCE N-1'!$A$2:$A$50,"161*",'BALANCE N-1'!$G$2:$G$50)+SUMIF('BALANCE N-1'!$A$2:$A$50,"464*",'BALANCE N-1'!$H$2:$H$50)-SUMIF('BALANCE N-1'!$A$2:$A$50,"464*",'BALANCE N-1'!$G$2:$G$50)+SUMIF('BALANCE N-1'!$A$2:$A$50,"168*",'BALANCE N-1'!$H$2:$H$50)-SUMIF('BALANCE N-1'!$A$2:$A$50,"168*",'BALANCE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</f>
        <v/>
      </c>
      <c r="D16" s="5">
        <f>E16-C16</f>
        <v/>
      </c>
      <c r="E16" s="71">
        <f>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N'!$H$2:$H$50)+SUMIF('BALANCE N'!$A$2:$A$50,"2396*",'BALANCE N'!$G$2:$G$50)-SUMIF('BALANCE N'!$A$2:$A$50,"2396*",'BALANCE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N-1'!$A$2:$A$50,"234*",'BALANCE N-1'!$G$2:$G$50)-SUMIF('BALANCE N-1'!$A$2:$A$50,"234*",'BALANCE N-1'!$H$2:$H$50)+SUMIF('BALANCE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</f>
        <v/>
      </c>
      <c r="D17" s="5">
        <f>E17-C17</f>
        <v/>
      </c>
      <c r="E17" s="71">
        <f>SUMIF('BALANCE N'!$A$2:$A$50,"234*",'BALANCE N'!$G$2:$G$50)-SUMIF('BALANCE N'!$A$2:$A$50,"234*",'BALANCE N'!$H$2:$H$50)+SUMIF('BALANCE N'!$A$2:$A$50,"238*",'BALANCE N'!$G$2:$G$50)-SUMIF('BALANCE N'!$A$2:$A$50,"238*",'BALANCE N'!$H$2:$H$50)+SUMIF('BALANCE N'!$A$2:$A$50,"235*",'BALANCE N'!$G$2:$G$50)-SUMIF('BALANCE N'!$A$2:$A$50,"235*",'BALANCE N'!$H$2:$H$50)+SUMIF('BALANCE N'!$A$2:$A$50,"2394*",'BALANCE N'!$G$2:$G$50)-SUMIF('BALANCE N'!$A$2:$A$50,"2394*",'BALANCE N'!$H$2:$H$50)+SUMIF('BALANCE N'!$A$2:$A$50,"2398*",'BALANCE N'!$G$2:$G$50)-SUMIF('BALANCE N'!$A$2:$A$50,"2398*",'BALANCE N'!$H$2:$H$50)+SUMIF('BALANCE N'!$A$2:$A$50,"2395*",'BALANCE N'!$G$2:$G$50)-SUMIF('BALANCE N'!$A$2:$A$50,"2395*",'BALANCE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N-1'!$A$2:$A$50,"26*",'BALANCE N-1'!$G$2:$G$50)-SUMIF('BALANCE N-1'!$A$2:$A$50,"26*",'BALANCE N-1'!$H$2:$H$50)+SUMIF('BALANCE N-1'!$A$2:$A$50,"27*",'BALANCE N-1'!$G$2:$G$50)-SUMIF('BALANCE N-1'!$A$2:$A$50,"27*",'BALANCE N-1'!$H$2:$H$50)</f>
        <v/>
      </c>
      <c r="D21" s="5">
        <f>E21-C21</f>
        <v/>
      </c>
      <c r="E21" s="71">
        <f>SUMIF('BALANCE N'!$A$2:$A$50,"26*",'BALANCE N'!$G$2:$G$50)-SUMIF('BALANCE N'!$A$2:$A$50,"26*",'BALANCE N'!$H$2:$H$50)+SUMIF('BALANCE N'!$A$2:$A$50,"27*",'BALANCE N'!$G$2:$G$50)-SUMIF('BALANCE N'!$A$2:$A$50,"27*",'BALANCE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N'!$A$2:$A$50,"281*",'BALANCE N'!$H$2:$H$50)-SUMIF('BALANCE N'!$A$2:$A$50,"281*",'BALANCE N'!$G$2:$G$50)+SUMIF('BALANCE N'!$A$2:$A$50,"291*",'BALANCE N'!$H$2:$H$50)-SUMIF('BALANCE N'!$A$2:$A$50,"291*",'BALANCE N'!$G$2:$G$50)))</f>
        <v/>
      </c>
      <c r="E9" s="71">
        <f>((SUMIF('BALANCE N-1'!$A$2:$A$50,"21*",'BALANCE N-1'!$G$2:$G$50)-SUMIF('BALANCE N-1'!$A$2:$A$50,"21*",'BALANCE N-1'!$H$2:$H$50)))-((SUMIF('BALANCE N-1'!$A$2:$A$50,"281*",'BALANCE N-1'!$H$2:$H$50)-SUMIF('BALANCE N-1'!$A$2:$A$50,"281*",'BALANCE N-1'!$G$2:$G$50)+SUMIF('BALANCE N-1'!$A$2:$A$50,"291*",'BALANCE N-1'!$H$2:$H$50)-SUMIF('BALANCE N-1'!$A$2:$A$50,"291*",'BALANCE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N'!$H$2:$H$50)+SUMIF('BALANCE N'!$A$2:$A$50,"2396*",'BALANCE N'!$G$2:$G$50)-SUMIF('BALANCE N'!$A$2:$A$50,"2396*",'BALANCE N'!$H$2:$H$50)))-((SUMIF('BALANCE N'!$A$2:$A$50,"282*",'BALANCE N'!$H$2:$H$50)-SUMIF('BALANCE N'!$A$2:$A$50,"282*",'BALANCE N'!$G$2:$G$50)+SUMIF('BALANCE N'!$A$2:$A$50,"292*",'BALANCE N'!$H$2:$H$50)-SUMIF('BALANCE N'!$A$2:$A$50,"292*",'BALANCE N'!$G$2:$G$50)+SUMIF('BALANCE N'!$A$2:$A$50,"2933*",'BALANCE N'!$H$2:$H$50)-SUMIF('BALANCE N'!$A$2:$A$50,"2933*",'BALANCE N'!$G$2:$G$50)+SUMIF('BALANCE N'!$A$2:$A$50,"2833*",'BALANCE N'!$H$2:$H$50)-SUMIF('BALANCE N'!$A$2:$A$50,"2833*",'BALANCE N'!$G$2:$G$50)+SUMIF('BALANCE N'!$A$2:$A$50,"2831*",'BALANCE N'!$H$2:$H$50)-SUMIF('BALANCE N'!$A$2:$A$50,"2831*",'BALANCE N'!$G$2:$G$50)+SUMIF('BALANCE N'!$A$2:$A$50,"2931*",'BALANCE N'!$H$2:$H$50)-SUMIF('BALANCE N'!$A$2:$A$50,"2931*",'BALANCE N'!$G$2:$G$50)+SUMIF('BALANCE N'!$A$2:$A$50,"2939*",'BALANCE N'!$H$2:$H$50)-SUMIF('BALANCE N'!$A$2:$A$50,"2939*",'BALANCE N'!$G$2:$G$50)+SUMIF('BALANCE N'!$A$2:$A$50,"2932*",'BALANCE N'!$H$2:$H$50)-SUMIF('BALANCE N'!$A$2:$A$50,"2932*",'BALANCE N'!$G$2:$G$50)+SUMIF('BALANCE N'!$A$2:$A$50,"2832*",'BALANCE N'!$H$2:$H$50)-SUMIF('BALANCE N'!$A$2:$A$50,"2832*",'BALANCE N'!$G$2:$G$50)))</f>
        <v/>
      </c>
      <c r="E10" s="71">
        <f>((SUMIF('BALANCE N-1'!$A$2:$A$50,"22*",'BALANCE N-1'!$G$2:$G$50)-SUMIF('BALANCE N-1'!$A$2:$A$50,"22*",'BALANCE N-1'!$H$2:$H$50)+SUMIF('BALANCE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N-1'!$H$2:$H$50)))-((SUMIF('BALANCE N-1'!$A$2:$A$50,"282*",'BALANCE N-1'!$H$2:$H$50)-SUMIF('BALANCE N-1'!$A$2:$A$50,"282*",'BALANCE N-1'!$G$2:$G$50)+SUMIF('BALANCE N-1'!$A$2:$A$50,"292*",'BALANCE N-1'!$H$2:$H$50)-SUMIF('BALANCE N-1'!$A$2:$A$50,"292*",'BALANCE N-1'!$G$2:$G$50)+SUMIF('BALANCE N-1'!$A$2:$A$50,"2933*",'BALANCE N-1'!$H$2:$H$50)-SUMIF('BALANCE N-1'!$A$2:$A$50,"2933*",'BALANCE N-1'!$G$2:$G$50)+SUMIF('BALANCE N-1'!$A$2:$A$50,"2833*",'BALANCE N-1'!$H$2:$H$50)-SUMIF('BALANCE N-1'!$A$2:$A$50,"2833*",'BALANCE N-1'!$G$2:$G$50)+SUMIF('BALANCE N-1'!$A$2:$A$50,"2831*",'BALANCE N-1'!$H$2:$H$50)-SUMIF('BALANCE N-1'!$A$2:$A$50,"2831*",'BALANCE N-1'!$G$2:$G$50)+SUMIF('BALANCE N-1'!$A$2:$A$50,"2931*",'BALANCE N-1'!$H$2:$H$50)-SUMIF('BALANCE N-1'!$A$2:$A$50,"2931*",'BALANCE N-1'!$G$2:$G$50)+SUMIF('BALANCE N-1'!$A$2:$A$50,"2939*",'BALANCE N-1'!$H$2:$H$50)-SUMIF('BALANCE N-1'!$A$2:$A$50,"2939*",'BALANCE N-1'!$G$2:$G$50)+SUMIF('BALANCE N-1'!$A$2:$A$50,"2932*",'BALANCE N-1'!$H$2:$H$50)-SUMIF('BALANCE N-1'!$A$2:$A$50,"2932*",'BALANCE N-1'!$G$2:$G$50)+SUMIF('BALANCE N-1'!$A$2:$A$50,"2832*",'BALANCE N-1'!$H$2:$H$50)-SUMIF('BALANCE N-1'!$A$2:$A$50,"2832*",'BALANCE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N'!$A$2:$A$50,"234*",'BALANCE N'!$G$2:$G$50)-SUMIF('BALANCE N'!$A$2:$A$50,"234*",'BALANCE N'!$H$2:$H$50)+SUMIF('BALANCE N'!$A$2:$A$50,"238*",'BALANCE N'!$G$2:$G$50)-SUMIF('BALANCE N'!$A$2:$A$50,"238*",'BALANCE N'!$H$2:$H$50)+SUMIF('BALANCE N'!$A$2:$A$50,"235*",'BALANCE N'!$G$2:$G$50)-SUMIF('BALANCE N'!$A$2:$A$50,"235*",'BALANCE N'!$H$2:$H$50)+SUMIF('BALANCE N'!$A$2:$A$50,"2394*",'BALANCE N'!$G$2:$G$50)-SUMIF('BALANCE N'!$A$2:$A$50,"2394*",'BALANCE N'!$H$2:$H$50)+SUMIF('BALANCE N'!$A$2:$A$50,"2398*",'BALANCE N'!$G$2:$G$50)-SUMIF('BALANCE N'!$A$2:$A$50,"2398*",'BALANCE N'!$H$2:$H$50)+SUMIF('BALANCE N'!$A$2:$A$50,"2395*",'BALANCE N'!$G$2:$G$50)-SUMIF('BALANCE N'!$A$2:$A$50,"2395*",'BALANCE N'!$H$2:$H$50)))-((SUMIF('BALANCE N'!$A$2:$A$50,"2834*",'BALANCE N'!$H$2:$H$50)-SUMIF('BALANCE N'!$A$2:$A$50,"2834*",'BALANCE N'!$G$2:$G$50)+SUMIF('BALANCE N'!$A$2:$A$50,"2835*",'BALANCE N'!$H$2:$H$50)-SUMIF('BALANCE N'!$A$2:$A$50,"2835*",'BALANCE N'!$G$2:$G$50)+SUMIF('BALANCE N'!$A$2:$A$50,"2838*",'BALANCE N'!$H$2:$H$50)-SUMIF('BALANCE N'!$A$2:$A$50,"2838*",'BALANCE N'!$G$2:$G$50)+SUMIF('BALANCE N'!$A$2:$A$50,"2938*",'BALANCE N'!$H$2:$H$50)-SUMIF('BALANCE N'!$A$2:$A$50,"2938*",'BALANCE N'!$G$2:$G$50)+SUMIF('BALANCE N'!$A$2:$A$50,"2935*",'BALANCE N'!$H$2:$H$50)-SUMIF('BALANCE N'!$A$2:$A$50,"2935*",'BALANCE N'!$G$2:$G$50)+SUMIF('BALANCE N'!$A$2:$A$50,"2934*",'BALANCE N'!$H$2:$H$50)-SUMIF('BALANCE N'!$A$2:$A$50,"2934*",'BALANCE N'!$G$2:$G$50)))</f>
        <v/>
      </c>
      <c r="E11" s="71">
        <f>((SUMIF('BALANCE N-1'!$A$2:$A$50,"234*",'BALANCE N-1'!$G$2:$G$50)-SUMIF('BALANCE N-1'!$A$2:$A$50,"234*",'BALANCE N-1'!$H$2:$H$50)+SUMIF('BALANCE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N-1'!$H$2:$H$50)))-((SUMIF('BALANCE N-1'!$A$2:$A$50,"2834*",'BALANCE N-1'!$H$2:$H$50)-SUMIF('BALANCE N-1'!$A$2:$A$50,"2834*",'BALANCE N-1'!$G$2:$G$50)+SUMIF('BALANCE N-1'!$A$2:$A$50,"2835*",'BALANCE N-1'!$H$2:$H$50)-SUMIF('BALANCE N-1'!$A$2:$A$50,"2835*",'BALANCE N-1'!$G$2:$G$50)+SUMIF('BALANCE N-1'!$A$2:$A$50,"2838*",'BALANCE N-1'!$H$2:$H$50)-SUMIF('BALANCE N-1'!$A$2:$A$50,"2838*",'BALANCE N-1'!$G$2:$G$50)+SUMIF('BALANCE N-1'!$A$2:$A$50,"2938*",'BALANCE N-1'!$H$2:$H$50)-SUMIF('BALANCE N-1'!$A$2:$A$50,"2938*",'BALANCE N-1'!$G$2:$G$50)+SUMIF('BALANCE N-1'!$A$2:$A$50,"2935*",'BALANCE N-1'!$H$2:$H$50)-SUMIF('BALANCE N-1'!$A$2:$A$50,"2935*",'BALANCE N-1'!$G$2:$G$50)+SUMIF('BALANCE N-1'!$A$2:$A$50,"2934*",'BALANCE N-1'!$H$2:$H$50)-SUMIF('BALANCE N-1'!$A$2:$A$50,"2934*",'BALANCE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N'!$A$2:$A$50,"284*",'BALANCE N'!$H$2:$H$50)-SUMIF('BALANCE N'!$A$2:$A$50,"284*",'BALANCE N'!$G$2:$G$50)+SUMIF('BALANCE N'!$A$2:$A$50,"294*",'BALANCE N'!$H$2:$H$50)-SUMIF('BALANCE N'!$A$2:$A$50,"294*",'BALANCE N'!$G$2:$G$50)-SUMIF('BALANCE N'!$A$2:$A$50,"2845*",'BALANCE N'!$H$2:$H$50)+SUMIF('BALANCE N'!$A$2:$A$50,"2845*",'BALANCE N'!$G$2:$G$50)-SUMIF('BALANCE N'!$A$2:$A$50,"2945*",'BALANCE N'!$H$2:$H$50)+SUMIF('BALANCE N'!$A$2:$A$50,"2945*",'BALANCE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N-1'!$A$2:$A$50,"284*",'BALANCE N-1'!$H$2:$H$50)-SUMIF('BALANCE N-1'!$A$2:$A$50,"284*",'BALANCE N-1'!$G$2:$G$50)+SUMIF('BALANCE N-1'!$A$2:$A$50,"294*",'BALANCE N-1'!$H$2:$H$50)-SUMIF('BALANCE N-1'!$A$2:$A$50,"294*",'BALANCE N-1'!$G$2:$G$50)-SUMIF('BALANCE N-1'!$A$2:$A$50,"2845*",'BALANCE N-1'!$H$2:$H$50)+SUMIF('BALANCE N-1'!$A$2:$A$50,"2845*",'BALANCE N-1'!$G$2:$G$50)-SUMIF('BALANCE N-1'!$A$2:$A$50,"2945*",'BALANCE N-1'!$H$2:$H$50)+SUMIF('BALANCE N-1'!$A$2:$A$50,"2945*",'BALANCE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N'!$A$2:$A$50,"2845*",'BALANCE N'!$H$2:$H$50)-SUMIF('BALANCE N'!$A$2:$A$50,"2845*",'BALANCE N'!$G$2:$G$50)+SUMIF('BALANCE N'!$A$2:$A$50,"2945*",'BALANCE N'!$H$2:$H$50)-SUMIF('BALANCE N'!$A$2:$A$50,"2945*",'BALANCE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N-1'!$A$2:$A$50,"2845*",'BALANCE N-1'!$H$2:$H$50)-SUMIF('BALANCE N-1'!$A$2:$A$50,"2845*",'BALANCE N-1'!$G$2:$G$50)+SUMIF('BALANCE N-1'!$A$2:$A$50,"2945*",'BALANCE N-1'!$H$2:$H$50)-SUMIF('BALANCE N-1'!$A$2:$A$50,"2945*",'BALANCE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N'!$H$2:$H$50)))-((SUMIF('BALANCE N'!$A$2:$A$50,"296*",'BALANCE N'!$H$2:$H$50)-SUMIF('BALANCE N'!$A$2:$A$50,"296*",'BALANCE N'!$G$2:$G$50)+SUMIF('BALANCE N'!$A$2:$A$50,"297*",'BALANCE N'!$H$2:$H$50)-SUMIF('BALANCE N'!$A$2:$A$50,"297*",'BALANCE N'!$G$2:$G$50)-SUMIF('BALANCE N'!$A$2:$A$50,"2975*",'BALANCE N'!$H$2:$H$50)+SUMIF('BALANCE N'!$A$2:$A$50,"2975*",'BALANCE N'!$G$2:$G$50)))</f>
        <v/>
      </c>
      <c r="E16" s="71">
        <f>((SUMIF('BALANCE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N-1'!$H$2:$H$50)))-((SUMIF('BALANCE N-1'!$A$2:$A$50,"296*",'BALANCE N-1'!$H$2:$H$50)-SUMIF('BALANCE N-1'!$A$2:$A$50,"296*",'BALANCE N-1'!$G$2:$G$50)+SUMIF('BALANCE N-1'!$A$2:$A$50,"297*",'BALANCE N-1'!$H$2:$H$50)-SUMIF('BALANCE N-1'!$A$2:$A$50,"297*",'BALANCE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N'!$A$2:$A$50,"34*",'BALANCE N'!$G$2:$G$50)-SUMIF('BALANCE N'!$A$2:$A$50,"34*",'BALANCE N'!$H$2:$H$50)+SUMIF('BALANCE N'!$A$2:$A$50,"36*",'BALANCE N'!$G$2:$G$50)-SUMIF('BALANCE N'!$A$2:$A$50,"36*",'BALANCE N'!$H$2:$H$50)+SUMIF('BALANCE N'!$A$2:$A$50,"31*",'BALANCE N'!$G$2:$G$50)-SUMIF('BALANCE N'!$A$2:$A$50,"31*",'BALANCE N'!$H$2:$H$50)+SUMIF('BALANCE N'!$A$2:$A$50,"32*",'BALANCE N'!$G$2:$G$50)-SUMIF('BALANCE N'!$A$2:$A$50,"32*",'BALANCE N'!$H$2:$H$50)+SUMIF('BALANCE N'!$A$2:$A$50,"37*",'BALANCE N'!$G$2:$G$50)-SUMIF('BALANCE N'!$A$2:$A$50,"37*",'BALANCE N'!$H$2:$H$50)+SUMIF('BALANCE N'!$A$2:$A$50,"33*",'BALANCE N'!$G$2:$G$50)-SUMIF('BALANCE N'!$A$2:$A$50,"33*",'BALANCE N'!$H$2:$H$50)+SUMIF('BALANCE N'!$A$2:$A$50,"38*",'BALANCE N'!$G$2:$G$50)-SUMIF('BALANCE N'!$A$2:$A$50,"38*",'BALANCE N'!$H$2:$H$50)))-((SUMIF('BALANCE N'!$A$2:$A$50,"39*",'BALANCE N'!$H$2:$H$50)-SUMIF('BALANCE N'!$A$2:$A$50,"39*",'BALANCE N'!$G$2:$G$50)))</f>
        <v/>
      </c>
      <c r="E19" s="71">
        <f>((SUMIF('BALANCE N-1'!$A$2:$A$50,"34*",'BALANCE N-1'!$G$2:$G$50)-SUMIF('BALANCE N-1'!$A$2:$A$50,"34*",'BALANCE N-1'!$H$2:$H$50)+SUMIF('BALANCE N-1'!$A$2:$A$50,"36*",'BALANCE N-1'!$G$2:$G$50)-SUMIF('BALANCE N-1'!$A$2:$A$50,"36*",'BALANCE N-1'!$H$2:$H$50)+SUMIF('BALANCE N-1'!$A$2:$A$50,"31*",'BALANCE N-1'!$G$2:$G$50)-SUMIF('BALANCE N-1'!$A$2:$A$50,"31*",'BALANCE N-1'!$H$2:$H$50)+SUMIF('BALANCE N-1'!$A$2:$A$50,"32*",'BALANCE N-1'!$G$2:$G$50)-SUMIF('BALANCE N-1'!$A$2:$A$50,"32*",'BALANCE N-1'!$H$2:$H$50)+SUMIF('BALANCE N-1'!$A$2:$A$50,"37*",'BALANCE N-1'!$G$2:$G$50)-SUMIF('BALANCE N-1'!$A$2:$A$50,"37*",'BALANCE N-1'!$H$2:$H$50)+SUMIF('BALANCE N-1'!$A$2:$A$50,"33*",'BALANCE N-1'!$G$2:$G$50)-SUMIF('BALANCE N-1'!$A$2:$A$50,"33*",'BALANCE N-1'!$H$2:$H$50)+SUMIF('BALANCE N-1'!$A$2:$A$50,"38*",'BALANCE N-1'!$G$2:$G$50)-SUMIF('BALANCE N-1'!$A$2:$A$50,"38*",'BALANCE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N'!$A$2:$A$50,"44*",'BALANCE N'!$G$2:$G$50)+SUMIF('BALANCE N'!$A$2:$A$50,"43*",'BALANCE N'!$G$2:$G$50)+SUMIF('BALANCE N'!$A$2:$A$50,"47*",'BALANCE N'!$G$2:$G$50)+SUMIF('BALANCE N'!$A$2:$A$50,"42*",'BALANCE N'!$G$2:$G$50)-SUMIF('BALANCE N'!$A$2:$A$50,"478*",'BALANCE N'!$G$2:$G$50)))-((SUMIF('BALANCE N'!$A$2:$A$50,"497*",'BALANCE N'!$H$2:$H$50)-SUMIF('BALANCE N'!$A$2:$A$50,"497*",'BALANCE N'!$G$2:$G$50)+SUMIF('BALANCE N'!$A$2:$A$50,"494*",'BALANCE N'!$H$2:$H$50)-SUMIF('BALANCE N'!$A$2:$A$50,"494*",'BALANCE N'!$G$2:$G$50)+SUMIF('BALANCE N'!$A$2:$A$50,"492*",'BALANCE N'!$H$2:$H$50)-SUMIF('BALANCE N'!$A$2:$A$50,"492*",'BALANCE N'!$G$2:$G$50)+SUMIF('BALANCE N'!$A$2:$A$50,"493*",'BALANCE N'!$H$2:$H$50)-SUMIF('BALANCE N'!$A$2:$A$50,"493*",'BALANCE N'!$G$2:$G$50)))</f>
        <v/>
      </c>
      <c r="E22" s="71">
        <f>((SUMIF('BALANCE N-1'!$A$2:$A$50,"44*",'BALANCE N-1'!$G$2:$G$50)+SUMIF('BALANCE N-1'!$A$2:$A$50,"43*",'BALANCE N-1'!$G$2:$G$50)+SUMIF('BALANCE N-1'!$A$2:$A$50,"47*",'BALANCE N-1'!$G$2:$G$50)+SUMIF('BALANCE N-1'!$A$2:$A$50,"42*",'BALANCE N-1'!$G$2:$G$50)-SUMIF('BALANCE N-1'!$A$2:$A$50,"478*",'BALANCE N-1'!$G$2:$G$50)))-((SUMIF('BALANCE N-1'!$A$2:$A$50,"497*",'BALANCE N-1'!$H$2:$H$50)-SUMIF('BALANCE N-1'!$A$2:$A$50,"497*",'BALANCE N-1'!$G$2:$G$50)+SUMIF('BALANCE N-1'!$A$2:$A$50,"494*",'BALANCE N-1'!$H$2:$H$50)-SUMIF('BALANCE N-1'!$A$2:$A$50,"494*",'BALANCE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N'!$A$2:$A$50,"52*",'BALANCE N'!$G$2:$G$50)-SUMIF('BALANCE N'!$A$2:$A$50,"52*",'BALANCE N'!$H$2:$H$50)+SUMIF('BALANCE N'!$A$2:$A$50,"57*",'BALANCE N'!$G$2:$G$50)-SUMIF('BALANCE N'!$A$2:$A$50,"57*",'BALANCE N'!$H$2:$H$50)+SUMIF('BALANCE N'!$A$2:$A$50,"55*",'BALANCE N'!$G$2:$G$50)-SUMIF('BALANCE N'!$A$2:$A$50,"55*",'BALANCE N'!$H$2:$H$50)+SUMIF('BALANCE N'!$A$2:$A$50,"53*",'BALANCE N'!$G$2:$G$50)-SUMIF('BALANCE N'!$A$2:$A$50,"53*",'BALANCE N'!$H$2:$H$50)))-((SUMIF('BALANCE N'!$A$2:$A$50,"593*",'BALANCE N'!$H$2:$H$50)-SUMIF('BALANCE N'!$A$2:$A$50,"593*",'BALANCE N'!$G$2:$G$50)+SUMIF('BALANCE N'!$A$2:$A$50,"592*",'BALANCE N'!$H$2:$H$50)-SUMIF('BALANCE N'!$A$2:$A$50,"592*",'BALANCE N'!$G$2:$G$50)+SUMIF('BALANCE N'!$A$2:$A$50,"595*",'BALANCE N'!$H$2:$H$50)-SUMIF('BALANCE N'!$A$2:$A$50,"595*",'BALANCE N'!$G$2:$G$50)))</f>
        <v/>
      </c>
      <c r="E25" s="71">
        <f>((SUMIF('BALANCE N-1'!$A$2:$A$50,"52*",'BALANCE N-1'!$G$2:$G$50)-SUMIF('BALANCE N-1'!$A$2:$A$50,"52*",'BALANCE N-1'!$H$2:$H$50)+SUMIF('BALANCE N-1'!$A$2:$A$50,"57*",'BALANCE N-1'!$G$2:$G$50)-SUMIF('BALANCE N-1'!$A$2:$A$50,"57*",'BALANCE N-1'!$H$2:$H$50)+SUMIF('BALANCE N-1'!$A$2:$A$50,"55*",'BALANCE N-1'!$G$2:$G$50)-SUMIF('BALANCE N-1'!$A$2:$A$50,"55*",'BALANCE N-1'!$H$2:$H$50)+SUMIF('BALANCE N-1'!$A$2:$A$50,"53*",'BALANCE N-1'!$G$2:$G$50)-SUMIF('BALANCE N-1'!$A$2:$A$50,"53*",'BALANCE N-1'!$H$2:$H$50)))-((SUMIF('BALANCE N-1'!$A$2:$A$50,"593*",'BALANCE N-1'!$H$2:$H$50)-SUMIF('BALANCE N-1'!$A$2:$A$50,"593*",'BALANCE N-1'!$G$2:$G$50)+SUMIF('BALANCE N-1'!$A$2:$A$50,"592*",'BALANCE N-1'!$H$2:$H$50)-SUMIF('BALANCE N-1'!$A$2:$A$50,"592*",'BALANCE N-1'!$G$2:$G$50)+SUMIF('BALANCE N-1'!$A$2:$A$50,"595*",'BALANCE N-1'!$H$2:$H$50)-SUMIF('BALANCE N-1'!$A$2:$A$50,"595*",'BALANCE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N'!$A$2:$A$50,"481*",'BALANCE N'!$H$2:$H$50)-SUMIF('BALANCE N'!$A$2:$A$50,"481*",'BALANCE N'!$G$2:$G$50)+SUMIF('BALANCE N'!$A$2:$A$50,"484*",'BALANCE N'!$H$2:$H$50)-SUMIF('BALANCE N'!$A$2:$A$50,"484*",'BALANCE N'!$G$2:$G$50)+SUMIF('BALANCE N'!$A$2:$A$50,"4998*",'BALANCE N'!$H$2:$H$50)-SUMIF('BALANCE N'!$A$2:$A$50,"4998*",'BALANCE N'!$G$2:$G$50))</f>
        <v/>
      </c>
      <c r="E18" s="71">
        <f>(SUMIF('BALANCE N-1'!$A$2:$A$50,"481*",'BALANCE N-1'!$H$2:$H$50)-SUMIF('BALANCE N-1'!$A$2:$A$50,"481*",'BALANCE N-1'!$G$2:$G$50)+SUMIF('BALANCE N-1'!$A$2:$A$50,"484*",'BALANCE N-1'!$H$2:$H$50)-SUMIF('BALANCE N-1'!$A$2:$A$50,"484*",'BALANCE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N'!$A$2:$A$50,"44*",'BALANCE N'!$H$2:$H$50)+SUMIF('BALANCE N'!$A$2:$A$50,"43*",'BALANCE N'!$H$2:$H$50)+SUMIF('BALANCE N'!$A$2:$A$50,"47*",'BALANCE N'!$H$2:$H$50)+SUMIF('BALANCE N'!$A$2:$A$50,"42*",'BALANCE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N-1'!$A$2:$A$50,"44*",'BALANCE N-1'!$H$2:$H$50)+SUMIF('BALANCE N-1'!$A$2:$A$50,"43*",'BALANCE N-1'!$H$2:$H$50)+SUMIF('BALANCE N-1'!$A$2:$A$50,"47*",'BALANCE N-1'!$H$2:$H$50)+SUMIF('BALANCE N-1'!$A$2:$A$50,"42*",'BALANCE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</f>
        <v/>
      </c>
      <c r="E22" s="71">
        <f>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N'!$A$2:$A$50,"78*",'BALANCE N'!$H$2:$H$50)-SUMIF('BALANCE N'!$A$2:$A$50,"78*",'BALANCE N'!$G$2:$G$50)+SUMIF('BALANCE N'!$A$2:$A$50,"73*",'BALANCE N'!$H$2:$H$50)-SUMIF('BALANCE N'!$A$2:$A$50,"73*",'BALANCE N'!$G$2:$G$50)+SUMIF('BALANCE N'!$A$2:$A$50,"77*",'BALANCE N'!$H$2:$H$50)-SUMIF('BALANCE N'!$A$2:$A$50,"77*",'BALANCE N'!$G$2:$G$50)+SUMIF('BALANCE N'!$A$2:$A$50,"72*",'BALANCE N'!$H$2:$H$50)-SUMIF('BALANCE N'!$A$2:$A$50,"72*",'BALANCE N'!$G$2:$G$50)+SUMIF('BALANCE N'!$A$2:$A$50,"75*",'BALANCE N'!$H$2:$H$50)-SUMIF('BALANCE N'!$A$2:$A$50,"75*",'BALANCE N'!$G$2:$G$50)+SUMIF('BALANCE N'!$A$2:$A$50,"706*",'BALANCE N'!$H$2:$H$50)-SUMIF('BALANCE N'!$A$2:$A$50,"706*",'BALANCE N'!$G$2:$G$50)+SUMIF('BALANCE N'!$A$2:$A$50,"708*",'BALANCE N'!$H$2:$H$50)-SUMIF('BALANCE N'!$A$2:$A$50,"708*",'BALANCE N'!$G$2:$G$50)+SUMIF('BALANCE N'!$A$2:$A$50,"707*",'BALANCE N'!$H$2:$H$50)-SUMIF('BALANCE N'!$A$2:$A$50,"707*",'BALANCE N'!$G$2:$G$50))</f>
        <v/>
      </c>
      <c r="E12" s="71">
        <f>(SUMIF('BALANCE N-1'!$A$2:$A$50,"78*",'BALANCE N-1'!$H$2:$H$50)-SUMIF('BALANCE N-1'!$A$2:$A$50,"78*",'BALANCE N-1'!$G$2:$G$50)+SUMIF('BALANCE N-1'!$A$2:$A$50,"73*",'BALANCE N-1'!$H$2:$H$50)-SUMIF('BALANCE N-1'!$A$2:$A$50,"73*",'BALANCE N-1'!$G$2:$G$50)+SUMIF('BALANCE N-1'!$A$2:$A$50,"77*",'BALANCE N-1'!$H$2:$H$50)-SUMIF('BALANCE N-1'!$A$2:$A$50,"77*",'BALANCE N-1'!$G$2:$G$50)+SUMIF('BALANCE N-1'!$A$2:$A$50,"72*",'BALANCE N-1'!$H$2:$H$50)-SUMIF('BALANCE N-1'!$A$2:$A$50,"72*",'BALANCE N-1'!$G$2:$G$50)+SUMIF('BALANCE N-1'!$A$2:$A$50,"75*",'BALANCE N-1'!$H$2:$H$50)-SUMIF('BALANCE N-1'!$A$2:$A$50,"75*",'BALANCE N-1'!$G$2:$G$50)+SUMIF('BALANCE N-1'!$A$2:$A$50,"706*",'BALANCE N-1'!$H$2:$H$50)-SUMIF('BALANCE N-1'!$A$2:$A$50,"706*",'BALANCE N-1'!$G$2:$G$50)+SUMIF('BALANCE N-1'!$A$2:$A$50,"708*",'BALANCE N-1'!$H$2:$H$50)-SUMIF('BALANCE N-1'!$A$2:$A$50,"708*",'BALANCE N-1'!$G$2:$G$50)+SUMIF('BALANCE N-1'!$A$2:$A$50,"707*",'BALANCE N-1'!$H$2:$H$50)-SUMIF('BALANCE N-1'!$A$2:$A$50,"707*",'BALANCE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N'!$A$2:$A$50,"602*",'BALANCE N'!$H$2:$H$50)-SUMIF('BALANCE N'!$A$2:$A$50,"602*",'BALANCE N'!$G$2:$G$50)+SUMIF('BALANCE N'!$A$2:$A$50,"601*",'BALANCE N'!$H$2:$H$50)-SUMIF('BALANCE N'!$A$2:$A$50,"601*",'BALANCE N'!$G$2:$G$50))</f>
        <v/>
      </c>
      <c r="E15" s="71">
        <f>(SUMIF('BALANCE N-1'!$A$2:$A$50,"602*",'BALANCE N-1'!$H$2:$H$50)-SUMIF('BALANCE N-1'!$A$2:$A$50,"602*",'BALANCE N-1'!$G$2:$G$50)+SUMIF('BALANCE N-1'!$A$2:$A$50,"601*",'BALANCE N-1'!$H$2:$H$50)-SUMIF('BALANCE N-1'!$A$2:$A$50,"601*",'BALANCE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N'!$A$2:$A$50,"608*",'BALANCE N'!$H$2:$H$50)-SUMIF('BALANCE N'!$A$2:$A$50,"608*",'BALANCE N'!$G$2:$G$50)+SUMIF('BALANCE N'!$A$2:$A$50,"604*",'BALANCE N'!$H$2:$H$50)-SUMIF('BALANCE N'!$A$2:$A$50,"604*",'BALANCE N'!$G$2:$G$50)+SUMIF('BALANCE N'!$A$2:$A$50,"606*",'BALANCE N'!$H$2:$H$50)-SUMIF('BALANCE N'!$A$2:$A$50,"606*",'BALANCE N'!$G$2:$G$50)+SUMIF('BALANCE N'!$A$2:$A$50,"605*",'BALANCE N'!$H$2:$H$50)-SUMIF('BALANCE N'!$A$2:$A$50,"605*",'BALANCE N'!$G$2:$G$50))</f>
        <v/>
      </c>
      <c r="E16" s="71">
        <f>(SUMIF('BALANCE N-1'!$A$2:$A$50,"608*",'BALANCE N-1'!$H$2:$H$50)-SUMIF('BALANCE N-1'!$A$2:$A$50,"608*",'BALANCE N-1'!$G$2:$G$50)+SUMIF('BALANCE N-1'!$A$2:$A$50,"604*",'BALANCE N-1'!$H$2:$H$50)-SUMIF('BALANCE N-1'!$A$2:$A$50,"604*",'BALANCE N-1'!$G$2:$G$50)+SUMIF('BALANCE N-1'!$A$2:$A$50,"606*",'BALANCE N-1'!$H$2:$H$50)-SUMIF('BALANCE N-1'!$A$2:$A$50,"606*",'BALANCE N-1'!$G$2:$G$50)+SUMIF('BALANCE N-1'!$A$2:$A$50,"605*",'BALANCE N-1'!$H$2:$H$50)-SUMIF('BALANCE N-1'!$A$2:$A$50,"605*",'BALANCE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N'!$A$2:$A$50,"68*",'BALANCE N'!$H$2:$H$50)-SUMIF('BALANCE N'!$A$2:$A$50,"68*",'BALANCE N'!$G$2:$G$50)+SUMIF('BALANCE N'!$A$2:$A$50,"69*",'BALANCE N'!$H$2:$H$50)-SUMIF('BALANCE N'!$A$2:$A$50,"69*",'BALANCE N'!$G$2:$G$50))</f>
        <v/>
      </c>
      <c r="E24" s="71">
        <f>(SUMIF('BALANCE N-1'!$A$2:$A$50,"68*",'BALANCE N-1'!$H$2:$H$50)-SUMIF('BALANCE N-1'!$A$2:$A$50,"68*",'BALANCE N-1'!$G$2:$G$50)+SUMIF('BALANCE N-1'!$A$2:$A$50,"69*",'BALANCE N-1'!$H$2:$H$50)-SUMIF('BALANCE N-1'!$A$2:$A$50,"69*",'BALANCE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N'!$A$2:$A$50,"88*",'BALANCE N'!$H$2:$H$50)-SUMIF('BALANCE N'!$A$2:$A$50,"88*",'BALANCE N'!$G$2:$G$50)+SUMIF('BALANCE N'!$A$2:$A$50,"82*",'BALANCE N'!$H$2:$H$50)-SUMIF('BALANCE N'!$A$2:$A$50,"82*",'BALANCE N'!$G$2:$G$50)+SUMIF('BALANCE N'!$A$2:$A$50,"84*",'BALANCE N'!$H$2:$H$50)-SUMIF('BALANCE N'!$A$2:$A$50,"84*",'BALANCE N'!$G$2:$G$50)+SUMIF('BALANCE N'!$A$2:$A$50,"86*",'BALANCE N'!$H$2:$H$50)-SUMIF('BALANCE N'!$A$2:$A$50,"86*",'BALANCE N'!$G$2:$G$50))</f>
        <v/>
      </c>
      <c r="E25" s="71">
        <f>(SUMIF('BALANCE N-1'!$A$2:$A$50,"88*",'BALANCE N-1'!$H$2:$H$50)-SUMIF('BALANCE N-1'!$A$2:$A$50,"88*",'BALANCE N-1'!$G$2:$G$50)+SUMIF('BALANCE N-1'!$A$2:$A$50,"82*",'BALANCE N-1'!$H$2:$H$50)-SUMIF('BALANCE N-1'!$A$2:$A$50,"82*",'BALANCE N-1'!$G$2:$G$50)+SUMIF('BALANCE N-1'!$A$2:$A$50,"84*",'BALANCE N-1'!$H$2:$H$50)-SUMIF('BALANCE N-1'!$A$2:$A$50,"84*",'BALANCE N-1'!$G$2:$G$50)+SUMIF('BALANCE N-1'!$A$2:$A$50,"86*",'BALANCE N-1'!$H$2:$H$50)-SUMIF('BALANCE N-1'!$A$2:$A$50,"86*",'BALANCE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N'!$A$2:$A$50,"87*",'BALANCE N'!$H$2:$H$50)-SUMIF('BALANCE N'!$A$2:$A$50,"87*",'BALANCE N'!$G$2:$G$50)+SUMIF('BALANCE N'!$A$2:$A$50,"83*",'BALANCE N'!$H$2:$H$50)-SUMIF('BALANCE N'!$A$2:$A$50,"83*",'BALANCE N'!$G$2:$G$50)+SUMIF('BALANCE N'!$A$2:$A$50,"81*",'BALANCE N'!$H$2:$H$50)-SUMIF('BALANCE N'!$A$2:$A$50,"81*",'BALANCE N'!$G$2:$G$50)+SUMIF('BALANCE N'!$A$2:$A$50,"85*",'BALANCE N'!$H$2:$H$50)-SUMIF('BALANCE N'!$A$2:$A$50,"85*",'BALANCE N'!$G$2:$G$50))</f>
        <v/>
      </c>
      <c r="E26" s="71">
        <f>(SUMIF('BALANCE N-1'!$A$2:$A$50,"87*",'BALANCE N-1'!$H$2:$H$50)-SUMIF('BALANCE N-1'!$A$2:$A$50,"87*",'BALANCE N-1'!$G$2:$G$50)+SUMIF('BALANCE N-1'!$A$2:$A$50,"83*",'BALANCE N-1'!$H$2:$H$50)-SUMIF('BALANCE N-1'!$A$2:$A$50,"83*",'BALANCE N-1'!$G$2:$G$50)+SUMIF('BALANCE N-1'!$A$2:$A$50,"81*",'BALANCE N-1'!$H$2:$H$50)-SUMIF('BALANCE N-1'!$A$2:$A$50,"81*",'BALANCE N-1'!$G$2:$G$50)+SUMIF('BALANCE N-1'!$A$2:$A$50,"85*",'BALANCE N-1'!$H$2:$H$50)-SUMIF('BALANCE N-1'!$A$2:$A$50,"85*",'BALANCE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  <row r="42"/>
    <row r="43" ht="26" customHeight="1">
      <c r="A43" s="118" t="inlineStr">
        <is>
          <t>NOTE À COMPLÉTER</t>
        </is>
      </c>
    </row>
    <row r="44" ht="26" customHeight="1"/>
    <row r="45" ht="26" customHeight="1"/>
  </sheetData>
  <mergeCells count="37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A43:J45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  <row r="20"/>
    <row r="21" ht="26" customHeight="1">
      <c r="A21" s="118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  <row r="17"/>
    <row r="18" ht="26" customHeight="1">
      <c r="A18" s="118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9" t="inlineStr">
        <is>
          <t>IMMOBILISATIONS INCORPORELLES</t>
        </is>
      </c>
      <c r="B9" s="120" t="n"/>
      <c r="C9" s="120" t="n"/>
      <c r="D9" s="120" t="n"/>
      <c r="E9" s="120" t="n"/>
    </row>
    <row r="10">
      <c r="A10" s="84" t="inlineStr">
        <is>
          <t>Brevets, licences, logiciels et droits similaires</t>
        </is>
      </c>
      <c r="B10" s="85">
        <f>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</f>
        <v/>
      </c>
      <c r="C10" s="85">
        <f>MAX(0,(SUMIF('BALANCE N'!$A$2:$A$50,"214*",'BALANCE N'!$G$2:$G$50)-SUMIF('BALANCE N'!$A$2:$A$50,"214*",'BALANCE N'!$H$2:$H$50)+SUMIF('BALANCE N'!$A$2:$A$50,"213*",'BALANCE N'!$G$2:$G$50)-SUMIF('BALANCE N'!$A$2:$A$50,"213*",'BALANCE N'!$H$2:$H$50)+SUMIF('BALANCE N'!$A$2:$A$50,"212*",'BALANCE N'!$G$2:$G$50)-SUMIF('BALANCE N'!$A$2:$A$50,"212*",'BALANCE N'!$H$2:$H$50))-(SUMIF('BALANCE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N-1'!$H$2:$H$50)))</f>
        <v/>
      </c>
      <c r="D10" s="85">
        <f>MAX(0,(SUMIF('BALANCE N-1'!$A$2:$A$50,"214*",'BALANCE N-1'!$G$2:$G$50)-SUMIF('BALANCE N-1'!$A$2:$A$50,"214*",'BALANCE N-1'!$H$2:$H$50)+SUMIF('BALANCE N-1'!$A$2:$A$50,"213*",'BALANCE N-1'!$G$2:$G$50)-SUMIF('BALANCE N-1'!$A$2:$A$50,"213*",'BALANCE N-1'!$H$2:$H$50)+SUMIF('BALANCE N-1'!$A$2:$A$50,"212*",'BALANCE N-1'!$G$2:$G$50)-SUMIF('BALANCE N-1'!$A$2:$A$50,"212*",'BALANCE N-1'!$H$2:$H$50))-(SUMIF('BALANCE N'!$A$2:$A$50,"214*",'BALANCE N'!$G$2:$G$50)-SUMIF('BALANCE N'!$A$2:$A$50,"214*",'BALANCE N'!$H$2:$H$50)+SUMIF('BALANCE N'!$A$2:$A$50,"213*",'BALANCE N'!$G$2:$G$50)-SUMIF('BALANCE N'!$A$2:$A$50,"213*",'BALANCE N'!$H$2:$H$50)+SUMIF('BALANCE N'!$A$2:$A$50,"212*",'BALANCE N'!$G$2:$G$50)-SUMIF('BALANCE N'!$A$2:$A$50,"212*",'BALANCE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N-1'!$A$2:$A$50,"219*",'BALANCE N-1'!$G$2:$G$50)-SUMIF('BALANCE N-1'!$A$2:$A$50,"219*",'BALANCE N-1'!$H$2:$H$50)+SUMIF('BALANCE N-1'!$A$2:$A$50,"218*",'BALANCE N-1'!$G$2:$G$50)-SUMIF('BALANCE N-1'!$A$2:$A$50,"218*",'BALANCE N-1'!$H$2:$H$50)</f>
        <v/>
      </c>
      <c r="C12" s="85">
        <f>MAX(0,(SUMIF('BALANCE N'!$A$2:$A$50,"219*",'BALANCE N'!$G$2:$G$50)-SUMIF('BALANCE N'!$A$2:$A$50,"219*",'BALANCE N'!$H$2:$H$50)+SUMIF('BALANCE N'!$A$2:$A$50,"218*",'BALANCE N'!$G$2:$G$50)-SUMIF('BALANCE N'!$A$2:$A$50,"218*",'BALANCE N'!$H$2:$H$50))-(SUMIF('BALANCE N-1'!$A$2:$A$50,"219*",'BALANCE N-1'!$G$2:$G$50)-SUMIF('BALANCE N-1'!$A$2:$A$50,"219*",'BALANCE N-1'!$H$2:$H$50)+SUMIF('BALANCE N-1'!$A$2:$A$50,"218*",'BALANCE N-1'!$G$2:$G$50)-SUMIF('BALANCE N-1'!$A$2:$A$50,"218*",'BALANCE N-1'!$H$2:$H$50)))</f>
        <v/>
      </c>
      <c r="D12" s="85">
        <f>MAX(0,(SUMIF('BALANCE N-1'!$A$2:$A$50,"219*",'BALANCE N-1'!$G$2:$G$50)-SUMIF('BALANCE N-1'!$A$2:$A$50,"219*",'BALANCE N-1'!$H$2:$H$50)+SUMIF('BALANCE N-1'!$A$2:$A$50,"218*",'BALANCE N-1'!$G$2:$G$50)-SUMIF('BALANCE N-1'!$A$2:$A$50,"218*",'BALANCE N-1'!$H$2:$H$50))-(SUMIF('BALANCE N'!$A$2:$A$50,"219*",'BALANCE N'!$G$2:$G$50)-SUMIF('BALANCE N'!$A$2:$A$50,"219*",'BALANCE N'!$H$2:$H$50)+SUMIF('BALANCE N'!$A$2:$A$50,"218*",'BALANCE N'!$G$2:$G$50)-SUMIF('BALANCE N'!$A$2:$A$50,"218*",'BALANCE N'!$H$2:$H$50)))</f>
        <v/>
      </c>
      <c r="E12" s="85">
        <f>B12+C12-D12</f>
        <v/>
      </c>
    </row>
    <row r="13">
      <c r="A13" s="119" t="inlineStr">
        <is>
          <t>IMMOBILISATIONS CORPORELLES</t>
        </is>
      </c>
      <c r="B13" s="120" t="n"/>
      <c r="C13" s="120" t="n"/>
      <c r="D13" s="120" t="n"/>
      <c r="E13" s="120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</f>
        <v/>
      </c>
      <c r="C16" s="85">
        <f>MAX(0,(SUMIF('BALANCE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N'!$H$2:$H$50)-SUMIF('BALANCE N'!$A$2:$A$50,"2315*",'BALANCE N'!$G$2:$G$50)+SUMIF('BALANCE N'!$A$2:$A$50,"2315*",'BALANCE N'!$H$2:$H$50)-SUMIF('BALANCE N'!$A$2:$A$50,"2325*",'BALANCE N'!$G$2:$G$50)+SUMIF('BALANCE N'!$A$2:$A$50,"2325*",'BALANCE N'!$H$2:$H$50))-(SUMIF('BALANCE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N-1'!$H$2:$H$50)))</f>
        <v/>
      </c>
      <c r="D16" s="85">
        <f>MAX(0,(SUMIF('BALANCE N-1'!$A$2:$A$50,"231*",'BALANCE N-1'!$G$2:$G$50)-SUMIF('BALANCE N-1'!$A$2:$A$50,"231*",'BALANCE N-1'!$H$2:$H$50)+SUMIF('BALANCE N-1'!$A$2:$A$50,"233*",'BALANCE N-1'!$G$2:$G$50)-SUMIF('BALANCE N-1'!$A$2:$A$50,"233*",'BALANCE N-1'!$H$2:$H$50)+SUMIF('BALANCE N-1'!$A$2:$A$50,"232*",'BALANCE N-1'!$G$2:$G$50)-SUMIF('BALANCE N-1'!$A$2:$A$50,"232*",'BALANCE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N-1'!$H$2:$H$50))-(SUMIF('BALANCE N'!$A$2:$A$50,"231*",'BALANCE N'!$G$2:$G$50)-SUMIF('BALANCE N'!$A$2:$A$50,"231*",'BALANCE N'!$H$2:$H$50)+SUMIF('BALANCE N'!$A$2:$A$50,"233*",'BALANCE N'!$G$2:$G$50)-SUMIF('BALANCE N'!$A$2:$A$50,"233*",'BALANCE N'!$H$2:$H$50)+SUMIF('BALANCE N'!$A$2:$A$50,"232*",'BALANCE N'!$G$2:$G$50)-SUMIF('BALANCE N'!$A$2:$A$50,"232*",'BALANCE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N'!$H$2:$H$50)-SUMIF('BALANCE N'!$A$2:$A$50,"2315*",'BALANCE N'!$G$2:$G$50)+SUMIF('BALANCE N'!$A$2:$A$50,"2315*",'BALANCE N'!$H$2:$H$50)-SUMIF('BALANCE N'!$A$2:$A$50,"2325*",'BALANCE N'!$G$2:$G$50)+SUMIF('BALANCE N'!$A$2:$A$50,"2325*",'BALANCE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N-1'!$A$2:$A$50,"2315*",'BALANCE N-1'!$G$2:$G$50)-SUMIF('BALANCE N-1'!$A$2:$A$50,"2315*",'BALANCE N-1'!$H$2:$H$50)+SUMIF('BALANCE N-1'!$A$2:$A$50,"2396*",'BALANCE N-1'!$G$2:$G$50)-SUMIF('BALANCE N-1'!$A$2:$A$50,"2396*",'BALANCE N-1'!$H$2:$H$50)+SUMIF('BALANCE N-1'!$A$2:$A$50,"2325*",'BALANCE N-1'!$G$2:$G$50)-SUMIF('BALANCE N-1'!$A$2:$A$50,"2325*",'BALANCE N-1'!$H$2:$H$50)</f>
        <v/>
      </c>
      <c r="C17" s="85">
        <f>MAX(0,(SUMIF('BALANCE N'!$A$2:$A$50,"2315*",'BALANCE N'!$G$2:$G$50)-SUMIF('BALANCE N'!$A$2:$A$50,"2315*",'BALANCE N'!$H$2:$H$50)+SUMIF('BALANCE N'!$A$2:$A$50,"2396*",'BALANCE N'!$G$2:$G$50)-SUMIF('BALANCE N'!$A$2:$A$50,"2396*",'BALANCE N'!$H$2:$H$50)+SUMIF('BALANCE N'!$A$2:$A$50,"2325*",'BALANCE N'!$G$2:$G$50)-SUMIF('BALANCE N'!$A$2:$A$50,"2325*",'BALANCE N'!$H$2:$H$50))-(SUMIF('BALANCE N-1'!$A$2:$A$50,"2315*",'BALANCE N-1'!$G$2:$G$50)-SUMIF('BALANCE N-1'!$A$2:$A$50,"2315*",'BALANCE N-1'!$H$2:$H$50)+SUMIF('BALANCE N-1'!$A$2:$A$50,"2396*",'BALANCE N-1'!$G$2:$G$50)-SUMIF('BALANCE N-1'!$A$2:$A$50,"2396*",'BALANCE N-1'!$H$2:$H$50)+SUMIF('BALANCE N-1'!$A$2:$A$50,"2325*",'BALANCE N-1'!$G$2:$G$50)-SUMIF('BALANCE N-1'!$A$2:$A$50,"2325*",'BALANCE N-1'!$H$2:$H$50)))</f>
        <v/>
      </c>
      <c r="D17" s="85">
        <f>MAX(0,(SUMIF('BALANCE N-1'!$A$2:$A$50,"2315*",'BALANCE N-1'!$G$2:$G$50)-SUMIF('BALANCE N-1'!$A$2:$A$50,"2315*",'BALANCE N-1'!$H$2:$H$50)+SUMIF('BALANCE N-1'!$A$2:$A$50,"2396*",'BALANCE N-1'!$G$2:$G$50)-SUMIF('BALANCE N-1'!$A$2:$A$50,"2396*",'BALANCE N-1'!$H$2:$H$50)+SUMIF('BALANCE N-1'!$A$2:$A$50,"2325*",'BALANCE N-1'!$G$2:$G$50)-SUMIF('BALANCE N-1'!$A$2:$A$50,"2325*",'BALANCE N-1'!$H$2:$H$50))-(SUMIF('BALANCE N'!$A$2:$A$50,"2315*",'BALANCE N'!$G$2:$G$50)-SUMIF('BALANCE N'!$A$2:$A$50,"2315*",'BALANCE N'!$H$2:$H$50)+SUMIF('BALANCE N'!$A$2:$A$50,"2396*",'BALANCE N'!$G$2:$G$50)-SUMIF('BALANCE N'!$A$2:$A$50,"2396*",'BALANCE N'!$H$2:$H$50)+SUMIF('BALANCE N'!$A$2:$A$50,"2325*",'BALANCE N'!$G$2:$G$50)-SUMIF('BALANCE N'!$A$2:$A$50,"2325*",'BALANCE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N-1'!$A$2:$A$50,"234*",'BALANCE N-1'!$G$2:$G$50)-SUMIF('BALANCE N-1'!$A$2:$A$50,"234*",'BALANCE N-1'!$H$2:$H$50)+SUMIF('BALANCE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</f>
        <v/>
      </c>
      <c r="C18" s="85">
        <f>MAX(0,(SUMIF('BALANCE N'!$A$2:$A$50,"234*",'BALANCE N'!$G$2:$G$50)-SUMIF('BALANCE N'!$A$2:$A$50,"234*",'BALANCE N'!$H$2:$H$50)+SUMIF('BALANCE N'!$A$2:$A$50,"238*",'BALANCE N'!$G$2:$G$50)-SUMIF('BALANCE N'!$A$2:$A$50,"238*",'BALANCE N'!$H$2:$H$50)+SUMIF('BALANCE N'!$A$2:$A$50,"235*",'BALANCE N'!$G$2:$G$50)-SUMIF('BALANCE N'!$A$2:$A$50,"235*",'BALANCE N'!$H$2:$H$50)+SUMIF('BALANCE N'!$A$2:$A$50,"2394*",'BALANCE N'!$G$2:$G$50)-SUMIF('BALANCE N'!$A$2:$A$50,"2394*",'BALANCE N'!$H$2:$H$50)+SUMIF('BALANCE N'!$A$2:$A$50,"2398*",'BALANCE N'!$G$2:$G$50)-SUMIF('BALANCE N'!$A$2:$A$50,"2398*",'BALANCE N'!$H$2:$H$50)+SUMIF('BALANCE N'!$A$2:$A$50,"2395*",'BALANCE N'!$G$2:$G$50)-SUMIF('BALANCE N'!$A$2:$A$50,"2395*",'BALANCE N'!$H$2:$H$50))-(SUMIF('BALANCE N-1'!$A$2:$A$50,"234*",'BALANCE N-1'!$G$2:$G$50)-SUMIF('BALANCE N-1'!$A$2:$A$50,"234*",'BALANCE N-1'!$H$2:$H$50)+SUMIF('BALANCE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N-1'!$H$2:$H$50)))</f>
        <v/>
      </c>
      <c r="D18" s="85">
        <f>MAX(0,(SUMIF('BALANCE N-1'!$A$2:$A$50,"234*",'BALANCE N-1'!$G$2:$G$50)-SUMIF('BALANCE N-1'!$A$2:$A$50,"234*",'BALANCE N-1'!$H$2:$H$50)+SUMIF('BALANCE N-1'!$A$2:$A$50,"238*",'BALANCE N-1'!$G$2:$G$50)-SUMIF('BALANCE N-1'!$A$2:$A$50,"238*",'BALANCE N-1'!$H$2:$H$50)+SUMIF('BALANCE N-1'!$A$2:$A$50,"235*",'BALANCE N-1'!$G$2:$G$50)-SUMIF('BALANCE N-1'!$A$2:$A$50,"235*",'BALANCE N-1'!$H$2:$H$50)+SUMIF('BALANCE N-1'!$A$2:$A$50,"2394*",'BALANCE N-1'!$G$2:$G$50)-SUMIF('BALANCE N-1'!$A$2:$A$50,"2394*",'BALANCE N-1'!$H$2:$H$50)+SUMIF('BALANCE N-1'!$A$2:$A$50,"2398*",'BALANCE N-1'!$G$2:$G$50)-SUMIF('BALANCE N-1'!$A$2:$A$50,"2398*",'BALANCE N-1'!$H$2:$H$50)+SUMIF('BALANCE N-1'!$A$2:$A$50,"2395*",'BALANCE N-1'!$G$2:$G$50)-SUMIF('BALANCE N-1'!$A$2:$A$50,"2395*",'BALANCE N-1'!$H$2:$H$50))-(SUMIF('BALANCE N'!$A$2:$A$50,"234*",'BALANCE N'!$G$2:$G$50)-SUMIF('BALANCE N'!$A$2:$A$50,"234*",'BALANCE N'!$H$2:$H$50)+SUMIF('BALANCE N'!$A$2:$A$50,"238*",'BALANCE N'!$G$2:$G$50)-SUMIF('BALANCE N'!$A$2:$A$50,"238*",'BALANCE N'!$H$2:$H$50)+SUMIF('BALANCE N'!$A$2:$A$50,"235*",'BALANCE N'!$G$2:$G$50)-SUMIF('BALANCE N'!$A$2:$A$50,"235*",'BALANCE N'!$H$2:$H$50)+SUMIF('BALANCE N'!$A$2:$A$50,"2394*",'BALANCE N'!$G$2:$G$50)-SUMIF('BALANCE N'!$A$2:$A$50,"2394*",'BALANCE N'!$H$2:$H$50)+SUMIF('BALANCE N'!$A$2:$A$50,"2398*",'BALANCE N'!$G$2:$G$50)-SUMIF('BALANCE N'!$A$2:$A$50,"2398*",'BALANCE N'!$H$2:$H$50)+SUMIF('BALANCE N'!$A$2:$A$50,"2395*",'BALANCE N'!$G$2:$G$50)-SUMIF('BALANCE N'!$A$2:$A$50,"2395*",'BALANCE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9" t="inlineStr">
        <is>
          <t>IMMOBILISATIONS FINANCIÈRES</t>
        </is>
      </c>
      <c r="B22" s="120" t="n"/>
      <c r="C22" s="120" t="n"/>
      <c r="D22" s="120" t="n"/>
      <c r="E22" s="120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</f>
        <v/>
      </c>
      <c r="C24" s="85">
        <f>MAX(0,(SUMIF('BALANCE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N'!$H$2:$H$50))-(SUMIF('BALANCE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</f>
        <v/>
      </c>
      <c r="D24" s="85">
        <f>MAX(0,(SUMIF('BALANCE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N-1'!$H$2:$H$50))-(SUMIF('BALANCE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  <row r="31"/>
    <row r="32" ht="34" customHeight="1">
      <c r="A32" s="121">
        <f>IF(SUM(B9:B25,C9:C25,D9:D25,E9:E25)=0,"NÉANT","")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2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</f>
        <v/>
      </c>
      <c r="C12" s="85">
        <f>MAX(0,(SUMIF('BALANCE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N'!$H$2:$H$50))-(SUMIF('BALANCE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N-1'!$H$2:$H$50)))</f>
        <v/>
      </c>
      <c r="D12" s="85">
        <f>MAX(0,(SUMIF('BALANCE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N-1'!$H$2:$H$50))-(SUMIF('BALANCE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  <row r="20"/>
    <row r="21" ht="34" customHeight="1">
      <c r="A21" s="121">
        <f>IF(SUM(B10:B14,C10:C14,D10:D14,E10:E14)=0,"NÉANT","")</f>
        <v/>
      </c>
    </row>
    <row r="22" ht="34" customHeight="1"/>
    <row r="23" ht="34" customHeight="1"/>
  </sheetData>
  <mergeCells count="4">
    <mergeCell ref="A8:E8"/>
    <mergeCell ref="A7:E7"/>
    <mergeCell ref="A21:E23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ACTIF CIRCULANT HAO</t>
        </is>
      </c>
      <c r="B9" s="120" t="n"/>
      <c r="C9" s="120" t="n"/>
      <c r="D9" s="120" t="n"/>
      <c r="E9" s="123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4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5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4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5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5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9" t="inlineStr">
        <is>
          <t>DETTES CIRCULANTES HAO</t>
        </is>
      </c>
      <c r="B16" s="120" t="n"/>
      <c r="C16" s="120" t="n"/>
      <c r="D16" s="120" t="n"/>
      <c r="E16" s="123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4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5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  <row r="23"/>
    <row r="24" ht="34" customHeight="1">
      <c r="A24" s="121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4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5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5">
        <f>IF(C19=0,"",(B19-C19)/C19)</f>
        <v/>
      </c>
    </row>
    <row r="20"/>
    <row r="21" ht="34" customHeight="1">
      <c r="A21" s="121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</f>
        <v/>
      </c>
      <c r="C10" s="85">
        <f>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N'!$A$2:$A$50,"493*",'BALANCE N'!$H$2:$H$50)-SUMIF('BALANCE N'!$A$2:$A$50,"493*",'BALANCE N'!$G$2:$G$50)+SUMIF('BALANCE N'!$A$2:$A$50,"497*",'BALANCE N'!$H$2:$H$50)-SUMIF('BALANCE N'!$A$2:$A$50,"497*",'BALANCE N'!$G$2:$G$50)+SUMIF('BALANCE N'!$A$2:$A$50,"490*",'BALANCE N'!$H$2:$H$50)-SUMIF('BALANCE N'!$A$2:$A$50,"490*",'BALANCE N'!$G$2:$G$50)+SUMIF('BALANCE N'!$A$2:$A$50,"492*",'BALANCE N'!$H$2:$H$50)-SUMIF('BALANCE N'!$A$2:$A$50,"492*",'BALANCE N'!$G$2:$G$50)+SUMIF('BALANCE N'!$A$2:$A$50,"494*",'BALANCE N'!$H$2:$H$50)-SUMIF('BALANCE N'!$A$2:$A$50,"494*",'BALANCE N'!$G$2:$G$50)+SUMIF('BALANCE N'!$A$2:$A$50,"491*",'BALANCE N'!$H$2:$H$50)-SUMIF('BALANCE N'!$A$2:$A$50,"491*",'BALANCE N'!$G$2:$G$50)</f>
        <v/>
      </c>
      <c r="C16" s="85">
        <f>SUMIF('BALANCE N-1'!$A$2:$A$50,"493*",'BALANCE N-1'!$H$2:$H$50)-SUMIF('BALANCE N-1'!$A$2:$A$50,"493*",'BALANCE N-1'!$G$2:$G$50)+SUMIF('BALANCE N-1'!$A$2:$A$50,"497*",'BALANCE N-1'!$H$2:$H$50)-SUMIF('BALANCE N-1'!$A$2:$A$50,"497*",'BALANCE N-1'!$G$2:$G$50)+SUMIF('BALANCE N-1'!$A$2:$A$50,"490*",'BALANCE N-1'!$H$2:$H$50)-SUMIF('BALANCE N-1'!$A$2:$A$50,"490*",'BALANCE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5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5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  <row r="22"/>
    <row r="23" ht="34" customHeight="1">
      <c r="A23" s="121">
        <f>IF(SUM(B9:B18,C9:C18,D9:D18,F15:F18,G15:G18,H15:H18)=0,"NÉANT","")</f>
        <v/>
      </c>
    </row>
    <row r="24" ht="34" customHeight="1"/>
    <row r="25" ht="34" customHeight="1"/>
  </sheetData>
  <mergeCells count="4">
    <mergeCell ref="A7:H7"/>
    <mergeCell ref="G2:H2"/>
    <mergeCell ref="A23:H25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4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5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Autres banques</t>
        </is>
      </c>
      <c r="B17" s="85">
        <f>SUMIF('BALANCE N'!$A$2:$A$50,"524*",'BALANCE N'!$G$2:$G$50)+SUMIF('BALANCE N'!$A$2:$A$50,"523*",'BALANCE N'!$G$2:$G$50)</f>
        <v/>
      </c>
      <c r="C17" s="85">
        <f>SUMIF('BALANCE N-1'!$A$2:$A$50,"524*",'BALANCE N-1'!$G$2:$G$50)+SUMIF('BALANCE N-1'!$A$2:$A$50,"523*",'BALANCE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N'!$A$2:$A$50,"533*",'BALANCE N'!$G$2:$G$50)+SUMIF('BALANCE N'!$A$2:$A$50,"538*",'BALANCE N'!$G$2:$G$50)+SUMIF('BALANCE N'!$A$2:$A$50,"532*",'BALANCE N'!$G$2:$G$50)</f>
        <v/>
      </c>
      <c r="C20" s="85">
        <f>SUMIF('BALANCE N-1'!$A$2:$A$50,"533*",'BALANCE N-1'!$G$2:$G$50)+SUMIF('BALANCE N-1'!$A$2:$A$50,"538*",'BALANCE N-1'!$G$2:$G$50)+SUMIF('BALANCE N-1'!$A$2:$A$50,"532*",'BALANCE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4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5">
        <f>IF(C24=0,"",(B24-C24)/C24)</f>
        <v/>
      </c>
    </row>
    <row r="25">
      <c r="A25" s="84" t="inlineStr">
        <is>
          <t>Dépréciations</t>
        </is>
      </c>
      <c r="B25" s="85">
        <f>SUMIF('BALANCE N'!$A$2:$A$50,"592*",'BALANCE N'!$H$2:$H$50)-SUMIF('BALANCE N'!$A$2:$A$50,"592*",'BALANCE N'!$G$2:$G$50)+SUMIF('BALANCE N'!$A$2:$A$50,"591*",'BALANCE N'!$H$2:$H$50)-SUMIF('BALANCE N'!$A$2:$A$50,"591*",'BALANCE N'!$G$2:$G$50)+SUMIF('BALANCE N'!$A$2:$A$50,"595*",'BALANCE N'!$H$2:$H$50)-SUMIF('BALANCE N'!$A$2:$A$50,"595*",'BALANCE N'!$G$2:$G$50)+SUMIF('BALANCE N'!$A$2:$A$50,"593*",'BALANCE N'!$H$2:$H$50)-SUMIF('BALANCE N'!$A$2:$A$50,"593*",'BALANCE N'!$G$2:$G$50)</f>
        <v/>
      </c>
      <c r="C25" s="85">
        <f>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N-1'!$A$2:$A$50,"595*",'BALANCE N-1'!$H$2:$H$50)-SUMIF('BALANCE N-1'!$A$2:$A$50,"595*",'BALANCE N-1'!$G$2:$G$50)+SUMIF('BALANCE N-1'!$A$2:$A$50,"593*",'BALANCE N-1'!$H$2:$H$50)-SUMIF('BALANCE N-1'!$A$2:$A$50,"593*",'BALANCE N-1'!$G$2:$G$50)</f>
        <v/>
      </c>
      <c r="D25" s="85">
        <f>B25-C25</f>
        <v/>
      </c>
      <c r="E25" s="124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5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5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  <row r="31"/>
    <row r="32" ht="34" customHeight="1">
      <c r="A32" s="121">
        <f>IF(SUM(B9:B27,C9:C27,D9:D27)=0,"NÉANT","")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  <row r="13"/>
    <row r="14" ht="34" customHeight="1">
      <c r="A14" s="121">
        <f>IF(SUM(B9:B12,C9:C12,D9:D12)=0,"NÉANT","")</f>
        <v/>
      </c>
    </row>
    <row r="15" ht="34" customHeight="1"/>
    <row r="16" ht="34" customHeight="1"/>
  </sheetData>
  <mergeCells count="3">
    <mergeCell ref="A7:E7"/>
    <mergeCell ref="A14:E16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6" t="inlineStr">
        <is>
          <t>FONDS D'INVESTISSEMENT</t>
        </is>
      </c>
      <c r="B9" s="127" t="n"/>
      <c r="C9" s="127" t="n"/>
      <c r="D9" s="127" t="n"/>
      <c r="E9" s="127" t="n"/>
      <c r="F9" s="127" t="n"/>
      <c r="G9" s="127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6" t="inlineStr">
        <is>
          <t>FONDS D'ADMINISTRATION (2)</t>
        </is>
      </c>
      <c r="B15" s="127" t="n"/>
      <c r="C15" s="127" t="n"/>
      <c r="D15" s="127" t="n"/>
      <c r="E15" s="127" t="n"/>
      <c r="F15" s="127" t="n"/>
      <c r="G15" s="127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N'!$A$2:$A$50,"163*",'BALANCE N'!$H$2:$H$50)-SUMIF('BALANCE N'!$A$2:$A$50,"163*",'BALANCE N'!$G$2:$G$50)+SUMIF('BALANCE N'!$A$2:$A$50,"162*",'BALANCE N'!$H$2:$H$50)-SUMIF('BALANCE N'!$A$2:$A$50,"162*",'BALANCE N'!$G$2:$G$50)+SUMIF('BALANCE N'!$A$2:$A$50,"164*",'BALANCE N'!$H$2:$H$50)-SUMIF('BALANCE N'!$A$2:$A$50,"164*",'BALANCE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N'!$A$2:$A$50,"464*",'BALANCE N'!$H$2:$H$50)-SUMIF('BALANCE N'!$A$2:$A$50,"464*",'BALANCE N'!$G$2:$G$50)+SUMIF('BALANCE N'!$A$2:$A$50,"463*",'BALANCE N'!$H$2:$H$50)-SUMIF('BALANCE N'!$A$2:$A$50,"463*",'BALANCE N'!$G$2:$G$50)+SUMIF('BALANCE N'!$A$2:$A$50,"462*",'BALANCE N'!$H$2:$H$50)-SUMIF('BALANCE N'!$A$2:$A$50,"462*",'BALANCE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  <row r="28"/>
    <row r="29" ht="34" customHeight="1">
      <c r="A29" s="121">
        <f>IF(SUM(B10:B25,C10:C20,D10:D20,E10:E20,F10:F20,G10:G20)=0,"NÉANT","")</f>
        <v/>
      </c>
    </row>
    <row r="30" ht="34" customHeight="1"/>
    <row r="31" ht="34" customHeight="1"/>
  </sheetData>
  <mergeCells count="4">
    <mergeCell ref="F2:G2"/>
    <mergeCell ref="A29:G31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4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  <c r="F17" s="9" t="n"/>
      <c r="G17" s="9" t="n"/>
    </row>
    <row r="18"/>
    <row r="19" ht="34" customHeight="1">
      <c r="A19" s="121">
        <f>IF(SUM(B9:B17,C9:C17,D9:D17,F17:F17,G17:G17)=0,"NÉANT","")</f>
        <v/>
      </c>
    </row>
    <row r="20" ht="34" customHeight="1"/>
    <row r="21" ht="34" customHeight="1"/>
  </sheetData>
  <mergeCells count="4">
    <mergeCell ref="A19:G21"/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N'!$A$2:$A$50,"181*",'BALANCE N'!$H$2:$H$50)-SUMIF('BALANCE N'!$A$2:$A$50,"181*",'BALANCE N'!$G$2:$G$50)+SUMIF('BALANCE N'!$A$2:$A$50,"188*",'BALANCE N'!$H$2:$H$50)-SUMIF('BALANCE N'!$A$2:$A$50,"188*",'BALANCE N'!$G$2:$G$50)</f>
        <v/>
      </c>
      <c r="C13" s="85">
        <f>SUMIF('BALANCE N-1'!$A$2:$A$50,"181*",'BALANCE N-1'!$H$2:$H$50)-SUMIF('BALANCE N-1'!$A$2:$A$50,"181*",'BALANCE N-1'!$G$2:$G$50)+SUMIF('BALANCE N-1'!$A$2:$A$50,"188*",'BALANCE N-1'!$H$2:$H$50)-SUMIF('BALANCE N-1'!$A$2:$A$50,"188*",'BALANCE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N'!$A$2:$A$50,"1871*",'BALANCE N'!$H$2:$H$50)+SUMIF('BALANCE N'!$A$2:$A$50,"1871*",'BALANCE N'!$G$2:$G$50)-SUMIF('BALANCE N'!$A$2:$A$50,"1872*",'BALANCE N'!$H$2:$H$50)+SUMIF('BALANCE N'!$A$2:$A$50,"1872*",'BALANCE N'!$G$2:$G$50)-SUMIF('BALANCE N'!$A$2:$A$50,"1873*",'BALANCE N'!$H$2:$H$50)+SUMIF('BALANCE N'!$A$2:$A$50,"1873*",'BALANCE N'!$G$2:$G$50)-SUMIF('BALANCE N'!$A$2:$A$50,"1876*",'BALANCE N'!$H$2:$H$50)+SUMIF('BALANCE N'!$A$2:$A$50,"1876*",'BALANCE N'!$G$2:$G$50)</f>
        <v/>
      </c>
      <c r="C19" s="85">
        <f>SUMIF('BALANCE N-1'!$A$2:$A$50,"187*",'BALANCE N-1'!$H$2:$H$50)-SUMIF('BALANCE N-1'!$A$2:$A$50,"187*",'BALANCE N-1'!$G$2:$G$50)-SUMIF('BALANCE N-1'!$A$2:$A$50,"1871*",'BALANCE N-1'!$H$2:$H$50)+SUMIF('BALANCE N-1'!$A$2:$A$50,"1871*",'BALANCE N-1'!$G$2:$G$50)-SUMIF('BALANCE N-1'!$A$2:$A$50,"1872*",'BALANCE N-1'!$H$2:$H$50)+SUMIF('BALANCE N-1'!$A$2:$A$50,"1872*",'BALANCE N-1'!$G$2:$G$50)-SUMIF('BALANCE N-1'!$A$2:$A$50,"1873*",'BALANCE N-1'!$H$2:$H$50)+SUMIF('BALANCE N-1'!$A$2:$A$50,"1873*",'BALANCE N-1'!$G$2:$G$50)-SUMIF('BALANCE N-1'!$A$2:$A$50,"1876*",'BALANCE N-1'!$H$2:$H$50)+SUMIF('BALANCE N-1'!$A$2:$A$50,"1876*",'BALANCE N-1'!$G$2:$G$50)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5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4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N'!$A$2:$A$50,"192*",'BALANCE N'!$H$2:$H$50)-SUMIF('BALANCE N'!$A$2:$A$50,"192*",'BALANCE N'!$G$2:$G$50)+SUMIF('BALANCE N'!$A$2:$A$50,"198*",'BALANCE N'!$H$2:$H$50)-SUMIF('BALANCE N'!$A$2:$A$50,"198*",'BALANCE N'!$G$2:$G$50)</f>
        <v/>
      </c>
      <c r="C24" s="85">
        <f>SUMIF('BALANCE N-1'!$A$2:$A$50,"192*",'BALANCE N-1'!$H$2:$H$50)-SUMIF('BALANCE N-1'!$A$2:$A$50,"192*",'BALANCE N-1'!$G$2:$G$50)+SUMIF('BALANCE N-1'!$A$2:$A$50,"198*",'BALANCE N-1'!$H$2:$H$50)-SUMIF('BALANCE N-1'!$A$2:$A$50,"198*",'BALANCE N-1'!$G$2:$G$50)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5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  <row r="30"/>
    <row r="31" ht="34" customHeight="1">
      <c r="A31" s="121">
        <f>IF(SUM(B9:B26,C9:C26,D9:D26,F14:F26,G14:G26,H14:H26)=0,"NÉANT","")</f>
        <v/>
      </c>
    </row>
    <row r="32" ht="34" customHeight="1"/>
    <row r="33" ht="34" customHeight="1"/>
  </sheetData>
  <mergeCells count="4">
    <mergeCell ref="A7:H7"/>
    <mergeCell ref="G2:H2"/>
    <mergeCell ref="A31:H33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5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N'!$A$2:$A$50,"425*",'BALANCE N'!$H$2:$H$50)+SUMIF('BALANCE N'!$A$2:$A$50,"428*",'BALANCE N'!$H$2:$H$50)+SUMIF('BALANCE N'!$A$2:$A$50,"427*",'BALANCE N'!$H$2:$H$50)+SUMIF('BALANCE N'!$A$2:$A$50,"424*",'BALANCE N'!$H$2:$H$50)+SUMIF('BALANCE N'!$A$2:$A$50,"421*",'BALANCE N'!$H$2:$H$50)+SUMIF('BALANCE N'!$A$2:$A$50,"423*",'BALANCE N'!$H$2:$H$50)-SUMIF('BALANCE N'!$A$2:$A$50,"4281*",'BALANCE N'!$H$2:$H$50)</f>
        <v/>
      </c>
      <c r="C15" s="85">
        <f>SUMIF('BALANCE N-1'!$A$2:$A$50,"425*",'BALANCE N-1'!$H$2:$H$50)+SUMIF('BALANCE N-1'!$A$2:$A$50,"428*",'BALANCE N-1'!$H$2:$H$50)+SUMIF('BALANCE N-1'!$A$2:$A$50,"427*",'BALANCE N-1'!$H$2:$H$50)+SUMIF('BALANCE N-1'!$A$2:$A$50,"424*",'BALANCE N-1'!$H$2:$H$50)+SUMIF('BALANCE N-1'!$A$2:$A$50,"421*",'BALANCE N-1'!$H$2:$H$50)+SUMIF('BALANCE N-1'!$A$2:$A$50,"423*",'BALANCE N-1'!$H$2:$H$50)-SUMIF('BALANCE N-1'!$A$2:$A$50,"4281*",'BALANCE N-1'!$H$2:$H$50)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4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5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N'!$A$2:$A$50,"444*",'BALANCE N'!$H$2:$H$50)+SUMIF('BALANCE N'!$A$2:$A$50,"443*",'BALANCE N'!$H$2:$H$50)+SUMIF('BALANCE N'!$A$2:$A$50,"445*",'BALANCE N'!$H$2:$H$50)</f>
        <v/>
      </c>
      <c r="C23" s="85">
        <f>SUMIF('BALANCE N-1'!$A$2:$A$50,"444*",'BALANCE N-1'!$H$2:$H$50)+SUMIF('BALANCE N-1'!$A$2:$A$50,"443*",'BALANCE N-1'!$H$2:$H$50)+SUMIF('BALANCE N-1'!$A$2:$A$50,"445*",'BALANCE N-1'!$H$2:$H$50)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N'!$A$2:$A$50,"449*",'BALANCE N'!$H$2:$H$50)+SUMIF('BALANCE N'!$A$2:$A$50,"448*",'BALANCE N'!$H$2:$H$50)</f>
        <v/>
      </c>
      <c r="C25" s="85">
        <f>SUMIF('BALANCE N-1'!$A$2:$A$50,"449*",'BALANCE N-1'!$H$2:$H$50)+SUMIF('BALANCE N-1'!$A$2:$A$50,"448*",'BALANCE N-1'!$H$2:$H$50)</f>
        <v/>
      </c>
      <c r="D25" s="85">
        <f>B25-C25</f>
        <v/>
      </c>
      <c r="E25" s="124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5">
        <f>IF(C27=0,"",(B27-C27)/C27)</f>
        <v/>
      </c>
      <c r="F27" s="9" t="n"/>
      <c r="G27" s="9" t="n"/>
      <c r="H27" s="9" t="n"/>
    </row>
    <row r="28"/>
    <row r="29" ht="34" customHeight="1">
      <c r="A29" s="121">
        <f>IF(SUM(B9:B27,C9:C27,D9:D27,F11:F27,G11:G27,H11:H27)=0,"NÉANT","")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4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5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banques</t>
        </is>
      </c>
      <c r="B13" s="85">
        <f>SUMIF('BALANCE N'!$A$2:$A$50,"524*",'BALANCE N'!$H$2:$H$50)+SUMIF('BALANCE N'!$A$2:$A$50,"525*",'BALANCE N'!$H$2:$H$50)+SUMIF('BALANCE N'!$A$2:$A$50,"523*",'BALANCE N'!$H$2:$H$50)</f>
        <v/>
      </c>
      <c r="C13" s="85">
        <f>SUMIF('BALANCE N-1'!$A$2:$A$50,"524*",'BALANCE N-1'!$H$2:$H$50)+SUMIF('BALANCE N-1'!$A$2:$A$50,"525*",'BALANCE N-1'!$H$2:$H$50)+SUMIF('BALANCE N-1'!$A$2:$A$50,"523*",'BALANCE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N'!$A$2:$A$50,"566*",'BALANCE N'!$H$2:$H$50)+SUMIF('BALANCE N'!$A$2:$A$50,"526*",'BALANCE N'!$H$2:$H$50)</f>
        <v/>
      </c>
      <c r="C14" s="85">
        <f>SUMIF('BALANCE N-1'!$A$2:$A$50,"566*",'BALANCE N-1'!$H$2:$H$50)+SUMIF('BALANCE N-1'!$A$2:$A$50,"526*",'BALANCE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5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N'!$A$2:$A$50,"78*",'BALANCE N'!$H$2:$H$50)-SUMIF('BALANCE N'!$A$2:$A$50,"78*",'BALANCE N'!$G$2:$G$50)+SUMIF('BALANCE N'!$A$2:$A$50,"73*",'BALANCE N'!$H$2:$H$50)-SUMIF('BALANCE N'!$A$2:$A$50,"73*",'BALANCE N'!$G$2:$G$50)+SUMIF('BALANCE N'!$A$2:$A$50,"77*",'BALANCE N'!$H$2:$H$50)-SUMIF('BALANCE N'!$A$2:$A$50,"77*",'BALANCE N'!$G$2:$G$50)+SUMIF('BALANCE N'!$A$2:$A$50,"75*",'BALANCE N'!$H$2:$H$50)-SUMIF('BALANCE N'!$A$2:$A$50,"75*",'BALANCE N'!$G$2:$G$50)+SUMIF('BALANCE N'!$A$2:$A$50,"706*",'BALANCE N'!$H$2:$H$50)-SUMIF('BALANCE N'!$A$2:$A$50,"706*",'BALANCE N'!$G$2:$G$50)+SUMIF('BALANCE N'!$A$2:$A$50,"708*",'BALANCE N'!$H$2:$H$50)-SUMIF('BALANCE N'!$A$2:$A$50,"708*",'BALANCE N'!$G$2:$G$50)</f>
        <v/>
      </c>
      <c r="C14" s="85">
        <f>SUMIF('BALANCE N-1'!$A$2:$A$50,"78*",'BALANCE N-1'!$H$2:$H$50)-SUMIF('BALANCE N-1'!$A$2:$A$50,"78*",'BALANCE N-1'!$G$2:$G$50)+SUMIF('BALANCE N-1'!$A$2:$A$50,"73*",'BALANCE N-1'!$H$2:$H$50)-SUMIF('BALANCE N-1'!$A$2:$A$50,"73*",'BALANCE N-1'!$G$2:$G$50)+SUMIF('BALANCE N-1'!$A$2:$A$50,"77*",'BALANCE N-1'!$H$2:$H$50)-SUMIF('BALANCE N-1'!$A$2:$A$50,"77*",'BALANCE N-1'!$G$2:$G$50)+SUMIF('BALANCE N-1'!$A$2:$A$50,"75*",'BALANCE N-1'!$H$2:$H$50)-SUMIF('BALANCE N-1'!$A$2:$A$50,"75*",'BALANCE N-1'!$G$2:$G$50)+SUMIF('BALANCE N-1'!$A$2:$A$50,"706*",'BALANCE N-1'!$H$2:$H$50)-SUMIF('BALANCE N-1'!$A$2:$A$50,"706*",'BALANCE N-1'!$G$2:$G$50)+SUMIF('BALANCE N-1'!$A$2:$A$50,"708*",'BALANCE N-1'!$H$2:$H$50)-SUMIF('BALANCE N-1'!$A$2:$A$50,"708*",'BALANCE N-1'!$G$2:$G$50)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N'!$A$2:$A$50,"619*",'BALANCE N'!$G$2:$G$50)-SUMIF('BALANCE N'!$A$2:$A$50,"619*",'BALANCE N'!$H$2:$H$50)+SUMIF('BALANCE N'!$A$2:$A$50,"618*",'BALANCE N'!$G$2:$G$50)-SUMIF('BALANCE N'!$A$2:$A$50,"618*",'BALANCE N'!$H$2:$H$50)</f>
        <v/>
      </c>
      <c r="C13" s="85">
        <f>SUMIF('BALANCE N-1'!$A$2:$A$50,"619*",'BALANCE N-1'!$G$2:$G$50)-SUMIF('BALANCE N-1'!$A$2:$A$50,"619*",'BALANCE N-1'!$H$2:$H$50)+SUMIF('BALANCE N-1'!$A$2:$A$50,"618*",'BALANCE N-1'!$G$2:$G$50)-SUMIF('BALANCE N-1'!$A$2:$A$50,"618*",'BALANCE N-1'!$H$2:$H$50)</f>
        <v/>
      </c>
      <c r="D13" s="85">
        <f>B13-C13</f>
        <v/>
      </c>
      <c r="E13" s="124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</row>
    <row r="15"/>
    <row r="16" ht="34" customHeight="1">
      <c r="A16" s="121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5">
        <f>IF(C25=0,"",(B25-C25)/C25)</f>
        <v/>
      </c>
    </row>
    <row r="26"/>
    <row r="27" ht="34" customHeight="1">
      <c r="A27" s="121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  <row r="19"/>
    <row r="20" ht="34" customHeight="1">
      <c r="A20" s="121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  <row r="26"/>
    <row r="27" ht="34" customHeight="1">
      <c r="A27" s="121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N'!$A$2:$A$50,"678*",'BALANCE N'!$G$2:$G$50)-SUMIF('BALANCE N'!$A$2:$A$50,"678*",'BALANCE N'!$H$2:$H$50)+SUMIF('BALANCE N'!$A$2:$A$50,"679*",'BALANCE N'!$G$2:$G$50)-SUMIF('BALANCE N'!$A$2:$A$50,"679*",'BALANCE N'!$H$2:$H$50)</f>
        <v/>
      </c>
      <c r="C15" s="85">
        <f>SUMIF('BALANCE N-1'!$A$2:$A$50,"678*",'BALANCE N-1'!$G$2:$G$50)-SUMIF('BALANCE N-1'!$A$2:$A$50,"678*",'BALANCE N-1'!$H$2:$H$50)+SUMIF('BALANCE N-1'!$A$2:$A$50,"679*",'BALANCE N-1'!$G$2:$G$50)-SUMIF('BALANCE N-1'!$A$2:$A$50,"679*",'BALANCE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N'!$A$2:$A$50,"777*",'BALANCE N'!$H$2:$H$50)-SUMIF('BALANCE N'!$A$2:$A$50,"777*",'BALANCE N'!$G$2:$G$50)+SUMIF('BALANCE N'!$A$2:$A$50,"778*",'BALANCE N'!$H$2:$H$50)-SUMIF('BALANCE N'!$A$2:$A$50,"778*",'BALANCE N'!$G$2:$G$50)</f>
        <v/>
      </c>
      <c r="C22" s="85">
        <f>SUMIF('BALANCE N-1'!$A$2:$A$50,"777*",'BALANCE N-1'!$H$2:$H$50)-SUMIF('BALANCE N-1'!$A$2:$A$50,"777*",'BALANCE N-1'!$G$2:$G$50)+SUMIF('BALANCE N-1'!$A$2:$A$50,"778*",'BALANCE N-1'!$H$2:$H$50)-SUMIF('BALANCE N-1'!$A$2:$A$50,"778*",'BALANCE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5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5">
        <f>IF(C26=0,"",(B26-C26)/C26)</f>
        <v/>
      </c>
    </row>
    <row r="27"/>
    <row r="28" ht="34" customHeight="1">
      <c r="A28" s="121">
        <f>IF(SUM(B9:B26,C9:C26,D9:D26)=0,"NÉANT","")</f>
        <v/>
      </c>
    </row>
    <row r="29" ht="34" customHeight="1"/>
    <row r="30" ht="34" customHeight="1"/>
  </sheetData>
  <mergeCells count="3">
    <mergeCell ref="A28:E30"/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N-1'!$A$2:$A$50,"493*",'BALANCE N-1'!$H$2:$H$50)-SUMIF('BALANCE N-1'!$A$2:$A$50,"493*",'BALANCE N-1'!$G$2:$G$50)+SUMIF('BALANCE N-1'!$A$2:$A$50,"497*",'BALANCE N-1'!$H$2:$H$50)-SUMIF('BALANCE N-1'!$A$2:$A$50,"497*",'BALANCE N-1'!$G$2:$G$50)+SUMIF('BALANCE N-1'!$A$2:$A$50,"490*",'BALANCE N-1'!$H$2:$H$50)-SUMIF('BALANCE N-1'!$A$2:$A$50,"490*",'BALANCE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</f>
        <v/>
      </c>
      <c r="C13" s="85">
        <f>MAX(0,(SUMIF('BALANCE N'!$A$2:$A$50,"493*",'BALANCE N'!$H$2:$H$50)-SUMIF('BALANCE N'!$A$2:$A$50,"493*",'BALANCE N'!$G$2:$G$50)+SUMIF('BALANCE N'!$A$2:$A$50,"497*",'BALANCE N'!$H$2:$H$50)-SUMIF('BALANCE N'!$A$2:$A$50,"497*",'BALANCE N'!$G$2:$G$50)+SUMIF('BALANCE N'!$A$2:$A$50,"490*",'BALANCE N'!$H$2:$H$50)-SUMIF('BALANCE N'!$A$2:$A$50,"490*",'BALANCE N'!$G$2:$G$50)+SUMIF('BALANCE N'!$A$2:$A$50,"492*",'BALANCE N'!$H$2:$H$50)-SUMIF('BALANCE N'!$A$2:$A$50,"492*",'BALANCE N'!$G$2:$G$50)+SUMIF('BALANCE N'!$A$2:$A$50,"494*",'BALANCE N'!$H$2:$H$50)-SUMIF('BALANCE N'!$A$2:$A$50,"494*",'BALANCE N'!$G$2:$G$50)+SUMIF('BALANCE N'!$A$2:$A$50,"491*",'BALANCE N'!$H$2:$H$50)-SUMIF('BALANCE N'!$A$2:$A$50,"491*",'BALANCE N'!$G$2:$G$50))-(SUMIF('BALANCE N-1'!$A$2:$A$50,"493*",'BALANCE N-1'!$H$2:$H$50)-SUMIF('BALANCE N-1'!$A$2:$A$50,"493*",'BALANCE N-1'!$G$2:$G$50)+SUMIF('BALANCE N-1'!$A$2:$A$50,"497*",'BALANCE N-1'!$H$2:$H$50)-SUMIF('BALANCE N-1'!$A$2:$A$50,"497*",'BALANCE N-1'!$G$2:$G$50)+SUMIF('BALANCE N-1'!$A$2:$A$50,"490*",'BALANCE N-1'!$H$2:$H$50)-SUMIF('BALANCE N-1'!$A$2:$A$50,"490*",'BALANCE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N-1'!$G$2:$G$50)))</f>
        <v/>
      </c>
      <c r="D13" s="85" t="n"/>
      <c r="E13" s="85" t="n"/>
      <c r="F13" s="85">
        <f>MAX(0,(SUMIF('BALANCE N-1'!$A$2:$A$50,"493*",'BALANCE N-1'!$H$2:$H$50)-SUMIF('BALANCE N-1'!$A$2:$A$50,"493*",'BALANCE N-1'!$G$2:$G$50)+SUMIF('BALANCE N-1'!$A$2:$A$50,"497*",'BALANCE N-1'!$H$2:$H$50)-SUMIF('BALANCE N-1'!$A$2:$A$50,"497*",'BALANCE N-1'!$G$2:$G$50)+SUMIF('BALANCE N-1'!$A$2:$A$50,"490*",'BALANCE N-1'!$H$2:$H$50)-SUMIF('BALANCE N-1'!$A$2:$A$50,"490*",'BALANCE N-1'!$G$2:$G$50)+SUMIF('BALANCE N-1'!$A$2:$A$50,"492*",'BALANCE N-1'!$H$2:$H$50)-SUMIF('BALANCE N-1'!$A$2:$A$50,"492*",'BALANCE N-1'!$G$2:$G$50)+SUMIF('BALANCE N-1'!$A$2:$A$50,"494*",'BALANCE N-1'!$H$2:$H$50)-SUMIF('BALANCE N-1'!$A$2:$A$50,"494*",'BALANCE N-1'!$G$2:$G$50)+SUMIF('BALANCE N-1'!$A$2:$A$50,"491*",'BALANCE N-1'!$H$2:$H$50)-SUMIF('BALANCE N-1'!$A$2:$A$50,"491*",'BALANCE N-1'!$G$2:$G$50))-(SUMIF('BALANCE N'!$A$2:$A$50,"493*",'BALANCE N'!$H$2:$H$50)-SUMIF('BALANCE N'!$A$2:$A$50,"493*",'BALANCE N'!$G$2:$G$50)+SUMIF('BALANCE N'!$A$2:$A$50,"497*",'BALANCE N'!$H$2:$H$50)-SUMIF('BALANCE N'!$A$2:$A$50,"497*",'BALANCE N'!$G$2:$G$50)+SUMIF('BALANCE N'!$A$2:$A$50,"490*",'BALANCE N'!$H$2:$H$50)-SUMIF('BALANCE N'!$A$2:$A$50,"490*",'BALANCE N'!$G$2:$G$50)+SUMIF('BALANCE N'!$A$2:$A$50,"492*",'BALANCE N'!$H$2:$H$50)-SUMIF('BALANCE N'!$A$2:$A$50,"492*",'BALANCE N'!$G$2:$G$50)+SUMIF('BALANCE N'!$A$2:$A$50,"494*",'BALANCE N'!$H$2:$H$50)-SUMIF('BALANCE N'!$A$2:$A$50,"494*",'BALANCE N'!$G$2:$G$50)+SUMIF('BALANCE N'!$A$2:$A$50,"491*",'BALANCE N'!$H$2:$H$50)-SUMIF('BALANCE N'!$A$2:$A$50,"491*",'BALANCE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N-1'!$A$2:$A$50,"595*",'BALANCE N-1'!$H$2:$H$50)-SUMIF('BALANCE N-1'!$A$2:$A$50,"595*",'BALANCE N-1'!$G$2:$G$50)+SUMIF('BALANCE N-1'!$A$2:$A$50,"593*",'BALANCE N-1'!$H$2:$H$50)-SUMIF('BALANCE N-1'!$A$2:$A$50,"593*",'BALANCE N-1'!$G$2:$G$50)</f>
        <v/>
      </c>
      <c r="C15" s="85" t="n"/>
      <c r="D15" s="85">
        <f>MAX(0,(SUMIF('BALANCE N'!$A$2:$A$50,"592*",'BALANCE N'!$H$2:$H$50)-SUMIF('BALANCE N'!$A$2:$A$50,"592*",'BALANCE N'!$G$2:$G$50)+SUMIF('BALANCE N'!$A$2:$A$50,"591*",'BALANCE N'!$H$2:$H$50)-SUMIF('BALANCE N'!$A$2:$A$50,"591*",'BALANCE N'!$G$2:$G$50)+SUMIF('BALANCE N'!$A$2:$A$50,"595*",'BALANCE N'!$H$2:$H$50)-SUMIF('BALANCE N'!$A$2:$A$50,"595*",'BALANCE N'!$G$2:$G$50)+SUMIF('BALANCE N'!$A$2:$A$50,"593*",'BALANCE N'!$H$2:$H$50)-SUMIF('BALANCE N'!$A$2:$A$50,"593*",'BALANCE N'!$G$2:$G$50))-(SUMIF('BALANCE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N-1'!$A$2:$A$50,"595*",'BALANCE N-1'!$H$2:$H$50)-SUMIF('BALANCE N-1'!$A$2:$A$50,"595*",'BALANCE N-1'!$G$2:$G$50)+SUMIF('BALANCE N-1'!$A$2:$A$50,"593*",'BALANCE N-1'!$H$2:$H$50)-SUMIF('BALANCE N-1'!$A$2:$A$50,"593*",'BALANCE N-1'!$G$2:$G$50)))</f>
        <v/>
      </c>
      <c r="E15" s="85" t="n"/>
      <c r="F15" s="85" t="n"/>
      <c r="G15" s="85">
        <f>MAX(0,(SUMIF('BALANCE N-1'!$A$2:$A$50,"592*",'BALANCE N-1'!$H$2:$H$50)-SUMIF('BALANCE N-1'!$A$2:$A$50,"592*",'BALANCE N-1'!$G$2:$G$50)+SUMIF('BALANCE N-1'!$A$2:$A$50,"591*",'BALANCE N-1'!$H$2:$H$50)-SUMIF('BALANCE N-1'!$A$2:$A$50,"591*",'BALANCE N-1'!$G$2:$G$50)+SUMIF('BALANCE N-1'!$A$2:$A$50,"595*",'BALANCE N-1'!$H$2:$H$50)-SUMIF('BALANCE N-1'!$A$2:$A$50,"595*",'BALANCE N-1'!$G$2:$G$50)+SUMIF('BALANCE N-1'!$A$2:$A$50,"593*",'BALANCE N-1'!$H$2:$H$50)-SUMIF('BALANCE N-1'!$A$2:$A$50,"593*",'BALANCE N-1'!$G$2:$G$50))-(SUMIF('BALANCE N'!$A$2:$A$50,"592*",'BALANCE N'!$H$2:$H$50)-SUMIF('BALANCE N'!$A$2:$A$50,"592*",'BALANCE N'!$G$2:$G$50)+SUMIF('BALANCE N'!$A$2:$A$50,"591*",'BALANCE N'!$H$2:$H$50)-SUMIF('BALANCE N'!$A$2:$A$50,"591*",'BALANCE N'!$G$2:$G$50)+SUMIF('BALANCE N'!$A$2:$A$50,"595*",'BALANCE N'!$H$2:$H$50)-SUMIF('BALANCE N'!$A$2:$A$50,"595*",'BALANCE N'!$G$2:$G$50)+SUMIF('BALANCE N'!$A$2:$A$50,"593*",'BALANCE N'!$H$2:$H$50)-SUMIF('BALANCE N'!$A$2:$A$50,"593*",'BALANCE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</f>
        <v/>
      </c>
      <c r="C16" s="85">
        <f>MAX(0,(SUMIF('BALANCE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N'!$G$2:$G$50))-(SUMIF('BALANCE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N-1'!$G$2:$G$50))-(SUMIF('BALANCE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  <row r="21"/>
    <row r="22" ht="34" customHeight="1">
      <c r="A22" s="121">
        <f>IF(SUM(B9:B18,C9:C18,D9:D18,E9:E18,F9:F18,G9:G18,H9:H18,I9:I18)=0,"NÉANT","")</f>
        <v/>
      </c>
    </row>
    <row r="23" ht="34" customHeight="1"/>
    <row r="24" ht="34" customHeight="1"/>
  </sheetData>
  <mergeCells count="4">
    <mergeCell ref="B4:F4"/>
    <mergeCell ref="A7:I7"/>
    <mergeCell ref="H2:I2"/>
    <mergeCell ref="A22:I2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N'!$A$2:$A$50,"838*",'BALANCE N'!$G$2:$G$50)-SUMIF('BALANCE N'!$A$2:$A$50,"838*",'BALANCE N'!$H$2:$H$50)+SUMIF('BALANCE N'!$A$2:$A$50,"839*",'BALANCE N'!$G$2:$G$50)-SUMIF('BALANCE N'!$A$2:$A$50,"839*",'BALANCE N'!$H$2:$H$50)</f>
        <v/>
      </c>
      <c r="C13" s="85">
        <f>SUMIF('BALANCE N-1'!$A$2:$A$50,"838*",'BALANCE N-1'!$G$2:$G$50)-SUMIF('BALANCE N-1'!$A$2:$A$50,"838*",'BALANCE N-1'!$H$2:$H$50)+SUMIF('BALANCE N-1'!$A$2:$A$50,"839*",'BALANCE N-1'!$G$2:$G$50)-SUMIF('BALANCE N-1'!$A$2:$A$50,"839*",'BALANCE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4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4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4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5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5">
        <f>IF(C28=0,"",(B28-C28)/C28)</f>
        <v/>
      </c>
    </row>
    <row r="29"/>
    <row r="30" ht="34" customHeight="1">
      <c r="A30" s="121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4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4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4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4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4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4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4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4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4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4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4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4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8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1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9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0" t="inlineStr">
        <is>
          <t>Partie 1 : Informations générales</t>
        </is>
      </c>
      <c r="B6" s="131" t="n"/>
      <c r="C6" s="131" t="n"/>
      <c r="D6" s="131" t="n"/>
      <c r="E6" s="131" t="n"/>
      <c r="F6" s="131" t="n"/>
      <c r="G6" s="131" t="n"/>
      <c r="H6" s="131" t="n"/>
    </row>
    <row r="7" ht="16" customHeight="1">
      <c r="A7" s="132" t="inlineStr">
        <is>
          <t>Note 1</t>
        </is>
      </c>
      <c r="B7" s="133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4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30" t="inlineStr">
        <is>
          <t>Partie 2 : Notes sur le tableau emplois-ressources, le tableau d'exécution budgétaire et la réconciliation de trésorerie</t>
        </is>
      </c>
      <c r="B9" s="131" t="n"/>
      <c r="C9" s="131" t="n"/>
      <c r="D9" s="131" t="n"/>
      <c r="E9" s="131" t="n"/>
      <c r="F9" s="131" t="n"/>
      <c r="G9" s="131" t="n"/>
      <c r="H9" s="131" t="n"/>
    </row>
    <row r="10" ht="16" customHeight="1">
      <c r="A10" s="132" t="inlineStr">
        <is>
          <t>Note 2</t>
        </is>
      </c>
      <c r="B10" s="133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4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30" t="inlineStr">
        <is>
          <t>Partie 3 : Notes sur le bilan</t>
        </is>
      </c>
      <c r="B12" s="131" t="n"/>
      <c r="C12" s="131" t="n"/>
      <c r="D12" s="131" t="n"/>
      <c r="E12" s="131" t="n"/>
      <c r="F12" s="131" t="n"/>
      <c r="G12" s="131" t="n"/>
      <c r="H12" s="131" t="n"/>
    </row>
    <row r="13" ht="16" customHeight="1">
      <c r="A13" s="132" t="inlineStr">
        <is>
          <t>Note 3A</t>
        </is>
      </c>
      <c r="B13" s="133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4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2" t="inlineStr">
        <is>
          <t>Note 3B</t>
        </is>
      </c>
      <c r="B15" s="133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4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9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2" t="inlineStr">
        <is>
          <t>Note 4</t>
        </is>
      </c>
      <c r="B22" s="133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4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2" t="inlineStr">
        <is>
          <t>Note 5</t>
        </is>
      </c>
      <c r="B24" s="133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4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2" t="inlineStr">
        <is>
          <t>Note 6</t>
        </is>
      </c>
      <c r="B26" s="133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4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2" t="inlineStr">
        <is>
          <t>Note 7</t>
        </is>
      </c>
      <c r="B28" s="133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4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9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2" t="inlineStr">
        <is>
          <t>Note 8</t>
        </is>
      </c>
      <c r="B35" s="133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4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2" t="inlineStr">
        <is>
          <t>Note 9</t>
        </is>
      </c>
      <c r="B37" s="133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4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2" t="inlineStr">
        <is>
          <t>Note 10</t>
        </is>
      </c>
      <c r="B39" s="133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4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2" t="inlineStr">
        <is>
          <t>Note 11</t>
        </is>
      </c>
      <c r="B41" s="133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4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9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2" t="inlineStr">
        <is>
          <t>Note 12</t>
        </is>
      </c>
      <c r="B48" s="133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4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2" t="inlineStr">
        <is>
          <t>Note 13</t>
        </is>
      </c>
      <c r="B50" s="133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4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30" t="inlineStr">
        <is>
          <t>Partie 4 : Notes sur le compte d'exploitation</t>
        </is>
      </c>
      <c r="B52" s="131" t="n"/>
      <c r="C52" s="131" t="n"/>
      <c r="D52" s="131" t="n"/>
      <c r="E52" s="131" t="n"/>
      <c r="F52" s="131" t="n"/>
      <c r="G52" s="131" t="n"/>
      <c r="H52" s="131" t="n"/>
    </row>
    <row r="53" ht="16" customHeight="1">
      <c r="A53" s="132" t="inlineStr">
        <is>
          <t>Note 14</t>
        </is>
      </c>
      <c r="B53" s="133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4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2" t="inlineStr">
        <is>
          <t>Note 15</t>
        </is>
      </c>
      <c r="B55" s="133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4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9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2" t="inlineStr">
        <is>
          <t>Note 16</t>
        </is>
      </c>
      <c r="B62" s="133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4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2" t="inlineStr">
        <is>
          <t>Note 17</t>
        </is>
      </c>
      <c r="B64" s="133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4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2" t="inlineStr">
        <is>
          <t>Note 18</t>
        </is>
      </c>
      <c r="B66" s="133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4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2" t="inlineStr">
        <is>
          <t>Note 19</t>
        </is>
      </c>
      <c r="B68" s="133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4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9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2" t="inlineStr">
        <is>
          <t>Note 20A</t>
        </is>
      </c>
      <c r="B75" s="133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4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2" t="inlineStr">
        <is>
          <t>Note 20B</t>
        </is>
      </c>
      <c r="B77" s="133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4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2" t="inlineStr">
        <is>
          <t>Note 21</t>
        </is>
      </c>
      <c r="B79" s="133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4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2" t="inlineStr">
        <is>
          <t>Note 22</t>
        </is>
      </c>
      <c r="B81" s="133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4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9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2" t="inlineStr">
        <is>
          <t>Note 23</t>
        </is>
      </c>
      <c r="B88" s="133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4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2" t="inlineStr">
        <is>
          <t>Note 24</t>
        </is>
      </c>
      <c r="B90" s="133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4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2026-09-02T17:00:44Z</dcterms:created>
  <dcterms:modified xsi:type="dcterms:W3CDTF">2026-09-02T17:00:44Z</dcterms:modified>
</cp:coreProperties>
</file>