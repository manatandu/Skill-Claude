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ARDE" sheetId="1" state="visible" r:id="rId1"/>
    <sheet name="IDENTIFICATION" sheetId="2" state="visible" r:id="rId2"/>
    <sheet name="Emplois-Ressources" sheetId="3" state="visible" r:id="rId3"/>
    <sheet name="Execution budgetaire" sheetId="4" state="visible" r:id="rId4"/>
    <sheet name="Reconciliation tresorerie" sheetId="5" state="visible" r:id="rId5"/>
    <sheet name="ACTIF" sheetId="6" state="visible" r:id="rId6"/>
    <sheet name="PASSIF" sheetId="7" state="visible" r:id="rId7"/>
    <sheet name="Compte Exploitation" sheetId="8" state="visible" r:id="rId8"/>
    <sheet name="FICHE NOTES" sheetId="9" state="visible" r:id="rId9"/>
    <sheet name="NOTE 1" sheetId="10" state="visible" r:id="rId10"/>
    <sheet name="NOTE 2" sheetId="11" state="visible" r:id="rId11"/>
    <sheet name="NOTE 3A" sheetId="12" state="visible" r:id="rId12"/>
    <sheet name="NOTE 3B" sheetId="13" state="visible" r:id="rId13"/>
    <sheet name="NOTE 4" sheetId="14" state="visible" r:id="rId14"/>
    <sheet name="NOTE 5" sheetId="15" state="visible" r:id="rId15"/>
    <sheet name="NOTE 6" sheetId="16" state="visible" r:id="rId16"/>
    <sheet name="NOTE 7" sheetId="17" state="visible" r:id="rId17"/>
    <sheet name="NOTE 8" sheetId="18" state="visible" r:id="rId18"/>
    <sheet name="NOTE 9" sheetId="19" state="visible" r:id="rId19"/>
    <sheet name="NOTE 10" sheetId="20" state="visible" r:id="rId20"/>
    <sheet name="NOTE 11" sheetId="21" state="visible" r:id="rId21"/>
    <sheet name="NOTE 12" sheetId="22" state="visible" r:id="rId22"/>
    <sheet name="NOTE 13" sheetId="23" state="visible" r:id="rId23"/>
    <sheet name="NOTE 14" sheetId="24" state="visible" r:id="rId24"/>
    <sheet name="NOTE 15" sheetId="25" state="visible" r:id="rId25"/>
    <sheet name="NOTE 16" sheetId="26" state="visible" r:id="rId26"/>
    <sheet name="NOTE 17" sheetId="27" state="visible" r:id="rId27"/>
    <sheet name="NOTE 18" sheetId="28" state="visible" r:id="rId28"/>
    <sheet name="NOTE 19" sheetId="29" state="visible" r:id="rId29"/>
    <sheet name="NOTE 20A" sheetId="30" state="visible" r:id="rId30"/>
    <sheet name="NOTE 20B" sheetId="31" state="visible" r:id="rId31"/>
    <sheet name="NOTE 21" sheetId="32" state="visible" r:id="rId32"/>
    <sheet name="NOTE 22" sheetId="33" state="visible" r:id="rId33"/>
    <sheet name="NOTE 23" sheetId="34" state="visible" r:id="rId34"/>
    <sheet name="NOTE 24" sheetId="35" state="visible" r:id="rId35"/>
    <sheet name="BALANCE" sheetId="36" state="visible" r:id="rId36"/>
    <sheet name="BALANCE_N1" sheetId="37" state="visible" r:id="rId37"/>
    <sheet name="CONTROLES" sheetId="38" state="visible" r:id="rId38"/>
    <sheet name="ANOMALIES" sheetId="39" state="visible" r:id="rId3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-#,##0"/>
    <numFmt numFmtId="165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color rgb="001F4E5F"/>
      <sz val="11"/>
    </font>
    <font>
      <name val="Calibri"/>
      <b val="1"/>
      <sz val="10"/>
    </font>
    <font>
      <name val="Calibri"/>
      <b val="1"/>
      <color rgb="00FFFFFF"/>
      <sz val="10"/>
    </font>
    <font>
      <name val="Calibri"/>
      <sz val="10"/>
    </font>
  </fonts>
  <fills count="6">
    <fill>
      <patternFill/>
    </fill>
    <fill>
      <patternFill patternType="gray125"/>
    </fill>
    <fill>
      <patternFill patternType="solid">
        <fgColor rgb="001F4E5F"/>
      </patternFill>
    </fill>
    <fill>
      <patternFill patternType="solid">
        <fgColor rgb="002E75B6"/>
      </patternFill>
    </fill>
    <fill>
      <patternFill patternType="solid">
        <fgColor rgb="00FCE4D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5" borderId="1" pivotButton="0" quotePrefix="0" xfId="0"/>
    <xf numFmtId="164" fontId="5" fillId="5" borderId="1" pivotButton="0" quotePrefix="0" xfId="0"/>
    <xf numFmtId="0" fontId="5" fillId="0" borderId="1" pivotButton="0" quotePrefix="0" xfId="0"/>
    <xf numFmtId="164" fontId="5" fillId="0" borderId="1" pivotButton="0" quotePrefix="0" xfId="0"/>
    <xf numFmtId="0" fontId="3" fillId="4" borderId="1" pivotButton="0" quotePrefix="0" xfId="0"/>
    <xf numFmtId="164" fontId="3" fillId="4" borderId="1" pivotButton="0" quotePrefix="0" xfId="0"/>
    <xf numFmtId="165" fontId="5" fillId="5" borderId="1" pivotButton="0" quotePrefix="0" xfId="0"/>
    <xf numFmtId="165" fontId="5" fillId="0" borderId="1" pivotButton="0" quotePrefix="0" xfId="0"/>
    <xf numFmtId="165" fontId="3" fillId="4" borderId="1" pivotButton="0" quotePrefix="0" xfId="0"/>
    <xf numFmtId="164" fontId="0" fillId="0" borderId="0" pivotButton="0" quotePrefix="0" xfId="0"/>
    <xf numFmtId="0" fontId="2" fillId="5" borderId="1" pivotButton="0" quotePrefix="0" xfId="0"/>
    <xf numFmtId="0" fontId="2" fillId="0" borderId="1" pivotButton="0" quotePrefix="0" xfId="0"/>
    <xf numFmtId="0" fontId="5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styles" Target="styles.xml" Id="rId40" /><Relationship Type="http://schemas.openxmlformats.org/officeDocument/2006/relationships/theme" Target="theme/theme1.xml" Id="rId4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0" customWidth="1" min="2" max="2"/>
    <col width="12" customWidth="1" min="3" max="3"/>
    <col width="26" customWidth="1" min="4" max="4"/>
    <col width="14" customWidth="1" min="5" max="5"/>
    <col width="14" customWidth="1" min="6" max="6"/>
  </cols>
  <sheetData>
    <row r="1"/>
    <row r="2">
      <c r="B2" s="1" t="inlineStr">
        <is>
          <t>ÉTATS FINANCIERS ANNUELS - SYCEBNL</t>
        </is>
      </c>
    </row>
    <row r="3"/>
    <row r="4">
      <c r="B4" s="2" t="inlineStr">
        <is>
          <t>Projets de développement et assimilés</t>
        </is>
      </c>
    </row>
    <row r="5"/>
    <row r="6">
      <c r="B6" s="3" t="inlineStr">
        <is>
          <t>Désignation du projet</t>
        </is>
      </c>
      <c r="D6" t="inlineStr">
        <is>
          <t>PROJET PADIR</t>
        </is>
      </c>
    </row>
    <row r="7">
      <c r="B7" s="3" t="inlineStr">
        <is>
          <t>Numéro d'identification</t>
        </is>
      </c>
      <c r="D7" t="inlineStr">
        <is>
          <t>Convention 2023/DR/045</t>
        </is>
      </c>
    </row>
    <row r="8">
      <c r="B8" s="3" t="inlineStr">
        <is>
          <t>Exercice clos le</t>
        </is>
      </c>
      <c r="D8" t="inlineStr">
        <is>
          <t>31/12/2025</t>
        </is>
      </c>
    </row>
    <row r="9">
      <c r="B9" s="3" t="inlineStr">
        <is>
          <t>Durée de l'exercice (mois)</t>
        </is>
      </c>
      <c r="D9" t="inlineStr">
        <is>
          <t>12</t>
        </is>
      </c>
    </row>
    <row r="10">
      <c r="B10" s="3" t="inlineStr">
        <is>
          <t>Balance N-1 fournie</t>
        </is>
      </c>
      <c r="D10" t="inlineStr">
        <is>
          <t>Oui</t>
        </is>
      </c>
    </row>
    <row r="11"/>
    <row r="12">
      <c r="B12" s="4" t="inlineStr">
        <is>
          <t>Composition du jeu d'états (Acte uniforme, art. 4)</t>
        </is>
      </c>
    </row>
    <row r="13">
      <c r="B13" t="inlineStr">
        <is>
          <t>• Fiche d'identification et fiche récapitulative des notes</t>
        </is>
      </c>
    </row>
    <row r="14">
      <c r="B14" t="inlineStr">
        <is>
          <t>• Tableau emplois-ressources</t>
        </is>
      </c>
    </row>
    <row r="15">
      <c r="B15" t="inlineStr">
        <is>
          <t>• Tableau d'exécution budgétaire</t>
        </is>
      </c>
    </row>
    <row r="16">
      <c r="B16" t="inlineStr">
        <is>
          <t>• Tableau de réconciliation de trésorerie</t>
        </is>
      </c>
    </row>
    <row r="17">
      <c r="B17" t="inlineStr">
        <is>
          <t>• Bilan : ACTIF et PASSIF (une feuille chacun)</t>
        </is>
      </c>
    </row>
    <row r="18">
      <c r="B18" t="inlineStr">
        <is>
          <t>• Compte d'exploitation</t>
        </is>
      </c>
    </row>
    <row r="19">
      <c r="B19" t="inlineStr">
        <is>
          <t>• Notes annexes 1 à 24 (une note par feuille)</t>
        </is>
      </c>
    </row>
    <row r="20">
      <c r="B20" t="inlineStr">
        <is>
          <t>• Feuilles d'audit : BALANCE, BALANCE_N1, CONTROLES, ANOMALIES</t>
        </is>
      </c>
    </row>
    <row r="21"/>
    <row r="22">
      <c r="B22" s="5" t="inlineStr">
        <is>
          <t>Chaque montant calculé porte une formule Excel pointant vers la feuille BALANCE : tout chiffre est retraçable jusqu'au compte qui l'alimente.</t>
        </is>
      </c>
    </row>
    <row r="23"/>
  </sheetData>
  <mergeCells count="3">
    <mergeCell ref="B4:F4"/>
    <mergeCell ref="B2:F3"/>
    <mergeCell ref="B22:F2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2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22" customWidth="1" min="2" max="2"/>
    <col width="22" customWidth="1" min="3" max="3"/>
    <col width="22" customWidth="1" min="4" max="4"/>
  </cols>
  <sheetData>
    <row r="1">
      <c r="A1" s="1" t="inlineStr">
        <is>
          <t>FICHE D'IDENTIFICATION ET RENSEIGNEMENTS GENERAUX</t>
        </is>
      </c>
    </row>
    <row r="2">
      <c r="A2" s="2" t="inlineStr">
        <is>
          <t>SYCEBNL - Projets de développement et assimilés</t>
        </is>
      </c>
    </row>
    <row r="3"/>
    <row r="4">
      <c r="A4" s="6" t="inlineStr">
        <is>
          <t>Dénomination / raison sociale de l'entité</t>
        </is>
      </c>
      <c r="B4" s="7" t="inlineStr">
        <is>
          <t>PROJET PADIR</t>
        </is>
      </c>
      <c r="C4" s="7" t="n"/>
      <c r="D4" s="7" t="n"/>
    </row>
    <row r="5">
      <c r="A5" s="6" t="inlineStr">
        <is>
          <t>Sigle usuel</t>
        </is>
      </c>
      <c r="B5" s="7" t="inlineStr"/>
      <c r="C5" s="7" t="n"/>
      <c r="D5" s="7" t="n"/>
    </row>
    <row r="6">
      <c r="A6" s="6" t="inlineStr">
        <is>
          <t>Forme juridique / type d'entité</t>
        </is>
      </c>
      <c r="B6" s="7" t="inlineStr"/>
      <c r="C6" s="7" t="n"/>
      <c r="D6" s="7" t="n"/>
    </row>
    <row r="7">
      <c r="A7" s="6" t="inlineStr">
        <is>
          <t>Numéro d'identification</t>
        </is>
      </c>
      <c r="B7" s="7" t="inlineStr">
        <is>
          <t>Convention 2023/DR/045</t>
        </is>
      </c>
      <c r="C7" s="7" t="n"/>
      <c r="D7" s="7" t="n"/>
    </row>
    <row r="8">
      <c r="A8" s="6" t="inlineStr">
        <is>
          <t>Registre (RCCM, F92, convention...)</t>
        </is>
      </c>
      <c r="B8" s="7" t="inlineStr"/>
      <c r="C8" s="7" t="n"/>
      <c r="D8" s="7" t="n"/>
    </row>
    <row r="9">
      <c r="A9" s="6" t="inlineStr">
        <is>
          <t>Adresse complète (immeuble, rue, quartier)</t>
        </is>
      </c>
      <c r="B9" s="7" t="inlineStr"/>
      <c r="C9" s="7" t="n"/>
      <c r="D9" s="7" t="n"/>
    </row>
    <row r="10">
      <c r="A10" s="6" t="inlineStr">
        <is>
          <t>Ville / Pays</t>
        </is>
      </c>
      <c r="B10" s="7" t="inlineStr"/>
      <c r="C10" s="7" t="n"/>
      <c r="D10" s="7" t="n"/>
    </row>
    <row r="11">
      <c r="A11" s="6" t="inlineStr">
        <is>
          <t>Téléphone</t>
        </is>
      </c>
      <c r="B11" s="7" t="inlineStr"/>
      <c r="C11" s="7" t="n"/>
      <c r="D11" s="7" t="n"/>
    </row>
    <row r="12">
      <c r="A12" s="6" t="inlineStr">
        <is>
          <t>Adresse électronique</t>
        </is>
      </c>
      <c r="B12" s="7" t="inlineStr"/>
      <c r="C12" s="7" t="n"/>
      <c r="D12" s="7" t="n"/>
    </row>
    <row r="13">
      <c r="A13" s="6" t="inlineStr">
        <is>
          <t>Activité principale / mission</t>
        </is>
      </c>
      <c r="B13" s="7" t="inlineStr"/>
      <c r="C13" s="7" t="n"/>
      <c r="D13" s="7" t="n"/>
    </row>
    <row r="14">
      <c r="A14" s="6" t="inlineStr">
        <is>
          <t>Référentiel comptable</t>
        </is>
      </c>
      <c r="B14" s="7" t="inlineStr">
        <is>
          <t>SYCEBNL</t>
        </is>
      </c>
      <c r="C14" s="7" t="n"/>
      <c r="D14" s="7" t="n"/>
    </row>
    <row r="15">
      <c r="A15" s="6" t="inlineStr">
        <is>
          <t>Système d'états financiers</t>
        </is>
      </c>
      <c r="B15" s="7" t="inlineStr">
        <is>
          <t>Projets de développement et assimilés</t>
        </is>
      </c>
      <c r="C15" s="7" t="n"/>
      <c r="D15" s="7" t="n"/>
    </row>
    <row r="16">
      <c r="A16" s="6" t="inlineStr">
        <is>
          <t>Exercice clos le</t>
        </is>
      </c>
      <c r="B16" s="7" t="inlineStr">
        <is>
          <t>31/12/2025</t>
        </is>
      </c>
      <c r="C16" s="7" t="n"/>
      <c r="D16" s="7" t="n"/>
    </row>
    <row r="17">
      <c r="A17" s="6" t="inlineStr">
        <is>
          <t>Durée de l'exercice (en mois)</t>
        </is>
      </c>
      <c r="B17" s="7" t="inlineStr">
        <is>
          <t>12</t>
        </is>
      </c>
      <c r="C17" s="7" t="n"/>
      <c r="D17" s="7" t="n"/>
    </row>
    <row r="18">
      <c r="A18" s="6" t="inlineStr">
        <is>
          <t>Exercice précédent clos le</t>
        </is>
      </c>
      <c r="B18" s="7" t="inlineStr"/>
      <c r="C18" s="7" t="n"/>
      <c r="D18" s="7" t="n"/>
    </row>
    <row r="19">
      <c r="A19" s="6" t="inlineStr">
        <is>
          <t>Unité monétaire légale de présentation</t>
        </is>
      </c>
      <c r="B19" s="7" t="inlineStr"/>
      <c r="C19" s="7" t="n"/>
      <c r="D19" s="7" t="n"/>
    </row>
    <row r="20">
      <c r="A20" s="6" t="inlineStr">
        <is>
          <t>Date d'arrêté effectif des comptes</t>
        </is>
      </c>
      <c r="B20" s="7" t="inlineStr"/>
      <c r="C20" s="7" t="n"/>
      <c r="D20" s="7" t="n"/>
    </row>
    <row r="21">
      <c r="A21" s="6" t="inlineStr">
        <is>
          <t>Organe ayant arrêté les états financiers</t>
        </is>
      </c>
      <c r="B21" s="7" t="inlineStr"/>
      <c r="C21" s="7" t="n"/>
      <c r="D21" s="7" t="n"/>
    </row>
    <row r="22">
      <c r="A22" s="6" t="inlineStr">
        <is>
          <t>Responsable des états financiers (nom et qualité)</t>
        </is>
      </c>
      <c r="B22" s="7" t="inlineStr"/>
      <c r="C22" s="7" t="n"/>
      <c r="D22" s="7" t="n"/>
    </row>
    <row r="23">
      <c r="A23" s="6" t="inlineStr">
        <is>
          <t>Cabinet / expert-comptable (nom, adresse, téléphone)</t>
        </is>
      </c>
      <c r="B23" s="7" t="inlineStr"/>
      <c r="C23" s="7" t="n"/>
      <c r="D23" s="7" t="n"/>
    </row>
    <row r="24">
      <c r="A24" s="6" t="inlineStr">
        <is>
          <t>Auditeur / commissaire aux comptes, le cas échéant</t>
        </is>
      </c>
      <c r="B24" s="7" t="inlineStr"/>
      <c r="C24" s="7" t="n"/>
      <c r="D24" s="7" t="n"/>
    </row>
    <row r="25"/>
    <row r="26">
      <c r="A26" s="4" t="inlineStr">
        <is>
          <t>Visa et signatures</t>
        </is>
      </c>
    </row>
    <row r="27"/>
    <row r="28">
      <c r="A28" s="8" t="inlineStr">
        <is>
          <t>Signataire des états financiers (nom, qualité, date, signature)</t>
        </is>
      </c>
      <c r="B28" s="7" t="n"/>
      <c r="C28" s="7" t="n"/>
      <c r="D28" s="7" t="n"/>
    </row>
    <row r="29">
      <c r="A29" s="7" t="n"/>
      <c r="B29" s="7" t="n"/>
      <c r="C29" s="7" t="n"/>
      <c r="D29" s="7" t="n"/>
    </row>
    <row r="30"/>
    <row r="31">
      <c r="A31" s="8" t="inlineStr">
        <is>
          <t>Visa de l'expert-comptable ou du comptable agréé</t>
        </is>
      </c>
      <c r="B31" s="7" t="n"/>
      <c r="C31" s="7" t="n"/>
      <c r="D31" s="7" t="n"/>
    </row>
    <row r="32">
      <c r="A32" s="7" t="n"/>
      <c r="B32" s="7" t="n"/>
      <c r="C32" s="7" t="n"/>
      <c r="D32" s="7" t="n"/>
    </row>
  </sheetData>
  <mergeCells count="25">
    <mergeCell ref="B11:D11"/>
    <mergeCell ref="B14:D14"/>
    <mergeCell ref="B23:D23"/>
    <mergeCell ref="B8:D8"/>
    <mergeCell ref="B17:D17"/>
    <mergeCell ref="B13:D13"/>
    <mergeCell ref="B10:D10"/>
    <mergeCell ref="B19:D19"/>
    <mergeCell ref="B31:D32"/>
    <mergeCell ref="B9:D9"/>
    <mergeCell ref="B15:D15"/>
    <mergeCell ref="B6:D6"/>
    <mergeCell ref="B24:D24"/>
    <mergeCell ref="B20:D20"/>
    <mergeCell ref="A1:D1"/>
    <mergeCell ref="B5:D5"/>
    <mergeCell ref="B4:D4"/>
    <mergeCell ref="B7:D7"/>
    <mergeCell ref="B16:D16"/>
    <mergeCell ref="B28:D29"/>
    <mergeCell ref="B22:D22"/>
    <mergeCell ref="B18:D18"/>
    <mergeCell ref="B21:D21"/>
    <mergeCell ref="A2:D2"/>
    <mergeCell ref="B12:D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6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56" customWidth="1" min="2" max="2"/>
    <col width="19" customWidth="1" min="3" max="3"/>
    <col width="17" customWidth="1" min="4" max="4"/>
    <col width="19" customWidth="1" min="5" max="5"/>
  </cols>
  <sheetData>
    <row r="1">
      <c r="A1" s="1" t="inlineStr">
        <is>
          <t>TABLEAU EMPLOIS-RESSOURCES</t>
        </is>
      </c>
    </row>
    <row r="2">
      <c r="A2" s="2" t="inlineStr">
        <is>
          <t>SYCEBNL - Projets de développement et assimilés</t>
        </is>
      </c>
    </row>
    <row r="3"/>
    <row r="4">
      <c r="A4" s="3" t="inlineStr">
        <is>
          <t>Désignation entité : PROJET PADIR</t>
        </is>
      </c>
      <c r="D4" s="3" t="inlineStr">
        <is>
          <t>Exercice clos le : 31/12/2025</t>
        </is>
      </c>
    </row>
    <row r="5">
      <c r="A5" t="inlineStr">
        <is>
          <t>Numéro d'identification : Convention 2023/DR/045</t>
        </is>
      </c>
      <c r="D5" t="inlineStr">
        <is>
          <t>Durée (en mois) : 12</t>
        </is>
      </c>
    </row>
    <row r="6"/>
    <row r="7">
      <c r="A7" s="9" t="inlineStr">
        <is>
          <t>REF</t>
        </is>
      </c>
      <c r="B7" s="9" t="inlineStr">
        <is>
          <t>DÉSIGNATION</t>
        </is>
      </c>
      <c r="C7" s="9" t="inlineStr">
        <is>
          <t>Solde cumulé début exercice N</t>
        </is>
      </c>
      <c r="D7" s="9" t="inlineStr">
        <is>
          <t>Exercice N</t>
        </is>
      </c>
      <c r="E7" s="9" t="inlineStr">
        <is>
          <t>Solde cumulé fin exercice N</t>
        </is>
      </c>
    </row>
    <row r="8">
      <c r="A8" s="10" t="inlineStr">
        <is>
          <t>FA</t>
        </is>
      </c>
      <c r="B8" s="10" t="inlineStr">
        <is>
          <t>Fonds reçus, Bailleurs</t>
        </is>
      </c>
      <c r="C8" s="11" t="n"/>
      <c r="D8" s="11">
        <f>(SUMIF(BALANCE!$A$2:$A$50,"462*",BALANCE!$G$2:$G$50)-SUMIF(BALANCE!$A$2:$A$50,"462*",BALANCE!$F$2:$F$50)+SUMIF(BALANCE!$A$2:$A$50,"162*",BALANCE!$G$2:$G$50)-SUMIF(BALANCE!$A$2:$A$50,"162*",BALANCE!$F$2:$F$50))-(SUMIF(BALANCE_N1!$A$2:$A$50,"462*",BALANCE_N1!$G$2:$G$50)-SUMIF(BALANCE_N1!$A$2:$A$50,"462*",BALANCE_N1!$F$2:$F$50)+SUMIF(BALANCE_N1!$A$2:$A$50,"162*",BALANCE_N1!$G$2:$G$50)-SUMIF(BALANCE_N1!$A$2:$A$50,"162*",BALANCE_N1!$F$2:$F$50))+(SUMIF(BALANCE!$A$2:$A$50,"702*",BALANCE!$G$2:$G$50)-SUMIF(BALANCE!$A$2:$A$50,"702*",BALANCE!$F$2:$F$50))</f>
        <v/>
      </c>
      <c r="E8" s="11">
        <f>C8+D8</f>
        <v/>
      </c>
    </row>
    <row r="9">
      <c r="A9" s="12" t="inlineStr">
        <is>
          <t>FB</t>
        </is>
      </c>
      <c r="B9" s="12" t="inlineStr">
        <is>
          <t>Fonds reçus, Bailleurs (autres)</t>
        </is>
      </c>
      <c r="C9" s="13" t="n"/>
      <c r="D9" s="13" t="n"/>
      <c r="E9" s="13" t="n"/>
    </row>
    <row r="10">
      <c r="A10" s="10" t="inlineStr">
        <is>
          <t>FC</t>
        </is>
      </c>
      <c r="B10" s="10" t="inlineStr">
        <is>
          <t>Fonds contrepartie État</t>
        </is>
      </c>
      <c r="C10" s="11" t="n"/>
      <c r="D10" s="11">
        <f>(SUMIF(BALANCE!$A$2:$A$50,"463*",BALANCE!$G$2:$G$50)-SUMIF(BALANCE!$A$2:$A$50,"463*",BALANCE!$F$2:$F$50)+SUMIF(BALANCE!$A$2:$A$50,"163*",BALANCE!$G$2:$G$50)-SUMIF(BALANCE!$A$2:$A$50,"163*",BALANCE!$F$2:$F$50))-(SUMIF(BALANCE_N1!$A$2:$A$50,"463*",BALANCE_N1!$G$2:$G$50)-SUMIF(BALANCE_N1!$A$2:$A$50,"463*",BALANCE_N1!$F$2:$F$50)+SUMIF(BALANCE_N1!$A$2:$A$50,"163*",BALANCE_N1!$G$2:$G$50)-SUMIF(BALANCE_N1!$A$2:$A$50,"163*",BALANCE_N1!$F$2:$F$50))</f>
        <v/>
      </c>
      <c r="E10" s="11">
        <f>C10+D10</f>
        <v/>
      </c>
    </row>
    <row r="11">
      <c r="A11" s="12" t="inlineStr">
        <is>
          <t>FD</t>
        </is>
      </c>
      <c r="B11" s="12" t="inlineStr">
        <is>
          <t>Autres fonds reçus</t>
        </is>
      </c>
      <c r="C11" s="13" t="n"/>
      <c r="D11" s="13">
        <f>(SUMIF(BALANCE!$A$2:$A$50,"168*",BALANCE!$G$2:$G$50)-SUMIF(BALANCE!$A$2:$A$50,"168*",BALANCE!$F$2:$F$50)+SUMIF(BALANCE!$A$2:$A$50,"164*",BALANCE!$G$2:$G$50)-SUMIF(BALANCE!$A$2:$A$50,"164*",BALANCE!$F$2:$F$50)+SUMIF(BALANCE!$A$2:$A$50,"161*",BALANCE!$G$2:$G$50)-SUMIF(BALANCE!$A$2:$A$50,"161*",BALANCE!$F$2:$F$50)+SUMIF(BALANCE!$A$2:$A$50,"464*",BALANCE!$G$2:$G$50)-SUMIF(BALANCE!$A$2:$A$50,"464*",BALANCE!$F$2:$F$50)+SUMIF(BALANCE!$A$2:$A$50,"165*",BALANCE!$G$2:$G$50)-SUMIF(BALANCE!$A$2:$A$50,"165*",BALANCE!$F$2:$F$50))-(SUMIF(BALANCE_N1!$A$2:$A$50,"168*",BALANCE_N1!$G$2:$G$50)-SUMIF(BALANCE_N1!$A$2:$A$50,"168*",BALANCE_N1!$F$2:$F$50)+SUMIF(BALANCE_N1!$A$2:$A$50,"164*",BALANCE_N1!$G$2:$G$50)-SUMIF(BALANCE_N1!$A$2:$A$50,"164*",BALANCE_N1!$F$2:$F$50)+SUMIF(BALANCE_N1!$A$2:$A$50,"161*",BALANCE_N1!$G$2:$G$50)-SUMIF(BALANCE_N1!$A$2:$A$50,"161*",BALANCE_N1!$F$2:$F$50)+SUMIF(BALANCE_N1!$A$2:$A$50,"464*",BALANCE_N1!$G$2:$G$50)-SUMIF(BALANCE_N1!$A$2:$A$50,"464*",BALANCE_N1!$F$2:$F$50)+SUMIF(BALANCE_N1!$A$2:$A$50,"165*",BALANCE_N1!$G$2:$G$50)-SUMIF(BALANCE_N1!$A$2:$A$50,"165*",BALANCE_N1!$F$2:$F$50))</f>
        <v/>
      </c>
      <c r="E11" s="13">
        <f>C11+D11</f>
        <v/>
      </c>
    </row>
    <row r="12">
      <c r="A12" s="14" t="inlineStr">
        <is>
          <t>GR</t>
        </is>
      </c>
      <c r="B12" s="14" t="inlineStr">
        <is>
          <t>I. RESSOURCES</t>
        </is>
      </c>
      <c r="C12" s="15">
        <f>C8+C9+C10+C11</f>
        <v/>
      </c>
      <c r="D12" s="15">
        <f>D8+D9+D10+D11</f>
        <v/>
      </c>
      <c r="E12" s="15">
        <f>E8+E9+E10+E11</f>
        <v/>
      </c>
    </row>
    <row r="13">
      <c r="A13" s="12" t="inlineStr">
        <is>
          <t>FE</t>
        </is>
      </c>
      <c r="B13" s="12" t="inlineStr">
        <is>
          <t>Immobilisations incorporelles</t>
        </is>
      </c>
      <c r="C13" s="13">
        <f>SUMIF(BALANCE_N1!$A$2:$A$50,"21*",BALANCE_N1!$F$2:$F$50)-SUMIF(BALANCE_N1!$A$2:$A$50,"21*",BALANCE_N1!$G$2:$G$50)+SUMIF(BALANCE_N1!$A$2:$A$50,"251*",BALANCE_N1!$F$2:$F$50)-SUMIF(BALANCE_N1!$A$2:$A$50,"251*",BALANCE_N1!$G$2:$G$50)</f>
        <v/>
      </c>
      <c r="D13" s="13">
        <f>E13-C13</f>
        <v/>
      </c>
      <c r="E13" s="13">
        <f>SUMIF(BALANCE!$A$2:$A$50,"21*",BALANCE!$F$2:$F$50)-SUMIF(BALANCE!$A$2:$A$50,"21*",BALANCE!$G$2:$G$50)+SUMIF(BALANCE!$A$2:$A$50,"251*",BALANCE!$F$2:$F$50)-SUMIF(BALANCE!$A$2:$A$50,"251*",BALANCE!$G$2:$G$50)</f>
        <v/>
      </c>
    </row>
    <row r="14">
      <c r="A14" s="10" t="inlineStr">
        <is>
          <t>FF</t>
        </is>
      </c>
      <c r="B14" s="10" t="inlineStr">
        <is>
          <t>Terrains</t>
        </is>
      </c>
      <c r="C14" s="11">
        <f>SUMIF(BALANCE_N1!$A$2:$A$50,"22*",BALANCE_N1!$F$2:$F$50)-SUMIF(BALANCE_N1!$A$2:$A$50,"22*",BALANCE_N1!$G$2:$G$50)</f>
        <v/>
      </c>
      <c r="D14" s="11">
        <f>E14-C14</f>
        <v/>
      </c>
      <c r="E14" s="11">
        <f>SUMIF(BALANCE!$A$2:$A$50,"22*",BALANCE!$F$2:$F$50)-SUMIF(BALANCE!$A$2:$A$50,"22*",BALANCE!$G$2:$G$50)</f>
        <v/>
      </c>
    </row>
    <row r="15">
      <c r="A15" s="12" t="inlineStr">
        <is>
          <t>FG</t>
        </is>
      </c>
      <c r="B15" s="12" t="inlineStr">
        <is>
          <t>Bâtiments</t>
        </is>
      </c>
      <c r="C15" s="13">
        <f>SUMIF(BALANCE_N1!$A$2:$A$50,"232*",BALANCE_N1!$F$2:$F$50)-SUMIF(BALANCE_N1!$A$2:$A$50,"232*",BALANCE_N1!$G$2:$G$50)+SUMIF(BALANCE_N1!$A$2:$A$50,"233*",BALANCE_N1!$F$2:$F$50)-SUMIF(BALANCE_N1!$A$2:$A$50,"233*",BALANCE_N1!$G$2:$G$50)+SUMIF(BALANCE_N1!$A$2:$A$50,"231*",BALANCE_N1!$F$2:$F$50)-SUMIF(BALANCE_N1!$A$2:$A$50,"231*",BALANCE_N1!$G$2:$G$50)+SUMIF(BALANCE_N1!$A$2:$A$50,"2396*",BALANCE_N1!$F$2:$F$50)-SUMIF(BALANCE_N1!$A$2:$A$50,"2396*",BALANCE_N1!$G$2:$G$50)+SUMIF(BALANCE_N1!$A$2:$A$50,"2391*",BALANCE_N1!$F$2:$F$50)-SUMIF(BALANCE_N1!$A$2:$A$50,"2391*",BALANCE_N1!$G$2:$G$50)+SUMIF(BALANCE_N1!$A$2:$A$50,"2392*",BALANCE_N1!$F$2:$F$50)-SUMIF(BALANCE_N1!$A$2:$A$50,"2392*",BALANCE_N1!$G$2:$G$50)+SUMIF(BALANCE_N1!$A$2:$A$50,"2393*",BALANCE_N1!$F$2:$F$50)-SUMIF(BALANCE_N1!$A$2:$A$50,"2393*",BALANCE_N1!$G$2:$G$50)</f>
        <v/>
      </c>
      <c r="D15" s="13">
        <f>E15-C15</f>
        <v/>
      </c>
      <c r="E15" s="13">
        <f>SUMIF(BALANCE!$A$2:$A$50,"232*",BALANCE!$F$2:$F$50)-SUMIF(BALANCE!$A$2:$A$50,"232*",BALANCE!$G$2:$G$50)+SUMIF(BALANCE!$A$2:$A$50,"233*",BALANCE!$F$2:$F$50)-SUMIF(BALANCE!$A$2:$A$50,"233*",BALANCE!$G$2:$G$50)+SUMIF(BALANCE!$A$2:$A$50,"231*",BALANCE!$F$2:$F$50)-SUMIF(BALANCE!$A$2:$A$50,"231*",BALANCE!$G$2:$G$50)+SUMIF(BALANCE!$A$2:$A$50,"2396*",BALANCE!$F$2:$F$50)-SUMIF(BALANCE!$A$2:$A$50,"2396*",BALANCE!$G$2:$G$50)+SUMIF(BALANCE!$A$2:$A$50,"2391*",BALANCE!$F$2:$F$50)-SUMIF(BALANCE!$A$2:$A$50,"2391*",BALANCE!$G$2:$G$50)+SUMIF(BALANCE!$A$2:$A$50,"2392*",BALANCE!$F$2:$F$50)-SUMIF(BALANCE!$A$2:$A$50,"2392*",BALANCE!$G$2:$G$50)+SUMIF(BALANCE!$A$2:$A$50,"2393*",BALANCE!$F$2:$F$50)-SUMIF(BALANCE!$A$2:$A$50,"2393*",BALANCE!$G$2:$G$50)</f>
        <v/>
      </c>
    </row>
    <row r="16">
      <c r="A16" s="10" t="inlineStr">
        <is>
          <t>FH</t>
        </is>
      </c>
      <c r="B16" s="10" t="inlineStr">
        <is>
          <t>Aménagements, agencements et installations</t>
        </is>
      </c>
      <c r="C16" s="11">
        <f>SUMIF(BALANCE_N1!$A$2:$A$50,"238*",BALANCE_N1!$F$2:$F$50)-SUMIF(BALANCE_N1!$A$2:$A$50,"238*",BALANCE_N1!$G$2:$G$50)+SUMIF(BALANCE_N1!$A$2:$A$50,"234*",BALANCE_N1!$F$2:$F$50)-SUMIF(BALANCE_N1!$A$2:$A$50,"234*",BALANCE_N1!$G$2:$G$50)+SUMIF(BALANCE_N1!$A$2:$A$50,"235*",BALANCE_N1!$F$2:$F$50)-SUMIF(BALANCE_N1!$A$2:$A$50,"235*",BALANCE_N1!$G$2:$G$50)+SUMIF(BALANCE_N1!$A$2:$A$50,"2394*",BALANCE_N1!$F$2:$F$50)-SUMIF(BALANCE_N1!$A$2:$A$50,"2394*",BALANCE_N1!$G$2:$G$50)+SUMIF(BALANCE_N1!$A$2:$A$50,"2398*",BALANCE_N1!$F$2:$F$50)-SUMIF(BALANCE_N1!$A$2:$A$50,"2398*",BALANCE_N1!$G$2:$G$50)+SUMIF(BALANCE_N1!$A$2:$A$50,"2395*",BALANCE_N1!$F$2:$F$50)-SUMIF(BALANCE_N1!$A$2:$A$50,"2395*",BALANCE_N1!$G$2:$G$50)</f>
        <v/>
      </c>
      <c r="D16" s="11">
        <f>E16-C16</f>
        <v/>
      </c>
      <c r="E16" s="11">
        <f>SUMIF(BALANCE!$A$2:$A$50,"238*",BALANCE!$F$2:$F$50)-SUMIF(BALANCE!$A$2:$A$50,"238*",BALANCE!$G$2:$G$50)+SUMIF(BALANCE!$A$2:$A$50,"234*",BALANCE!$F$2:$F$50)-SUMIF(BALANCE!$A$2:$A$50,"234*",BALANCE!$G$2:$G$50)+SUMIF(BALANCE!$A$2:$A$50,"235*",BALANCE!$F$2:$F$50)-SUMIF(BALANCE!$A$2:$A$50,"235*",BALANCE!$G$2:$G$50)+SUMIF(BALANCE!$A$2:$A$50,"2394*",BALANCE!$F$2:$F$50)-SUMIF(BALANCE!$A$2:$A$50,"2394*",BALANCE!$G$2:$G$50)+SUMIF(BALANCE!$A$2:$A$50,"2398*",BALANCE!$F$2:$F$50)-SUMIF(BALANCE!$A$2:$A$50,"2398*",BALANCE!$G$2:$G$50)+SUMIF(BALANCE!$A$2:$A$50,"2395*",BALANCE!$F$2:$F$50)-SUMIF(BALANCE!$A$2:$A$50,"2395*",BALANCE!$G$2:$G$50)</f>
        <v/>
      </c>
    </row>
    <row r="17">
      <c r="A17" s="12" t="inlineStr">
        <is>
          <t>FI</t>
        </is>
      </c>
      <c r="B17" s="12" t="inlineStr">
        <is>
          <t>Matériel, mobilier et actifs biologiques</t>
        </is>
      </c>
      <c r="C17" s="13">
        <f>SUMIF(BALANCE_N1!$A$2:$A$50,"24*",BALANCE_N1!$F$2:$F$50)-SUMIF(BALANCE_N1!$A$2:$A$50,"24*",BALANCE_N1!$G$2:$G$50)-SUMIF(BALANCE_N1!$A$2:$A$50,"245*",BALANCE_N1!$F$2:$F$50)+SUMIF(BALANCE_N1!$A$2:$A$50,"245*",BALANCE_N1!$G$2:$G$50)-SUMIF(BALANCE_N1!$A$2:$A$50,"2495*",BALANCE_N1!$F$2:$F$50)+SUMIF(BALANCE_N1!$A$2:$A$50,"2495*",BALANCE_N1!$G$2:$G$50)</f>
        <v/>
      </c>
      <c r="D17" s="13">
        <f>E17-C17</f>
        <v/>
      </c>
      <c r="E17" s="13">
        <f>SUMIF(BALANCE!$A$2:$A$50,"24*",BALANCE!$F$2:$F$50)-SUMIF(BALANCE!$A$2:$A$50,"24*",BALANCE!$G$2:$G$50)-SUMIF(BALANCE!$A$2:$A$50,"245*",BALANCE!$F$2:$F$50)+SUMIF(BALANCE!$A$2:$A$50,"245*",BALANCE!$G$2:$G$50)-SUMIF(BALANCE!$A$2:$A$50,"2495*",BALANCE!$F$2:$F$50)+SUMIF(BALANCE!$A$2:$A$50,"2495*",BALANCE!$G$2:$G$50)</f>
        <v/>
      </c>
    </row>
    <row r="18">
      <c r="A18" s="10" t="inlineStr">
        <is>
          <t>FJ</t>
        </is>
      </c>
      <c r="B18" s="10" t="inlineStr">
        <is>
          <t>Matériel de transport</t>
        </is>
      </c>
      <c r="C18" s="11">
        <f>SUMIF(BALANCE_N1!$A$2:$A$50,"245*",BALANCE_N1!$F$2:$F$50)-SUMIF(BALANCE_N1!$A$2:$A$50,"245*",BALANCE_N1!$G$2:$G$50)+SUMIF(BALANCE_N1!$A$2:$A$50,"2495*",BALANCE_N1!$F$2:$F$50)-SUMIF(BALANCE_N1!$A$2:$A$50,"2495*",BALANCE_N1!$G$2:$G$50)</f>
        <v/>
      </c>
      <c r="D18" s="11">
        <f>E18-C18</f>
        <v/>
      </c>
      <c r="E18" s="11">
        <f>SUMIF(BALANCE!$A$2:$A$50,"245*",BALANCE!$F$2:$F$50)-SUMIF(BALANCE!$A$2:$A$50,"245*",BALANCE!$G$2:$G$50)+SUMIF(BALANCE!$A$2:$A$50,"2495*",BALANCE!$F$2:$F$50)-SUMIF(BALANCE!$A$2:$A$50,"2495*",BALANCE!$G$2:$G$50)</f>
        <v/>
      </c>
    </row>
    <row r="19">
      <c r="A19" s="12" t="inlineStr">
        <is>
          <t>FK</t>
        </is>
      </c>
      <c r="B19" s="12" t="inlineStr">
        <is>
          <t>Avances et acomptes sur immobilisations</t>
        </is>
      </c>
      <c r="C19" s="13">
        <f>SUMIF(BALANCE_N1!$A$2:$A$50,"252*",BALANCE_N1!$F$2:$F$50)-SUMIF(BALANCE_N1!$A$2:$A$50,"252*",BALANCE_N1!$G$2:$G$50)</f>
        <v/>
      </c>
      <c r="D19" s="13">
        <f>E19-C19</f>
        <v/>
      </c>
      <c r="E19" s="13">
        <f>SUMIF(BALANCE!$A$2:$A$50,"252*",BALANCE!$F$2:$F$50)-SUMIF(BALANCE!$A$2:$A$50,"252*",BALANCE!$G$2:$G$50)</f>
        <v/>
      </c>
    </row>
    <row r="20">
      <c r="A20" s="10" t="inlineStr">
        <is>
          <t>FL</t>
        </is>
      </c>
      <c r="B20" s="10" t="inlineStr">
        <is>
          <t>Immobilisations financières</t>
        </is>
      </c>
      <c r="C20" s="11">
        <f>SUMIF(BALANCE_N1!$A$2:$A$50,"26*",BALANCE_N1!$F$2:$F$50)-SUMIF(BALANCE_N1!$A$2:$A$50,"26*",BALANCE_N1!$G$2:$G$50)+SUMIF(BALANCE_N1!$A$2:$A$50,"27*",BALANCE_N1!$F$2:$F$50)-SUMIF(BALANCE_N1!$A$2:$A$50,"27*",BALANCE_N1!$G$2:$G$50)</f>
        <v/>
      </c>
      <c r="D20" s="11">
        <f>E20-C20</f>
        <v/>
      </c>
      <c r="E20" s="11">
        <f>SUMIF(BALANCE!$A$2:$A$50,"26*",BALANCE!$F$2:$F$50)-SUMIF(BALANCE!$A$2:$A$50,"26*",BALANCE!$G$2:$G$50)+SUMIF(BALANCE!$A$2:$A$50,"27*",BALANCE!$F$2:$F$50)-SUMIF(BALANCE!$A$2:$A$50,"27*",BALANCE!$G$2:$G$50)</f>
        <v/>
      </c>
    </row>
    <row r="21">
      <c r="A21" s="14" t="inlineStr">
        <is>
          <t>GS</t>
        </is>
      </c>
      <c r="B21" s="14" t="inlineStr">
        <is>
          <t>A - TOTAL DES IMMOBILISATIONS</t>
        </is>
      </c>
      <c r="C21" s="15">
        <f>C13+C14+C15+C16+C17+C18+C19+C20</f>
        <v/>
      </c>
      <c r="D21" s="15">
        <f>D13+D14+D15+D16+D17+D18+D19+D20</f>
        <v/>
      </c>
      <c r="E21" s="15">
        <f>E13+E14+E15+E16+E17+E18+E19+E20</f>
        <v/>
      </c>
    </row>
    <row r="22">
      <c r="A22" s="10" t="inlineStr">
        <is>
          <t>FM</t>
        </is>
      </c>
      <c r="B22" s="10" t="inlineStr">
        <is>
          <t>Achats de biens et services</t>
        </is>
      </c>
      <c r="C22" s="11" t="n"/>
      <c r="D22" s="11">
        <f>SUMIF(BALANCE!$A$2:$A$50,"60*",BALANCE!$F$2:$F$50)-SUMIF(BALANCE!$A$2:$A$50,"60*",BALANCE!$G$2:$G$50)</f>
        <v/>
      </c>
      <c r="E22" s="11">
        <f>C22+D22</f>
        <v/>
      </c>
    </row>
    <row r="23">
      <c r="A23" s="12" t="inlineStr">
        <is>
          <t>FN</t>
        </is>
      </c>
      <c r="B23" s="12" t="inlineStr">
        <is>
          <t>Transports</t>
        </is>
      </c>
      <c r="C23" s="13" t="n"/>
      <c r="D23" s="13">
        <f>SUMIF(BALANCE!$A$2:$A$50,"61*",BALANCE!$F$2:$F$50)-SUMIF(BALANCE!$A$2:$A$50,"61*",BALANCE!$G$2:$G$50)</f>
        <v/>
      </c>
      <c r="E23" s="13">
        <f>C23+D23</f>
        <v/>
      </c>
    </row>
    <row r="24">
      <c r="A24" s="10" t="inlineStr">
        <is>
          <t>FO</t>
        </is>
      </c>
      <c r="B24" s="10" t="inlineStr">
        <is>
          <t>Services extérieurs</t>
        </is>
      </c>
      <c r="C24" s="11" t="n"/>
      <c r="D24" s="11">
        <f>SUMIF(BALANCE!$A$2:$A$50,"63*",BALANCE!$F$2:$F$50)-SUMIF(BALANCE!$A$2:$A$50,"63*",BALANCE!$G$2:$G$50)+SUMIF(BALANCE!$A$2:$A$50,"62*",BALANCE!$F$2:$F$50)-SUMIF(BALANCE!$A$2:$A$50,"62*",BALANCE!$G$2:$G$50)</f>
        <v/>
      </c>
      <c r="E24" s="11">
        <f>C24+D24</f>
        <v/>
      </c>
    </row>
    <row r="25">
      <c r="A25" s="12" t="inlineStr">
        <is>
          <t>FP</t>
        </is>
      </c>
      <c r="B25" s="12" t="inlineStr">
        <is>
          <t>Impôts et taxes</t>
        </is>
      </c>
      <c r="C25" s="13" t="n"/>
      <c r="D25" s="13">
        <f>SUMIF(BALANCE!$A$2:$A$50,"64*",BALANCE!$F$2:$F$50)-SUMIF(BALANCE!$A$2:$A$50,"64*",BALANCE!$G$2:$G$50)</f>
        <v/>
      </c>
      <c r="E25" s="13">
        <f>C25+D25</f>
        <v/>
      </c>
    </row>
    <row r="26">
      <c r="A26" s="10" t="inlineStr">
        <is>
          <t>FQ</t>
        </is>
      </c>
      <c r="B26" s="10" t="inlineStr">
        <is>
          <t>Autres charges</t>
        </is>
      </c>
      <c r="C26" s="11" t="n"/>
      <c r="D26" s="11">
        <f>SUMIF(BALANCE!$A$2:$A$50,"65*",BALANCE!$F$2:$F$50)-SUMIF(BALANCE!$A$2:$A$50,"65*",BALANCE!$G$2:$G$50)</f>
        <v/>
      </c>
      <c r="E26" s="11">
        <f>C26+D26</f>
        <v/>
      </c>
    </row>
    <row r="27">
      <c r="A27" s="12" t="inlineStr">
        <is>
          <t>FR</t>
        </is>
      </c>
      <c r="B27" s="12" t="inlineStr">
        <is>
          <t>Charges de personnel</t>
        </is>
      </c>
      <c r="C27" s="13" t="n"/>
      <c r="D27" s="13">
        <f>SUMIF(BALANCE!$A$2:$A$50,"66*",BALANCE!$F$2:$F$50)-SUMIF(BALANCE!$A$2:$A$50,"66*",BALANCE!$G$2:$G$50)</f>
        <v/>
      </c>
      <c r="E27" s="13">
        <f>C27+D27</f>
        <v/>
      </c>
    </row>
    <row r="28">
      <c r="A28" s="10" t="inlineStr">
        <is>
          <t>FS</t>
        </is>
      </c>
      <c r="B28" s="10" t="inlineStr">
        <is>
          <t>Charges financières</t>
        </is>
      </c>
      <c r="C28" s="11" t="n"/>
      <c r="D28" s="11">
        <f>SUMIF(BALANCE!$A$2:$A$50,"67*",BALANCE!$F$2:$F$50)-SUMIF(BALANCE!$A$2:$A$50,"67*",BALANCE!$G$2:$G$50)</f>
        <v/>
      </c>
      <c r="E28" s="11">
        <f>C28+D28</f>
        <v/>
      </c>
    </row>
    <row r="29">
      <c r="A29" s="12" t="inlineStr">
        <is>
          <t>FT</t>
        </is>
      </c>
      <c r="B29" s="12" t="inlineStr">
        <is>
          <t>Avances sur charges (à justifier)</t>
        </is>
      </c>
      <c r="C29" s="13" t="n"/>
      <c r="D29" s="13">
        <f>(SUMIF(BALANCE!$A$2:$A$50,"421*",BALANCE!$F$2:$F$50))-(SUMIF(BALANCE_N1!$A$2:$A$50,"421*",BALANCE_N1!$F$2:$F$50))</f>
        <v/>
      </c>
      <c r="E29" s="13">
        <f>C29+D29</f>
        <v/>
      </c>
    </row>
    <row r="30">
      <c r="A30" s="14" t="inlineStr">
        <is>
          <t>GT</t>
        </is>
      </c>
      <c r="B30" s="14" t="inlineStr">
        <is>
          <t>B - TOTAL DES CHARGES DE FONCTIONNEMENT</t>
        </is>
      </c>
      <c r="C30" s="15">
        <f>C22+C23+C24+C25+C26+C27+C28+C29</f>
        <v/>
      </c>
      <c r="D30" s="15">
        <f>D22+D23+D24+D25+D26+D27+D28+D29</f>
        <v/>
      </c>
      <c r="E30" s="15">
        <f>E22+E23+E24+E25+E26+E27+E28+E29</f>
        <v/>
      </c>
    </row>
    <row r="31">
      <c r="A31" s="14" t="inlineStr">
        <is>
          <t>GU</t>
        </is>
      </c>
      <c r="B31" s="14" t="inlineStr">
        <is>
          <t>II. EMPLOIS (A + B)</t>
        </is>
      </c>
      <c r="C31" s="15">
        <f>C21+C30</f>
        <v/>
      </c>
      <c r="D31" s="15">
        <f>D21+D30</f>
        <v/>
      </c>
      <c r="E31" s="15">
        <f>E21+E30</f>
        <v/>
      </c>
    </row>
    <row r="32">
      <c r="A32" s="14" t="inlineStr">
        <is>
          <t>GV</t>
        </is>
      </c>
      <c r="B32" s="14" t="inlineStr">
        <is>
          <t>III. EXCÉDENT / DÉFICIT DES FONDS REÇUS SUR LES EMPLOIS (I - II)</t>
        </is>
      </c>
      <c r="C32" s="15">
        <f>C12-C31</f>
        <v/>
      </c>
      <c r="D32" s="15">
        <f>D12-D31</f>
        <v/>
      </c>
      <c r="E32" s="15">
        <f>E12-E31</f>
        <v/>
      </c>
    </row>
    <row r="33">
      <c r="A33" s="12" t="inlineStr">
        <is>
          <t>FU</t>
        </is>
      </c>
      <c r="B33" s="12" t="inlineStr">
        <is>
          <t>Fonds Bailleur en début d'exercice N</t>
        </is>
      </c>
      <c r="C33" s="13" t="n"/>
      <c r="D33" s="13" t="n"/>
      <c r="E33" s="13" t="n"/>
    </row>
    <row r="34">
      <c r="A34" s="10" t="inlineStr">
        <is>
          <t>FV</t>
        </is>
      </c>
      <c r="B34" s="10" t="inlineStr">
        <is>
          <t>Fonds de contrepartie État en début d'exercice N</t>
        </is>
      </c>
      <c r="C34" s="11" t="n"/>
      <c r="D34" s="11" t="n"/>
      <c r="E34" s="11" t="n"/>
    </row>
    <row r="35">
      <c r="A35" s="12" t="inlineStr">
        <is>
          <t>FW</t>
        </is>
      </c>
      <c r="B35" s="12" t="inlineStr">
        <is>
          <t>Autres fonds en début d'exercice N</t>
        </is>
      </c>
      <c r="C35" s="13" t="n"/>
      <c r="D35" s="13" t="n"/>
      <c r="E35" s="13" t="n"/>
    </row>
    <row r="36">
      <c r="A36" s="14" t="inlineStr">
        <is>
          <t>GW</t>
        </is>
      </c>
      <c r="B36" s="14" t="inlineStr">
        <is>
          <t>IV. FONDS DISPONIBLE EN DÉBUT D'EXERCICE</t>
        </is>
      </c>
      <c r="C36" s="15">
        <f>C33+C34+C35</f>
        <v/>
      </c>
      <c r="D36" s="15">
        <f>D33+D34+D35</f>
        <v/>
      </c>
      <c r="E36" s="15">
        <f>E33+E34+E35</f>
        <v/>
      </c>
    </row>
    <row r="37">
      <c r="A37" s="14" t="inlineStr">
        <is>
          <t>GX</t>
        </is>
      </c>
      <c r="B37" s="14" t="inlineStr">
        <is>
          <t>V. MONTANT NET DE L'ENCAISSE DISPONIBLE (III + IV)</t>
        </is>
      </c>
      <c r="C37" s="15">
        <f>C32+C36</f>
        <v/>
      </c>
      <c r="D37" s="15">
        <f>D32+D36</f>
        <v/>
      </c>
      <c r="E37" s="15">
        <f>E32+E36</f>
        <v/>
      </c>
    </row>
    <row r="38">
      <c r="A38" s="10" t="inlineStr">
        <is>
          <t>FX</t>
        </is>
      </c>
      <c r="B38" s="10" t="inlineStr">
        <is>
          <t>Fonds Bailleur en fin d'exercice N</t>
        </is>
      </c>
      <c r="C38" s="11" t="n"/>
      <c r="D38" s="11" t="n"/>
      <c r="E38" s="11" t="n"/>
    </row>
    <row r="39">
      <c r="A39" s="12" t="inlineStr">
        <is>
          <t>FY</t>
        </is>
      </c>
      <c r="B39" s="12" t="inlineStr">
        <is>
          <t>Fonds de contrepartie État en fin d'exercice N</t>
        </is>
      </c>
      <c r="C39" s="13" t="n"/>
      <c r="D39" s="13" t="n"/>
      <c r="E39" s="13" t="n"/>
    </row>
    <row r="40">
      <c r="A40" s="10" t="inlineStr">
        <is>
          <t>FZ</t>
        </is>
      </c>
      <c r="B40" s="10" t="inlineStr">
        <is>
          <t>Autres fonds en fin d'exercice N</t>
        </is>
      </c>
      <c r="C40" s="11" t="n"/>
      <c r="D40" s="11" t="n"/>
      <c r="E40" s="11" t="n"/>
    </row>
    <row r="41">
      <c r="A41" s="14" t="inlineStr">
        <is>
          <t>GY</t>
        </is>
      </c>
      <c r="B41" s="14" t="inlineStr">
        <is>
          <t>VI. FONDS DISPONIBLE EN FIN D'EXERCICE</t>
        </is>
      </c>
      <c r="C41" s="15">
        <f>C38+C39+C40</f>
        <v/>
      </c>
      <c r="D41" s="15">
        <f>D38+D39+D40</f>
        <v/>
      </c>
      <c r="E41" s="15">
        <f>E38+E39+E40</f>
        <v/>
      </c>
    </row>
    <row r="42">
      <c r="A42" s="14" t="inlineStr">
        <is>
          <t>GZ</t>
        </is>
      </c>
      <c r="B42" s="14" t="inlineStr">
        <is>
          <t>VII. CONTRÔLE : TOTAL V = TOTAL VI (écart)</t>
        </is>
      </c>
      <c r="C42" s="15">
        <f>C37-C41</f>
        <v/>
      </c>
      <c r="D42" s="15">
        <f>D37-D41</f>
        <v/>
      </c>
      <c r="E42" s="15">
        <f>E37-E41</f>
        <v/>
      </c>
    </row>
    <row r="43"/>
    <row r="44">
      <c r="A44" s="5" t="inlineStr">
        <is>
          <t>Colonnes calculées depuis la balance : immobilisations (cumul = classe 2 brute), charges de l'exercice (classes 6), fonds reçus (variation des soldes 16x/46x + quote-part 702 consommée - approximation à ajuster depuis les avis de décaissement des bailleurs). Fonds disponibles début/fin (FU à FZ) : à ventiler par source ; rappel balance - trésorerie totale : voir CONTROLES.</t>
        </is>
      </c>
    </row>
    <row r="45"/>
    <row r="46"/>
  </sheetData>
  <mergeCells count="3">
    <mergeCell ref="A2:E2"/>
    <mergeCell ref="A1:E1"/>
    <mergeCell ref="A44:E4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40" customWidth="1" min="2" max="2"/>
    <col width="16" customWidth="1" min="3" max="3"/>
    <col width="15" customWidth="1" min="4" max="4"/>
    <col width="15" customWidth="1" min="5" max="5"/>
    <col width="16" customWidth="1" min="6" max="6"/>
    <col width="17" customWidth="1" min="7" max="7"/>
    <col width="14" customWidth="1" min="8" max="8"/>
  </cols>
  <sheetData>
    <row r="1">
      <c r="A1" s="1" t="inlineStr">
        <is>
          <t>TABLEAU DE SUIVI D'EXÉCUTION DU BUDGET</t>
        </is>
      </c>
    </row>
    <row r="2">
      <c r="A2" s="2" t="inlineStr">
        <is>
          <t>Du .............. au ..............</t>
        </is>
      </c>
    </row>
    <row r="3"/>
    <row r="4">
      <c r="A4" s="3" t="inlineStr">
        <is>
          <t>Désignation entité : PROJET PADIR</t>
        </is>
      </c>
      <c r="G4" s="3" t="inlineStr">
        <is>
          <t>Exercice clos le : 31/12/2025</t>
        </is>
      </c>
    </row>
    <row r="5">
      <c r="A5" t="inlineStr">
        <is>
          <t>Numéro d'identification : Convention 2023/DR/045</t>
        </is>
      </c>
      <c r="G5" t="inlineStr">
        <is>
          <t>Durée (en mois) : 12</t>
        </is>
      </c>
    </row>
    <row r="6"/>
    <row r="7">
      <c r="A7" s="9" t="inlineStr">
        <is>
          <t>Code</t>
        </is>
      </c>
      <c r="B7" s="9" t="inlineStr">
        <is>
          <t>Libellé</t>
        </is>
      </c>
      <c r="C7" s="9" t="inlineStr">
        <is>
          <t>Budget de l'exercice (1)</t>
        </is>
      </c>
      <c r="D7" s="9" t="inlineStr">
        <is>
          <t>Décaissement (2)</t>
        </is>
      </c>
      <c r="E7" s="9" t="inlineStr">
        <is>
          <t>Engagement (3)</t>
        </is>
      </c>
      <c r="F7" s="9" t="inlineStr">
        <is>
          <t>Réalisation (4 = 2 + 3)</t>
        </is>
      </c>
      <c r="G7" s="9" t="inlineStr">
        <is>
          <t>Crédit disponible (5 = 1 - 4)</t>
        </is>
      </c>
      <c r="H7" s="9" t="inlineStr">
        <is>
          <t>Exécution budget % (4/1)</t>
        </is>
      </c>
    </row>
    <row r="8">
      <c r="A8" s="10" t="n"/>
      <c r="B8" s="10" t="n"/>
      <c r="C8" s="11" t="n"/>
      <c r="D8" s="11" t="n"/>
      <c r="E8" s="11" t="n"/>
      <c r="F8" s="11">
        <f>D8+E8</f>
        <v/>
      </c>
      <c r="G8" s="11">
        <f>C8-F8</f>
        <v/>
      </c>
      <c r="H8" s="16">
        <f>IF(C8=0,"",F8/C8)</f>
        <v/>
      </c>
    </row>
    <row r="9">
      <c r="A9" s="12" t="n"/>
      <c r="B9" s="12" t="n"/>
      <c r="C9" s="13" t="n"/>
      <c r="D9" s="13" t="n"/>
      <c r="E9" s="13" t="n"/>
      <c r="F9" s="13">
        <f>D9+E9</f>
        <v/>
      </c>
      <c r="G9" s="13">
        <f>C9-F9</f>
        <v/>
      </c>
      <c r="H9" s="17">
        <f>IF(C9=0,"",F9/C9)</f>
        <v/>
      </c>
    </row>
    <row r="10">
      <c r="A10" s="10" t="n"/>
      <c r="B10" s="10" t="n"/>
      <c r="C10" s="11" t="n"/>
      <c r="D10" s="11" t="n"/>
      <c r="E10" s="11" t="n"/>
      <c r="F10" s="11">
        <f>D10+E10</f>
        <v/>
      </c>
      <c r="G10" s="11">
        <f>C10-F10</f>
        <v/>
      </c>
      <c r="H10" s="16">
        <f>IF(C10=0,"",F10/C10)</f>
        <v/>
      </c>
    </row>
    <row r="11">
      <c r="A11" s="12" t="n"/>
      <c r="B11" s="12" t="n"/>
      <c r="C11" s="13" t="n"/>
      <c r="D11" s="13" t="n"/>
      <c r="E11" s="13" t="n"/>
      <c r="F11" s="13">
        <f>D11+E11</f>
        <v/>
      </c>
      <c r="G11" s="13">
        <f>C11-F11</f>
        <v/>
      </c>
      <c r="H11" s="17">
        <f>IF(C11=0,"",F11/C11)</f>
        <v/>
      </c>
    </row>
    <row r="12">
      <c r="A12" s="10" t="n"/>
      <c r="B12" s="10" t="n"/>
      <c r="C12" s="11" t="n"/>
      <c r="D12" s="11" t="n"/>
      <c r="E12" s="11" t="n"/>
      <c r="F12" s="11">
        <f>D12+E12</f>
        <v/>
      </c>
      <c r="G12" s="11">
        <f>C12-F12</f>
        <v/>
      </c>
      <c r="H12" s="16">
        <f>IF(C12=0,"",F12/C12)</f>
        <v/>
      </c>
    </row>
    <row r="13">
      <c r="A13" s="12" t="n"/>
      <c r="B13" s="12" t="n"/>
      <c r="C13" s="13" t="n"/>
      <c r="D13" s="13" t="n"/>
      <c r="E13" s="13" t="n"/>
      <c r="F13" s="13">
        <f>D13+E13</f>
        <v/>
      </c>
      <c r="G13" s="13">
        <f>C13-F13</f>
        <v/>
      </c>
      <c r="H13" s="17">
        <f>IF(C13=0,"",F13/C13)</f>
        <v/>
      </c>
    </row>
    <row r="14">
      <c r="A14" s="10" t="n"/>
      <c r="B14" s="10" t="n"/>
      <c r="C14" s="11" t="n"/>
      <c r="D14" s="11" t="n"/>
      <c r="E14" s="11" t="n"/>
      <c r="F14" s="11">
        <f>D14+E14</f>
        <v/>
      </c>
      <c r="G14" s="11">
        <f>C14-F14</f>
        <v/>
      </c>
      <c r="H14" s="16">
        <f>IF(C14=0,"",F14/C14)</f>
        <v/>
      </c>
    </row>
    <row r="15">
      <c r="A15" s="12" t="n"/>
      <c r="B15" s="12" t="n"/>
      <c r="C15" s="13" t="n"/>
      <c r="D15" s="13" t="n"/>
      <c r="E15" s="13" t="n"/>
      <c r="F15" s="13">
        <f>D15+E15</f>
        <v/>
      </c>
      <c r="G15" s="13">
        <f>C15-F15</f>
        <v/>
      </c>
      <c r="H15" s="17">
        <f>IF(C15=0,"",F15/C15)</f>
        <v/>
      </c>
    </row>
    <row r="16">
      <c r="A16" s="10" t="n"/>
      <c r="B16" s="10" t="n"/>
      <c r="C16" s="11" t="n"/>
      <c r="D16" s="11" t="n"/>
      <c r="E16" s="11" t="n"/>
      <c r="F16" s="11">
        <f>D16+E16</f>
        <v/>
      </c>
      <c r="G16" s="11">
        <f>C16-F16</f>
        <v/>
      </c>
      <c r="H16" s="16">
        <f>IF(C16=0,"",F16/C16)</f>
        <v/>
      </c>
    </row>
    <row r="17">
      <c r="A17" s="12" t="n"/>
      <c r="B17" s="12" t="n"/>
      <c r="C17" s="13" t="n"/>
      <c r="D17" s="13" t="n"/>
      <c r="E17" s="13" t="n"/>
      <c r="F17" s="13">
        <f>D17+E17</f>
        <v/>
      </c>
      <c r="G17" s="13">
        <f>C17-F17</f>
        <v/>
      </c>
      <c r="H17" s="17">
        <f>IF(C17=0,"",F17/C17)</f>
        <v/>
      </c>
    </row>
    <row r="18">
      <c r="A18" s="10" t="n"/>
      <c r="B18" s="10" t="n"/>
      <c r="C18" s="11" t="n"/>
      <c r="D18" s="11" t="n"/>
      <c r="E18" s="11" t="n"/>
      <c r="F18" s="11">
        <f>D18+E18</f>
        <v/>
      </c>
      <c r="G18" s="11">
        <f>C18-F18</f>
        <v/>
      </c>
      <c r="H18" s="16">
        <f>IF(C18=0,"",F18/C18)</f>
        <v/>
      </c>
    </row>
    <row r="19">
      <c r="A19" s="12" t="n"/>
      <c r="B19" s="12" t="n"/>
      <c r="C19" s="13" t="n"/>
      <c r="D19" s="13" t="n"/>
      <c r="E19" s="13" t="n"/>
      <c r="F19" s="13">
        <f>D19+E19</f>
        <v/>
      </c>
      <c r="G19" s="13">
        <f>C19-F19</f>
        <v/>
      </c>
      <c r="H19" s="17">
        <f>IF(C19=0,"",F19/C19)</f>
        <v/>
      </c>
    </row>
    <row r="20">
      <c r="A20" s="10" t="n"/>
      <c r="B20" s="10" t="n"/>
      <c r="C20" s="11" t="n"/>
      <c r="D20" s="11" t="n"/>
      <c r="E20" s="11" t="n"/>
      <c r="F20" s="11">
        <f>D20+E20</f>
        <v/>
      </c>
      <c r="G20" s="11">
        <f>C20-F20</f>
        <v/>
      </c>
      <c r="H20" s="16">
        <f>IF(C20=0,"",F20/C20)</f>
        <v/>
      </c>
    </row>
    <row r="21">
      <c r="A21" s="12" t="n"/>
      <c r="B21" s="12" t="n"/>
      <c r="C21" s="13" t="n"/>
      <c r="D21" s="13" t="n"/>
      <c r="E21" s="13" t="n"/>
      <c r="F21" s="13">
        <f>D21+E21</f>
        <v/>
      </c>
      <c r="G21" s="13">
        <f>C21-F21</f>
        <v/>
      </c>
      <c r="H21" s="17">
        <f>IF(C21=0,"",F21/C21)</f>
        <v/>
      </c>
    </row>
    <row r="22">
      <c r="A22" s="14" t="n"/>
      <c r="B22" s="14" t="inlineStr">
        <is>
          <t>TOTAL</t>
        </is>
      </c>
      <c r="C22" s="15">
        <f>SUM(C8:C21)</f>
        <v/>
      </c>
      <c r="D22" s="15">
        <f>SUM(D8:D21)</f>
        <v/>
      </c>
      <c r="E22" s="15">
        <f>SUM(E8:E21)</f>
        <v/>
      </c>
      <c r="F22" s="15">
        <f>SUM(F8:F21)</f>
        <v/>
      </c>
      <c r="G22" s="15">
        <f>SUM(G8:G21)</f>
        <v/>
      </c>
      <c r="H22" s="18">
        <f>IF(C22=0,"",F22/C22)</f>
        <v/>
      </c>
    </row>
    <row r="23"/>
    <row r="24">
      <c r="A24" t="inlineStr">
        <is>
          <t>Remplir code et libellé suivant la nomenclature budgétaire du projet.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9"/>
  <sheetViews>
    <sheetView showGridLines="0" workbookViewId="0">
      <selection activeCell="A1" sqref="A1"/>
    </sheetView>
  </sheetViews>
  <sheetFormatPr baseColWidth="8" defaultRowHeight="15"/>
  <cols>
    <col width="66" customWidth="1" min="1" max="1"/>
    <col width="7" customWidth="1" min="2" max="2"/>
    <col width="20" customWidth="1" min="3" max="3"/>
  </cols>
  <sheetData>
    <row r="1">
      <c r="A1" s="1" t="inlineStr">
        <is>
          <t>TABLEAU DE RÉCONCILIATION DE LA TRÉSORERIE</t>
        </is>
      </c>
    </row>
    <row r="2">
      <c r="A2" s="2" t="inlineStr">
        <is>
          <t>Du .............. au ..............</t>
        </is>
      </c>
    </row>
    <row r="3"/>
    <row r="4">
      <c r="A4" s="3" t="inlineStr">
        <is>
          <t>Désignation entité : PROJET PADIR</t>
        </is>
      </c>
      <c r="C4" s="3" t="inlineStr">
        <is>
          <t>Exercice clos le : 31/12/2025</t>
        </is>
      </c>
    </row>
    <row r="5">
      <c r="A5" t="inlineStr">
        <is>
          <t>Numéro d'identification : Convention 2023/DR/045</t>
        </is>
      </c>
      <c r="C5" t="inlineStr">
        <is>
          <t>Durée (en mois) : 12</t>
        </is>
      </c>
    </row>
    <row r="6"/>
    <row r="7">
      <c r="A7" s="9" t="inlineStr">
        <is>
          <t>LIBELLÉ</t>
        </is>
      </c>
      <c r="B7" s="9" t="inlineStr">
        <is>
          <t>Rep.</t>
        </is>
      </c>
      <c r="C7" s="9" t="inlineStr">
        <is>
          <t>MONTANT</t>
        </is>
      </c>
    </row>
    <row r="8">
      <c r="A8" s="10" t="inlineStr">
        <is>
          <t>TRÉSORERIE EN DÉBUT D'EXERCICE N</t>
        </is>
      </c>
      <c r="B8" s="10" t="inlineStr">
        <is>
          <t>A</t>
        </is>
      </c>
      <c r="C8" s="11">
        <f>SUMIF(BALANCE_N1!$A$2:$A$50,"5*",BALANCE_N1!$F$2:$F$50)-SUMIF(BALANCE_N1!$A$2:$A$50,"5*",BALANCE_N1!$G$2:$G$50)-SUMIF(BALANCE_N1!$A$2:$A$50,"59*",BALANCE_N1!$F$2:$F$50)+SUMIF(BALANCE_N1!$A$2:$A$50,"59*",BALANCE_N1!$G$2:$G$50)</f>
        <v/>
      </c>
    </row>
    <row r="9">
      <c r="A9" s="12" t="inlineStr">
        <is>
          <t>FONDS REÇUS DES BAILLEURS AU COURS DE L'EXERCICE N</t>
        </is>
      </c>
      <c r="B9" s="12" t="inlineStr">
        <is>
          <t>B</t>
        </is>
      </c>
      <c r="C9" s="13">
        <f>'Emplois-Ressources'!D8+'Emplois-Ressources'!D9+'Emplois-Ressources'!D10</f>
        <v/>
      </c>
    </row>
    <row r="10">
      <c r="A10" s="10" t="inlineStr">
        <is>
          <t>INTÉRÊTS REÇUS AU COURS DE L'EXERCICE N</t>
        </is>
      </c>
      <c r="B10" s="10" t="inlineStr">
        <is>
          <t>C</t>
        </is>
      </c>
      <c r="C10" s="11">
        <f>SUMIF(BALANCE!$A$2:$A$50,"77*",BALANCE!$G$2:$G$50)-SUMIF(BALANCE!$A$2:$A$50,"77*",BALANCE!$F$2:$F$50)</f>
        <v/>
      </c>
    </row>
    <row r="11">
      <c r="A11" s="12" t="inlineStr">
        <is>
          <t>AUTRES FONDS REÇUS AU COURS DE L'EXERCICE N</t>
        </is>
      </c>
      <c r="B11" s="12" t="inlineStr">
        <is>
          <t>D</t>
        </is>
      </c>
      <c r="C11" s="13">
        <f>'Emplois-Ressources'!D11</f>
        <v/>
      </c>
    </row>
    <row r="12">
      <c r="A12" s="10" t="inlineStr">
        <is>
          <t>VIREMENTS SUR COMPTES OPÉRATIONNELS</t>
        </is>
      </c>
      <c r="B12" s="10" t="inlineStr">
        <is>
          <t>E</t>
        </is>
      </c>
      <c r="C12" s="11" t="n"/>
    </row>
    <row r="13">
      <c r="A13" s="12" t="inlineStr">
        <is>
          <t>DÉPENSES DE L'EXERCICE N</t>
        </is>
      </c>
      <c r="B13" s="12" t="inlineStr">
        <is>
          <t>F</t>
        </is>
      </c>
      <c r="C13" s="13">
        <f>'Emplois-Ressources'!D31</f>
        <v/>
      </c>
    </row>
    <row r="14">
      <c r="A14" s="14" t="inlineStr">
        <is>
          <t>TRÉSORERIE EN FIN D'EXERCICE N (A+B+C+D-E-F)</t>
        </is>
      </c>
      <c r="B14" s="14" t="inlineStr">
        <is>
          <t>G</t>
        </is>
      </c>
      <c r="C14" s="15">
        <f>C8+C9+C10+C11-C12-C13</f>
        <v/>
      </c>
    </row>
    <row r="15">
      <c r="A15" s="12" t="inlineStr">
        <is>
          <t>PAIEMENTS EN INSTANCE</t>
        </is>
      </c>
      <c r="B15" s="12" t="inlineStr">
        <is>
          <t>H</t>
        </is>
      </c>
      <c r="C15" s="13" t="n"/>
    </row>
    <row r="16">
      <c r="A16" s="14" t="inlineStr">
        <is>
          <t>TRÉSORERIE NETTE DES PAIEMENTS EN INSTANCE (G-H)</t>
        </is>
      </c>
      <c r="B16" s="14" t="inlineStr">
        <is>
          <t>I</t>
        </is>
      </c>
      <c r="C16" s="15">
        <f>C14-C15</f>
        <v/>
      </c>
    </row>
    <row r="17"/>
    <row r="18">
      <c r="A18" t="inlineStr">
        <is>
          <t>Rappel balance - trésorerie de clôture (classe 5 nette) :</t>
        </is>
      </c>
      <c r="C18" s="19">
        <f>(SUMIF(BALANCE!$A$2:$A$50,"5*",BALANCE!$F$2:$F$50)-SUMIF(BALANCE!$A$2:$A$50,"5*",BALANCE!$G$2:$G$50)-SUMIF(BALANCE!$A$2:$A$50,"59*",BALANCE!$F$2:$F$50)+SUMIF(BALANCE!$A$2:$A$50,"59*",BALANCE!$G$2:$G$50))-(SUMIF(BALANCE!$A$2:$A$50,"59*",BALANCE!$G$2:$G$50)-SUMIF(BALANCE!$A$2:$A$50,"599*",BALANCE!$G$2:$G$50))</f>
        <v/>
      </c>
    </row>
    <row r="19">
      <c r="A19" t="inlineStr">
        <is>
          <t>Écart avec la ligne G (dépenses non décaissées, créances : à expliquer en NOTE 2) :</t>
        </is>
      </c>
      <c r="C19" s="19">
        <f>C14-C18</f>
        <v/>
      </c>
    </row>
  </sheetData>
  <mergeCells count="2">
    <mergeCell ref="A1:C1"/>
    <mergeCell ref="A2:C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7" customWidth="1" min="1" max="1"/>
    <col width="60" customWidth="1" min="2" max="2"/>
    <col width="8" customWidth="1" min="3" max="3"/>
    <col width="18" customWidth="1" min="4" max="4"/>
    <col width="18" customWidth="1" min="5" max="5"/>
  </cols>
  <sheetData>
    <row r="1">
      <c r="A1" s="1" t="inlineStr">
        <is>
          <t>BILAN - ACTIF (en net)</t>
        </is>
      </c>
    </row>
    <row r="2">
      <c r="A2" s="2" t="inlineStr">
        <is>
          <t>SYCEBNL - Projets de développement et assimilés</t>
        </is>
      </c>
    </row>
    <row r="3"/>
    <row r="4">
      <c r="A4" s="3" t="inlineStr">
        <is>
          <t>Désignation entité : PROJET PADIR</t>
        </is>
      </c>
      <c r="D4" s="3" t="inlineStr">
        <is>
          <t>Exercice clos le : 31/12/2025</t>
        </is>
      </c>
    </row>
    <row r="5">
      <c r="A5" t="inlineStr">
        <is>
          <t>Numéro d'identification : Convention 2023/DR/045</t>
        </is>
      </c>
      <c r="D5" t="inlineStr">
        <is>
          <t>Durée (en mois) : 12</t>
        </is>
      </c>
    </row>
    <row r="6"/>
    <row r="7">
      <c r="A7" s="9" t="inlineStr">
        <is>
          <t>REF</t>
        </is>
      </c>
      <c r="B7" s="9" t="inlineStr">
        <is>
          <t>LIBELLÉS</t>
        </is>
      </c>
      <c r="C7" s="9" t="inlineStr">
        <is>
          <t>Note</t>
        </is>
      </c>
      <c r="D7" s="9" t="inlineStr">
        <is>
          <t>Exercice au 31/12/N</t>
        </is>
      </c>
      <c r="E7" s="9" t="inlineStr">
        <is>
          <t>Exercice au 31/12/N-1</t>
        </is>
      </c>
    </row>
    <row r="8">
      <c r="A8" s="10" t="inlineStr">
        <is>
          <t>AA</t>
        </is>
      </c>
      <c r="B8" s="10" t="inlineStr">
        <is>
          <t>Immobilisations incorporelles</t>
        </is>
      </c>
      <c r="C8" s="10" t="inlineStr">
        <is>
          <t>3A</t>
        </is>
      </c>
      <c r="D8" s="11">
        <f>((SUMIF(BALANCE!$A$2:$A$50,"21*",BALANCE!$F$2:$F$50)-SUMIF(BALANCE!$A$2:$A$50,"21*",BALANCE!$G$2:$G$50)))-((SUMIF(BALANCE!$A$2:$A$50,"281*",BALANCE!$G$2:$G$50)-SUMIF(BALANCE!$A$2:$A$50,"281*",BALANCE!$F$2:$F$50)+SUMIF(BALANCE!$A$2:$A$50,"291*",BALANCE!$G$2:$G$50)-SUMIF(BALANCE!$A$2:$A$50,"291*",BALANCE!$F$2:$F$50)))</f>
        <v/>
      </c>
      <c r="E8" s="11">
        <f>((SUMIF(BALANCE_N1!$A$2:$A$50,"21*",BALANCE_N1!$F$2:$F$50)-SUMIF(BALANCE_N1!$A$2:$A$50,"21*",BALANCE_N1!$G$2:$G$50)))-((SUMIF(BALANCE_N1!$A$2:$A$50,"281*",BALANCE_N1!$G$2:$G$50)-SUMIF(BALANCE_N1!$A$2:$A$50,"281*",BALANCE_N1!$F$2:$F$50)+SUMIF(BALANCE_N1!$A$2:$A$50,"291*",BALANCE_N1!$G$2:$G$50)-SUMIF(BALANCE_N1!$A$2:$A$50,"291*",BALANCE_N1!$F$2:$F$50)))</f>
        <v/>
      </c>
    </row>
    <row r="9">
      <c r="A9" s="12" t="inlineStr">
        <is>
          <t>AB</t>
        </is>
      </c>
      <c r="B9" s="12" t="inlineStr">
        <is>
          <t>Terrains et batiments</t>
        </is>
      </c>
      <c r="C9" s="12" t="inlineStr">
        <is>
          <t>3A</t>
        </is>
      </c>
      <c r="D9" s="13">
        <f>((SUMIF(BALANCE!$A$2:$A$50,"22*",BALANCE!$F$2:$F$50)-SUMIF(BALANCE!$A$2:$A$50,"22*",BALANCE!$G$2:$G$50)+SUMIF(BALANCE!$A$2:$A$50,"232*",BALANCE!$F$2:$F$50)-SUMIF(BALANCE!$A$2:$A$50,"232*",BALANCE!$G$2:$G$50)+SUMIF(BALANCE!$A$2:$A$50,"233*",BALANCE!$F$2:$F$50)-SUMIF(BALANCE!$A$2:$A$50,"233*",BALANCE!$G$2:$G$50)+SUMIF(BALANCE!$A$2:$A$50,"231*",BALANCE!$F$2:$F$50)-SUMIF(BALANCE!$A$2:$A$50,"231*",BALANCE!$G$2:$G$50)+SUMIF(BALANCE!$A$2:$A$50,"2396*",BALANCE!$F$2:$F$50)-SUMIF(BALANCE!$A$2:$A$50,"2396*",BALANCE!$G$2:$G$50)+SUMIF(BALANCE!$A$2:$A$50,"2391*",BALANCE!$F$2:$F$50)-SUMIF(BALANCE!$A$2:$A$50,"2391*",BALANCE!$G$2:$G$50)+SUMIF(BALANCE!$A$2:$A$50,"2392*",BALANCE!$F$2:$F$50)-SUMIF(BALANCE!$A$2:$A$50,"2392*",BALANCE!$G$2:$G$50)+SUMIF(BALANCE!$A$2:$A$50,"2393*",BALANCE!$F$2:$F$50)-SUMIF(BALANCE!$A$2:$A$50,"2393*",BALANCE!$G$2:$G$50)))-((SUMIF(BALANCE!$A$2:$A$50,"282*",BALANCE!$G$2:$G$50)-SUMIF(BALANCE!$A$2:$A$50,"282*",BALANCE!$F$2:$F$50)+SUMIF(BALANCE!$A$2:$A$50,"292*",BALANCE!$G$2:$G$50)-SUMIF(BALANCE!$A$2:$A$50,"292*",BALANCE!$F$2:$F$50)+SUMIF(BALANCE!$A$2:$A$50,"2939*",BALANCE!$G$2:$G$50)-SUMIF(BALANCE!$A$2:$A$50,"2939*",BALANCE!$F$2:$F$50)+SUMIF(BALANCE!$A$2:$A$50,"2933*",BALANCE!$G$2:$G$50)-SUMIF(BALANCE!$A$2:$A$50,"2933*",BALANCE!$F$2:$F$50)+SUMIF(BALANCE!$A$2:$A$50,"2831*",BALANCE!$G$2:$G$50)-SUMIF(BALANCE!$A$2:$A$50,"2831*",BALANCE!$F$2:$F$50)+SUMIF(BALANCE!$A$2:$A$50,"2932*",BALANCE!$G$2:$G$50)-SUMIF(BALANCE!$A$2:$A$50,"2932*",BALANCE!$F$2:$F$50)+SUMIF(BALANCE!$A$2:$A$50,"2833*",BALANCE!$G$2:$G$50)-SUMIF(BALANCE!$A$2:$A$50,"2833*",BALANCE!$F$2:$F$50)+SUMIF(BALANCE!$A$2:$A$50,"2931*",BALANCE!$G$2:$G$50)-SUMIF(BALANCE!$A$2:$A$50,"2931*",BALANCE!$F$2:$F$50)+SUMIF(BALANCE!$A$2:$A$50,"2832*",BALANCE!$G$2:$G$50)-SUMIF(BALANCE!$A$2:$A$50,"2832*",BALANCE!$F$2:$F$50)))</f>
        <v/>
      </c>
      <c r="E9" s="13">
        <f>((SUMIF(BALANCE_N1!$A$2:$A$50,"22*",BALANCE_N1!$F$2:$F$50)-SUMIF(BALANCE_N1!$A$2:$A$50,"22*",BALANCE_N1!$G$2:$G$50)+SUMIF(BALANCE_N1!$A$2:$A$50,"232*",BALANCE_N1!$F$2:$F$50)-SUMIF(BALANCE_N1!$A$2:$A$50,"232*",BALANCE_N1!$G$2:$G$50)+SUMIF(BALANCE_N1!$A$2:$A$50,"233*",BALANCE_N1!$F$2:$F$50)-SUMIF(BALANCE_N1!$A$2:$A$50,"233*",BALANCE_N1!$G$2:$G$50)+SUMIF(BALANCE_N1!$A$2:$A$50,"231*",BALANCE_N1!$F$2:$F$50)-SUMIF(BALANCE_N1!$A$2:$A$50,"231*",BALANCE_N1!$G$2:$G$50)+SUMIF(BALANCE_N1!$A$2:$A$50,"2396*",BALANCE_N1!$F$2:$F$50)-SUMIF(BALANCE_N1!$A$2:$A$50,"2396*",BALANCE_N1!$G$2:$G$50)+SUMIF(BALANCE_N1!$A$2:$A$50,"2391*",BALANCE_N1!$F$2:$F$50)-SUMIF(BALANCE_N1!$A$2:$A$50,"2391*",BALANCE_N1!$G$2:$G$50)+SUMIF(BALANCE_N1!$A$2:$A$50,"2392*",BALANCE_N1!$F$2:$F$50)-SUMIF(BALANCE_N1!$A$2:$A$50,"2392*",BALANCE_N1!$G$2:$G$50)+SUMIF(BALANCE_N1!$A$2:$A$50,"2393*",BALANCE_N1!$F$2:$F$50)-SUMIF(BALANCE_N1!$A$2:$A$50,"2393*",BALANCE_N1!$G$2:$G$50)))-((SUMIF(BALANCE_N1!$A$2:$A$50,"282*",BALANCE_N1!$G$2:$G$50)-SUMIF(BALANCE_N1!$A$2:$A$50,"282*",BALANCE_N1!$F$2:$F$50)+SUMIF(BALANCE_N1!$A$2:$A$50,"292*",BALANCE_N1!$G$2:$G$50)-SUMIF(BALANCE_N1!$A$2:$A$50,"292*",BALANCE_N1!$F$2:$F$50)+SUMIF(BALANCE_N1!$A$2:$A$50,"2939*",BALANCE_N1!$G$2:$G$50)-SUMIF(BALANCE_N1!$A$2:$A$50,"2939*",BALANCE_N1!$F$2:$F$50)+SUMIF(BALANCE_N1!$A$2:$A$50,"2933*",BALANCE_N1!$G$2:$G$50)-SUMIF(BALANCE_N1!$A$2:$A$50,"2933*",BALANCE_N1!$F$2:$F$50)+SUMIF(BALANCE_N1!$A$2:$A$50,"2831*",BALANCE_N1!$G$2:$G$50)-SUMIF(BALANCE_N1!$A$2:$A$50,"2831*",BALANCE_N1!$F$2:$F$50)+SUMIF(BALANCE_N1!$A$2:$A$50,"2932*",BALANCE_N1!$G$2:$G$50)-SUMIF(BALANCE_N1!$A$2:$A$50,"2932*",BALANCE_N1!$F$2:$F$50)+SUMIF(BALANCE_N1!$A$2:$A$50,"2833*",BALANCE_N1!$G$2:$G$50)-SUMIF(BALANCE_N1!$A$2:$A$50,"2833*",BALANCE_N1!$F$2:$F$50)+SUMIF(BALANCE_N1!$A$2:$A$50,"2931*",BALANCE_N1!$G$2:$G$50)-SUMIF(BALANCE_N1!$A$2:$A$50,"2931*",BALANCE_N1!$F$2:$F$50)+SUMIF(BALANCE_N1!$A$2:$A$50,"2832*",BALANCE_N1!$G$2:$G$50)-SUMIF(BALANCE_N1!$A$2:$A$50,"2832*",BALANCE_N1!$F$2:$F$50)))</f>
        <v/>
      </c>
    </row>
    <row r="10">
      <c r="A10" s="10" t="inlineStr">
        <is>
          <t>AC</t>
        </is>
      </c>
      <c r="B10" s="10" t="inlineStr">
        <is>
          <t>Amenagements, agencements et installations</t>
        </is>
      </c>
      <c r="C10" s="10" t="inlineStr">
        <is>
          <t>3A</t>
        </is>
      </c>
      <c r="D10" s="11">
        <f>((SUMIF(BALANCE!$A$2:$A$50,"238*",BALANCE!$F$2:$F$50)-SUMIF(BALANCE!$A$2:$A$50,"238*",BALANCE!$G$2:$G$50)+SUMIF(BALANCE!$A$2:$A$50,"234*",BALANCE!$F$2:$F$50)-SUMIF(BALANCE!$A$2:$A$50,"234*",BALANCE!$G$2:$G$50)+SUMIF(BALANCE!$A$2:$A$50,"235*",BALANCE!$F$2:$F$50)-SUMIF(BALANCE!$A$2:$A$50,"235*",BALANCE!$G$2:$G$50)+SUMIF(BALANCE!$A$2:$A$50,"2394*",BALANCE!$F$2:$F$50)-SUMIF(BALANCE!$A$2:$A$50,"2394*",BALANCE!$G$2:$G$50)+SUMIF(BALANCE!$A$2:$A$50,"2398*",BALANCE!$F$2:$F$50)-SUMIF(BALANCE!$A$2:$A$50,"2398*",BALANCE!$G$2:$G$50)+SUMIF(BALANCE!$A$2:$A$50,"2395*",BALANCE!$F$2:$F$50)-SUMIF(BALANCE!$A$2:$A$50,"2395*",BALANCE!$G$2:$G$50)))-((SUMIF(BALANCE!$A$2:$A$50,"2838*",BALANCE!$G$2:$G$50)-SUMIF(BALANCE!$A$2:$A$50,"2838*",BALANCE!$F$2:$F$50)+SUMIF(BALANCE!$A$2:$A$50,"2935*",BALANCE!$G$2:$G$50)-SUMIF(BALANCE!$A$2:$A$50,"2935*",BALANCE!$F$2:$F$50)+SUMIF(BALANCE!$A$2:$A$50,"2938*",BALANCE!$G$2:$G$50)-SUMIF(BALANCE!$A$2:$A$50,"2938*",BALANCE!$F$2:$F$50)+SUMIF(BALANCE!$A$2:$A$50,"2835*",BALANCE!$G$2:$G$50)-SUMIF(BALANCE!$A$2:$A$50,"2835*",BALANCE!$F$2:$F$50)+SUMIF(BALANCE!$A$2:$A$50,"2934*",BALANCE!$G$2:$G$50)-SUMIF(BALANCE!$A$2:$A$50,"2934*",BALANCE!$F$2:$F$50)+SUMIF(BALANCE!$A$2:$A$50,"2834*",BALANCE!$G$2:$G$50)-SUMIF(BALANCE!$A$2:$A$50,"2834*",BALANCE!$F$2:$F$50)))</f>
        <v/>
      </c>
      <c r="E10" s="11">
        <f>((SUMIF(BALANCE_N1!$A$2:$A$50,"238*",BALANCE_N1!$F$2:$F$50)-SUMIF(BALANCE_N1!$A$2:$A$50,"238*",BALANCE_N1!$G$2:$G$50)+SUMIF(BALANCE_N1!$A$2:$A$50,"234*",BALANCE_N1!$F$2:$F$50)-SUMIF(BALANCE_N1!$A$2:$A$50,"234*",BALANCE_N1!$G$2:$G$50)+SUMIF(BALANCE_N1!$A$2:$A$50,"235*",BALANCE_N1!$F$2:$F$50)-SUMIF(BALANCE_N1!$A$2:$A$50,"235*",BALANCE_N1!$G$2:$G$50)+SUMIF(BALANCE_N1!$A$2:$A$50,"2394*",BALANCE_N1!$F$2:$F$50)-SUMIF(BALANCE_N1!$A$2:$A$50,"2394*",BALANCE_N1!$G$2:$G$50)+SUMIF(BALANCE_N1!$A$2:$A$50,"2398*",BALANCE_N1!$F$2:$F$50)-SUMIF(BALANCE_N1!$A$2:$A$50,"2398*",BALANCE_N1!$G$2:$G$50)+SUMIF(BALANCE_N1!$A$2:$A$50,"2395*",BALANCE_N1!$F$2:$F$50)-SUMIF(BALANCE_N1!$A$2:$A$50,"2395*",BALANCE_N1!$G$2:$G$50)))-((SUMIF(BALANCE_N1!$A$2:$A$50,"2838*",BALANCE_N1!$G$2:$G$50)-SUMIF(BALANCE_N1!$A$2:$A$50,"2838*",BALANCE_N1!$F$2:$F$50)+SUMIF(BALANCE_N1!$A$2:$A$50,"2935*",BALANCE_N1!$G$2:$G$50)-SUMIF(BALANCE_N1!$A$2:$A$50,"2935*",BALANCE_N1!$F$2:$F$50)+SUMIF(BALANCE_N1!$A$2:$A$50,"2938*",BALANCE_N1!$G$2:$G$50)-SUMIF(BALANCE_N1!$A$2:$A$50,"2938*",BALANCE_N1!$F$2:$F$50)+SUMIF(BALANCE_N1!$A$2:$A$50,"2835*",BALANCE_N1!$G$2:$G$50)-SUMIF(BALANCE_N1!$A$2:$A$50,"2835*",BALANCE_N1!$F$2:$F$50)+SUMIF(BALANCE_N1!$A$2:$A$50,"2934*",BALANCE_N1!$G$2:$G$50)-SUMIF(BALANCE_N1!$A$2:$A$50,"2934*",BALANCE_N1!$F$2:$F$50)+SUMIF(BALANCE_N1!$A$2:$A$50,"2834*",BALANCE_N1!$G$2:$G$50)-SUMIF(BALANCE_N1!$A$2:$A$50,"2834*",BALANCE_N1!$F$2:$F$50)))</f>
        <v/>
      </c>
    </row>
    <row r="11">
      <c r="A11" s="12" t="inlineStr">
        <is>
          <t>AD</t>
        </is>
      </c>
      <c r="B11" s="12" t="inlineStr">
        <is>
          <t>Materiel, mobilier et actifs biologiques</t>
        </is>
      </c>
      <c r="C11" s="12" t="inlineStr">
        <is>
          <t>3A</t>
        </is>
      </c>
      <c r="D11" s="13">
        <f>((SUMIF(BALANCE!$A$2:$A$50,"24*",BALANCE!$F$2:$F$50)-SUMIF(BALANCE!$A$2:$A$50,"24*",BALANCE!$G$2:$G$50)-SUMIF(BALANCE!$A$2:$A$50,"245*",BALANCE!$F$2:$F$50)+SUMIF(BALANCE!$A$2:$A$50,"245*",BALANCE!$G$2:$G$50)-SUMIF(BALANCE!$A$2:$A$50,"2495*",BALANCE!$F$2:$F$50)+SUMIF(BALANCE!$A$2:$A$50,"2495*",BALANCE!$G$2:$G$50)))-((SUMIF(BALANCE!$A$2:$A$50,"284*",BALANCE!$G$2:$G$50)-SUMIF(BALANCE!$A$2:$A$50,"284*",BALANCE!$F$2:$F$50)+SUMIF(BALANCE!$A$2:$A$50,"294*",BALANCE!$G$2:$G$50)-SUMIF(BALANCE!$A$2:$A$50,"294*",BALANCE!$F$2:$F$50)-SUMIF(BALANCE!$A$2:$A$50,"2845*",BALANCE!$G$2:$G$50)+SUMIF(BALANCE!$A$2:$A$50,"2845*",BALANCE!$F$2:$F$50)-SUMIF(BALANCE!$A$2:$A$50,"2945*",BALANCE!$G$2:$G$50)+SUMIF(BALANCE!$A$2:$A$50,"2945*",BALANCE!$F$2:$F$50)))</f>
        <v/>
      </c>
      <c r="E11" s="13">
        <f>((SUMIF(BALANCE_N1!$A$2:$A$50,"24*",BALANCE_N1!$F$2:$F$50)-SUMIF(BALANCE_N1!$A$2:$A$50,"24*",BALANCE_N1!$G$2:$G$50)-SUMIF(BALANCE_N1!$A$2:$A$50,"245*",BALANCE_N1!$F$2:$F$50)+SUMIF(BALANCE_N1!$A$2:$A$50,"245*",BALANCE_N1!$G$2:$G$50)-SUMIF(BALANCE_N1!$A$2:$A$50,"2495*",BALANCE_N1!$F$2:$F$50)+SUMIF(BALANCE_N1!$A$2:$A$50,"2495*",BALANCE_N1!$G$2:$G$50)))-((SUMIF(BALANCE_N1!$A$2:$A$50,"284*",BALANCE_N1!$G$2:$G$50)-SUMIF(BALANCE_N1!$A$2:$A$50,"284*",BALANCE_N1!$F$2:$F$50)+SUMIF(BALANCE_N1!$A$2:$A$50,"294*",BALANCE_N1!$G$2:$G$50)-SUMIF(BALANCE_N1!$A$2:$A$50,"294*",BALANCE_N1!$F$2:$F$50)-SUMIF(BALANCE_N1!$A$2:$A$50,"2845*",BALANCE_N1!$G$2:$G$50)+SUMIF(BALANCE_N1!$A$2:$A$50,"2845*",BALANCE_N1!$F$2:$F$50)-SUMIF(BALANCE_N1!$A$2:$A$50,"2945*",BALANCE_N1!$G$2:$G$50)+SUMIF(BALANCE_N1!$A$2:$A$50,"2945*",BALANCE_N1!$F$2:$F$50)))</f>
        <v/>
      </c>
    </row>
    <row r="12">
      <c r="A12" s="10" t="inlineStr">
        <is>
          <t>AE</t>
        </is>
      </c>
      <c r="B12" s="10" t="inlineStr">
        <is>
          <t>Materiel de transport</t>
        </is>
      </c>
      <c r="C12" s="10" t="inlineStr">
        <is>
          <t>3A</t>
        </is>
      </c>
      <c r="D12" s="11">
        <f>((SUMIF(BALANCE!$A$2:$A$50,"245*",BALANCE!$F$2:$F$50)-SUMIF(BALANCE!$A$2:$A$50,"245*",BALANCE!$G$2:$G$50)+SUMIF(BALANCE!$A$2:$A$50,"2495*",BALANCE!$F$2:$F$50)-SUMIF(BALANCE!$A$2:$A$50,"2495*",BALANCE!$G$2:$G$50)))-((SUMIF(BALANCE!$A$2:$A$50,"2845*",BALANCE!$G$2:$G$50)-SUMIF(BALANCE!$A$2:$A$50,"2845*",BALANCE!$F$2:$F$50)+SUMIF(BALANCE!$A$2:$A$50,"2945*",BALANCE!$G$2:$G$50)-SUMIF(BALANCE!$A$2:$A$50,"2945*",BALANCE!$F$2:$F$50)))</f>
        <v/>
      </c>
      <c r="E12" s="11">
        <f>((SUMIF(BALANCE_N1!$A$2:$A$50,"245*",BALANCE_N1!$F$2:$F$50)-SUMIF(BALANCE_N1!$A$2:$A$50,"245*",BALANCE_N1!$G$2:$G$50)+SUMIF(BALANCE_N1!$A$2:$A$50,"2495*",BALANCE_N1!$F$2:$F$50)-SUMIF(BALANCE_N1!$A$2:$A$50,"2495*",BALANCE_N1!$G$2:$G$50)))-((SUMIF(BALANCE_N1!$A$2:$A$50,"2845*",BALANCE_N1!$G$2:$G$50)-SUMIF(BALANCE_N1!$A$2:$A$50,"2845*",BALANCE_N1!$F$2:$F$50)+SUMIF(BALANCE_N1!$A$2:$A$50,"2945*",BALANCE_N1!$G$2:$G$50)-SUMIF(BALANCE_N1!$A$2:$A$50,"2945*",BALANCE_N1!$F$2:$F$50)))</f>
        <v/>
      </c>
    </row>
    <row r="13">
      <c r="A13" s="12" t="inlineStr">
        <is>
          <t>AF</t>
        </is>
      </c>
      <c r="B13" s="12" t="inlineStr">
        <is>
          <t>Avances et acomptes verses sur immobilisations</t>
        </is>
      </c>
      <c r="C13" s="12" t="inlineStr">
        <is>
          <t>3A</t>
        </is>
      </c>
      <c r="D13" s="13">
        <f>((SUMIF(BALANCE!$A$2:$A$50,"25*",BALANCE!$F$2:$F$50)-SUMIF(BALANCE!$A$2:$A$50,"25*",BALANCE!$G$2:$G$50)))-((SUMIF(BALANCE!$A$2:$A$50,"295*",BALANCE!$G$2:$G$50)-SUMIF(BALANCE!$A$2:$A$50,"295*",BALANCE!$F$2:$F$50)))</f>
        <v/>
      </c>
      <c r="E13" s="13">
        <f>((SUMIF(BALANCE_N1!$A$2:$A$50,"25*",BALANCE_N1!$F$2:$F$50)-SUMIF(BALANCE_N1!$A$2:$A$50,"25*",BALANCE_N1!$G$2:$G$50)))-((SUMIF(BALANCE_N1!$A$2:$A$50,"295*",BALANCE_N1!$G$2:$G$50)-SUMIF(BALANCE_N1!$A$2:$A$50,"295*",BALANCE_N1!$F$2:$F$50)))</f>
        <v/>
      </c>
    </row>
    <row r="14">
      <c r="A14" s="10" t="inlineStr">
        <is>
          <t>AG</t>
        </is>
      </c>
      <c r="B14" s="10" t="inlineStr">
        <is>
          <t>Depots et cautionnements</t>
        </is>
      </c>
      <c r="C14" s="10" t="inlineStr">
        <is>
          <t>3A</t>
        </is>
      </c>
      <c r="D14" s="11">
        <f>((SUMIF(BALANCE!$A$2:$A$50,"275*",BALANCE!$F$2:$F$50)-SUMIF(BALANCE!$A$2:$A$50,"275*",BALANCE!$G$2:$G$50)))-((SUMIF(BALANCE!$A$2:$A$50,"2975*",BALANCE!$G$2:$G$50)-SUMIF(BALANCE!$A$2:$A$50,"2975*",BALANCE!$F$2:$F$50)))</f>
        <v/>
      </c>
      <c r="E14" s="11">
        <f>((SUMIF(BALANCE_N1!$A$2:$A$50,"275*",BALANCE_N1!$F$2:$F$50)-SUMIF(BALANCE_N1!$A$2:$A$50,"275*",BALANCE_N1!$G$2:$G$50)))-((SUMIF(BALANCE_N1!$A$2:$A$50,"2975*",BALANCE_N1!$G$2:$G$50)-SUMIF(BALANCE_N1!$A$2:$A$50,"2975*",BALANCE_N1!$F$2:$F$50)))</f>
        <v/>
      </c>
    </row>
    <row r="15">
      <c r="A15" s="12" t="inlineStr">
        <is>
          <t>AH</t>
        </is>
      </c>
      <c r="B15" s="12" t="inlineStr">
        <is>
          <t>Autres immobilisations corporelles et financieres</t>
        </is>
      </c>
      <c r="C15" s="12" t="inlineStr">
        <is>
          <t>3A</t>
        </is>
      </c>
      <c r="D15" s="13">
        <f>((SUMIF(BALANCE!$A$2:$A$50,"26*",BALANCE!$F$2:$F$50)-SUMIF(BALANCE!$A$2:$A$50,"26*",BALANCE!$G$2:$G$50)+SUMIF(BALANCE!$A$2:$A$50,"27*",BALANCE!$F$2:$F$50)-SUMIF(BALANCE!$A$2:$A$50,"27*",BALANCE!$G$2:$G$50)-SUMIF(BALANCE!$A$2:$A$50,"275*",BALANCE!$F$2:$F$50)+SUMIF(BALANCE!$A$2:$A$50,"275*",BALANCE!$G$2:$G$50)))-((SUMIF(BALANCE!$A$2:$A$50,"296*",BALANCE!$G$2:$G$50)-SUMIF(BALANCE!$A$2:$A$50,"296*",BALANCE!$F$2:$F$50)+SUMIF(BALANCE!$A$2:$A$50,"297*",BALANCE!$G$2:$G$50)-SUMIF(BALANCE!$A$2:$A$50,"297*",BALANCE!$F$2:$F$50)-SUMIF(BALANCE!$A$2:$A$50,"2975*",BALANCE!$G$2:$G$50)+SUMIF(BALANCE!$A$2:$A$50,"2975*",BALANCE!$F$2:$F$50)))</f>
        <v/>
      </c>
      <c r="E15" s="13">
        <f>((SUMIF(BALANCE_N1!$A$2:$A$50,"26*",BALANCE_N1!$F$2:$F$50)-SUMIF(BALANCE_N1!$A$2:$A$50,"26*",BALANCE_N1!$G$2:$G$50)+SUMIF(BALANCE_N1!$A$2:$A$50,"27*",BALANCE_N1!$F$2:$F$50)-SUMIF(BALANCE_N1!$A$2:$A$50,"27*",BALANCE_N1!$G$2:$G$50)-SUMIF(BALANCE_N1!$A$2:$A$50,"275*",BALANCE_N1!$F$2:$F$50)+SUMIF(BALANCE_N1!$A$2:$A$50,"275*",BALANCE_N1!$G$2:$G$50)))-((SUMIF(BALANCE_N1!$A$2:$A$50,"296*",BALANCE_N1!$G$2:$G$50)-SUMIF(BALANCE_N1!$A$2:$A$50,"296*",BALANCE_N1!$F$2:$F$50)+SUMIF(BALANCE_N1!$A$2:$A$50,"297*",BALANCE_N1!$G$2:$G$50)-SUMIF(BALANCE_N1!$A$2:$A$50,"297*",BALANCE_N1!$F$2:$F$50)-SUMIF(BALANCE_N1!$A$2:$A$50,"2975*",BALANCE_N1!$G$2:$G$50)+SUMIF(BALANCE_N1!$A$2:$A$50,"2975*",BALANCE_N1!$F$2:$F$50)))</f>
        <v/>
      </c>
    </row>
    <row r="16">
      <c r="A16" s="14" t="inlineStr">
        <is>
          <t>AZ</t>
        </is>
      </c>
      <c r="B16" s="14" t="inlineStr">
        <is>
          <t>TOTAL ACTIF IMMOBILISE</t>
        </is>
      </c>
      <c r="C16" s="14" t="inlineStr"/>
      <c r="D16" s="15">
        <f>D8+D9+D10+D11+D12+D13+D14+D15</f>
        <v/>
      </c>
      <c r="E16" s="15">
        <f>E8+E9+E10+E11+E12+E13+E14+E15</f>
        <v/>
      </c>
    </row>
    <row r="17">
      <c r="A17" s="12" t="inlineStr">
        <is>
          <t>BA</t>
        </is>
      </c>
      <c r="B17" s="12" t="inlineStr">
        <is>
          <t>Actif circulant HAO</t>
        </is>
      </c>
      <c r="C17" s="12" t="inlineStr">
        <is>
          <t>4</t>
        </is>
      </c>
      <c r="D17" s="13">
        <f>((SUMIF(BALANCE!$A$2:$A$50,"485*",BALANCE!$F$2:$F$50)-SUMIF(BALANCE!$A$2:$A$50,"485*",BALANCE!$G$2:$G$50)))-((SUMIF(BALANCE!$A$2:$A$50,"498*",BALANCE!$G$2:$G$50)-SUMIF(BALANCE!$A$2:$A$50,"498*",BALANCE!$F$2:$F$50)))</f>
        <v/>
      </c>
      <c r="E17" s="13">
        <f>((SUMIF(BALANCE_N1!$A$2:$A$50,"485*",BALANCE_N1!$F$2:$F$50)-SUMIF(BALANCE_N1!$A$2:$A$50,"485*",BALANCE_N1!$G$2:$G$50)))-((SUMIF(BALANCE_N1!$A$2:$A$50,"498*",BALANCE_N1!$G$2:$G$50)-SUMIF(BALANCE_N1!$A$2:$A$50,"498*",BALANCE_N1!$F$2:$F$50)))</f>
        <v/>
      </c>
    </row>
    <row r="18">
      <c r="A18" s="10" t="inlineStr">
        <is>
          <t>BB</t>
        </is>
      </c>
      <c r="B18" s="10" t="inlineStr">
        <is>
          <t>Stocks et encours</t>
        </is>
      </c>
      <c r="C18" s="10" t="inlineStr">
        <is>
          <t>5</t>
        </is>
      </c>
      <c r="D18" s="11">
        <f>((SUMIF(BALANCE!$A$2:$A$50,"33*",BALANCE!$F$2:$F$50)-SUMIF(BALANCE!$A$2:$A$50,"33*",BALANCE!$G$2:$G$50)+SUMIF(BALANCE!$A$2:$A$50,"34*",BALANCE!$F$2:$F$50)-SUMIF(BALANCE!$A$2:$A$50,"34*",BALANCE!$G$2:$G$50)+SUMIF(BALANCE!$A$2:$A$50,"37*",BALANCE!$F$2:$F$50)-SUMIF(BALANCE!$A$2:$A$50,"37*",BALANCE!$G$2:$G$50)+SUMIF(BALANCE!$A$2:$A$50,"38*",BALANCE!$F$2:$F$50)-SUMIF(BALANCE!$A$2:$A$50,"38*",BALANCE!$G$2:$G$50)+SUMIF(BALANCE!$A$2:$A$50,"31*",BALANCE!$F$2:$F$50)-SUMIF(BALANCE!$A$2:$A$50,"31*",BALANCE!$G$2:$G$50)+SUMIF(BALANCE!$A$2:$A$50,"36*",BALANCE!$F$2:$F$50)-SUMIF(BALANCE!$A$2:$A$50,"36*",BALANCE!$G$2:$G$50)+SUMIF(BALANCE!$A$2:$A$50,"32*",BALANCE!$F$2:$F$50)-SUMIF(BALANCE!$A$2:$A$50,"32*",BALANCE!$G$2:$G$50)))-((SUMIF(BALANCE!$A$2:$A$50,"39*",BALANCE!$G$2:$G$50)-SUMIF(BALANCE!$A$2:$A$50,"39*",BALANCE!$F$2:$F$50)))</f>
        <v/>
      </c>
      <c r="E18" s="11">
        <f>((SUMIF(BALANCE_N1!$A$2:$A$50,"33*",BALANCE_N1!$F$2:$F$50)-SUMIF(BALANCE_N1!$A$2:$A$50,"33*",BALANCE_N1!$G$2:$G$50)+SUMIF(BALANCE_N1!$A$2:$A$50,"34*",BALANCE_N1!$F$2:$F$50)-SUMIF(BALANCE_N1!$A$2:$A$50,"34*",BALANCE_N1!$G$2:$G$50)+SUMIF(BALANCE_N1!$A$2:$A$50,"37*",BALANCE_N1!$F$2:$F$50)-SUMIF(BALANCE_N1!$A$2:$A$50,"37*",BALANCE_N1!$G$2:$G$50)+SUMIF(BALANCE_N1!$A$2:$A$50,"38*",BALANCE_N1!$F$2:$F$50)-SUMIF(BALANCE_N1!$A$2:$A$50,"38*",BALANCE_N1!$G$2:$G$50)+SUMIF(BALANCE_N1!$A$2:$A$50,"31*",BALANCE_N1!$F$2:$F$50)-SUMIF(BALANCE_N1!$A$2:$A$50,"31*",BALANCE_N1!$G$2:$G$50)+SUMIF(BALANCE_N1!$A$2:$A$50,"36*",BALANCE_N1!$F$2:$F$50)-SUMIF(BALANCE_N1!$A$2:$A$50,"36*",BALANCE_N1!$G$2:$G$50)+SUMIF(BALANCE_N1!$A$2:$A$50,"32*",BALANCE_N1!$F$2:$F$50)-SUMIF(BALANCE_N1!$A$2:$A$50,"32*",BALANCE_N1!$G$2:$G$50)))-((SUMIF(BALANCE_N1!$A$2:$A$50,"39*",BALANCE_N1!$G$2:$G$50)-SUMIF(BALANCE_N1!$A$2:$A$50,"39*",BALANCE_N1!$F$2:$F$50)))</f>
        <v/>
      </c>
    </row>
    <row r="19">
      <c r="A19" s="12" t="inlineStr">
        <is>
          <t>BC</t>
        </is>
      </c>
      <c r="B19" s="12" t="inlineStr">
        <is>
          <t>Fournisseurs debiteurs</t>
        </is>
      </c>
      <c r="C19" s="12" t="inlineStr">
        <is>
          <t>6</t>
        </is>
      </c>
      <c r="D19" s="13">
        <f>((SUMIF(BALANCE!$A$2:$A$50,"409*",BALANCE!$F$2:$F$50)-SUMIF(BALANCE!$A$2:$A$50,"409*",BALANCE!$G$2:$G$50)))-((SUMIF(BALANCE!$A$2:$A$50,"490*",BALANCE!$G$2:$G$50)-SUMIF(BALANCE!$A$2:$A$50,"490*",BALANCE!$F$2:$F$50)))</f>
        <v/>
      </c>
      <c r="E19" s="13">
        <f>((SUMIF(BALANCE_N1!$A$2:$A$50,"409*",BALANCE_N1!$F$2:$F$50)-SUMIF(BALANCE_N1!$A$2:$A$50,"409*",BALANCE_N1!$G$2:$G$50)))-((SUMIF(BALANCE_N1!$A$2:$A$50,"490*",BALANCE_N1!$G$2:$G$50)-SUMIF(BALANCE_N1!$A$2:$A$50,"490*",BALANCE_N1!$F$2:$F$50)))</f>
        <v/>
      </c>
    </row>
    <row r="20">
      <c r="A20" s="10" t="inlineStr">
        <is>
          <t>BD</t>
        </is>
      </c>
      <c r="B20" s="10" t="inlineStr">
        <is>
          <t>Clients-usagers</t>
        </is>
      </c>
      <c r="C20" s="10" t="inlineStr">
        <is>
          <t>6</t>
        </is>
      </c>
      <c r="D20" s="11">
        <f>((SUMIF(BALANCE!$A$2:$A$50,"41*",BALANCE!$F$2:$F$50)-SUMIF(BALANCE!$A$2:$A$50,"41*",BALANCE!$G$2:$G$50)-SUMIF(BALANCE!$A$2:$A$50,"411*",BALANCE!$F$2:$F$50)+SUMIF(BALANCE!$A$2:$A$50,"411*",BALANCE!$G$2:$G$50)-SUMIF(BALANCE!$A$2:$A$50,"419*",BALANCE!$F$2:$F$50)+SUMIF(BALANCE!$A$2:$A$50,"419*",BALANCE!$G$2:$G$50)))-((SUMIF(BALANCE!$A$2:$A$50,"491*",BALANCE!$G$2:$G$50)-SUMIF(BALANCE!$A$2:$A$50,"491*",BALANCE!$F$2:$F$50)))</f>
        <v/>
      </c>
      <c r="E20" s="11">
        <f>((SUMIF(BALANCE_N1!$A$2:$A$50,"41*",BALANCE_N1!$F$2:$F$50)-SUMIF(BALANCE_N1!$A$2:$A$50,"41*",BALANCE_N1!$G$2:$G$50)-SUMIF(BALANCE_N1!$A$2:$A$50,"411*",BALANCE_N1!$F$2:$F$50)+SUMIF(BALANCE_N1!$A$2:$A$50,"411*",BALANCE_N1!$G$2:$G$50)-SUMIF(BALANCE_N1!$A$2:$A$50,"419*",BALANCE_N1!$F$2:$F$50)+SUMIF(BALANCE_N1!$A$2:$A$50,"419*",BALANCE_N1!$G$2:$G$50)))-((SUMIF(BALANCE_N1!$A$2:$A$50,"491*",BALANCE_N1!$G$2:$G$50)-SUMIF(BALANCE_N1!$A$2:$A$50,"491*",BALANCE_N1!$F$2:$F$50)))</f>
        <v/>
      </c>
    </row>
    <row r="21">
      <c r="A21" s="12" t="inlineStr">
        <is>
          <t>BE</t>
        </is>
      </c>
      <c r="B21" s="12" t="inlineStr">
        <is>
          <t>Autres creances</t>
        </is>
      </c>
      <c r="C21" s="12" t="inlineStr">
        <is>
          <t>6</t>
        </is>
      </c>
      <c r="D21" s="13">
        <f>((SUMIF(BALANCE!$A$2:$A$50,"42*",BALANCE!$F$2:$F$50)+SUMIF(BALANCE!$A$2:$A$50,"44*",BALANCE!$F$2:$F$50)+SUMIF(BALANCE!$A$2:$A$50,"43*",BALANCE!$F$2:$F$50)+SUMIF(BALANCE!$A$2:$A$50,"47*",BALANCE!$F$2:$F$50)-SUMIF(BALANCE!$A$2:$A$50,"478*",BALANCE!$F$2:$F$50)))-((SUMIF(BALANCE!$A$2:$A$50,"492*",BALANCE!$G$2:$G$50)-SUMIF(BALANCE!$A$2:$A$50,"492*",BALANCE!$F$2:$F$50)+SUMIF(BALANCE!$A$2:$A$50,"494*",BALANCE!$G$2:$G$50)-SUMIF(BALANCE!$A$2:$A$50,"494*",BALANCE!$F$2:$F$50)+SUMIF(BALANCE!$A$2:$A$50,"497*",BALANCE!$G$2:$G$50)-SUMIF(BALANCE!$A$2:$A$50,"497*",BALANCE!$F$2:$F$50)+SUMIF(BALANCE!$A$2:$A$50,"493*",BALANCE!$G$2:$G$50)-SUMIF(BALANCE!$A$2:$A$50,"493*",BALANCE!$F$2:$F$50)))</f>
        <v/>
      </c>
      <c r="E21" s="13">
        <f>((SUMIF(BALANCE_N1!$A$2:$A$50,"42*",BALANCE_N1!$F$2:$F$50)+SUMIF(BALANCE_N1!$A$2:$A$50,"44*",BALANCE_N1!$F$2:$F$50)+SUMIF(BALANCE_N1!$A$2:$A$50,"43*",BALANCE_N1!$F$2:$F$50)+SUMIF(BALANCE_N1!$A$2:$A$50,"47*",BALANCE_N1!$F$2:$F$50)-SUMIF(BALANCE_N1!$A$2:$A$50,"478*",BALANCE_N1!$F$2:$F$50)))-((SUMIF(BALANCE_N1!$A$2:$A$50,"492*",BALANCE_N1!$G$2:$G$50)-SUMIF(BALANCE_N1!$A$2:$A$50,"492*",BALANCE_N1!$F$2:$F$50)+SUMIF(BALANCE_N1!$A$2:$A$50,"494*",BALANCE_N1!$G$2:$G$50)-SUMIF(BALANCE_N1!$A$2:$A$50,"494*",BALANCE_N1!$F$2:$F$50)+SUMIF(BALANCE_N1!$A$2:$A$50,"497*",BALANCE_N1!$G$2:$G$50)-SUMIF(BALANCE_N1!$A$2:$A$50,"497*",BALANCE_N1!$F$2:$F$50)+SUMIF(BALANCE_N1!$A$2:$A$50,"493*",BALANCE_N1!$G$2:$G$50)-SUMIF(BALANCE_N1!$A$2:$A$50,"493*",BALANCE_N1!$F$2:$F$50)))</f>
        <v/>
      </c>
    </row>
    <row r="22">
      <c r="A22" s="14" t="inlineStr">
        <is>
          <t>BF</t>
        </is>
      </c>
      <c r="B22" s="14" t="inlineStr">
        <is>
          <t>TOTAL ACTIF CIRCULANT</t>
        </is>
      </c>
      <c r="C22" s="14" t="inlineStr"/>
      <c r="D22" s="15">
        <f>D17+D18+D19+D20+D21</f>
        <v/>
      </c>
      <c r="E22" s="15">
        <f>E17+E18+E19+E20+E21</f>
        <v/>
      </c>
    </row>
    <row r="23">
      <c r="A23" s="12" t="inlineStr">
        <is>
          <t>BV</t>
        </is>
      </c>
      <c r="B23" s="12" t="inlineStr">
        <is>
          <t>Valeurs a encaisser</t>
        </is>
      </c>
      <c r="C23" s="12" t="inlineStr">
        <is>
          <t>7</t>
        </is>
      </c>
      <c r="D23" s="13">
        <f>((SUMIF(BALANCE!$A$2:$A$50,"51*",BALANCE!$F$2:$F$50)-SUMIF(BALANCE!$A$2:$A$50,"51*",BALANCE!$G$2:$G$50)))-((SUMIF(BALANCE!$A$2:$A$50,"591*",BALANCE!$G$2:$G$50)-SUMIF(BALANCE!$A$2:$A$50,"591*",BALANCE!$F$2:$F$50)))</f>
        <v/>
      </c>
      <c r="E23" s="13">
        <f>((SUMIF(BALANCE_N1!$A$2:$A$50,"51*",BALANCE_N1!$F$2:$F$50)-SUMIF(BALANCE_N1!$A$2:$A$50,"51*",BALANCE_N1!$G$2:$G$50)))-((SUMIF(BALANCE_N1!$A$2:$A$50,"591*",BALANCE_N1!$G$2:$G$50)-SUMIF(BALANCE_N1!$A$2:$A$50,"591*",BALANCE_N1!$F$2:$F$50)))</f>
        <v/>
      </c>
    </row>
    <row r="24">
      <c r="A24" s="10" t="inlineStr">
        <is>
          <t>BW</t>
        </is>
      </c>
      <c r="B24" s="10" t="inlineStr">
        <is>
          <t>Banques, etablissements financiers, caisses et assimiles</t>
        </is>
      </c>
      <c r="C24" s="10" t="inlineStr">
        <is>
          <t>7</t>
        </is>
      </c>
      <c r="D24" s="11">
        <f>((SUMIF(BALANCE!$A$2:$A$50,"53*",BALANCE!$F$2:$F$50)-SUMIF(BALANCE!$A$2:$A$50,"53*",BALANCE!$G$2:$G$50)+SUMIF(BALANCE!$A$2:$A$50,"57*",BALANCE!$F$2:$F$50)-SUMIF(BALANCE!$A$2:$A$50,"57*",BALANCE!$G$2:$G$50)+SUMIF(BALANCE!$A$2:$A$50,"52*",BALANCE!$F$2:$F$50)-SUMIF(BALANCE!$A$2:$A$50,"52*",BALANCE!$G$2:$G$50)+SUMIF(BALANCE!$A$2:$A$50,"55*",BALANCE!$F$2:$F$50)-SUMIF(BALANCE!$A$2:$A$50,"55*",BALANCE!$G$2:$G$50)))-((SUMIF(BALANCE!$A$2:$A$50,"595*",BALANCE!$G$2:$G$50)-SUMIF(BALANCE!$A$2:$A$50,"595*",BALANCE!$F$2:$F$50)+SUMIF(BALANCE!$A$2:$A$50,"592*",BALANCE!$G$2:$G$50)-SUMIF(BALANCE!$A$2:$A$50,"592*",BALANCE!$F$2:$F$50)+SUMIF(BALANCE!$A$2:$A$50,"593*",BALANCE!$G$2:$G$50)-SUMIF(BALANCE!$A$2:$A$50,"593*",BALANCE!$F$2:$F$50)))</f>
        <v/>
      </c>
      <c r="E24" s="11">
        <f>((SUMIF(BALANCE_N1!$A$2:$A$50,"53*",BALANCE_N1!$F$2:$F$50)-SUMIF(BALANCE_N1!$A$2:$A$50,"53*",BALANCE_N1!$G$2:$G$50)+SUMIF(BALANCE_N1!$A$2:$A$50,"57*",BALANCE_N1!$F$2:$F$50)-SUMIF(BALANCE_N1!$A$2:$A$50,"57*",BALANCE_N1!$G$2:$G$50)+SUMIF(BALANCE_N1!$A$2:$A$50,"52*",BALANCE_N1!$F$2:$F$50)-SUMIF(BALANCE_N1!$A$2:$A$50,"52*",BALANCE_N1!$G$2:$G$50)+SUMIF(BALANCE_N1!$A$2:$A$50,"55*",BALANCE_N1!$F$2:$F$50)-SUMIF(BALANCE_N1!$A$2:$A$50,"55*",BALANCE_N1!$G$2:$G$50)))-((SUMIF(BALANCE_N1!$A$2:$A$50,"595*",BALANCE_N1!$G$2:$G$50)-SUMIF(BALANCE_N1!$A$2:$A$50,"595*",BALANCE_N1!$F$2:$F$50)+SUMIF(BALANCE_N1!$A$2:$A$50,"592*",BALANCE_N1!$G$2:$G$50)-SUMIF(BALANCE_N1!$A$2:$A$50,"592*",BALANCE_N1!$F$2:$F$50)+SUMIF(BALANCE_N1!$A$2:$A$50,"593*",BALANCE_N1!$G$2:$G$50)-SUMIF(BALANCE_N1!$A$2:$A$50,"593*",BALANCE_N1!$F$2:$F$50)))</f>
        <v/>
      </c>
    </row>
    <row r="25">
      <c r="A25" s="14" t="inlineStr">
        <is>
          <t>BX</t>
        </is>
      </c>
      <c r="B25" s="14" t="inlineStr">
        <is>
          <t>TOTAL TRESORERIE ACTIF</t>
        </is>
      </c>
      <c r="C25" s="14" t="inlineStr"/>
      <c r="D25" s="15">
        <f>D23+D24</f>
        <v/>
      </c>
      <c r="E25" s="15">
        <f>E23+E24</f>
        <v/>
      </c>
    </row>
    <row r="26">
      <c r="A26" s="10" t="inlineStr">
        <is>
          <t>BY</t>
        </is>
      </c>
      <c r="B26" s="10" t="inlineStr">
        <is>
          <t>Ecart de conversion-Actif</t>
        </is>
      </c>
      <c r="C26" s="10" t="inlineStr">
        <is>
          <t>8</t>
        </is>
      </c>
      <c r="D26" s="11">
        <f>(SUMIF(BALANCE!$A$2:$A$50,"478*",BALANCE!$F$2:$F$50)-SUMIF(BALANCE!$A$2:$A$50,"478*",BALANCE!$G$2:$G$50))</f>
        <v/>
      </c>
      <c r="E26" s="11">
        <f>(SUMIF(BALANCE_N1!$A$2:$A$50,"478*",BALANCE_N1!$F$2:$F$50)-SUMIF(BALANCE_N1!$A$2:$A$50,"478*",BALANCE_N1!$G$2:$G$50))</f>
        <v/>
      </c>
    </row>
    <row r="27">
      <c r="A27" s="14" t="inlineStr">
        <is>
          <t>BZ</t>
        </is>
      </c>
      <c r="B27" s="14" t="inlineStr">
        <is>
          <t>TOTAL GENERAL</t>
        </is>
      </c>
      <c r="C27" s="14" t="inlineStr"/>
      <c r="D27" s="15">
        <f>D16+D22+D25+D26</f>
        <v/>
      </c>
      <c r="E27" s="15">
        <f>E16+E22+E25+E26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7" customWidth="1" min="1" max="1"/>
    <col width="60" customWidth="1" min="2" max="2"/>
    <col width="8" customWidth="1" min="3" max="3"/>
    <col width="18" customWidth="1" min="4" max="4"/>
    <col width="18" customWidth="1" min="5" max="5"/>
  </cols>
  <sheetData>
    <row r="1">
      <c r="A1" s="1" t="inlineStr">
        <is>
          <t>BILAN - PASSIF</t>
        </is>
      </c>
    </row>
    <row r="2">
      <c r="A2" s="2" t="inlineStr">
        <is>
          <t>SYCEBNL - Projets de développement et assimilés</t>
        </is>
      </c>
    </row>
    <row r="3"/>
    <row r="4">
      <c r="A4" s="3" t="inlineStr">
        <is>
          <t>Désignation entité : PROJET PADIR</t>
        </is>
      </c>
      <c r="D4" s="3" t="inlineStr">
        <is>
          <t>Exercice clos le : 31/12/2025</t>
        </is>
      </c>
    </row>
    <row r="5">
      <c r="A5" t="inlineStr">
        <is>
          <t>Numéro d'identification : Convention 2023/DR/045</t>
        </is>
      </c>
      <c r="D5" t="inlineStr">
        <is>
          <t>Durée (en mois) : 12</t>
        </is>
      </c>
    </row>
    <row r="6"/>
    <row r="7">
      <c r="A7" s="9" t="inlineStr">
        <is>
          <t>REF</t>
        </is>
      </c>
      <c r="B7" s="9" t="inlineStr">
        <is>
          <t>LIBELLÉS</t>
        </is>
      </c>
      <c r="C7" s="9" t="inlineStr">
        <is>
          <t>Note</t>
        </is>
      </c>
      <c r="D7" s="9" t="inlineStr">
        <is>
          <t>Exercice au 31/12/N</t>
        </is>
      </c>
      <c r="E7" s="9" t="inlineStr">
        <is>
          <t>Exercice au 31/12/N-1</t>
        </is>
      </c>
    </row>
    <row r="8">
      <c r="A8" s="10" t="inlineStr">
        <is>
          <t>CA</t>
        </is>
      </c>
      <c r="B8" s="10" t="inlineStr">
        <is>
          <t>Fonds affectes aux investissements</t>
        </is>
      </c>
      <c r="C8" s="10" t="inlineStr">
        <is>
          <t>9</t>
        </is>
      </c>
      <c r="D8" s="11">
        <f>(SUMIF(BALANCE!$A$2:$A$50,"16*",BALANCE!$G$2:$G$50)-SUMIF(BALANCE!$A$2:$A$50,"16*",BALANCE!$F$2:$F$50))</f>
        <v/>
      </c>
      <c r="E8" s="11">
        <f>(SUMIF(BALANCE_N1!$A$2:$A$50,"16*",BALANCE_N1!$G$2:$G$50)-SUMIF(BALANCE_N1!$A$2:$A$50,"16*",BALANCE_N1!$F$2:$F$50))</f>
        <v/>
      </c>
    </row>
    <row r="9">
      <c r="A9" s="12" t="inlineStr">
        <is>
          <t>CB</t>
        </is>
      </c>
      <c r="B9" s="12" t="inlineStr">
        <is>
          <t>Report a nouveau (+ ou -)</t>
        </is>
      </c>
      <c r="C9" s="12" t="inlineStr"/>
      <c r="D9" s="13">
        <f>(SUMIF(BALANCE!$A$2:$A$50,"12*",BALANCE!$G$2:$G$50)-SUMIF(BALANCE!$A$2:$A$50,"12*",BALANCE!$F$2:$F$50))</f>
        <v/>
      </c>
      <c r="E9" s="13">
        <f>(SUMIF(BALANCE_N1!$A$2:$A$50,"12*",BALANCE_N1!$G$2:$G$50)-SUMIF(BALANCE_N1!$A$2:$A$50,"12*",BALANCE_N1!$F$2:$F$50))</f>
        <v/>
      </c>
    </row>
    <row r="10">
      <c r="A10" s="10" t="inlineStr">
        <is>
          <t>CC</t>
        </is>
      </c>
      <c r="B10" s="10" t="inlineStr">
        <is>
          <t>Solde des operations de l'exercice</t>
        </is>
      </c>
      <c r="C10" s="10" t="inlineStr"/>
      <c r="D10" s="11">
        <f>'Compte Exploitation'!D27+(SUMIF(BALANCE!$A$2:$A$50,"13*",BALANCE!$G$2:$G$50)-SUMIF(BALANCE!$A$2:$A$50,"13*",BALANCE!$F$2:$F$50))</f>
        <v/>
      </c>
      <c r="E10" s="11">
        <f>'Compte Exploitation'!E27+(SUMIF(BALANCE_N1!$A$2:$A$50,"13*",BALANCE_N1!$G$2:$G$50)-SUMIF(BALANCE_N1!$A$2:$A$50,"13*",BALANCE_N1!$F$2:$F$50))</f>
        <v/>
      </c>
    </row>
    <row r="11">
      <c r="A11" s="12" t="inlineStr">
        <is>
          <t>CD</t>
        </is>
      </c>
      <c r="B11" s="12" t="inlineStr">
        <is>
          <t>Subventions d'investissement</t>
        </is>
      </c>
      <c r="C11" s="12" t="inlineStr">
        <is>
          <t>10</t>
        </is>
      </c>
      <c r="D11" s="13">
        <f>(SUMIF(BALANCE!$A$2:$A$50,"14*",BALANCE!$G$2:$G$50)-SUMIF(BALANCE!$A$2:$A$50,"14*",BALANCE!$F$2:$F$50))</f>
        <v/>
      </c>
      <c r="E11" s="13">
        <f>(SUMIF(BALANCE_N1!$A$2:$A$50,"14*",BALANCE_N1!$G$2:$G$50)-SUMIF(BALANCE_N1!$A$2:$A$50,"14*",BALANCE_N1!$F$2:$F$50))</f>
        <v/>
      </c>
    </row>
    <row r="12">
      <c r="A12" s="14" t="inlineStr">
        <is>
          <t>CZ</t>
        </is>
      </c>
      <c r="B12" s="14" t="inlineStr">
        <is>
          <t>TOTAL RESSOURCES PROPRES ET ASSIMILEES</t>
        </is>
      </c>
      <c r="C12" s="14" t="inlineStr"/>
      <c r="D12" s="15">
        <f>D8+D9+D10+D11</f>
        <v/>
      </c>
      <c r="E12" s="15">
        <f>E8+E9+E10+E11</f>
        <v/>
      </c>
    </row>
    <row r="13">
      <c r="A13" s="12" t="inlineStr">
        <is>
          <t>DA</t>
        </is>
      </c>
      <c r="B13" s="12" t="inlineStr">
        <is>
          <t>Emprunts et dettes assimilees</t>
        </is>
      </c>
      <c r="C13" s="12" t="inlineStr">
        <is>
          <t>11</t>
        </is>
      </c>
      <c r="D13" s="13">
        <f>(SUMIF(BALANCE!$A$2:$A$50,"18*",BALANCE!$G$2:$G$50)-SUMIF(BALANCE!$A$2:$A$50,"18*",BALANCE!$F$2:$F$50))</f>
        <v/>
      </c>
      <c r="E13" s="13">
        <f>(SUMIF(BALANCE_N1!$A$2:$A$50,"18*",BALANCE_N1!$G$2:$G$50)-SUMIF(BALANCE_N1!$A$2:$A$50,"18*",BALANCE_N1!$F$2:$F$50))</f>
        <v/>
      </c>
    </row>
    <row r="14">
      <c r="A14" s="10" t="inlineStr">
        <is>
          <t>DB</t>
        </is>
      </c>
      <c r="B14" s="10" t="inlineStr">
        <is>
          <t>Provisions pour risques et charges</t>
        </is>
      </c>
      <c r="C14" s="10" t="inlineStr">
        <is>
          <t>11</t>
        </is>
      </c>
      <c r="D14" s="11">
        <f>(SUMIF(BALANCE!$A$2:$A$50,"19*",BALANCE!$G$2:$G$50)-SUMIF(BALANCE!$A$2:$A$50,"19*",BALANCE!$F$2:$F$50))</f>
        <v/>
      </c>
      <c r="E14" s="11">
        <f>(SUMIF(BALANCE_N1!$A$2:$A$50,"19*",BALANCE_N1!$G$2:$G$50)-SUMIF(BALANCE_N1!$A$2:$A$50,"19*",BALANCE_N1!$F$2:$F$50))</f>
        <v/>
      </c>
    </row>
    <row r="15">
      <c r="A15" s="14" t="inlineStr">
        <is>
          <t>DC</t>
        </is>
      </c>
      <c r="B15" s="14" t="inlineStr">
        <is>
          <t>TOTAL DETTES FINANCIERES ET RESSOURCES ASSIMILEES</t>
        </is>
      </c>
      <c r="C15" s="14" t="inlineStr"/>
      <c r="D15" s="15">
        <f>D13+D14</f>
        <v/>
      </c>
      <c r="E15" s="15">
        <f>E13+E14</f>
        <v/>
      </c>
    </row>
    <row r="16">
      <c r="A16" s="14" t="inlineStr">
        <is>
          <t>DD</t>
        </is>
      </c>
      <c r="B16" s="14" t="inlineStr">
        <is>
          <t>TOTAL RESSOURCES STABLES</t>
        </is>
      </c>
      <c r="C16" s="14" t="inlineStr"/>
      <c r="D16" s="15">
        <f>D12+D15</f>
        <v/>
      </c>
      <c r="E16" s="15">
        <f>E12+E15</f>
        <v/>
      </c>
    </row>
    <row r="17">
      <c r="A17" s="12" t="inlineStr">
        <is>
          <t>DE</t>
        </is>
      </c>
      <c r="B17" s="12" t="inlineStr">
        <is>
          <t>Dettes circulantes HAO</t>
        </is>
      </c>
      <c r="C17" s="12" t="inlineStr">
        <is>
          <t>4</t>
        </is>
      </c>
      <c r="D17" s="13">
        <f>(SUMIF(BALANCE!$A$2:$A$50,"484*",BALANCE!$G$2:$G$50)-SUMIF(BALANCE!$A$2:$A$50,"484*",BALANCE!$F$2:$F$50)+SUMIF(BALANCE!$A$2:$A$50,"481*",BALANCE!$G$2:$G$50)-SUMIF(BALANCE!$A$2:$A$50,"481*",BALANCE!$F$2:$F$50)+SUMIF(BALANCE!$A$2:$A$50,"4998*",BALANCE!$G$2:$G$50)-SUMIF(BALANCE!$A$2:$A$50,"4998*",BALANCE!$F$2:$F$50))</f>
        <v/>
      </c>
      <c r="E17" s="13">
        <f>(SUMIF(BALANCE_N1!$A$2:$A$50,"484*",BALANCE_N1!$G$2:$G$50)-SUMIF(BALANCE_N1!$A$2:$A$50,"484*",BALANCE_N1!$F$2:$F$50)+SUMIF(BALANCE_N1!$A$2:$A$50,"481*",BALANCE_N1!$G$2:$G$50)-SUMIF(BALANCE_N1!$A$2:$A$50,"481*",BALANCE_N1!$F$2:$F$50)+SUMIF(BALANCE_N1!$A$2:$A$50,"4998*",BALANCE_N1!$G$2:$G$50)-SUMIF(BALANCE_N1!$A$2:$A$50,"4998*",BALANCE_N1!$F$2:$F$50))</f>
        <v/>
      </c>
    </row>
    <row r="18">
      <c r="A18" s="10" t="inlineStr">
        <is>
          <t>DF</t>
        </is>
      </c>
      <c r="B18" s="10" t="inlineStr">
        <is>
          <t>Fonds d'administration</t>
        </is>
      </c>
      <c r="C18" s="10" t="inlineStr">
        <is>
          <t>9</t>
        </is>
      </c>
      <c r="D18" s="11">
        <f>(SUMIF(BALANCE!$A$2:$A$50,"46*",BALANCE!$G$2:$G$50)-SUMIF(BALANCE!$A$2:$A$50,"46*",BALANCE!$F$2:$F$50))</f>
        <v/>
      </c>
      <c r="E18" s="11">
        <f>(SUMIF(BALANCE_N1!$A$2:$A$50,"46*",BALANCE_N1!$G$2:$G$50)-SUMIF(BALANCE_N1!$A$2:$A$50,"46*",BALANCE_N1!$F$2:$F$50))</f>
        <v/>
      </c>
    </row>
    <row r="19">
      <c r="A19" s="12" t="inlineStr">
        <is>
          <t>DG</t>
        </is>
      </c>
      <c r="B19" s="12" t="inlineStr">
        <is>
          <t>Fournisseurs</t>
        </is>
      </c>
      <c r="C19" s="12" t="inlineStr">
        <is>
          <t>12</t>
        </is>
      </c>
      <c r="D19" s="13">
        <f>(SUMIF(BALANCE!$A$2:$A$50,"40*",BALANCE!$G$2:$G$50)-SUMIF(BALANCE!$A$2:$A$50,"40*",BALANCE!$F$2:$F$50)-SUMIF(BALANCE!$A$2:$A$50,"409*",BALANCE!$G$2:$G$50)+SUMIF(BALANCE!$A$2:$A$50,"409*",BALANCE!$F$2:$F$50))</f>
        <v/>
      </c>
      <c r="E19" s="13">
        <f>(SUMIF(BALANCE_N1!$A$2:$A$50,"40*",BALANCE_N1!$G$2:$G$50)-SUMIF(BALANCE_N1!$A$2:$A$50,"40*",BALANCE_N1!$F$2:$F$50)-SUMIF(BALANCE_N1!$A$2:$A$50,"409*",BALANCE_N1!$G$2:$G$50)+SUMIF(BALANCE_N1!$A$2:$A$50,"409*",BALANCE_N1!$F$2:$F$50))</f>
        <v/>
      </c>
    </row>
    <row r="20">
      <c r="A20" s="10" t="inlineStr">
        <is>
          <t>DH</t>
        </is>
      </c>
      <c r="B20" s="10" t="inlineStr">
        <is>
          <t>Autres dettes</t>
        </is>
      </c>
      <c r="C20" s="10" t="inlineStr">
        <is>
          <t>12</t>
        </is>
      </c>
      <c r="D20" s="11">
        <f>(SUMIF(BALANCE!$A$2:$A$50,"419*",BALANCE!$G$2:$G$50)-SUMIF(BALANCE!$A$2:$A$50,"419*",BALANCE!$F$2:$F$50)-SUMIF(BALANCE!$A$2:$A$50,"479*",BALANCE!$G$2:$G$50)+SUMIF(BALANCE!$A$2:$A$50,"479*",BALANCE!$F$2:$F$50))+(SUMIF(BALANCE!$A$2:$A$50,"42*",BALANCE!$G$2:$G$50)+SUMIF(BALANCE!$A$2:$A$50,"44*",BALANCE!$G$2:$G$50)+SUMIF(BALANCE!$A$2:$A$50,"43*",BALANCE!$G$2:$G$50)+SUMIF(BALANCE!$A$2:$A$50,"47*",BALANCE!$G$2:$G$50)-SUMIF(BALANCE!$A$2:$A$50,"479*",BALANCE!$G$2:$G$50))</f>
        <v/>
      </c>
      <c r="E20" s="11">
        <f>(SUMIF(BALANCE_N1!$A$2:$A$50,"419*",BALANCE_N1!$G$2:$G$50)-SUMIF(BALANCE_N1!$A$2:$A$50,"419*",BALANCE_N1!$F$2:$F$50)-SUMIF(BALANCE_N1!$A$2:$A$50,"479*",BALANCE_N1!$G$2:$G$50)+SUMIF(BALANCE_N1!$A$2:$A$50,"479*",BALANCE_N1!$F$2:$F$50))+(SUMIF(BALANCE_N1!$A$2:$A$50,"42*",BALANCE_N1!$G$2:$G$50)+SUMIF(BALANCE_N1!$A$2:$A$50,"44*",BALANCE_N1!$G$2:$G$50)+SUMIF(BALANCE_N1!$A$2:$A$50,"43*",BALANCE_N1!$G$2:$G$50)+SUMIF(BALANCE_N1!$A$2:$A$50,"47*",BALANCE_N1!$G$2:$G$50)-SUMIF(BALANCE_N1!$A$2:$A$50,"479*",BALANCE_N1!$G$2:$G$50))</f>
        <v/>
      </c>
    </row>
    <row r="21">
      <c r="A21" s="12" t="inlineStr">
        <is>
          <t>DI</t>
        </is>
      </c>
      <c r="B21" s="12" t="inlineStr">
        <is>
          <t>Provisions pour risques et charges a court terme</t>
        </is>
      </c>
      <c r="C21" s="12" t="inlineStr"/>
      <c r="D21" s="13">
        <f>(SUMIF(BALANCE!$A$2:$A$50,"599*",BALANCE!$G$2:$G$50)-SUMIF(BALANCE!$A$2:$A$50,"599*",BALANCE!$F$2:$F$50)+SUMIF(BALANCE!$A$2:$A$50,"499*",BALANCE!$G$2:$G$50)-SUMIF(BALANCE!$A$2:$A$50,"499*",BALANCE!$F$2:$F$50)-SUMIF(BALANCE!$A$2:$A$50,"4998*",BALANCE!$G$2:$G$50)+SUMIF(BALANCE!$A$2:$A$50,"4998*",BALANCE!$F$2:$F$50))</f>
        <v/>
      </c>
      <c r="E21" s="13">
        <f>(SUMIF(BALANCE_N1!$A$2:$A$50,"599*",BALANCE_N1!$G$2:$G$50)-SUMIF(BALANCE_N1!$A$2:$A$50,"599*",BALANCE_N1!$F$2:$F$50)+SUMIF(BALANCE_N1!$A$2:$A$50,"499*",BALANCE_N1!$G$2:$G$50)-SUMIF(BALANCE_N1!$A$2:$A$50,"499*",BALANCE_N1!$F$2:$F$50)-SUMIF(BALANCE_N1!$A$2:$A$50,"4998*",BALANCE_N1!$G$2:$G$50)+SUMIF(BALANCE_N1!$A$2:$A$50,"4998*",BALANCE_N1!$F$2:$F$50))</f>
        <v/>
      </c>
    </row>
    <row r="22">
      <c r="A22" s="14" t="inlineStr">
        <is>
          <t>DJ</t>
        </is>
      </c>
      <c r="B22" s="14" t="inlineStr">
        <is>
          <t>TOTAL PASSIF CIRCULANT</t>
        </is>
      </c>
      <c r="C22" s="14" t="inlineStr"/>
      <c r="D22" s="15">
        <f>D17+D18+D19+D20+D21</f>
        <v/>
      </c>
      <c r="E22" s="15">
        <f>E17+E18+E19+E20+E21</f>
        <v/>
      </c>
    </row>
    <row r="23">
      <c r="A23" s="12" t="inlineStr">
        <is>
          <t>DW</t>
        </is>
      </c>
      <c r="B23" s="12" t="inlineStr">
        <is>
          <t>Banques, etablissements financiers et credits de tresorerie</t>
        </is>
      </c>
      <c r="C23" s="12" t="inlineStr">
        <is>
          <t>13</t>
        </is>
      </c>
      <c r="D23" s="13">
        <f>(SUMIF(BALANCE!$A$2:$A$50,"56*",BALANCE!$G$2:$G$50)-SUMIF(BALANCE!$A$2:$A$50,"56*",BALANCE!$F$2:$F$50))+(SUMIF(BALANCE!$A$2:$A$50,"53*",BALANCE!$G$2:$G$50)+SUMIF(BALANCE!$A$2:$A$50,"52*",BALANCE!$G$2:$G$50))</f>
        <v/>
      </c>
      <c r="E23" s="13">
        <f>(SUMIF(BALANCE_N1!$A$2:$A$50,"56*",BALANCE_N1!$G$2:$G$50)-SUMIF(BALANCE_N1!$A$2:$A$50,"56*",BALANCE_N1!$F$2:$F$50))+(SUMIF(BALANCE_N1!$A$2:$A$50,"53*",BALANCE_N1!$G$2:$G$50)+SUMIF(BALANCE_N1!$A$2:$A$50,"52*",BALANCE_N1!$G$2:$G$50))</f>
        <v/>
      </c>
    </row>
    <row r="24">
      <c r="A24" s="14" t="inlineStr">
        <is>
          <t>DX</t>
        </is>
      </c>
      <c r="B24" s="14" t="inlineStr">
        <is>
          <t>TOTAL TRESORERIE PASSIF</t>
        </is>
      </c>
      <c r="C24" s="14" t="inlineStr"/>
      <c r="D24" s="15">
        <f>D23</f>
        <v/>
      </c>
      <c r="E24" s="15">
        <f>E23</f>
        <v/>
      </c>
    </row>
    <row r="25">
      <c r="A25" s="12" t="inlineStr">
        <is>
          <t>DY</t>
        </is>
      </c>
      <c r="B25" s="12" t="inlineStr">
        <is>
          <t>Ecart de conversion-Passif</t>
        </is>
      </c>
      <c r="C25" s="12" t="inlineStr">
        <is>
          <t>8</t>
        </is>
      </c>
      <c r="D25" s="13">
        <f>(SUMIF(BALANCE!$A$2:$A$50,"479*",BALANCE!$G$2:$G$50)-SUMIF(BALANCE!$A$2:$A$50,"479*",BALANCE!$F$2:$F$50))</f>
        <v/>
      </c>
      <c r="E25" s="13">
        <f>(SUMIF(BALANCE_N1!$A$2:$A$50,"479*",BALANCE_N1!$G$2:$G$50)-SUMIF(BALANCE_N1!$A$2:$A$50,"479*",BALANCE_N1!$F$2:$F$50))</f>
        <v/>
      </c>
    </row>
    <row r="26">
      <c r="A26" s="14" t="inlineStr">
        <is>
          <t>DZ</t>
        </is>
      </c>
      <c r="B26" s="14" t="inlineStr">
        <is>
          <t>TOTAL GENERAL</t>
        </is>
      </c>
      <c r="C26" s="14" t="inlineStr"/>
      <c r="D26" s="15">
        <f>D16+D22+D24+D25</f>
        <v/>
      </c>
      <c r="E26" s="15">
        <f>E16+E22+E24+E25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7" customWidth="1" min="1" max="1"/>
    <col width="60" customWidth="1" min="2" max="2"/>
    <col width="8" customWidth="1" min="3" max="3"/>
    <col width="18" customWidth="1" min="4" max="4"/>
    <col width="18" customWidth="1" min="5" max="5"/>
  </cols>
  <sheetData>
    <row r="1">
      <c r="A1" s="1" t="inlineStr">
        <is>
          <t>COMPTE D'EXPLOITATION</t>
        </is>
      </c>
    </row>
    <row r="2">
      <c r="A2" s="2" t="inlineStr">
        <is>
          <t>SYCEBNL - Projets de développement et assimilés</t>
        </is>
      </c>
    </row>
    <row r="3"/>
    <row r="4">
      <c r="A4" s="3" t="inlineStr">
        <is>
          <t>Désignation entité : PROJET PADIR</t>
        </is>
      </c>
      <c r="D4" s="3" t="inlineStr">
        <is>
          <t>Exercice clos le : 31/12/2025</t>
        </is>
      </c>
    </row>
    <row r="5">
      <c r="A5" t="inlineStr">
        <is>
          <t>Numéro d'identification : Convention 2023/DR/045</t>
        </is>
      </c>
      <c r="D5" t="inlineStr">
        <is>
          <t>Durée (en mois) : 12</t>
        </is>
      </c>
    </row>
    <row r="6"/>
    <row r="7">
      <c r="A7" s="9" t="inlineStr">
        <is>
          <t>REF</t>
        </is>
      </c>
      <c r="B7" s="9" t="inlineStr">
        <is>
          <t>LIBELLÉS</t>
        </is>
      </c>
      <c r="C7" s="9" t="inlineStr">
        <is>
          <t>Note</t>
        </is>
      </c>
      <c r="D7" s="9" t="inlineStr">
        <is>
          <t>Exercice au 31/12/N</t>
        </is>
      </c>
      <c r="E7" s="9" t="inlineStr">
        <is>
          <t>Exercice au 31/12/N-1</t>
        </is>
      </c>
    </row>
    <row r="8">
      <c r="A8" s="10" t="inlineStr">
        <is>
          <t>RA</t>
        </is>
      </c>
      <c r="B8" s="10" t="inlineStr">
        <is>
          <t>Fonds d'administration consommes</t>
        </is>
      </c>
      <c r="C8" s="10" t="inlineStr">
        <is>
          <t>9 et 14</t>
        </is>
      </c>
      <c r="D8" s="11">
        <f>(SUMIF(BALANCE!$A$2:$A$50,"702*",BALANCE!$G$2:$G$50)-SUMIF(BALANCE!$A$2:$A$50,"702*",BALANCE!$F$2:$F$50))</f>
        <v/>
      </c>
      <c r="E8" s="11">
        <f>(SUMIF(BALANCE_N1!$A$2:$A$50,"702*",BALANCE_N1!$G$2:$G$50)-SUMIF(BALANCE_N1!$A$2:$A$50,"702*",BALANCE_N1!$F$2:$F$50))</f>
        <v/>
      </c>
    </row>
    <row r="9">
      <c r="A9" s="12" t="inlineStr">
        <is>
          <t>RB</t>
        </is>
      </c>
      <c r="B9" s="12" t="inlineStr">
        <is>
          <t>Ventes de marchandises, produits finis et prestations de services</t>
        </is>
      </c>
      <c r="C9" s="12" t="inlineStr">
        <is>
          <t>14</t>
        </is>
      </c>
      <c r="D9" s="13">
        <f>(SUMIF(BALANCE!$A$2:$A$50,"705*",BALANCE!$G$2:$G$50)-SUMIF(BALANCE!$A$2:$A$50,"705*",BALANCE!$F$2:$F$50))</f>
        <v/>
      </c>
      <c r="E9" s="13">
        <f>(SUMIF(BALANCE_N1!$A$2:$A$50,"705*",BALANCE_N1!$G$2:$G$50)-SUMIF(BALANCE_N1!$A$2:$A$50,"705*",BALANCE_N1!$F$2:$F$50))</f>
        <v/>
      </c>
    </row>
    <row r="10">
      <c r="A10" s="10" t="inlineStr">
        <is>
          <t>RC</t>
        </is>
      </c>
      <c r="B10" s="10" t="inlineStr">
        <is>
          <t>Subventions d'exploitation</t>
        </is>
      </c>
      <c r="C10" s="10" t="inlineStr">
        <is>
          <t>14</t>
        </is>
      </c>
      <c r="D10" s="11">
        <f>(SUMIF(BALANCE!$A$2:$A$50,"71*",BALANCE!$G$2:$G$50)-SUMIF(BALANCE!$A$2:$A$50,"71*",BALANCE!$F$2:$F$50))</f>
        <v/>
      </c>
      <c r="E10" s="11">
        <f>(SUMIF(BALANCE_N1!$A$2:$A$50,"71*",BALANCE_N1!$G$2:$G$50)-SUMIF(BALANCE_N1!$A$2:$A$50,"71*",BALANCE_N1!$F$2:$F$50))</f>
        <v/>
      </c>
    </row>
    <row r="11">
      <c r="A11" s="12" t="inlineStr">
        <is>
          <t>RD</t>
        </is>
      </c>
      <c r="B11" s="12" t="inlineStr">
        <is>
          <t>Autres produits et transferts de charges</t>
        </is>
      </c>
      <c r="C11" s="12" t="inlineStr">
        <is>
          <t>14</t>
        </is>
      </c>
      <c r="D11" s="13">
        <f>(SUMIF(BALANCE!$A$2:$A$50,"78*",BALANCE!$G$2:$G$50)-SUMIF(BALANCE!$A$2:$A$50,"78*",BALANCE!$F$2:$F$50)+SUMIF(BALANCE!$A$2:$A$50,"72*",BALANCE!$G$2:$G$50)-SUMIF(BALANCE!$A$2:$A$50,"72*",BALANCE!$F$2:$F$50)+SUMIF(BALANCE!$A$2:$A$50,"73*",BALANCE!$G$2:$G$50)-SUMIF(BALANCE!$A$2:$A$50,"73*",BALANCE!$F$2:$F$50)+SUMIF(BALANCE!$A$2:$A$50,"75*",BALANCE!$G$2:$G$50)-SUMIF(BALANCE!$A$2:$A$50,"75*",BALANCE!$F$2:$F$50)+SUMIF(BALANCE!$A$2:$A$50,"77*",BALANCE!$G$2:$G$50)-SUMIF(BALANCE!$A$2:$A$50,"77*",BALANCE!$F$2:$F$50)+SUMIF(BALANCE!$A$2:$A$50,"707*",BALANCE!$G$2:$G$50)-SUMIF(BALANCE!$A$2:$A$50,"707*",BALANCE!$F$2:$F$50)+SUMIF(BALANCE!$A$2:$A$50,"708*",BALANCE!$G$2:$G$50)-SUMIF(BALANCE!$A$2:$A$50,"708*",BALANCE!$F$2:$F$50)+SUMIF(BALANCE!$A$2:$A$50,"706*",BALANCE!$G$2:$G$50)-SUMIF(BALANCE!$A$2:$A$50,"706*",BALANCE!$F$2:$F$50))</f>
        <v/>
      </c>
      <c r="E11" s="13">
        <f>(SUMIF(BALANCE_N1!$A$2:$A$50,"78*",BALANCE_N1!$G$2:$G$50)-SUMIF(BALANCE_N1!$A$2:$A$50,"78*",BALANCE_N1!$F$2:$F$50)+SUMIF(BALANCE_N1!$A$2:$A$50,"72*",BALANCE_N1!$G$2:$G$50)-SUMIF(BALANCE_N1!$A$2:$A$50,"72*",BALANCE_N1!$F$2:$F$50)+SUMIF(BALANCE_N1!$A$2:$A$50,"73*",BALANCE_N1!$G$2:$G$50)-SUMIF(BALANCE_N1!$A$2:$A$50,"73*",BALANCE_N1!$F$2:$F$50)+SUMIF(BALANCE_N1!$A$2:$A$50,"75*",BALANCE_N1!$G$2:$G$50)-SUMIF(BALANCE_N1!$A$2:$A$50,"75*",BALANCE_N1!$F$2:$F$50)+SUMIF(BALANCE_N1!$A$2:$A$50,"77*",BALANCE_N1!$G$2:$G$50)-SUMIF(BALANCE_N1!$A$2:$A$50,"77*",BALANCE_N1!$F$2:$F$50)+SUMIF(BALANCE_N1!$A$2:$A$50,"707*",BALANCE_N1!$G$2:$G$50)-SUMIF(BALANCE_N1!$A$2:$A$50,"707*",BALANCE_N1!$F$2:$F$50)+SUMIF(BALANCE_N1!$A$2:$A$50,"708*",BALANCE_N1!$G$2:$G$50)-SUMIF(BALANCE_N1!$A$2:$A$50,"708*",BALANCE_N1!$F$2:$F$50)+SUMIF(BALANCE_N1!$A$2:$A$50,"706*",BALANCE_N1!$G$2:$G$50)-SUMIF(BALANCE_N1!$A$2:$A$50,"706*",BALANCE_N1!$F$2:$F$50))</f>
        <v/>
      </c>
    </row>
    <row r="12">
      <c r="A12" s="10" t="inlineStr">
        <is>
          <t>RE</t>
        </is>
      </c>
      <c r="B12" s="10" t="inlineStr">
        <is>
          <t>Reprises de provisions</t>
        </is>
      </c>
      <c r="C12" s="10" t="inlineStr">
        <is>
          <t>22</t>
        </is>
      </c>
      <c r="D12" s="11">
        <f>(SUMIF(BALANCE!$A$2:$A$50,"79*",BALANCE!$G$2:$G$50)-SUMIF(BALANCE!$A$2:$A$50,"79*",BALANCE!$F$2:$F$50))</f>
        <v/>
      </c>
      <c r="E12" s="11">
        <f>(SUMIF(BALANCE_N1!$A$2:$A$50,"79*",BALANCE_N1!$G$2:$G$50)-SUMIF(BALANCE_N1!$A$2:$A$50,"79*",BALANCE_N1!$F$2:$F$50))</f>
        <v/>
      </c>
    </row>
    <row r="13">
      <c r="A13" s="14" t="inlineStr">
        <is>
          <t>XA</t>
        </is>
      </c>
      <c r="B13" s="14" t="inlineStr">
        <is>
          <t>REVENUS</t>
        </is>
      </c>
      <c r="C13" s="14" t="inlineStr"/>
      <c r="D13" s="15">
        <f>D8+D9+D10+D11+D12</f>
        <v/>
      </c>
      <c r="E13" s="15">
        <f>E8+E9+E10+E11+E12</f>
        <v/>
      </c>
    </row>
    <row r="14">
      <c r="A14" s="10" t="inlineStr">
        <is>
          <t>TA</t>
        </is>
      </c>
      <c r="B14" s="10" t="inlineStr">
        <is>
          <t>Achats de biens, marchandises, matieres premieres et fournitures liees</t>
        </is>
      </c>
      <c r="C14" s="10" t="inlineStr">
        <is>
          <t>15</t>
        </is>
      </c>
      <c r="D14" s="11">
        <f>(SUMIF(BALANCE!$A$2:$A$50,"602*",BALANCE!$G$2:$G$50)-SUMIF(BALANCE!$A$2:$A$50,"602*",BALANCE!$F$2:$F$50)+SUMIF(BALANCE!$A$2:$A$50,"601*",BALANCE!$G$2:$G$50)-SUMIF(BALANCE!$A$2:$A$50,"601*",BALANCE!$F$2:$F$50))</f>
        <v/>
      </c>
      <c r="E14" s="11">
        <f>(SUMIF(BALANCE_N1!$A$2:$A$50,"602*",BALANCE_N1!$G$2:$G$50)-SUMIF(BALANCE_N1!$A$2:$A$50,"602*",BALANCE_N1!$F$2:$F$50)+SUMIF(BALANCE_N1!$A$2:$A$50,"601*",BALANCE_N1!$G$2:$G$50)-SUMIF(BALANCE_N1!$A$2:$A$50,"601*",BALANCE_N1!$F$2:$F$50))</f>
        <v/>
      </c>
    </row>
    <row r="15">
      <c r="A15" s="12" t="inlineStr">
        <is>
          <t>TB</t>
        </is>
      </c>
      <c r="B15" s="12" t="inlineStr">
        <is>
          <t>Autres achats</t>
        </is>
      </c>
      <c r="C15" s="12" t="inlineStr">
        <is>
          <t>15</t>
        </is>
      </c>
      <c r="D15" s="13">
        <f>(SUMIF(BALANCE!$A$2:$A$50,"604*",BALANCE!$G$2:$G$50)-SUMIF(BALANCE!$A$2:$A$50,"604*",BALANCE!$F$2:$F$50)+SUMIF(BALANCE!$A$2:$A$50,"606*",BALANCE!$G$2:$G$50)-SUMIF(BALANCE!$A$2:$A$50,"606*",BALANCE!$F$2:$F$50)+SUMIF(BALANCE!$A$2:$A$50,"605*",BALANCE!$G$2:$G$50)-SUMIF(BALANCE!$A$2:$A$50,"605*",BALANCE!$F$2:$F$50)+SUMIF(BALANCE!$A$2:$A$50,"608*",BALANCE!$G$2:$G$50)-SUMIF(BALANCE!$A$2:$A$50,"608*",BALANCE!$F$2:$F$50))</f>
        <v/>
      </c>
      <c r="E15" s="13">
        <f>(SUMIF(BALANCE_N1!$A$2:$A$50,"604*",BALANCE_N1!$G$2:$G$50)-SUMIF(BALANCE_N1!$A$2:$A$50,"604*",BALANCE_N1!$F$2:$F$50)+SUMIF(BALANCE_N1!$A$2:$A$50,"606*",BALANCE_N1!$G$2:$G$50)-SUMIF(BALANCE_N1!$A$2:$A$50,"606*",BALANCE_N1!$F$2:$F$50)+SUMIF(BALANCE_N1!$A$2:$A$50,"605*",BALANCE_N1!$G$2:$G$50)-SUMIF(BALANCE_N1!$A$2:$A$50,"605*",BALANCE_N1!$F$2:$F$50)+SUMIF(BALANCE_N1!$A$2:$A$50,"608*",BALANCE_N1!$G$2:$G$50)-SUMIF(BALANCE_N1!$A$2:$A$50,"608*",BALANCE_N1!$F$2:$F$50))</f>
        <v/>
      </c>
    </row>
    <row r="16">
      <c r="A16" s="10" t="inlineStr">
        <is>
          <t>TC</t>
        </is>
      </c>
      <c r="B16" s="10" t="inlineStr">
        <is>
          <t>Variation de stocks de biens, marchandises, matieres et fournitures</t>
        </is>
      </c>
      <c r="C16" s="10" t="inlineStr">
        <is>
          <t>5</t>
        </is>
      </c>
      <c r="D16" s="11">
        <f>(SUMIF(BALANCE!$A$2:$A$50,"603*",BALANCE!$G$2:$G$50)-SUMIF(BALANCE!$A$2:$A$50,"603*",BALANCE!$F$2:$F$50))</f>
        <v/>
      </c>
      <c r="E16" s="11">
        <f>(SUMIF(BALANCE_N1!$A$2:$A$50,"603*",BALANCE_N1!$G$2:$G$50)-SUMIF(BALANCE_N1!$A$2:$A$50,"603*",BALANCE_N1!$F$2:$F$50))</f>
        <v/>
      </c>
    </row>
    <row r="17">
      <c r="A17" s="12" t="inlineStr">
        <is>
          <t>TD</t>
        </is>
      </c>
      <c r="B17" s="12" t="inlineStr">
        <is>
          <t>Transports</t>
        </is>
      </c>
      <c r="C17" s="12" t="inlineStr">
        <is>
          <t>16</t>
        </is>
      </c>
      <c r="D17" s="13">
        <f>(SUMIF(BALANCE!$A$2:$A$50,"61*",BALANCE!$G$2:$G$50)-SUMIF(BALANCE!$A$2:$A$50,"61*",BALANCE!$F$2:$F$50))</f>
        <v/>
      </c>
      <c r="E17" s="13">
        <f>(SUMIF(BALANCE_N1!$A$2:$A$50,"61*",BALANCE_N1!$G$2:$G$50)-SUMIF(BALANCE_N1!$A$2:$A$50,"61*",BALANCE_N1!$F$2:$F$50))</f>
        <v/>
      </c>
    </row>
    <row r="18">
      <c r="A18" s="10" t="inlineStr">
        <is>
          <t>TG</t>
        </is>
      </c>
      <c r="B18" s="10" t="inlineStr">
        <is>
          <t>Services exterieurs</t>
        </is>
      </c>
      <c r="C18" s="10" t="inlineStr">
        <is>
          <t>17</t>
        </is>
      </c>
      <c r="D18" s="11">
        <f>(SUMIF(BALANCE!$A$2:$A$50,"63*",BALANCE!$G$2:$G$50)-SUMIF(BALANCE!$A$2:$A$50,"63*",BALANCE!$F$2:$F$50)+SUMIF(BALANCE!$A$2:$A$50,"62*",BALANCE!$G$2:$G$50)-SUMIF(BALANCE!$A$2:$A$50,"62*",BALANCE!$F$2:$F$50))</f>
        <v/>
      </c>
      <c r="E18" s="11">
        <f>(SUMIF(BALANCE_N1!$A$2:$A$50,"63*",BALANCE_N1!$G$2:$G$50)-SUMIF(BALANCE_N1!$A$2:$A$50,"63*",BALANCE_N1!$F$2:$F$50)+SUMIF(BALANCE_N1!$A$2:$A$50,"62*",BALANCE_N1!$G$2:$G$50)-SUMIF(BALANCE_N1!$A$2:$A$50,"62*",BALANCE_N1!$F$2:$F$50))</f>
        <v/>
      </c>
    </row>
    <row r="19">
      <c r="A19" s="12" t="inlineStr">
        <is>
          <t>TH</t>
        </is>
      </c>
      <c r="B19" s="12" t="inlineStr">
        <is>
          <t>Impots et taxes</t>
        </is>
      </c>
      <c r="C19" s="12" t="inlineStr">
        <is>
          <t>18</t>
        </is>
      </c>
      <c r="D19" s="13">
        <f>(SUMIF(BALANCE!$A$2:$A$50,"64*",BALANCE!$G$2:$G$50)-SUMIF(BALANCE!$A$2:$A$50,"64*",BALANCE!$F$2:$F$50))</f>
        <v/>
      </c>
      <c r="E19" s="13">
        <f>(SUMIF(BALANCE_N1!$A$2:$A$50,"64*",BALANCE_N1!$G$2:$G$50)-SUMIF(BALANCE_N1!$A$2:$A$50,"64*",BALANCE_N1!$F$2:$F$50))</f>
        <v/>
      </c>
    </row>
    <row r="20">
      <c r="A20" s="10" t="inlineStr">
        <is>
          <t>TI</t>
        </is>
      </c>
      <c r="B20" s="10" t="inlineStr">
        <is>
          <t>Autres charges</t>
        </is>
      </c>
      <c r="C20" s="10" t="inlineStr">
        <is>
          <t>19</t>
        </is>
      </c>
      <c r="D20" s="11">
        <f>(SUMIF(BALANCE!$A$2:$A$50,"65*",BALANCE!$G$2:$G$50)-SUMIF(BALANCE!$A$2:$A$50,"65*",BALANCE!$F$2:$F$50))</f>
        <v/>
      </c>
      <c r="E20" s="11">
        <f>(SUMIF(BALANCE_N1!$A$2:$A$50,"65*",BALANCE_N1!$G$2:$G$50)-SUMIF(BALANCE_N1!$A$2:$A$50,"65*",BALANCE_N1!$F$2:$F$50))</f>
        <v/>
      </c>
    </row>
    <row r="21">
      <c r="A21" s="12" t="inlineStr">
        <is>
          <t>TJ</t>
        </is>
      </c>
      <c r="B21" s="12" t="inlineStr">
        <is>
          <t>Charges de personnel</t>
        </is>
      </c>
      <c r="C21" s="12" t="inlineStr">
        <is>
          <t>20A</t>
        </is>
      </c>
      <c r="D21" s="13">
        <f>(SUMIF(BALANCE!$A$2:$A$50,"66*",BALANCE!$G$2:$G$50)-SUMIF(BALANCE!$A$2:$A$50,"66*",BALANCE!$F$2:$F$50))</f>
        <v/>
      </c>
      <c r="E21" s="13">
        <f>(SUMIF(BALANCE_N1!$A$2:$A$50,"66*",BALANCE_N1!$G$2:$G$50)-SUMIF(BALANCE_N1!$A$2:$A$50,"66*",BALANCE_N1!$F$2:$F$50))</f>
        <v/>
      </c>
    </row>
    <row r="22">
      <c r="A22" s="10" t="inlineStr">
        <is>
          <t>TK</t>
        </is>
      </c>
      <c r="B22" s="10" t="inlineStr">
        <is>
          <t>Frais financiers et charges assimilees</t>
        </is>
      </c>
      <c r="C22" s="10" t="inlineStr">
        <is>
          <t>21</t>
        </is>
      </c>
      <c r="D22" s="11">
        <f>(SUMIF(BALANCE!$A$2:$A$50,"67*",BALANCE!$G$2:$G$50)-SUMIF(BALANCE!$A$2:$A$50,"67*",BALANCE!$F$2:$F$50))</f>
        <v/>
      </c>
      <c r="E22" s="11">
        <f>(SUMIF(BALANCE_N1!$A$2:$A$50,"67*",BALANCE_N1!$G$2:$G$50)-SUMIF(BALANCE_N1!$A$2:$A$50,"67*",BALANCE_N1!$F$2:$F$50))</f>
        <v/>
      </c>
    </row>
    <row r="23">
      <c r="A23" s="12" t="inlineStr">
        <is>
          <t>TJ</t>
        </is>
      </c>
      <c r="B23" s="12" t="inlineStr">
        <is>
          <t>Dotations aux amortissements et aux provisions</t>
        </is>
      </c>
      <c r="C23" s="12" t="inlineStr">
        <is>
          <t>22</t>
        </is>
      </c>
      <c r="D23" s="13">
        <f>(SUMIF(BALANCE!$A$2:$A$50,"68*",BALANCE!$G$2:$G$50)-SUMIF(BALANCE!$A$2:$A$50,"68*",BALANCE!$F$2:$F$50)+SUMIF(BALANCE!$A$2:$A$50,"69*",BALANCE!$G$2:$G$50)-SUMIF(BALANCE!$A$2:$A$50,"69*",BALANCE!$F$2:$F$50))</f>
        <v/>
      </c>
      <c r="E23" s="13">
        <f>(SUMIF(BALANCE_N1!$A$2:$A$50,"68*",BALANCE_N1!$G$2:$G$50)-SUMIF(BALANCE_N1!$A$2:$A$50,"68*",BALANCE_N1!$F$2:$F$50)+SUMIF(BALANCE_N1!$A$2:$A$50,"69*",BALANCE_N1!$G$2:$G$50)-SUMIF(BALANCE_N1!$A$2:$A$50,"69*",BALANCE_N1!$F$2:$F$50))</f>
        <v/>
      </c>
    </row>
    <row r="24">
      <c r="A24" s="10" t="inlineStr">
        <is>
          <t>TK</t>
        </is>
      </c>
      <c r="B24" s="10" t="inlineStr">
        <is>
          <t>Produits H.A.O.</t>
        </is>
      </c>
      <c r="C24" s="10" t="inlineStr">
        <is>
          <t>23</t>
        </is>
      </c>
      <c r="D24" s="11">
        <f>(SUMIF(BALANCE!$A$2:$A$50,"84*",BALANCE!$G$2:$G$50)-SUMIF(BALANCE!$A$2:$A$50,"84*",BALANCE!$F$2:$F$50)+SUMIF(BALANCE!$A$2:$A$50,"88*",BALANCE!$G$2:$G$50)-SUMIF(BALANCE!$A$2:$A$50,"88*",BALANCE!$F$2:$F$50)+SUMIF(BALANCE!$A$2:$A$50,"86*",BALANCE!$G$2:$G$50)-SUMIF(BALANCE!$A$2:$A$50,"86*",BALANCE!$F$2:$F$50)+SUMIF(BALANCE!$A$2:$A$50,"82*",BALANCE!$G$2:$G$50)-SUMIF(BALANCE!$A$2:$A$50,"82*",BALANCE!$F$2:$F$50))</f>
        <v/>
      </c>
      <c r="E24" s="11">
        <f>(SUMIF(BALANCE_N1!$A$2:$A$50,"84*",BALANCE_N1!$G$2:$G$50)-SUMIF(BALANCE_N1!$A$2:$A$50,"84*",BALANCE_N1!$F$2:$F$50)+SUMIF(BALANCE_N1!$A$2:$A$50,"88*",BALANCE_N1!$G$2:$G$50)-SUMIF(BALANCE_N1!$A$2:$A$50,"88*",BALANCE_N1!$F$2:$F$50)+SUMIF(BALANCE_N1!$A$2:$A$50,"86*",BALANCE_N1!$G$2:$G$50)-SUMIF(BALANCE_N1!$A$2:$A$50,"86*",BALANCE_N1!$F$2:$F$50)+SUMIF(BALANCE_N1!$A$2:$A$50,"82*",BALANCE_N1!$G$2:$G$50)-SUMIF(BALANCE_N1!$A$2:$A$50,"82*",BALANCE_N1!$F$2:$F$50))</f>
        <v/>
      </c>
    </row>
    <row r="25">
      <c r="A25" s="12" t="inlineStr">
        <is>
          <t>TL</t>
        </is>
      </c>
      <c r="B25" s="12" t="inlineStr">
        <is>
          <t>Charges H.A.O.</t>
        </is>
      </c>
      <c r="C25" s="12" t="inlineStr">
        <is>
          <t>23</t>
        </is>
      </c>
      <c r="D25" s="13">
        <f>(SUMIF(BALANCE!$A$2:$A$50,"85*",BALANCE!$G$2:$G$50)-SUMIF(BALANCE!$A$2:$A$50,"85*",BALANCE!$F$2:$F$50)+SUMIF(BALANCE!$A$2:$A$50,"87*",BALANCE!$G$2:$G$50)-SUMIF(BALANCE!$A$2:$A$50,"87*",BALANCE!$F$2:$F$50)+SUMIF(BALANCE!$A$2:$A$50,"81*",BALANCE!$G$2:$G$50)-SUMIF(BALANCE!$A$2:$A$50,"81*",BALANCE!$F$2:$F$50)+SUMIF(BALANCE!$A$2:$A$50,"83*",BALANCE!$G$2:$G$50)-SUMIF(BALANCE!$A$2:$A$50,"83*",BALANCE!$F$2:$F$50))</f>
        <v/>
      </c>
      <c r="E25" s="13">
        <f>(SUMIF(BALANCE_N1!$A$2:$A$50,"85*",BALANCE_N1!$G$2:$G$50)-SUMIF(BALANCE_N1!$A$2:$A$50,"85*",BALANCE_N1!$F$2:$F$50)+SUMIF(BALANCE_N1!$A$2:$A$50,"87*",BALANCE_N1!$G$2:$G$50)-SUMIF(BALANCE_N1!$A$2:$A$50,"87*",BALANCE_N1!$F$2:$F$50)+SUMIF(BALANCE_N1!$A$2:$A$50,"81*",BALANCE_N1!$G$2:$G$50)-SUMIF(BALANCE_N1!$A$2:$A$50,"81*",BALANCE_N1!$F$2:$F$50)+SUMIF(BALANCE_N1!$A$2:$A$50,"83*",BALANCE_N1!$G$2:$G$50)-SUMIF(BALANCE_N1!$A$2:$A$50,"83*",BALANCE_N1!$F$2:$F$50))</f>
        <v/>
      </c>
    </row>
    <row r="26">
      <c r="A26" s="14" t="inlineStr">
        <is>
          <t>XB</t>
        </is>
      </c>
      <c r="B26" s="14" t="inlineStr">
        <is>
          <t>CHARGES DE FONCTIONNEMENT</t>
        </is>
      </c>
      <c r="C26" s="14" t="inlineStr"/>
      <c r="D26" s="15">
        <f>D14+D15+D16+D17+D18+D19+D20+D21+D22+D23+D24+D25</f>
        <v/>
      </c>
      <c r="E26" s="15">
        <f>E14+E15+E16+E17+E18+E19+E20+E21+E22+E23+E24+E25</f>
        <v/>
      </c>
    </row>
    <row r="27">
      <c r="A27" s="14" t="inlineStr">
        <is>
          <t>XC</t>
        </is>
      </c>
      <c r="B27" s="14" t="inlineStr">
        <is>
          <t>SOLDE DES OPERATIONS DE L'EXERCICE</t>
        </is>
      </c>
      <c r="C27" s="14" t="inlineStr"/>
      <c r="D27" s="15">
        <f>D13+D26</f>
        <v/>
      </c>
      <c r="E27" s="15">
        <f>E13+E26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78" customWidth="1" min="2" max="2"/>
    <col width="8" customWidth="1" min="3" max="3"/>
    <col width="8" customWidth="1" min="4" max="4"/>
  </cols>
  <sheetData>
    <row r="1">
      <c r="A1" s="1" t="inlineStr">
        <is>
          <t>FICHE RECAPITULATIVE DES NOTES ANNEXES PRESENTEES</t>
        </is>
      </c>
    </row>
    <row r="2">
      <c r="A2" s="2" t="inlineStr">
        <is>
          <t>SYCEBNL - Projets de développement et assimilés (Partie 4, ch. 3, section 6)</t>
        </is>
      </c>
    </row>
    <row r="3"/>
    <row r="4">
      <c r="A4" s="3" t="inlineStr">
        <is>
          <t>Désignation entité : PROJET PADIR</t>
        </is>
      </c>
      <c r="C4" s="3" t="inlineStr">
        <is>
          <t>Exercice clos le : 31/12/2025</t>
        </is>
      </c>
    </row>
    <row r="5">
      <c r="A5" t="inlineStr">
        <is>
          <t>Numéro d'identification : Convention 2023/DR/045</t>
        </is>
      </c>
      <c r="C5" t="inlineStr">
        <is>
          <t>Durée (en mois) : 12</t>
        </is>
      </c>
    </row>
    <row r="6"/>
    <row r="7">
      <c r="A7" s="9" t="inlineStr">
        <is>
          <t>NOTES</t>
        </is>
      </c>
      <c r="B7" s="9" t="inlineStr">
        <is>
          <t>INTITULES</t>
        </is>
      </c>
      <c r="C7" s="9" t="inlineStr">
        <is>
          <t>A (1)</t>
        </is>
      </c>
      <c r="D7" s="9" t="inlineStr">
        <is>
          <t>N/A (1)</t>
        </is>
      </c>
    </row>
    <row r="8">
      <c r="A8" s="20" t="inlineStr">
        <is>
          <t>Partie 1 : Informations générales</t>
        </is>
      </c>
      <c r="B8" s="10" t="n"/>
      <c r="C8" s="10" t="n"/>
      <c r="D8" s="10" t="n"/>
    </row>
    <row r="9">
      <c r="A9" s="12" t="inlineStr">
        <is>
          <t>Note 1</t>
        </is>
      </c>
      <c r="B9" s="12" t="inlineStr">
        <is>
          <t>INFORMATIONS OBLIGATOIRES</t>
        </is>
      </c>
      <c r="C9" s="12" t="n"/>
      <c r="D9" s="12" t="n"/>
    </row>
    <row r="10">
      <c r="A10" s="20" t="inlineStr">
        <is>
          <t>Partie 2 : Notes sur le tableau emplois-ressources, le tableau d'exécution budgétaire et la réconciliation de trésorerie</t>
        </is>
      </c>
      <c r="B10" s="10" t="n"/>
      <c r="C10" s="10" t="n"/>
      <c r="D10" s="10" t="n"/>
    </row>
    <row r="11">
      <c r="A11" s="12" t="inlineStr">
        <is>
          <t>Note 2</t>
        </is>
      </c>
      <c r="B11" s="12" t="inlineStr">
        <is>
          <t>INFORMATIONS SPÉCIFIQUES</t>
        </is>
      </c>
      <c r="C11" s="12" t="n"/>
      <c r="D11" s="12" t="n"/>
    </row>
    <row r="12">
      <c r="A12" s="20" t="inlineStr">
        <is>
          <t>Partie 3 : Notes sur le bilan</t>
        </is>
      </c>
      <c r="B12" s="10" t="n"/>
      <c r="C12" s="10" t="n"/>
      <c r="D12" s="10" t="n"/>
    </row>
    <row r="13">
      <c r="A13" s="12" t="inlineStr">
        <is>
          <t>Note 3A</t>
        </is>
      </c>
      <c r="B13" s="12" t="inlineStr">
        <is>
          <t>IMMOBILISATIONS BRUTES</t>
        </is>
      </c>
      <c r="C13" s="12" t="n"/>
      <c r="D13" s="12" t="n"/>
    </row>
    <row r="14">
      <c r="A14" s="10" t="inlineStr">
        <is>
          <t>Note 3B</t>
        </is>
      </c>
      <c r="B14" s="10" t="inlineStr">
        <is>
          <t>BIENS PRIS EN LOCATION-ACQUISITION</t>
        </is>
      </c>
      <c r="C14" s="10" t="n"/>
      <c r="D14" s="10" t="n"/>
    </row>
    <row r="15">
      <c r="A15" s="12" t="inlineStr">
        <is>
          <t>Note 4</t>
        </is>
      </c>
      <c r="B15" s="12" t="inlineStr">
        <is>
          <t>ACTIF CIRCULANT ET DETTES CIRCULANTES HAO</t>
        </is>
      </c>
      <c r="C15" s="12" t="n"/>
      <c r="D15" s="12" t="n"/>
    </row>
    <row r="16">
      <c r="A16" s="10" t="inlineStr">
        <is>
          <t>Note 5</t>
        </is>
      </c>
      <c r="B16" s="10" t="inlineStr">
        <is>
          <t>STOCKS ET ENCOURS</t>
        </is>
      </c>
      <c r="C16" s="10" t="n"/>
      <c r="D16" s="10" t="n"/>
    </row>
    <row r="17">
      <c r="A17" s="12" t="inlineStr">
        <is>
          <t>Note 6</t>
        </is>
      </c>
      <c r="B17" s="12" t="inlineStr">
        <is>
          <t>CLIENTS-USAGERS ET AUTRES CRÉANCES</t>
        </is>
      </c>
      <c r="C17" s="12" t="n"/>
      <c r="D17" s="12" t="n"/>
    </row>
    <row r="18">
      <c r="A18" s="10" t="inlineStr">
        <is>
          <t>Note 7</t>
        </is>
      </c>
      <c r="B18" s="10" t="inlineStr">
        <is>
          <t>DISPONIBILITÉS</t>
        </is>
      </c>
      <c r="C18" s="10" t="n"/>
      <c r="D18" s="10" t="n"/>
    </row>
    <row r="19">
      <c r="A19" s="12" t="inlineStr">
        <is>
          <t>Note 8</t>
        </is>
      </c>
      <c r="B19" s="12" t="inlineStr">
        <is>
          <t>ÉCARTS DE CONVERSION</t>
        </is>
      </c>
      <c r="C19" s="12" t="n"/>
      <c r="D19" s="12" t="n"/>
    </row>
    <row r="20">
      <c r="A20" s="10" t="inlineStr">
        <is>
          <t>Note 9</t>
        </is>
      </c>
      <c r="B20" s="10" t="inlineStr">
        <is>
          <t>FONDS DU BAILLEUR</t>
        </is>
      </c>
      <c r="C20" s="10" t="n"/>
      <c r="D20" s="10" t="n"/>
    </row>
    <row r="21">
      <c r="A21" s="12" t="inlineStr">
        <is>
          <t>Note 10</t>
        </is>
      </c>
      <c r="B21" s="12" t="inlineStr">
        <is>
          <t>SUBVENTIONS</t>
        </is>
      </c>
      <c r="C21" s="12" t="n"/>
      <c r="D21" s="12" t="n"/>
    </row>
    <row r="22">
      <c r="A22" s="10" t="inlineStr">
        <is>
          <t>Note 11</t>
        </is>
      </c>
      <c r="B22" s="10" t="inlineStr">
        <is>
          <t>DETTES FINANCIÈRES ET RESSOURCES ASSIMILÉES</t>
        </is>
      </c>
      <c r="C22" s="10" t="n"/>
      <c r="D22" s="10" t="n"/>
    </row>
    <row r="23">
      <c r="A23" s="12" t="inlineStr">
        <is>
          <t>Note 12</t>
        </is>
      </c>
      <c r="B23" s="12" t="inlineStr">
        <is>
          <t>DETTES FOURNISSEURS ET ASSIMILÉES, FISCALES ET SOCIALES</t>
        </is>
      </c>
      <c r="C23" s="12" t="n"/>
      <c r="D23" s="12" t="n"/>
    </row>
    <row r="24">
      <c r="A24" s="10" t="inlineStr">
        <is>
          <t>Note 13</t>
        </is>
      </c>
      <c r="B24" s="10" t="inlineStr">
        <is>
          <t>BANQUES, CRÉDIT D'ESCOMPTE ET DE TRÉSORERIE</t>
        </is>
      </c>
      <c r="C24" s="10" t="n"/>
      <c r="D24" s="10" t="n"/>
    </row>
    <row r="25">
      <c r="A25" s="21" t="inlineStr">
        <is>
          <t>Partie 4 : Notes sur le compte d'exploitation</t>
        </is>
      </c>
      <c r="B25" s="12" t="n"/>
      <c r="C25" s="12" t="n"/>
      <c r="D25" s="12" t="n"/>
    </row>
    <row r="26">
      <c r="A26" s="10" t="inlineStr">
        <is>
          <t>Note 14</t>
        </is>
      </c>
      <c r="B26" s="10" t="inlineStr">
        <is>
          <t>REVENUS ET AUTRES PRODUITS</t>
        </is>
      </c>
      <c r="C26" s="10" t="n"/>
      <c r="D26" s="10" t="n"/>
    </row>
    <row r="27">
      <c r="A27" s="12" t="inlineStr">
        <is>
          <t>Note 15</t>
        </is>
      </c>
      <c r="B27" s="12" t="inlineStr">
        <is>
          <t>ACHATS</t>
        </is>
      </c>
      <c r="C27" s="12" t="n"/>
      <c r="D27" s="12" t="n"/>
    </row>
    <row r="28">
      <c r="A28" s="10" t="inlineStr">
        <is>
          <t>Note 16</t>
        </is>
      </c>
      <c r="B28" s="10" t="inlineStr">
        <is>
          <t>TRANSPORTS</t>
        </is>
      </c>
      <c r="C28" s="10" t="n"/>
      <c r="D28" s="10" t="n"/>
    </row>
    <row r="29">
      <c r="A29" s="12" t="inlineStr">
        <is>
          <t>Note 17</t>
        </is>
      </c>
      <c r="B29" s="12" t="inlineStr">
        <is>
          <t>SERVICES EXTÉRIEURS</t>
        </is>
      </c>
      <c r="C29" s="12" t="n"/>
      <c r="D29" s="12" t="n"/>
    </row>
    <row r="30">
      <c r="A30" s="10" t="inlineStr">
        <is>
          <t>Note 18</t>
        </is>
      </c>
      <c r="B30" s="10" t="inlineStr">
        <is>
          <t>IMPÔTS ET TAXES</t>
        </is>
      </c>
      <c r="C30" s="10" t="n"/>
      <c r="D30" s="10" t="n"/>
    </row>
    <row r="31">
      <c r="A31" s="12" t="inlineStr">
        <is>
          <t>Note 19</t>
        </is>
      </c>
      <c r="B31" s="12" t="inlineStr">
        <is>
          <t>AUTRES CHARGES</t>
        </is>
      </c>
      <c r="C31" s="12" t="n"/>
      <c r="D31" s="12" t="n"/>
    </row>
    <row r="32">
      <c r="A32" s="10" t="inlineStr">
        <is>
          <t>Note 20A</t>
        </is>
      </c>
      <c r="B32" s="10" t="inlineStr">
        <is>
          <t>CHARGES DE PERSONNEL</t>
        </is>
      </c>
      <c r="C32" s="10" t="n"/>
      <c r="D32" s="10" t="n"/>
    </row>
    <row r="33">
      <c r="A33" s="12" t="inlineStr">
        <is>
          <t>Note 20B</t>
        </is>
      </c>
      <c r="B33" s="12" t="inlineStr">
        <is>
          <t>EFFECTIFS, MASSE SALARIALE ET PERSONNEL EXTÉRIEUR</t>
        </is>
      </c>
      <c r="C33" s="12" t="n"/>
      <c r="D33" s="12" t="n"/>
    </row>
    <row r="34">
      <c r="A34" s="10" t="inlineStr">
        <is>
          <t>Note 21</t>
        </is>
      </c>
      <c r="B34" s="10" t="inlineStr">
        <is>
          <t>CHARGES ET REVENUS FINANCIERS</t>
        </is>
      </c>
      <c r="C34" s="10" t="n"/>
      <c r="D34" s="10" t="n"/>
    </row>
    <row r="35">
      <c r="A35" s="12" t="inlineStr">
        <is>
          <t>Note 22</t>
        </is>
      </c>
      <c r="B35" s="12" t="inlineStr">
        <is>
          <t>DOTATIONS ET CHARGES POUR PROVISIONS</t>
        </is>
      </c>
      <c r="C35" s="12" t="n"/>
      <c r="D35" s="12" t="n"/>
    </row>
    <row r="36">
      <c r="A36" s="10" t="inlineStr">
        <is>
          <t>Note 23</t>
        </is>
      </c>
      <c r="B36" s="10" t="inlineStr">
        <is>
          <t>AUTRES CHARGES ET PRODUITS HAO</t>
        </is>
      </c>
      <c r="C36" s="10" t="n"/>
      <c r="D36" s="10" t="n"/>
    </row>
    <row r="37">
      <c r="A37" s="12" t="inlineStr">
        <is>
          <t>Note 24</t>
        </is>
      </c>
      <c r="B37" s="12" t="inlineStr">
        <is>
          <t>TABLEAU D'EXÉCUTION BUDGÉTAIRE</t>
        </is>
      </c>
      <c r="C37" s="12" t="n"/>
      <c r="D37" s="12" t="n"/>
    </row>
    <row r="38"/>
    <row r="39">
      <c r="A39" s="5" t="inlineStr">
        <is>
          <t>(1) A : applicable ; N/A : non applicable. Les notes non documentées ne doivent pas être jointes aux états financiers ; dans une note, les lignes non chiffrées doivent être supprimées.</t>
        </is>
      </c>
    </row>
    <row r="40"/>
  </sheetData>
  <mergeCells count="7">
    <mergeCell ref="A1:D1"/>
    <mergeCell ref="A8:D8"/>
    <mergeCell ref="A12:D12"/>
    <mergeCell ref="A39:D40"/>
    <mergeCell ref="A25:D25"/>
    <mergeCell ref="A2:D2"/>
    <mergeCell ref="A10:D10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NOTE 1</t>
        </is>
      </c>
    </row>
    <row r="2">
      <c r="A2" s="2" t="inlineStr">
        <is>
          <t>INFORMATIONS OBLIGATOIRES</t>
        </is>
      </c>
    </row>
    <row r="3"/>
    <row r="4">
      <c r="A4" s="3" t="inlineStr">
        <is>
          <t>Désignation entité : PROJET PADIR</t>
        </is>
      </c>
      <c r="E4" s="3" t="inlineStr">
        <is>
          <t>Exercice clos le : 31/12/2025</t>
        </is>
      </c>
    </row>
    <row r="5">
      <c r="A5" t="inlineStr">
        <is>
          <t>Numéro d'identification : Convention 2023/DR/045</t>
        </is>
      </c>
      <c r="E5" t="inlineStr">
        <is>
          <t>Durée (en mois) : 12</t>
        </is>
      </c>
    </row>
    <row r="6"/>
    <row r="7"/>
    <row r="8">
      <c r="A8" s="5" t="inlineStr">
        <is>
          <t>A - IDENTITÉ, ORGANISATION : date de début du projet, nature du projet de développement, activité ou mission réalisée, données chiffrées (effectifs, total des ressources affectées, moyens utilisés).</t>
        </is>
      </c>
    </row>
    <row r="9"/>
    <row r="10"/>
    <row r="11">
      <c r="A11" s="5" t="inlineStr">
        <is>
          <t>B - DÉCLARATION DE CONFORMITÉ AU SYSTÈME COMPTABLE DES ENTITÉS À BUT NON LUCRATIF ET FAITS MARQUANTS DE L'EXERCICE.</t>
        </is>
      </c>
    </row>
    <row r="12"/>
    <row r="13"/>
    <row r="14">
      <c r="A14" s="5" t="inlineStr">
        <is>
          <t>C - RÈGLES, MÉTHODES COMPTABLES ET DÉROGATION AUX PRINCIPES COMPTABLES.</t>
        </is>
      </c>
    </row>
    <row r="15"/>
    <row r="16"/>
    <row r="17">
      <c r="A17" s="5" t="inlineStr">
        <is>
          <t>D - INFORMATIONS COMPLÉMENTAIRES RELATIVES AU BILAN ET AU COMPTE D'EXPLOITATION.</t>
        </is>
      </c>
    </row>
    <row r="18"/>
  </sheetData>
  <mergeCells count="6">
    <mergeCell ref="A2:F2"/>
    <mergeCell ref="A11:F12"/>
    <mergeCell ref="A1:F1"/>
    <mergeCell ref="A14:F15"/>
    <mergeCell ref="A17:F18"/>
    <mergeCell ref="A8:F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NOTE 2</t>
        </is>
      </c>
    </row>
    <row r="2">
      <c r="A2" s="2" t="inlineStr">
        <is>
          <t>INFORMATIONS SPÉCIFIQUES</t>
        </is>
      </c>
    </row>
    <row r="3"/>
    <row r="4">
      <c r="A4" s="3" t="inlineStr">
        <is>
          <t>Désignation entité : PROJET PADIR</t>
        </is>
      </c>
      <c r="E4" s="3" t="inlineStr">
        <is>
          <t>Exercice clos le : 31/12/2025</t>
        </is>
      </c>
    </row>
    <row r="5">
      <c r="A5" t="inlineStr">
        <is>
          <t>Numéro d'identification : Convention 2023/DR/045</t>
        </is>
      </c>
      <c r="E5" t="inlineStr">
        <is>
          <t>Durée (en mois) : 12</t>
        </is>
      </c>
    </row>
    <row r="6"/>
    <row r="7"/>
    <row r="8">
      <c r="A8" s="5" t="inlineStr">
        <is>
          <t>A - TABLEAU EMPLOIS RESSOURCES : faits marquants.</t>
        </is>
      </c>
    </row>
    <row r="9"/>
    <row r="10"/>
    <row r="11">
      <c r="A11" s="5" t="inlineStr">
        <is>
          <t>B - TABLEAU D'EXÉCUTION BUDGÉTAIRE : expliquer les écarts significatifs entre budget et réalisation.</t>
        </is>
      </c>
    </row>
    <row r="12"/>
    <row r="13"/>
    <row r="14">
      <c r="A14" s="5" t="inlineStr">
        <is>
          <t>C - TABLEAU DE RÉCONCILIATION DE TRÉSORERIE : faits marquants.</t>
        </is>
      </c>
    </row>
    <row r="15"/>
  </sheetData>
  <mergeCells count="5">
    <mergeCell ref="A2:F2"/>
    <mergeCell ref="A11:F12"/>
    <mergeCell ref="A1:F1"/>
    <mergeCell ref="A14:F15"/>
    <mergeCell ref="A8:F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>
      <c r="A1" s="1" t="inlineStr">
        <is>
          <t>NOTE 3A</t>
        </is>
      </c>
    </row>
    <row r="2">
      <c r="A2" s="2" t="inlineStr">
        <is>
          <t>IMMOBILISATIONS BRUTES</t>
        </is>
      </c>
    </row>
    <row r="3"/>
    <row r="4">
      <c r="A4" s="3" t="inlineStr">
        <is>
          <t>Désignation entité : PROJET PADIR</t>
        </is>
      </c>
      <c r="D4" s="3" t="inlineStr">
        <is>
          <t>Exercice clos le : 31/12/2025</t>
        </is>
      </c>
    </row>
    <row r="5">
      <c r="A5" t="inlineStr">
        <is>
          <t>Numéro d'identification : Convention 2023/DR/045</t>
        </is>
      </c>
      <c r="D5" t="inlineStr">
        <is>
          <t>Durée (en mois) : 12</t>
        </is>
      </c>
    </row>
    <row r="6"/>
    <row r="7">
      <c r="A7" s="9" t="inlineStr">
        <is>
          <t>RUBRIQUES</t>
        </is>
      </c>
      <c r="B7" s="9" t="inlineStr">
        <is>
          <t>Montant brut à l'ouverture (A)</t>
        </is>
      </c>
      <c r="C7" s="9" t="inlineStr">
        <is>
          <t>Augmentations (B)</t>
        </is>
      </c>
      <c r="D7" s="9" t="inlineStr">
        <is>
          <t>Diminutions (C)</t>
        </is>
      </c>
      <c r="E7" s="9" t="inlineStr">
        <is>
          <t>Montant brut à la clôture (D = A + B - C)</t>
        </is>
      </c>
    </row>
    <row r="8">
      <c r="A8" s="20" t="inlineStr">
        <is>
          <t>IMMOBILISATIONS INCORPORELLES</t>
        </is>
      </c>
      <c r="B8" s="11" t="n"/>
      <c r="C8" s="11" t="n"/>
      <c r="D8" s="11" t="n"/>
      <c r="E8" s="11" t="n"/>
    </row>
    <row r="9">
      <c r="A9" s="12" t="inlineStr">
        <is>
          <t>Brevets, licences, logiciels et droits similaires</t>
        </is>
      </c>
      <c r="B9" s="13">
        <f>SUMIF(BALANCE_N1!$A$2:$A$50,"213*",BALANCE_N1!$F$2:$F$50)-SUMIF(BALANCE_N1!$A$2:$A$50,"213*",BALANCE_N1!$G$2:$G$50)+SUMIF(BALANCE_N1!$A$2:$A$50,"212*",BALANCE_N1!$F$2:$F$50)-SUMIF(BALANCE_N1!$A$2:$A$50,"212*",BALANCE_N1!$G$2:$G$50)+SUMIF(BALANCE_N1!$A$2:$A$50,"214*",BALANCE_N1!$F$2:$F$50)-SUMIF(BALANCE_N1!$A$2:$A$50,"214*",BALANCE_N1!$G$2:$G$50)</f>
        <v/>
      </c>
      <c r="C9" s="13">
        <f>MAX(0,(SUMIF(BALANCE!$A$2:$A$50,"213*",BALANCE!$F$2:$F$50)-SUMIF(BALANCE!$A$2:$A$50,"213*",BALANCE!$G$2:$G$50)+SUMIF(BALANCE!$A$2:$A$50,"212*",BALANCE!$F$2:$F$50)-SUMIF(BALANCE!$A$2:$A$50,"212*",BALANCE!$G$2:$G$50)+SUMIF(BALANCE!$A$2:$A$50,"214*",BALANCE!$F$2:$F$50)-SUMIF(BALANCE!$A$2:$A$50,"214*",BALANCE!$G$2:$G$50))-(SUMIF(BALANCE_N1!$A$2:$A$50,"213*",BALANCE_N1!$F$2:$F$50)-SUMIF(BALANCE_N1!$A$2:$A$50,"213*",BALANCE_N1!$G$2:$G$50)+SUMIF(BALANCE_N1!$A$2:$A$50,"212*",BALANCE_N1!$F$2:$F$50)-SUMIF(BALANCE_N1!$A$2:$A$50,"212*",BALANCE_N1!$G$2:$G$50)+SUMIF(BALANCE_N1!$A$2:$A$50,"214*",BALANCE_N1!$F$2:$F$50)-SUMIF(BALANCE_N1!$A$2:$A$50,"214*",BALANCE_N1!$G$2:$G$50)))</f>
        <v/>
      </c>
      <c r="D9" s="13">
        <f>MAX(0,(SUMIF(BALANCE_N1!$A$2:$A$50,"213*",BALANCE_N1!$F$2:$F$50)-SUMIF(BALANCE_N1!$A$2:$A$50,"213*",BALANCE_N1!$G$2:$G$50)+SUMIF(BALANCE_N1!$A$2:$A$50,"212*",BALANCE_N1!$F$2:$F$50)-SUMIF(BALANCE_N1!$A$2:$A$50,"212*",BALANCE_N1!$G$2:$G$50)+SUMIF(BALANCE_N1!$A$2:$A$50,"214*",BALANCE_N1!$F$2:$F$50)-SUMIF(BALANCE_N1!$A$2:$A$50,"214*",BALANCE_N1!$G$2:$G$50))-(SUMIF(BALANCE!$A$2:$A$50,"213*",BALANCE!$F$2:$F$50)-SUMIF(BALANCE!$A$2:$A$50,"213*",BALANCE!$G$2:$G$50)+SUMIF(BALANCE!$A$2:$A$50,"212*",BALANCE!$F$2:$F$50)-SUMIF(BALANCE!$A$2:$A$50,"212*",BALANCE!$G$2:$G$50)+SUMIF(BALANCE!$A$2:$A$50,"214*",BALANCE!$F$2:$F$50)-SUMIF(BALANCE!$A$2:$A$50,"214*",BALANCE!$G$2:$G$50)))</f>
        <v/>
      </c>
      <c r="E9" s="13">
        <f>B9+C9-D9</f>
        <v/>
      </c>
    </row>
    <row r="10">
      <c r="A10" s="10" t="inlineStr">
        <is>
          <t>Avances et acomptes sur immobilisations incorporelles</t>
        </is>
      </c>
      <c r="B10" s="11">
        <f>SUMIF(BALANCE_N1!$A$2:$A$50,"251*",BALANCE_N1!$F$2:$F$50)-SUMIF(BALANCE_N1!$A$2:$A$50,"251*",BALANCE_N1!$G$2:$G$50)</f>
        <v/>
      </c>
      <c r="C10" s="11">
        <f>MAX(0,(SUMIF(BALANCE!$A$2:$A$50,"251*",BALANCE!$F$2:$F$50)-SUMIF(BALANCE!$A$2:$A$50,"251*",BALANCE!$G$2:$G$50))-(SUMIF(BALANCE_N1!$A$2:$A$50,"251*",BALANCE_N1!$F$2:$F$50)-SUMIF(BALANCE_N1!$A$2:$A$50,"251*",BALANCE_N1!$G$2:$G$50)))</f>
        <v/>
      </c>
      <c r="D10" s="11">
        <f>MAX(0,(SUMIF(BALANCE_N1!$A$2:$A$50,"251*",BALANCE_N1!$F$2:$F$50)-SUMIF(BALANCE_N1!$A$2:$A$50,"251*",BALANCE_N1!$G$2:$G$50))-(SUMIF(BALANCE!$A$2:$A$50,"251*",BALANCE!$F$2:$F$50)-SUMIF(BALANCE!$A$2:$A$50,"251*",BALANCE!$G$2:$G$50)))</f>
        <v/>
      </c>
      <c r="E10" s="11">
        <f>B10+C10-D10</f>
        <v/>
      </c>
    </row>
    <row r="11">
      <c r="A11" s="12" t="inlineStr">
        <is>
          <t>Autres immobilisations incorporelles</t>
        </is>
      </c>
      <c r="B11" s="13">
        <f>SUMIF(BALANCE_N1!$A$2:$A$50,"218*",BALANCE_N1!$F$2:$F$50)-SUMIF(BALANCE_N1!$A$2:$A$50,"218*",BALANCE_N1!$G$2:$G$50)+SUMIF(BALANCE_N1!$A$2:$A$50,"219*",BALANCE_N1!$F$2:$F$50)-SUMIF(BALANCE_N1!$A$2:$A$50,"219*",BALANCE_N1!$G$2:$G$50)</f>
        <v/>
      </c>
      <c r="C11" s="13">
        <f>MAX(0,(SUMIF(BALANCE!$A$2:$A$50,"218*",BALANCE!$F$2:$F$50)-SUMIF(BALANCE!$A$2:$A$50,"218*",BALANCE!$G$2:$G$50)+SUMIF(BALANCE!$A$2:$A$50,"219*",BALANCE!$F$2:$F$50)-SUMIF(BALANCE!$A$2:$A$50,"219*",BALANCE!$G$2:$G$50))-(SUMIF(BALANCE_N1!$A$2:$A$50,"218*",BALANCE_N1!$F$2:$F$50)-SUMIF(BALANCE_N1!$A$2:$A$50,"218*",BALANCE_N1!$G$2:$G$50)+SUMIF(BALANCE_N1!$A$2:$A$50,"219*",BALANCE_N1!$F$2:$F$50)-SUMIF(BALANCE_N1!$A$2:$A$50,"219*",BALANCE_N1!$G$2:$G$50)))</f>
        <v/>
      </c>
      <c r="D11" s="13">
        <f>MAX(0,(SUMIF(BALANCE_N1!$A$2:$A$50,"218*",BALANCE_N1!$F$2:$F$50)-SUMIF(BALANCE_N1!$A$2:$A$50,"218*",BALANCE_N1!$G$2:$G$50)+SUMIF(BALANCE_N1!$A$2:$A$50,"219*",BALANCE_N1!$F$2:$F$50)-SUMIF(BALANCE_N1!$A$2:$A$50,"219*",BALANCE_N1!$G$2:$G$50))-(SUMIF(BALANCE!$A$2:$A$50,"218*",BALANCE!$F$2:$F$50)-SUMIF(BALANCE!$A$2:$A$50,"218*",BALANCE!$G$2:$G$50)+SUMIF(BALANCE!$A$2:$A$50,"219*",BALANCE!$F$2:$F$50)-SUMIF(BALANCE!$A$2:$A$50,"219*",BALANCE!$G$2:$G$50)))</f>
        <v/>
      </c>
      <c r="E11" s="13">
        <f>B11+C11-D11</f>
        <v/>
      </c>
    </row>
    <row r="12">
      <c r="A12" s="20" t="inlineStr">
        <is>
          <t>IMMOBILISATIONS CORPORELLES</t>
        </is>
      </c>
      <c r="B12" s="11" t="n"/>
      <c r="C12" s="11" t="n"/>
      <c r="D12" s="11" t="n"/>
      <c r="E12" s="11" t="n"/>
    </row>
    <row r="13">
      <c r="A13" s="12" t="inlineStr">
        <is>
          <t>Terrains hors immeuble de placement</t>
        </is>
      </c>
      <c r="B13" s="13">
        <f>SUMIF(BALANCE_N1!$A$2:$A$50,"22*",BALANCE_N1!$F$2:$F$50)-SUMIF(BALANCE_N1!$A$2:$A$50,"22*",BALANCE_N1!$G$2:$G$50)-SUMIF(BALANCE_N1!$A$2:$A$50,"2281*",BALANCE_N1!$F$2:$F$50)+SUMIF(BALANCE_N1!$A$2:$A$50,"2281*",BALANCE_N1!$G$2:$G$50)</f>
        <v/>
      </c>
      <c r="C13" s="13">
        <f>MAX(0,(SUMIF(BALANCE!$A$2:$A$50,"22*",BALANCE!$F$2:$F$50)-SUMIF(BALANCE!$A$2:$A$50,"22*",BALANCE!$G$2:$G$50)-SUMIF(BALANCE!$A$2:$A$50,"2281*",BALANCE!$F$2:$F$50)+SUMIF(BALANCE!$A$2:$A$50,"2281*",BALANCE!$G$2:$G$50))-(SUMIF(BALANCE_N1!$A$2:$A$50,"22*",BALANCE_N1!$F$2:$F$50)-SUMIF(BALANCE_N1!$A$2:$A$50,"22*",BALANCE_N1!$G$2:$G$50)-SUMIF(BALANCE_N1!$A$2:$A$50,"2281*",BALANCE_N1!$F$2:$F$50)+SUMIF(BALANCE_N1!$A$2:$A$50,"2281*",BALANCE_N1!$G$2:$G$50)))</f>
        <v/>
      </c>
      <c r="D13" s="13">
        <f>MAX(0,(SUMIF(BALANCE_N1!$A$2:$A$50,"22*",BALANCE_N1!$F$2:$F$50)-SUMIF(BALANCE_N1!$A$2:$A$50,"22*",BALANCE_N1!$G$2:$G$50)-SUMIF(BALANCE_N1!$A$2:$A$50,"2281*",BALANCE_N1!$F$2:$F$50)+SUMIF(BALANCE_N1!$A$2:$A$50,"2281*",BALANCE_N1!$G$2:$G$50))-(SUMIF(BALANCE!$A$2:$A$50,"22*",BALANCE!$F$2:$F$50)-SUMIF(BALANCE!$A$2:$A$50,"22*",BALANCE!$G$2:$G$50)-SUMIF(BALANCE!$A$2:$A$50,"2281*",BALANCE!$F$2:$F$50)+SUMIF(BALANCE!$A$2:$A$50,"2281*",BALANCE!$G$2:$G$50)))</f>
        <v/>
      </c>
      <c r="E13" s="13">
        <f>B13+C13-D13</f>
        <v/>
      </c>
    </row>
    <row r="14">
      <c r="A14" s="10" t="inlineStr">
        <is>
          <t>Terrains - immeuble de placement</t>
        </is>
      </c>
      <c r="B14" s="11">
        <f>SUMIF(BALANCE_N1!$A$2:$A$50,"2281*",BALANCE_N1!$F$2:$F$50)-SUMIF(BALANCE_N1!$A$2:$A$50,"2281*",BALANCE_N1!$G$2:$G$50)</f>
        <v/>
      </c>
      <c r="C14" s="11">
        <f>MAX(0,(SUMIF(BALANCE!$A$2:$A$50,"2281*",BALANCE!$F$2:$F$50)-SUMIF(BALANCE!$A$2:$A$50,"2281*",BALANCE!$G$2:$G$50))-(SUMIF(BALANCE_N1!$A$2:$A$50,"2281*",BALANCE_N1!$F$2:$F$50)-SUMIF(BALANCE_N1!$A$2:$A$50,"2281*",BALANCE_N1!$G$2:$G$50)))</f>
        <v/>
      </c>
      <c r="D14" s="11">
        <f>MAX(0,(SUMIF(BALANCE_N1!$A$2:$A$50,"2281*",BALANCE_N1!$F$2:$F$50)-SUMIF(BALANCE_N1!$A$2:$A$50,"2281*",BALANCE_N1!$G$2:$G$50))-(SUMIF(BALANCE!$A$2:$A$50,"2281*",BALANCE!$F$2:$F$50)-SUMIF(BALANCE!$A$2:$A$50,"2281*",BALANCE!$G$2:$G$50)))</f>
        <v/>
      </c>
      <c r="E14" s="11">
        <f>B14+C14-D14</f>
        <v/>
      </c>
    </row>
    <row r="15">
      <c r="A15" s="12" t="inlineStr">
        <is>
          <t>Bâtiments hors immeuble de placement</t>
        </is>
      </c>
      <c r="B15" s="13">
        <f>SUMIF(BALANCE_N1!$A$2:$A$50,"232*",BALANCE_N1!$F$2:$F$50)-SUMIF(BALANCE_N1!$A$2:$A$50,"232*",BALANCE_N1!$G$2:$G$50)+SUMIF(BALANCE_N1!$A$2:$A$50,"233*",BALANCE_N1!$F$2:$F$50)-SUMIF(BALANCE_N1!$A$2:$A$50,"233*",BALANCE_N1!$G$2:$G$50)+SUMIF(BALANCE_N1!$A$2:$A$50,"231*",BALANCE_N1!$F$2:$F$50)-SUMIF(BALANCE_N1!$A$2:$A$50,"231*",BALANCE_N1!$G$2:$G$50)+SUMIF(BALANCE_N1!$A$2:$A$50,"2391*",BALANCE_N1!$F$2:$F$50)-SUMIF(BALANCE_N1!$A$2:$A$50,"2391*",BALANCE_N1!$G$2:$G$50)+SUMIF(BALANCE_N1!$A$2:$A$50,"2392*",BALANCE_N1!$F$2:$F$50)-SUMIF(BALANCE_N1!$A$2:$A$50,"2392*",BALANCE_N1!$G$2:$G$50)+SUMIF(BALANCE_N1!$A$2:$A$50,"2393*",BALANCE_N1!$F$2:$F$50)-SUMIF(BALANCE_N1!$A$2:$A$50,"2393*",BALANCE_N1!$G$2:$G$50)-SUMIF(BALANCE_N1!$A$2:$A$50,"2325*",BALANCE_N1!$F$2:$F$50)+SUMIF(BALANCE_N1!$A$2:$A$50,"2325*",BALANCE_N1!$G$2:$G$50)-SUMIF(BALANCE_N1!$A$2:$A$50,"2315*",BALANCE_N1!$F$2:$F$50)+SUMIF(BALANCE_N1!$A$2:$A$50,"2315*",BALANCE_N1!$G$2:$G$50)</f>
        <v/>
      </c>
      <c r="C15" s="13">
        <f>MAX(0,(SUMIF(BALANCE!$A$2:$A$50,"232*",BALANCE!$F$2:$F$50)-SUMIF(BALANCE!$A$2:$A$50,"232*",BALANCE!$G$2:$G$50)+SUMIF(BALANCE!$A$2:$A$50,"233*",BALANCE!$F$2:$F$50)-SUMIF(BALANCE!$A$2:$A$50,"233*",BALANCE!$G$2:$G$50)+SUMIF(BALANCE!$A$2:$A$50,"231*",BALANCE!$F$2:$F$50)-SUMIF(BALANCE!$A$2:$A$50,"231*",BALANCE!$G$2:$G$50)+SUMIF(BALANCE!$A$2:$A$50,"2391*",BALANCE!$F$2:$F$50)-SUMIF(BALANCE!$A$2:$A$50,"2391*",BALANCE!$G$2:$G$50)+SUMIF(BALANCE!$A$2:$A$50,"2392*",BALANCE!$F$2:$F$50)-SUMIF(BALANCE!$A$2:$A$50,"2392*",BALANCE!$G$2:$G$50)+SUMIF(BALANCE!$A$2:$A$50,"2393*",BALANCE!$F$2:$F$50)-SUMIF(BALANCE!$A$2:$A$50,"2393*",BALANCE!$G$2:$G$50)-SUMIF(BALANCE!$A$2:$A$50,"2325*",BALANCE!$F$2:$F$50)+SUMIF(BALANCE!$A$2:$A$50,"2325*",BALANCE!$G$2:$G$50)-SUMIF(BALANCE!$A$2:$A$50,"2315*",BALANCE!$F$2:$F$50)+SUMIF(BALANCE!$A$2:$A$50,"2315*",BALANCE!$G$2:$G$50))-(SUMIF(BALANCE_N1!$A$2:$A$50,"232*",BALANCE_N1!$F$2:$F$50)-SUMIF(BALANCE_N1!$A$2:$A$50,"232*",BALANCE_N1!$G$2:$G$50)+SUMIF(BALANCE_N1!$A$2:$A$50,"233*",BALANCE_N1!$F$2:$F$50)-SUMIF(BALANCE_N1!$A$2:$A$50,"233*",BALANCE_N1!$G$2:$G$50)+SUMIF(BALANCE_N1!$A$2:$A$50,"231*",BALANCE_N1!$F$2:$F$50)-SUMIF(BALANCE_N1!$A$2:$A$50,"231*",BALANCE_N1!$G$2:$G$50)+SUMIF(BALANCE_N1!$A$2:$A$50,"2391*",BALANCE_N1!$F$2:$F$50)-SUMIF(BALANCE_N1!$A$2:$A$50,"2391*",BALANCE_N1!$G$2:$G$50)+SUMIF(BALANCE_N1!$A$2:$A$50,"2392*",BALANCE_N1!$F$2:$F$50)-SUMIF(BALANCE_N1!$A$2:$A$50,"2392*",BALANCE_N1!$G$2:$G$50)+SUMIF(BALANCE_N1!$A$2:$A$50,"2393*",BALANCE_N1!$F$2:$F$50)-SUMIF(BALANCE_N1!$A$2:$A$50,"2393*",BALANCE_N1!$G$2:$G$50)-SUMIF(BALANCE_N1!$A$2:$A$50,"2325*",BALANCE_N1!$F$2:$F$50)+SUMIF(BALANCE_N1!$A$2:$A$50,"2325*",BALANCE_N1!$G$2:$G$50)-SUMIF(BALANCE_N1!$A$2:$A$50,"2315*",BALANCE_N1!$F$2:$F$50)+SUMIF(BALANCE_N1!$A$2:$A$50,"2315*",BALANCE_N1!$G$2:$G$50)))</f>
        <v/>
      </c>
      <c r="D15" s="13">
        <f>MAX(0,(SUMIF(BALANCE_N1!$A$2:$A$50,"232*",BALANCE_N1!$F$2:$F$50)-SUMIF(BALANCE_N1!$A$2:$A$50,"232*",BALANCE_N1!$G$2:$G$50)+SUMIF(BALANCE_N1!$A$2:$A$50,"233*",BALANCE_N1!$F$2:$F$50)-SUMIF(BALANCE_N1!$A$2:$A$50,"233*",BALANCE_N1!$G$2:$G$50)+SUMIF(BALANCE_N1!$A$2:$A$50,"231*",BALANCE_N1!$F$2:$F$50)-SUMIF(BALANCE_N1!$A$2:$A$50,"231*",BALANCE_N1!$G$2:$G$50)+SUMIF(BALANCE_N1!$A$2:$A$50,"2391*",BALANCE_N1!$F$2:$F$50)-SUMIF(BALANCE_N1!$A$2:$A$50,"2391*",BALANCE_N1!$G$2:$G$50)+SUMIF(BALANCE_N1!$A$2:$A$50,"2392*",BALANCE_N1!$F$2:$F$50)-SUMIF(BALANCE_N1!$A$2:$A$50,"2392*",BALANCE_N1!$G$2:$G$50)+SUMIF(BALANCE_N1!$A$2:$A$50,"2393*",BALANCE_N1!$F$2:$F$50)-SUMIF(BALANCE_N1!$A$2:$A$50,"2393*",BALANCE_N1!$G$2:$G$50)-SUMIF(BALANCE_N1!$A$2:$A$50,"2325*",BALANCE_N1!$F$2:$F$50)+SUMIF(BALANCE_N1!$A$2:$A$50,"2325*",BALANCE_N1!$G$2:$G$50)-SUMIF(BALANCE_N1!$A$2:$A$50,"2315*",BALANCE_N1!$F$2:$F$50)+SUMIF(BALANCE_N1!$A$2:$A$50,"2315*",BALANCE_N1!$G$2:$G$50))-(SUMIF(BALANCE!$A$2:$A$50,"232*",BALANCE!$F$2:$F$50)-SUMIF(BALANCE!$A$2:$A$50,"232*",BALANCE!$G$2:$G$50)+SUMIF(BALANCE!$A$2:$A$50,"233*",BALANCE!$F$2:$F$50)-SUMIF(BALANCE!$A$2:$A$50,"233*",BALANCE!$G$2:$G$50)+SUMIF(BALANCE!$A$2:$A$50,"231*",BALANCE!$F$2:$F$50)-SUMIF(BALANCE!$A$2:$A$50,"231*",BALANCE!$G$2:$G$50)+SUMIF(BALANCE!$A$2:$A$50,"2391*",BALANCE!$F$2:$F$50)-SUMIF(BALANCE!$A$2:$A$50,"2391*",BALANCE!$G$2:$G$50)+SUMIF(BALANCE!$A$2:$A$50,"2392*",BALANCE!$F$2:$F$50)-SUMIF(BALANCE!$A$2:$A$50,"2392*",BALANCE!$G$2:$G$50)+SUMIF(BALANCE!$A$2:$A$50,"2393*",BALANCE!$F$2:$F$50)-SUMIF(BALANCE!$A$2:$A$50,"2393*",BALANCE!$G$2:$G$50)-SUMIF(BALANCE!$A$2:$A$50,"2325*",BALANCE!$F$2:$F$50)+SUMIF(BALANCE!$A$2:$A$50,"2325*",BALANCE!$G$2:$G$50)-SUMIF(BALANCE!$A$2:$A$50,"2315*",BALANCE!$F$2:$F$50)+SUMIF(BALANCE!$A$2:$A$50,"2315*",BALANCE!$G$2:$G$50)))</f>
        <v/>
      </c>
      <c r="E15" s="13">
        <f>B15+C15-D15</f>
        <v/>
      </c>
    </row>
    <row r="16">
      <c r="A16" s="10" t="inlineStr">
        <is>
          <t>Bâtiments - immeuble de placement</t>
        </is>
      </c>
      <c r="B16" s="11">
        <f>SUMIF(BALANCE_N1!$A$2:$A$50,"2325*",BALANCE_N1!$F$2:$F$50)-SUMIF(BALANCE_N1!$A$2:$A$50,"2325*",BALANCE_N1!$G$2:$G$50)+SUMIF(BALANCE_N1!$A$2:$A$50,"2396*",BALANCE_N1!$F$2:$F$50)-SUMIF(BALANCE_N1!$A$2:$A$50,"2396*",BALANCE_N1!$G$2:$G$50)+SUMIF(BALANCE_N1!$A$2:$A$50,"2315*",BALANCE_N1!$F$2:$F$50)-SUMIF(BALANCE_N1!$A$2:$A$50,"2315*",BALANCE_N1!$G$2:$G$50)</f>
        <v/>
      </c>
      <c r="C16" s="11">
        <f>MAX(0,(SUMIF(BALANCE!$A$2:$A$50,"2325*",BALANCE!$F$2:$F$50)-SUMIF(BALANCE!$A$2:$A$50,"2325*",BALANCE!$G$2:$G$50)+SUMIF(BALANCE!$A$2:$A$50,"2396*",BALANCE!$F$2:$F$50)-SUMIF(BALANCE!$A$2:$A$50,"2396*",BALANCE!$G$2:$G$50)+SUMIF(BALANCE!$A$2:$A$50,"2315*",BALANCE!$F$2:$F$50)-SUMIF(BALANCE!$A$2:$A$50,"2315*",BALANCE!$G$2:$G$50))-(SUMIF(BALANCE_N1!$A$2:$A$50,"2325*",BALANCE_N1!$F$2:$F$50)-SUMIF(BALANCE_N1!$A$2:$A$50,"2325*",BALANCE_N1!$G$2:$G$50)+SUMIF(BALANCE_N1!$A$2:$A$50,"2396*",BALANCE_N1!$F$2:$F$50)-SUMIF(BALANCE_N1!$A$2:$A$50,"2396*",BALANCE_N1!$G$2:$G$50)+SUMIF(BALANCE_N1!$A$2:$A$50,"2315*",BALANCE_N1!$F$2:$F$50)-SUMIF(BALANCE_N1!$A$2:$A$50,"2315*",BALANCE_N1!$G$2:$G$50)))</f>
        <v/>
      </c>
      <c r="D16" s="11">
        <f>MAX(0,(SUMIF(BALANCE_N1!$A$2:$A$50,"2325*",BALANCE_N1!$F$2:$F$50)-SUMIF(BALANCE_N1!$A$2:$A$50,"2325*",BALANCE_N1!$G$2:$G$50)+SUMIF(BALANCE_N1!$A$2:$A$50,"2396*",BALANCE_N1!$F$2:$F$50)-SUMIF(BALANCE_N1!$A$2:$A$50,"2396*",BALANCE_N1!$G$2:$G$50)+SUMIF(BALANCE_N1!$A$2:$A$50,"2315*",BALANCE_N1!$F$2:$F$50)-SUMIF(BALANCE_N1!$A$2:$A$50,"2315*",BALANCE_N1!$G$2:$G$50))-(SUMIF(BALANCE!$A$2:$A$50,"2325*",BALANCE!$F$2:$F$50)-SUMIF(BALANCE!$A$2:$A$50,"2325*",BALANCE!$G$2:$G$50)+SUMIF(BALANCE!$A$2:$A$50,"2396*",BALANCE!$F$2:$F$50)-SUMIF(BALANCE!$A$2:$A$50,"2396*",BALANCE!$G$2:$G$50)+SUMIF(BALANCE!$A$2:$A$50,"2315*",BALANCE!$F$2:$F$50)-SUMIF(BALANCE!$A$2:$A$50,"2315*",BALANCE!$G$2:$G$50)))</f>
        <v/>
      </c>
      <c r="E16" s="11">
        <f>B16+C16-D16</f>
        <v/>
      </c>
    </row>
    <row r="17">
      <c r="A17" s="12" t="inlineStr">
        <is>
          <t>Aménagements, agencements et installations</t>
        </is>
      </c>
      <c r="B17" s="13">
        <f>SUMIF(BALANCE_N1!$A$2:$A$50,"238*",BALANCE_N1!$F$2:$F$50)-SUMIF(BALANCE_N1!$A$2:$A$50,"238*",BALANCE_N1!$G$2:$G$50)+SUMIF(BALANCE_N1!$A$2:$A$50,"234*",BALANCE_N1!$F$2:$F$50)-SUMIF(BALANCE_N1!$A$2:$A$50,"234*",BALANCE_N1!$G$2:$G$50)+SUMIF(BALANCE_N1!$A$2:$A$50,"235*",BALANCE_N1!$F$2:$F$50)-SUMIF(BALANCE_N1!$A$2:$A$50,"235*",BALANCE_N1!$G$2:$G$50)+SUMIF(BALANCE_N1!$A$2:$A$50,"2394*",BALANCE_N1!$F$2:$F$50)-SUMIF(BALANCE_N1!$A$2:$A$50,"2394*",BALANCE_N1!$G$2:$G$50)+SUMIF(BALANCE_N1!$A$2:$A$50,"2398*",BALANCE_N1!$F$2:$F$50)-SUMIF(BALANCE_N1!$A$2:$A$50,"2398*",BALANCE_N1!$G$2:$G$50)+SUMIF(BALANCE_N1!$A$2:$A$50,"2395*",BALANCE_N1!$F$2:$F$50)-SUMIF(BALANCE_N1!$A$2:$A$50,"2395*",BALANCE_N1!$G$2:$G$50)</f>
        <v/>
      </c>
      <c r="C17" s="13">
        <f>MAX(0,(SUMIF(BALANCE!$A$2:$A$50,"238*",BALANCE!$F$2:$F$50)-SUMIF(BALANCE!$A$2:$A$50,"238*",BALANCE!$G$2:$G$50)+SUMIF(BALANCE!$A$2:$A$50,"234*",BALANCE!$F$2:$F$50)-SUMIF(BALANCE!$A$2:$A$50,"234*",BALANCE!$G$2:$G$50)+SUMIF(BALANCE!$A$2:$A$50,"235*",BALANCE!$F$2:$F$50)-SUMIF(BALANCE!$A$2:$A$50,"235*",BALANCE!$G$2:$G$50)+SUMIF(BALANCE!$A$2:$A$50,"2394*",BALANCE!$F$2:$F$50)-SUMIF(BALANCE!$A$2:$A$50,"2394*",BALANCE!$G$2:$G$50)+SUMIF(BALANCE!$A$2:$A$50,"2398*",BALANCE!$F$2:$F$50)-SUMIF(BALANCE!$A$2:$A$50,"2398*",BALANCE!$G$2:$G$50)+SUMIF(BALANCE!$A$2:$A$50,"2395*",BALANCE!$F$2:$F$50)-SUMIF(BALANCE!$A$2:$A$50,"2395*",BALANCE!$G$2:$G$50))-(SUMIF(BALANCE_N1!$A$2:$A$50,"238*",BALANCE_N1!$F$2:$F$50)-SUMIF(BALANCE_N1!$A$2:$A$50,"238*",BALANCE_N1!$G$2:$G$50)+SUMIF(BALANCE_N1!$A$2:$A$50,"234*",BALANCE_N1!$F$2:$F$50)-SUMIF(BALANCE_N1!$A$2:$A$50,"234*",BALANCE_N1!$G$2:$G$50)+SUMIF(BALANCE_N1!$A$2:$A$50,"235*",BALANCE_N1!$F$2:$F$50)-SUMIF(BALANCE_N1!$A$2:$A$50,"235*",BALANCE_N1!$G$2:$G$50)+SUMIF(BALANCE_N1!$A$2:$A$50,"2394*",BALANCE_N1!$F$2:$F$50)-SUMIF(BALANCE_N1!$A$2:$A$50,"2394*",BALANCE_N1!$G$2:$G$50)+SUMIF(BALANCE_N1!$A$2:$A$50,"2398*",BALANCE_N1!$F$2:$F$50)-SUMIF(BALANCE_N1!$A$2:$A$50,"2398*",BALANCE_N1!$G$2:$G$50)+SUMIF(BALANCE_N1!$A$2:$A$50,"2395*",BALANCE_N1!$F$2:$F$50)-SUMIF(BALANCE_N1!$A$2:$A$50,"2395*",BALANCE_N1!$G$2:$G$50)))</f>
        <v/>
      </c>
      <c r="D17" s="13">
        <f>MAX(0,(SUMIF(BALANCE_N1!$A$2:$A$50,"238*",BALANCE_N1!$F$2:$F$50)-SUMIF(BALANCE_N1!$A$2:$A$50,"238*",BALANCE_N1!$G$2:$G$50)+SUMIF(BALANCE_N1!$A$2:$A$50,"234*",BALANCE_N1!$F$2:$F$50)-SUMIF(BALANCE_N1!$A$2:$A$50,"234*",BALANCE_N1!$G$2:$G$50)+SUMIF(BALANCE_N1!$A$2:$A$50,"235*",BALANCE_N1!$F$2:$F$50)-SUMIF(BALANCE_N1!$A$2:$A$50,"235*",BALANCE_N1!$G$2:$G$50)+SUMIF(BALANCE_N1!$A$2:$A$50,"2394*",BALANCE_N1!$F$2:$F$50)-SUMIF(BALANCE_N1!$A$2:$A$50,"2394*",BALANCE_N1!$G$2:$G$50)+SUMIF(BALANCE_N1!$A$2:$A$50,"2398*",BALANCE_N1!$F$2:$F$50)-SUMIF(BALANCE_N1!$A$2:$A$50,"2398*",BALANCE_N1!$G$2:$G$50)+SUMIF(BALANCE_N1!$A$2:$A$50,"2395*",BALANCE_N1!$F$2:$F$50)-SUMIF(BALANCE_N1!$A$2:$A$50,"2395*",BALANCE_N1!$G$2:$G$50))-(SUMIF(BALANCE!$A$2:$A$50,"238*",BALANCE!$F$2:$F$50)-SUMIF(BALANCE!$A$2:$A$50,"238*",BALANCE!$G$2:$G$50)+SUMIF(BALANCE!$A$2:$A$50,"234*",BALANCE!$F$2:$F$50)-SUMIF(BALANCE!$A$2:$A$50,"234*",BALANCE!$G$2:$G$50)+SUMIF(BALANCE!$A$2:$A$50,"235*",BALANCE!$F$2:$F$50)-SUMIF(BALANCE!$A$2:$A$50,"235*",BALANCE!$G$2:$G$50)+SUMIF(BALANCE!$A$2:$A$50,"2394*",BALANCE!$F$2:$F$50)-SUMIF(BALANCE!$A$2:$A$50,"2394*",BALANCE!$G$2:$G$50)+SUMIF(BALANCE!$A$2:$A$50,"2398*",BALANCE!$F$2:$F$50)-SUMIF(BALANCE!$A$2:$A$50,"2398*",BALANCE!$G$2:$G$50)+SUMIF(BALANCE!$A$2:$A$50,"2395*",BALANCE!$F$2:$F$50)-SUMIF(BALANCE!$A$2:$A$50,"2395*",BALANCE!$G$2:$G$50)))</f>
        <v/>
      </c>
      <c r="E17" s="13">
        <f>B17+C17-D17</f>
        <v/>
      </c>
    </row>
    <row r="18">
      <c r="A18" s="10" t="inlineStr">
        <is>
          <t>Matériel, mobilier et actifs biologiques</t>
        </is>
      </c>
      <c r="B18" s="11">
        <f>SUMIF(BALANCE_N1!$A$2:$A$50,"24*",BALANCE_N1!$F$2:$F$50)-SUMIF(BALANCE_N1!$A$2:$A$50,"24*",BALANCE_N1!$G$2:$G$50)-SUMIF(BALANCE_N1!$A$2:$A$50,"245*",BALANCE_N1!$F$2:$F$50)+SUMIF(BALANCE_N1!$A$2:$A$50,"245*",BALANCE_N1!$G$2:$G$50)-SUMIF(BALANCE_N1!$A$2:$A$50,"2495*",BALANCE_N1!$F$2:$F$50)+SUMIF(BALANCE_N1!$A$2:$A$50,"2495*",BALANCE_N1!$G$2:$G$50)</f>
        <v/>
      </c>
      <c r="C18" s="11">
        <f>MAX(0,(SUMIF(BALANCE!$A$2:$A$50,"24*",BALANCE!$F$2:$F$50)-SUMIF(BALANCE!$A$2:$A$50,"24*",BALANCE!$G$2:$G$50)-SUMIF(BALANCE!$A$2:$A$50,"245*",BALANCE!$F$2:$F$50)+SUMIF(BALANCE!$A$2:$A$50,"245*",BALANCE!$G$2:$G$50)-SUMIF(BALANCE!$A$2:$A$50,"2495*",BALANCE!$F$2:$F$50)+SUMIF(BALANCE!$A$2:$A$50,"2495*",BALANCE!$G$2:$G$50))-(SUMIF(BALANCE_N1!$A$2:$A$50,"24*",BALANCE_N1!$F$2:$F$50)-SUMIF(BALANCE_N1!$A$2:$A$50,"24*",BALANCE_N1!$G$2:$G$50)-SUMIF(BALANCE_N1!$A$2:$A$50,"245*",BALANCE_N1!$F$2:$F$50)+SUMIF(BALANCE_N1!$A$2:$A$50,"245*",BALANCE_N1!$G$2:$G$50)-SUMIF(BALANCE_N1!$A$2:$A$50,"2495*",BALANCE_N1!$F$2:$F$50)+SUMIF(BALANCE_N1!$A$2:$A$50,"2495*",BALANCE_N1!$G$2:$G$50)))</f>
        <v/>
      </c>
      <c r="D18" s="11">
        <f>MAX(0,(SUMIF(BALANCE_N1!$A$2:$A$50,"24*",BALANCE_N1!$F$2:$F$50)-SUMIF(BALANCE_N1!$A$2:$A$50,"24*",BALANCE_N1!$G$2:$G$50)-SUMIF(BALANCE_N1!$A$2:$A$50,"245*",BALANCE_N1!$F$2:$F$50)+SUMIF(BALANCE_N1!$A$2:$A$50,"245*",BALANCE_N1!$G$2:$G$50)-SUMIF(BALANCE_N1!$A$2:$A$50,"2495*",BALANCE_N1!$F$2:$F$50)+SUMIF(BALANCE_N1!$A$2:$A$50,"2495*",BALANCE_N1!$G$2:$G$50))-(SUMIF(BALANCE!$A$2:$A$50,"24*",BALANCE!$F$2:$F$50)-SUMIF(BALANCE!$A$2:$A$50,"24*",BALANCE!$G$2:$G$50)-SUMIF(BALANCE!$A$2:$A$50,"245*",BALANCE!$F$2:$F$50)+SUMIF(BALANCE!$A$2:$A$50,"245*",BALANCE!$G$2:$G$50)-SUMIF(BALANCE!$A$2:$A$50,"2495*",BALANCE!$F$2:$F$50)+SUMIF(BALANCE!$A$2:$A$50,"2495*",BALANCE!$G$2:$G$50)))</f>
        <v/>
      </c>
      <c r="E18" s="11">
        <f>B18+C18-D18</f>
        <v/>
      </c>
    </row>
    <row r="19">
      <c r="A19" s="12" t="inlineStr">
        <is>
          <t>Matériel de transport</t>
        </is>
      </c>
      <c r="B19" s="13">
        <f>SUMIF(BALANCE_N1!$A$2:$A$50,"245*",BALANCE_N1!$F$2:$F$50)-SUMIF(BALANCE_N1!$A$2:$A$50,"245*",BALANCE_N1!$G$2:$G$50)+SUMIF(BALANCE_N1!$A$2:$A$50,"2495*",BALANCE_N1!$F$2:$F$50)-SUMIF(BALANCE_N1!$A$2:$A$50,"2495*",BALANCE_N1!$G$2:$G$50)</f>
        <v/>
      </c>
      <c r="C19" s="13">
        <f>MAX(0,(SUMIF(BALANCE!$A$2:$A$50,"245*",BALANCE!$F$2:$F$50)-SUMIF(BALANCE!$A$2:$A$50,"245*",BALANCE!$G$2:$G$50)+SUMIF(BALANCE!$A$2:$A$50,"2495*",BALANCE!$F$2:$F$50)-SUMIF(BALANCE!$A$2:$A$50,"2495*",BALANCE!$G$2:$G$50))-(SUMIF(BALANCE_N1!$A$2:$A$50,"245*",BALANCE_N1!$F$2:$F$50)-SUMIF(BALANCE_N1!$A$2:$A$50,"245*",BALANCE_N1!$G$2:$G$50)+SUMIF(BALANCE_N1!$A$2:$A$50,"2495*",BALANCE_N1!$F$2:$F$50)-SUMIF(BALANCE_N1!$A$2:$A$50,"2495*",BALANCE_N1!$G$2:$G$50)))</f>
        <v/>
      </c>
      <c r="D19" s="13">
        <f>MAX(0,(SUMIF(BALANCE_N1!$A$2:$A$50,"245*",BALANCE_N1!$F$2:$F$50)-SUMIF(BALANCE_N1!$A$2:$A$50,"245*",BALANCE_N1!$G$2:$G$50)+SUMIF(BALANCE_N1!$A$2:$A$50,"2495*",BALANCE_N1!$F$2:$F$50)-SUMIF(BALANCE_N1!$A$2:$A$50,"2495*",BALANCE_N1!$G$2:$G$50))-(SUMIF(BALANCE!$A$2:$A$50,"245*",BALANCE!$F$2:$F$50)-SUMIF(BALANCE!$A$2:$A$50,"245*",BALANCE!$G$2:$G$50)+SUMIF(BALANCE!$A$2:$A$50,"2495*",BALANCE!$F$2:$F$50)-SUMIF(BALANCE!$A$2:$A$50,"2495*",BALANCE!$G$2:$G$50)))</f>
        <v/>
      </c>
      <c r="E19" s="13">
        <f>B19+C19-D19</f>
        <v/>
      </c>
    </row>
    <row r="20">
      <c r="A20" s="10" t="inlineStr">
        <is>
          <t>Avances et acomptes sur immobilisations corporelles</t>
        </is>
      </c>
      <c r="B20" s="11">
        <f>SUMIF(BALANCE_N1!$A$2:$A$50,"252*",BALANCE_N1!$F$2:$F$50)-SUMIF(BALANCE_N1!$A$2:$A$50,"252*",BALANCE_N1!$G$2:$G$50)</f>
        <v/>
      </c>
      <c r="C20" s="11">
        <f>MAX(0,(SUMIF(BALANCE!$A$2:$A$50,"252*",BALANCE!$F$2:$F$50)-SUMIF(BALANCE!$A$2:$A$50,"252*",BALANCE!$G$2:$G$50))-(SUMIF(BALANCE_N1!$A$2:$A$50,"252*",BALANCE_N1!$F$2:$F$50)-SUMIF(BALANCE_N1!$A$2:$A$50,"252*",BALANCE_N1!$G$2:$G$50)))</f>
        <v/>
      </c>
      <c r="D20" s="11">
        <f>MAX(0,(SUMIF(BALANCE_N1!$A$2:$A$50,"252*",BALANCE_N1!$F$2:$F$50)-SUMIF(BALANCE_N1!$A$2:$A$50,"252*",BALANCE_N1!$G$2:$G$50))-(SUMIF(BALANCE!$A$2:$A$50,"252*",BALANCE!$F$2:$F$50)-SUMIF(BALANCE!$A$2:$A$50,"252*",BALANCE!$G$2:$G$50)))</f>
        <v/>
      </c>
      <c r="E20" s="11">
        <f>B20+C20-D20</f>
        <v/>
      </c>
    </row>
    <row r="21">
      <c r="A21" s="21" t="inlineStr">
        <is>
          <t>IMMOBILISATIONS FINANCIÈRES</t>
        </is>
      </c>
      <c r="B21" s="13" t="n"/>
      <c r="C21" s="13" t="n"/>
      <c r="D21" s="13" t="n"/>
      <c r="E21" s="13" t="n"/>
    </row>
    <row r="22">
      <c r="A22" s="10" t="inlineStr">
        <is>
          <t>Dépôts et cautionnements</t>
        </is>
      </c>
      <c r="B22" s="11">
        <f>SUMIF(BALANCE_N1!$A$2:$A$50,"275*",BALANCE_N1!$F$2:$F$50)-SUMIF(BALANCE_N1!$A$2:$A$50,"275*",BALANCE_N1!$G$2:$G$50)</f>
        <v/>
      </c>
      <c r="C22" s="11">
        <f>MAX(0,(SUMIF(BALANCE!$A$2:$A$50,"275*",BALANCE!$F$2:$F$50)-SUMIF(BALANCE!$A$2:$A$50,"275*",BALANCE!$G$2:$G$50))-(SUMIF(BALANCE_N1!$A$2:$A$50,"275*",BALANCE_N1!$F$2:$F$50)-SUMIF(BALANCE_N1!$A$2:$A$50,"275*",BALANCE_N1!$G$2:$G$50)))</f>
        <v/>
      </c>
      <c r="D22" s="11">
        <f>MAX(0,(SUMIF(BALANCE_N1!$A$2:$A$50,"275*",BALANCE_N1!$F$2:$F$50)-SUMIF(BALANCE_N1!$A$2:$A$50,"275*",BALANCE_N1!$G$2:$G$50))-(SUMIF(BALANCE!$A$2:$A$50,"275*",BALANCE!$F$2:$F$50)-SUMIF(BALANCE!$A$2:$A$50,"275*",BALANCE!$G$2:$G$50)))</f>
        <v/>
      </c>
      <c r="E22" s="11">
        <f>B22+C22-D22</f>
        <v/>
      </c>
    </row>
    <row r="23">
      <c r="A23" s="12" t="inlineStr">
        <is>
          <t>Autres immobilisations financières</t>
        </is>
      </c>
      <c r="B23" s="13">
        <f>SUMIF(BALANCE_N1!$A$2:$A$50,"26*",BALANCE_N1!$F$2:$F$50)-SUMIF(BALANCE_N1!$A$2:$A$50,"26*",BALANCE_N1!$G$2:$G$50)+SUMIF(BALANCE_N1!$A$2:$A$50,"27*",BALANCE_N1!$F$2:$F$50)-SUMIF(BALANCE_N1!$A$2:$A$50,"27*",BALANCE_N1!$G$2:$G$50)-SUMIF(BALANCE_N1!$A$2:$A$50,"275*",BALANCE_N1!$F$2:$F$50)+SUMIF(BALANCE_N1!$A$2:$A$50,"275*",BALANCE_N1!$G$2:$G$50)</f>
        <v/>
      </c>
      <c r="C23" s="13">
        <f>MAX(0,(SUMIF(BALANCE!$A$2:$A$50,"26*",BALANCE!$F$2:$F$50)-SUMIF(BALANCE!$A$2:$A$50,"26*",BALANCE!$G$2:$G$50)+SUMIF(BALANCE!$A$2:$A$50,"27*",BALANCE!$F$2:$F$50)-SUMIF(BALANCE!$A$2:$A$50,"27*",BALANCE!$G$2:$G$50)-SUMIF(BALANCE!$A$2:$A$50,"275*",BALANCE!$F$2:$F$50)+SUMIF(BALANCE!$A$2:$A$50,"275*",BALANCE!$G$2:$G$50))-(SUMIF(BALANCE_N1!$A$2:$A$50,"26*",BALANCE_N1!$F$2:$F$50)-SUMIF(BALANCE_N1!$A$2:$A$50,"26*",BALANCE_N1!$G$2:$G$50)+SUMIF(BALANCE_N1!$A$2:$A$50,"27*",BALANCE_N1!$F$2:$F$50)-SUMIF(BALANCE_N1!$A$2:$A$50,"27*",BALANCE_N1!$G$2:$G$50)-SUMIF(BALANCE_N1!$A$2:$A$50,"275*",BALANCE_N1!$F$2:$F$50)+SUMIF(BALANCE_N1!$A$2:$A$50,"275*",BALANCE_N1!$G$2:$G$50)))</f>
        <v/>
      </c>
      <c r="D23" s="13">
        <f>MAX(0,(SUMIF(BALANCE_N1!$A$2:$A$50,"26*",BALANCE_N1!$F$2:$F$50)-SUMIF(BALANCE_N1!$A$2:$A$50,"26*",BALANCE_N1!$G$2:$G$50)+SUMIF(BALANCE_N1!$A$2:$A$50,"27*",BALANCE_N1!$F$2:$F$50)-SUMIF(BALANCE_N1!$A$2:$A$50,"27*",BALANCE_N1!$G$2:$G$50)-SUMIF(BALANCE_N1!$A$2:$A$50,"275*",BALANCE_N1!$F$2:$F$50)+SUMIF(BALANCE_N1!$A$2:$A$50,"275*",BALANCE_N1!$G$2:$G$50))-(SUMIF(BALANCE!$A$2:$A$50,"26*",BALANCE!$F$2:$F$50)-SUMIF(BALANCE!$A$2:$A$50,"26*",BALANCE!$G$2:$G$50)+SUMIF(BALANCE!$A$2:$A$50,"27*",BALANCE!$F$2:$F$50)-SUMIF(BALANCE!$A$2:$A$50,"27*",BALANCE!$G$2:$G$50)-SUMIF(BALANCE!$A$2:$A$50,"275*",BALANCE!$F$2:$F$50)+SUMIF(BALANCE!$A$2:$A$50,"275*",BALANCE!$G$2:$G$50)))</f>
        <v/>
      </c>
      <c r="E23" s="13">
        <f>B23+C23-D23</f>
        <v/>
      </c>
    </row>
    <row r="24">
      <c r="A24" s="14" t="inlineStr">
        <is>
          <t>TOTAL GÉNÉRAL</t>
        </is>
      </c>
      <c r="B24" s="15">
        <f>B9+B10+B11+B13+B14+B15+B16+B17+B18+B19+B20+B22+B23</f>
        <v/>
      </c>
      <c r="C24" s="15">
        <f>C9+C10+C11+C13+C14+C15+C16+C17+C18+C19+C20+C22+C23</f>
        <v/>
      </c>
      <c r="D24" s="15">
        <f>D9+D10+D11+D13+D14+D15+D16+D17+D18+D19+D20+D22+D23</f>
        <v/>
      </c>
      <c r="E24" s="15">
        <f>E9+E10+E11+E13+E14+E15+E16+E17+E18+E19+E20+E22+E23</f>
        <v/>
      </c>
    </row>
    <row r="25"/>
    <row r="26">
      <c r="A26" t="inlineStr">
        <is>
          <t>Sans balance N-1, seule la colonne de clôture est servie ; avec N-1, les mouvements sont posés en variation nette (augmentation ou diminution) faute d'état des mouvements - à ajuster depuis l'inventaire des immobilisations.</t>
        </is>
      </c>
    </row>
    <row r="27"/>
    <row r="28">
      <c r="A28" s="3" t="inlineStr">
        <is>
          <t>Commentaires :</t>
        </is>
      </c>
    </row>
    <row r="29">
      <c r="A29" s="5" t="inlineStr">
        <is>
          <t>• Toute variation significative doit être commentée ; joindre l'inventaire physique des immobilisations.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>
      <c r="A1" s="1" t="inlineStr">
        <is>
          <t>NOTE 3B</t>
        </is>
      </c>
    </row>
    <row r="2">
      <c r="A2" s="2" t="inlineStr">
        <is>
          <t>BIENS PRIS EN LOCATION-ACQUISITION</t>
        </is>
      </c>
    </row>
    <row r="3">
      <c r="A3" s="22" t="inlineStr">
        <is>
          <t>I : crédit-bail immobilier ; M : crédit-bail mobilier ; A : autres contrats</t>
        </is>
      </c>
    </row>
    <row r="4">
      <c r="A4" s="3" t="inlineStr">
        <is>
          <t>Désignation entité : PROJET PADIR</t>
        </is>
      </c>
      <c r="D4" s="3" t="inlineStr">
        <is>
          <t>Exercice clos le : 31/12/2025</t>
        </is>
      </c>
    </row>
    <row r="5">
      <c r="A5" t="inlineStr">
        <is>
          <t>Numéro d'identification : Convention 2023/DR/045</t>
        </is>
      </c>
      <c r="D5" t="inlineStr">
        <is>
          <t>Durée (en mois) : 12</t>
        </is>
      </c>
    </row>
    <row r="6"/>
    <row r="7">
      <c r="A7" s="9" t="inlineStr">
        <is>
          <t>RUBRIQUES</t>
        </is>
      </c>
      <c r="B7" s="9" t="inlineStr">
        <is>
          <t>Montant brut à l'ouverture (A)</t>
        </is>
      </c>
      <c r="C7" s="9" t="inlineStr">
        <is>
          <t>Augmentations (B)</t>
        </is>
      </c>
      <c r="D7" s="9" t="inlineStr">
        <is>
          <t>Diminutions (C)</t>
        </is>
      </c>
      <c r="E7" s="9" t="inlineStr">
        <is>
          <t>Montant brut à la clôture (D = A + B - C)</t>
        </is>
      </c>
    </row>
    <row r="8">
      <c r="A8" s="10" t="inlineStr">
        <is>
          <t>Terrains</t>
        </is>
      </c>
      <c r="B8" s="11">
        <f>SUMIF(BALANCE_N1!$A$2:$A$50,"2286*",BALANCE_N1!$F$2:$F$50)-SUMIF(BALANCE_N1!$A$2:$A$50,"2286*",BALANCE_N1!$G$2:$G$50)</f>
        <v/>
      </c>
      <c r="C8" s="11">
        <f>MAX(0,(SUMIF(BALANCE!$A$2:$A$50,"2286*",BALANCE!$F$2:$F$50)-SUMIF(BALANCE!$A$2:$A$50,"2286*",BALANCE!$G$2:$G$50))-(SUMIF(BALANCE_N1!$A$2:$A$50,"2286*",BALANCE_N1!$F$2:$F$50)-SUMIF(BALANCE_N1!$A$2:$A$50,"2286*",BALANCE_N1!$G$2:$G$50)))</f>
        <v/>
      </c>
      <c r="D8" s="11">
        <f>MAX(0,(SUMIF(BALANCE_N1!$A$2:$A$50,"2286*",BALANCE_N1!$F$2:$F$50)-SUMIF(BALANCE_N1!$A$2:$A$50,"2286*",BALANCE_N1!$G$2:$G$50))-(SUMIF(BALANCE!$A$2:$A$50,"2286*",BALANCE!$F$2:$F$50)-SUMIF(BALANCE!$A$2:$A$50,"2286*",BALANCE!$G$2:$G$50)))</f>
        <v/>
      </c>
      <c r="E8" s="11">
        <f>B8+C8-D8</f>
        <v/>
      </c>
    </row>
    <row r="9">
      <c r="A9" s="12" t="inlineStr">
        <is>
          <t>Bâtiments</t>
        </is>
      </c>
      <c r="B9" s="13">
        <f>SUMIF(BALANCE_N1!$A$2:$A$50,"2316*",BALANCE_N1!$F$2:$F$50)-SUMIF(BALANCE_N1!$A$2:$A$50,"2316*",BALANCE_N1!$G$2:$G$50)</f>
        <v/>
      </c>
      <c r="C9" s="13">
        <f>MAX(0,(SUMIF(BALANCE!$A$2:$A$50,"2316*",BALANCE!$F$2:$F$50)-SUMIF(BALANCE!$A$2:$A$50,"2316*",BALANCE!$G$2:$G$50))-(SUMIF(BALANCE_N1!$A$2:$A$50,"2316*",BALANCE_N1!$F$2:$F$50)-SUMIF(BALANCE_N1!$A$2:$A$50,"2316*",BALANCE_N1!$G$2:$G$50)))</f>
        <v/>
      </c>
      <c r="D9" s="13">
        <f>MAX(0,(SUMIF(BALANCE_N1!$A$2:$A$50,"2316*",BALANCE_N1!$F$2:$F$50)-SUMIF(BALANCE_N1!$A$2:$A$50,"2316*",BALANCE_N1!$G$2:$G$50))-(SUMIF(BALANCE!$A$2:$A$50,"2316*",BALANCE!$F$2:$F$50)-SUMIF(BALANCE!$A$2:$A$50,"2316*",BALANCE!$G$2:$G$50)))</f>
        <v/>
      </c>
      <c r="E9" s="13">
        <f>B9+C9-D9</f>
        <v/>
      </c>
    </row>
    <row r="10">
      <c r="A10" s="10" t="inlineStr">
        <is>
          <t>Matériel, mobilier</t>
        </is>
      </c>
      <c r="B10" s="11">
        <f>SUMIF(BALANCE_N1!$A$2:$A$50,"2446*",BALANCE_N1!$F$2:$F$50)-SUMIF(BALANCE_N1!$A$2:$A$50,"2446*",BALANCE_N1!$G$2:$G$50)+SUMIF(BALANCE_N1!$A$2:$A$50,"2426*",BALANCE_N1!$F$2:$F$50)-SUMIF(BALANCE_N1!$A$2:$A$50,"2426*",BALANCE_N1!$G$2:$G$50)+SUMIF(BALANCE_N1!$A$2:$A$50,"2416*",BALANCE_N1!$F$2:$F$50)-SUMIF(BALANCE_N1!$A$2:$A$50,"2416*",BALANCE_N1!$G$2:$G$50)</f>
        <v/>
      </c>
      <c r="C10" s="11">
        <f>MAX(0,(SUMIF(BALANCE!$A$2:$A$50,"2446*",BALANCE!$F$2:$F$50)-SUMIF(BALANCE!$A$2:$A$50,"2446*",BALANCE!$G$2:$G$50)+SUMIF(BALANCE!$A$2:$A$50,"2426*",BALANCE!$F$2:$F$50)-SUMIF(BALANCE!$A$2:$A$50,"2426*",BALANCE!$G$2:$G$50)+SUMIF(BALANCE!$A$2:$A$50,"2416*",BALANCE!$F$2:$F$50)-SUMIF(BALANCE!$A$2:$A$50,"2416*",BALANCE!$G$2:$G$50))-(SUMIF(BALANCE_N1!$A$2:$A$50,"2446*",BALANCE_N1!$F$2:$F$50)-SUMIF(BALANCE_N1!$A$2:$A$50,"2446*",BALANCE_N1!$G$2:$G$50)+SUMIF(BALANCE_N1!$A$2:$A$50,"2426*",BALANCE_N1!$F$2:$F$50)-SUMIF(BALANCE_N1!$A$2:$A$50,"2426*",BALANCE_N1!$G$2:$G$50)+SUMIF(BALANCE_N1!$A$2:$A$50,"2416*",BALANCE_N1!$F$2:$F$50)-SUMIF(BALANCE_N1!$A$2:$A$50,"2416*",BALANCE_N1!$G$2:$G$50)))</f>
        <v/>
      </c>
      <c r="D10" s="11">
        <f>MAX(0,(SUMIF(BALANCE_N1!$A$2:$A$50,"2446*",BALANCE_N1!$F$2:$F$50)-SUMIF(BALANCE_N1!$A$2:$A$50,"2446*",BALANCE_N1!$G$2:$G$50)+SUMIF(BALANCE_N1!$A$2:$A$50,"2426*",BALANCE_N1!$F$2:$F$50)-SUMIF(BALANCE_N1!$A$2:$A$50,"2426*",BALANCE_N1!$G$2:$G$50)+SUMIF(BALANCE_N1!$A$2:$A$50,"2416*",BALANCE_N1!$F$2:$F$50)-SUMIF(BALANCE_N1!$A$2:$A$50,"2416*",BALANCE_N1!$G$2:$G$50))-(SUMIF(BALANCE!$A$2:$A$50,"2446*",BALANCE!$F$2:$F$50)-SUMIF(BALANCE!$A$2:$A$50,"2446*",BALANCE!$G$2:$G$50)+SUMIF(BALANCE!$A$2:$A$50,"2426*",BALANCE!$F$2:$F$50)-SUMIF(BALANCE!$A$2:$A$50,"2426*",BALANCE!$G$2:$G$50)+SUMIF(BALANCE!$A$2:$A$50,"2416*",BALANCE!$F$2:$F$50)-SUMIF(BALANCE!$A$2:$A$50,"2416*",BALANCE!$G$2:$G$50)))</f>
        <v/>
      </c>
      <c r="E10" s="11">
        <f>B10+C10-D10</f>
        <v/>
      </c>
    </row>
    <row r="11">
      <c r="A11" s="12" t="inlineStr">
        <is>
          <t>Matériel de transport</t>
        </is>
      </c>
      <c r="B11" s="13">
        <f>SUMIF(BALANCE_N1!$A$2:$A$50,"2456*",BALANCE_N1!$F$2:$F$50)-SUMIF(BALANCE_N1!$A$2:$A$50,"2456*",BALANCE_N1!$G$2:$G$50)</f>
        <v/>
      </c>
      <c r="C11" s="13">
        <f>MAX(0,(SUMIF(BALANCE!$A$2:$A$50,"2456*",BALANCE!$F$2:$F$50)-SUMIF(BALANCE!$A$2:$A$50,"2456*",BALANCE!$G$2:$G$50))-(SUMIF(BALANCE_N1!$A$2:$A$50,"2456*",BALANCE_N1!$F$2:$F$50)-SUMIF(BALANCE_N1!$A$2:$A$50,"2456*",BALANCE_N1!$G$2:$G$50)))</f>
        <v/>
      </c>
      <c r="D11" s="13">
        <f>MAX(0,(SUMIF(BALANCE_N1!$A$2:$A$50,"2456*",BALANCE_N1!$F$2:$F$50)-SUMIF(BALANCE_N1!$A$2:$A$50,"2456*",BALANCE_N1!$G$2:$G$50))-(SUMIF(BALANCE!$A$2:$A$50,"2456*",BALANCE!$F$2:$F$50)-SUMIF(BALANCE!$A$2:$A$50,"2456*",BALANCE!$G$2:$G$50)))</f>
        <v/>
      </c>
      <c r="E11" s="13">
        <f>B11+C11-D11</f>
        <v/>
      </c>
    </row>
    <row r="12">
      <c r="A12" s="14" t="inlineStr">
        <is>
          <t>TOTAL GÉNÉRAL</t>
        </is>
      </c>
      <c r="B12" s="15">
        <f>B8+B9+B10+B11</f>
        <v/>
      </c>
      <c r="C12" s="15">
        <f>C8+C9+C10+C11</f>
        <v/>
      </c>
      <c r="D12" s="15">
        <f>D8+D9+D10+D11</f>
        <v/>
      </c>
      <c r="E12" s="15">
        <f>E8+E9+E10+E11</f>
        <v/>
      </c>
    </row>
    <row r="13"/>
    <row r="14">
      <c r="A14" t="inlineStr">
        <is>
          <t>Sans balance N-1, seule la colonne de clôture est servie ; avec N-1, les mouvements sont posés en variation nette (augmentation ou diminution) faute d'état des mouvements - à ajuster depuis l'inventaire des immobilisations.</t>
        </is>
      </c>
    </row>
    <row r="15"/>
    <row r="16">
      <c r="A16" s="3" t="inlineStr">
        <is>
          <t>Commentaires :</t>
        </is>
      </c>
    </row>
    <row r="17">
      <c r="A17" s="5" t="inlineStr">
        <is>
          <t>• Indiquer la nature du bien, le nom du bailleur et la durée du bail.</t>
        </is>
      </c>
    </row>
  </sheetData>
  <mergeCells count="3">
    <mergeCell ref="A2:E2"/>
    <mergeCell ref="A1:E1"/>
    <mergeCell ref="A3:E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1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4</t>
        </is>
      </c>
    </row>
    <row r="2">
      <c r="A2" s="2" t="inlineStr">
        <is>
          <t>ACTIF CIRCULANT ET DETTES CIRCULANTES HAO</t>
        </is>
      </c>
    </row>
    <row r="3"/>
    <row r="4">
      <c r="A4" s="3" t="inlineStr">
        <is>
          <t>Désignation entité : PROJET PADIR</t>
        </is>
      </c>
      <c r="D4" s="3" t="inlineStr">
        <is>
          <t>Exercice clos le : 31/12/2025</t>
        </is>
      </c>
    </row>
    <row r="5">
      <c r="A5" t="inlineStr">
        <is>
          <t>Numéro d'identification : Convention 2023/DR/045</t>
        </is>
      </c>
      <c r="D5" t="inlineStr">
        <is>
          <t>Durée (en mois) : 12</t>
        </is>
      </c>
    </row>
    <row r="6"/>
    <row r="7">
      <c r="A7" s="9" t="inlineStr">
        <is>
          <t>Libellés</t>
        </is>
      </c>
      <c r="B7" s="9" t="inlineStr">
        <is>
          <t>Année N</t>
        </is>
      </c>
      <c r="C7" s="9" t="inlineStr">
        <is>
          <t>Année N-1</t>
        </is>
      </c>
      <c r="D7" s="9" t="inlineStr">
        <is>
          <t>Variation en valeur</t>
        </is>
      </c>
      <c r="E7" s="9" t="inlineStr">
        <is>
          <t>Variation en %</t>
        </is>
      </c>
    </row>
    <row r="8">
      <c r="A8" s="20" t="inlineStr">
        <is>
          <t>ACTIF CIRCULANT HAO</t>
        </is>
      </c>
      <c r="B8" s="11" t="n"/>
      <c r="C8" s="11" t="n"/>
      <c r="D8" s="11" t="n"/>
      <c r="E8" s="10" t="n"/>
    </row>
    <row r="9">
      <c r="A9" s="12" t="inlineStr">
        <is>
          <t>Créances sur cessions d'immobilisations</t>
        </is>
      </c>
      <c r="B9" s="13">
        <f>SUMIF(BALANCE!$A$2:$A$50,"485*",BALANCE!$F$2:$F$50)-SUMIF(BALANCE!$A$2:$A$50,"485*",BALANCE!$G$2:$G$50)</f>
        <v/>
      </c>
      <c r="C9" s="13">
        <f>SUMIF(BALANCE_N1!$A$2:$A$50,"485*",BALANCE_N1!$F$2:$F$50)-SUMIF(BALANCE_N1!$A$2:$A$50,"485*",BALANCE_N1!$G$2:$G$50)</f>
        <v/>
      </c>
      <c r="D9" s="13">
        <f>B9-C9</f>
        <v/>
      </c>
      <c r="E9" s="17">
        <f>IF(C9=0,"",(B9-C9)/C9)</f>
        <v/>
      </c>
    </row>
    <row r="10">
      <c r="A10" s="14" t="inlineStr">
        <is>
          <t>TOTAL BRUT</t>
        </is>
      </c>
      <c r="B10" s="15">
        <f>SUM(B9:B9)</f>
        <v/>
      </c>
      <c r="C10" s="15">
        <f>SUM(C9:C9)</f>
        <v/>
      </c>
      <c r="D10" s="15">
        <f>B10-C10</f>
        <v/>
      </c>
      <c r="E10" s="18">
        <f>IF(C10=0,"",(B10-C10)/C10)</f>
        <v/>
      </c>
    </row>
    <row r="11">
      <c r="A11" s="12" t="inlineStr">
        <is>
          <t>Dépréciations des créances HAO</t>
        </is>
      </c>
      <c r="B11" s="13">
        <f>SUMIF(BALANCE!$A$2:$A$50,"498*",BALANCE!$G$2:$G$50)-SUMIF(BALANCE!$A$2:$A$50,"498*",BALANCE!$F$2:$F$50)</f>
        <v/>
      </c>
      <c r="C11" s="13">
        <f>SUMIF(BALANCE_N1!$A$2:$A$50,"498*",BALANCE_N1!$G$2:$G$50)-SUMIF(BALANCE_N1!$A$2:$A$50,"498*",BALANCE_N1!$F$2:$F$50)</f>
        <v/>
      </c>
      <c r="D11" s="13">
        <f>B11-C11</f>
        <v/>
      </c>
      <c r="E11" s="17">
        <f>IF(C11=0,"",(B11-C11)/C11)</f>
        <v/>
      </c>
    </row>
    <row r="12">
      <c r="A12" s="14" t="inlineStr"/>
      <c r="B12" s="15">
        <f>SUM(B11:B11)</f>
        <v/>
      </c>
      <c r="C12" s="15">
        <f>SUM(C11:C11)</f>
        <v/>
      </c>
      <c r="D12" s="15">
        <f>B12-C12</f>
        <v/>
      </c>
      <c r="E12" s="18">
        <f>IF(C12=0,"",(B12-C12)/C12)</f>
        <v/>
      </c>
    </row>
    <row r="13">
      <c r="A13" s="14" t="inlineStr">
        <is>
          <t>TOTAL NET DE DÉPRÉCIATIONS</t>
        </is>
      </c>
      <c r="B13" s="15">
        <f>B10-B12</f>
        <v/>
      </c>
      <c r="C13" s="15">
        <f>C10-C12</f>
        <v/>
      </c>
      <c r="D13" s="15">
        <f>B13-C13</f>
        <v/>
      </c>
      <c r="E13" s="18">
        <f>IF(C13=0,"",(B13-C13)/C13)</f>
        <v/>
      </c>
    </row>
    <row r="14">
      <c r="A14" s="10" t="n"/>
      <c r="B14" s="11" t="n"/>
      <c r="C14" s="11" t="n"/>
      <c r="D14" s="11" t="n"/>
      <c r="E14" s="10" t="n"/>
    </row>
    <row r="15">
      <c r="A15" s="21" t="inlineStr">
        <is>
          <t>DETTES CIRCULANTES HAO</t>
        </is>
      </c>
      <c r="B15" s="13" t="n"/>
      <c r="C15" s="13" t="n"/>
      <c r="D15" s="13" t="n"/>
      <c r="E15" s="12" t="n"/>
    </row>
    <row r="16">
      <c r="A16" s="10" t="inlineStr">
        <is>
          <t>Fournisseurs d'investissements</t>
        </is>
      </c>
      <c r="B16" s="11">
        <f>SUMIF(BALANCE!$A$2:$A$50,"481*",BALANCE!$G$2:$G$50)-SUMIF(BALANCE!$A$2:$A$50,"481*",BALANCE!$F$2:$F$50)</f>
        <v/>
      </c>
      <c r="C16" s="11">
        <f>SUMIF(BALANCE_N1!$A$2:$A$50,"481*",BALANCE_N1!$G$2:$G$50)-SUMIF(BALANCE_N1!$A$2:$A$50,"481*",BALANCE_N1!$F$2:$F$50)</f>
        <v/>
      </c>
      <c r="D16" s="11">
        <f>B16-C16</f>
        <v/>
      </c>
      <c r="E16" s="16">
        <f>IF(C16=0,"",(B16-C16)/C16)</f>
        <v/>
      </c>
    </row>
    <row r="17">
      <c r="A17" s="12" t="inlineStr">
        <is>
          <t>Autres dettes hors activités ordinaires</t>
        </is>
      </c>
      <c r="B17" s="13">
        <f>SUMIF(BALANCE!$A$2:$A$50,"484*",BALANCE!$G$2:$G$50)-SUMIF(BALANCE!$A$2:$A$50,"484*",BALANCE!$F$2:$F$50)+SUMIF(BALANCE!$A$2:$A$50,"4998*",BALANCE!$G$2:$G$50)-SUMIF(BALANCE!$A$2:$A$50,"4998*",BALANCE!$F$2:$F$50)</f>
        <v/>
      </c>
      <c r="C17" s="13">
        <f>SUMIF(BALANCE_N1!$A$2:$A$50,"484*",BALANCE_N1!$G$2:$G$50)-SUMIF(BALANCE_N1!$A$2:$A$50,"484*",BALANCE_N1!$F$2:$F$50)+SUMIF(BALANCE_N1!$A$2:$A$50,"4998*",BALANCE_N1!$G$2:$G$50)-SUMIF(BALANCE_N1!$A$2:$A$50,"4998*",BALANCE_N1!$F$2:$F$50)</f>
        <v/>
      </c>
      <c r="D17" s="13">
        <f>B17-C17</f>
        <v/>
      </c>
      <c r="E17" s="17">
        <f>IF(C17=0,"",(B17-C17)/C17)</f>
        <v/>
      </c>
    </row>
    <row r="18">
      <c r="A18" s="14" t="inlineStr">
        <is>
          <t>TOTAL</t>
        </is>
      </c>
      <c r="B18" s="15">
        <f>SUM(B16:B17)</f>
        <v/>
      </c>
      <c r="C18" s="15">
        <f>SUM(C16:C17)</f>
        <v/>
      </c>
      <c r="D18" s="15">
        <f>B18-C18</f>
        <v/>
      </c>
      <c r="E18" s="18">
        <f>IF(C18=0,"",(B18-C18)/C18)</f>
        <v/>
      </c>
    </row>
    <row r="19"/>
    <row r="20">
      <c r="A20" s="3" t="inlineStr">
        <is>
          <t>Commentaires :</t>
        </is>
      </c>
    </row>
    <row r="21">
      <c r="A21" s="5" t="inlineStr">
        <is>
          <t>• Indiquer la date et la nature de l'immobilisation achetée et/ou cédée.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5</t>
        </is>
      </c>
    </row>
    <row r="2">
      <c r="A2" s="2" t="inlineStr">
        <is>
          <t>STOCKS ET ENCOURS</t>
        </is>
      </c>
    </row>
    <row r="3"/>
    <row r="4">
      <c r="A4" s="3" t="inlineStr">
        <is>
          <t>Désignation entité : PROJET PADIR</t>
        </is>
      </c>
      <c r="D4" s="3" t="inlineStr">
        <is>
          <t>Exercice clos le : 31/12/2025</t>
        </is>
      </c>
    </row>
    <row r="5">
      <c r="A5" t="inlineStr">
        <is>
          <t>Numéro d'identification : Convention 2023/DR/045</t>
        </is>
      </c>
      <c r="D5" t="inlineStr">
        <is>
          <t>Durée (en mois) : 12</t>
        </is>
      </c>
    </row>
    <row r="6"/>
    <row r="7">
      <c r="A7" s="9" t="inlineStr">
        <is>
          <t>Libellés</t>
        </is>
      </c>
      <c r="B7" s="9" t="inlineStr">
        <is>
          <t>Année N</t>
        </is>
      </c>
      <c r="C7" s="9" t="inlineStr">
        <is>
          <t>Année N-1</t>
        </is>
      </c>
      <c r="D7" s="9" t="inlineStr">
        <is>
          <t>Variation en valeur</t>
        </is>
      </c>
      <c r="E7" s="9" t="inlineStr">
        <is>
          <t>Variation en %</t>
        </is>
      </c>
    </row>
    <row r="8">
      <c r="A8" s="10" t="inlineStr">
        <is>
          <t>Biens liés à l'activité</t>
        </is>
      </c>
      <c r="B8" s="11">
        <f>SUMIF(BALANCE!$A$2:$A$50,"31*",BALANCE!$F$2:$F$50)-SUMIF(BALANCE!$A$2:$A$50,"31*",BALANCE!$G$2:$G$50)</f>
        <v/>
      </c>
      <c r="C8" s="11">
        <f>SUMIF(BALANCE_N1!$A$2:$A$50,"31*",BALANCE_N1!$F$2:$F$50)-SUMIF(BALANCE_N1!$A$2:$A$50,"31*",BALANCE_N1!$G$2:$G$50)</f>
        <v/>
      </c>
      <c r="D8" s="11">
        <f>B8-C8</f>
        <v/>
      </c>
      <c r="E8" s="16">
        <f>IF(C8=0,"",(B8-C8)/C8)</f>
        <v/>
      </c>
    </row>
    <row r="9">
      <c r="A9" s="12" t="inlineStr">
        <is>
          <t>Marchandises, matières premières et fournitures liées</t>
        </is>
      </c>
      <c r="B9" s="13">
        <f>SUMIF(BALANCE!$A$2:$A$50,"32*",BALANCE!$F$2:$F$50)-SUMIF(BALANCE!$A$2:$A$50,"32*",BALANCE!$G$2:$G$50)</f>
        <v/>
      </c>
      <c r="C9" s="13">
        <f>SUMIF(BALANCE_N1!$A$2:$A$50,"32*",BALANCE_N1!$F$2:$F$50)-SUMIF(BALANCE_N1!$A$2:$A$50,"32*",BALANCE_N1!$G$2:$G$50)</f>
        <v/>
      </c>
      <c r="D9" s="13">
        <f>B9-C9</f>
        <v/>
      </c>
      <c r="E9" s="17">
        <f>IF(C9=0,"",(B9-C9)/C9)</f>
        <v/>
      </c>
    </row>
    <row r="10">
      <c r="A10" s="10" t="inlineStr">
        <is>
          <t>Autres approvisionnements</t>
        </is>
      </c>
      <c r="B10" s="11">
        <f>SUMIF(BALANCE!$A$2:$A$50,"33*",BALANCE!$F$2:$F$50)-SUMIF(BALANCE!$A$2:$A$50,"33*",BALANCE!$G$2:$G$50)</f>
        <v/>
      </c>
      <c r="C10" s="11">
        <f>SUMIF(BALANCE_N1!$A$2:$A$50,"33*",BALANCE_N1!$F$2:$F$50)-SUMIF(BALANCE_N1!$A$2:$A$50,"33*",BALANCE_N1!$G$2:$G$50)</f>
        <v/>
      </c>
      <c r="D10" s="11">
        <f>B10-C10</f>
        <v/>
      </c>
      <c r="E10" s="16">
        <f>IF(C10=0,"",(B10-C10)/C10)</f>
        <v/>
      </c>
    </row>
    <row r="11">
      <c r="A11" s="12" t="inlineStr">
        <is>
          <t>Dons en nature</t>
        </is>
      </c>
      <c r="B11" s="13">
        <f>SUMIF(BALANCE!$A$2:$A$50,"34*",BALANCE!$F$2:$F$50)-SUMIF(BALANCE!$A$2:$A$50,"34*",BALANCE!$G$2:$G$50)</f>
        <v/>
      </c>
      <c r="C11" s="13">
        <f>SUMIF(BALANCE_N1!$A$2:$A$50,"34*",BALANCE_N1!$F$2:$F$50)-SUMIF(BALANCE_N1!$A$2:$A$50,"34*",BALANCE_N1!$G$2:$G$50)</f>
        <v/>
      </c>
      <c r="D11" s="13">
        <f>B11-C11</f>
        <v/>
      </c>
      <c r="E11" s="17">
        <f>IF(C11=0,"",(B11-C11)/C11)</f>
        <v/>
      </c>
    </row>
    <row r="12">
      <c r="A12" s="10" t="inlineStr">
        <is>
          <t>Produits finis et intermédiaires</t>
        </is>
      </c>
      <c r="B12" s="11">
        <f>SUMIF(BALANCE!$A$2:$A$50,"36*",BALANCE!$F$2:$F$50)-SUMIF(BALANCE!$A$2:$A$50,"36*",BALANCE!$G$2:$G$50)</f>
        <v/>
      </c>
      <c r="C12" s="11">
        <f>SUMIF(BALANCE_N1!$A$2:$A$50,"36*",BALANCE_N1!$F$2:$F$50)-SUMIF(BALANCE_N1!$A$2:$A$50,"36*",BALANCE_N1!$G$2:$G$50)</f>
        <v/>
      </c>
      <c r="D12" s="11">
        <f>B12-C12</f>
        <v/>
      </c>
      <c r="E12" s="16">
        <f>IF(C12=0,"",(B12-C12)/C12)</f>
        <v/>
      </c>
    </row>
    <row r="13">
      <c r="A13" s="12" t="inlineStr">
        <is>
          <t>Stocks HAO</t>
        </is>
      </c>
      <c r="B13" s="13">
        <f>SUMIF(BALANCE!$A$2:$A$50,"38*",BALANCE!$F$2:$F$50)-SUMIF(BALANCE!$A$2:$A$50,"38*",BALANCE!$G$2:$G$50)</f>
        <v/>
      </c>
      <c r="C13" s="13">
        <f>SUMIF(BALANCE_N1!$A$2:$A$50,"38*",BALANCE_N1!$F$2:$F$50)-SUMIF(BALANCE_N1!$A$2:$A$50,"38*",BALANCE_N1!$G$2:$G$50)</f>
        <v/>
      </c>
      <c r="D13" s="13">
        <f>B13-C13</f>
        <v/>
      </c>
      <c r="E13" s="17">
        <f>IF(C13=0,"",(B13-C13)/C13)</f>
        <v/>
      </c>
    </row>
    <row r="14">
      <c r="A14" s="10" t="inlineStr">
        <is>
          <t>Stocks en cours de route, en consignation ou en dépôt</t>
        </is>
      </c>
      <c r="B14" s="11">
        <f>SUMIF(BALANCE!$A$2:$A$50,"37*",BALANCE!$F$2:$F$50)-SUMIF(BALANCE!$A$2:$A$50,"37*",BALANCE!$G$2:$G$50)</f>
        <v/>
      </c>
      <c r="C14" s="11">
        <f>SUMIF(BALANCE_N1!$A$2:$A$50,"37*",BALANCE_N1!$F$2:$F$50)-SUMIF(BALANCE_N1!$A$2:$A$50,"37*",BALANCE_N1!$G$2:$G$50)</f>
        <v/>
      </c>
      <c r="D14" s="11">
        <f>B14-C14</f>
        <v/>
      </c>
      <c r="E14" s="16">
        <f>IF(C14=0,"",(B14-C14)/C14)</f>
        <v/>
      </c>
    </row>
    <row r="15">
      <c r="A15" s="14" t="inlineStr">
        <is>
          <t>TOTAL STOCKS ET ENCOURS</t>
        </is>
      </c>
      <c r="B15" s="15">
        <f>SUM(B8:B14)</f>
        <v/>
      </c>
      <c r="C15" s="15">
        <f>SUM(C8:C14)</f>
        <v/>
      </c>
      <c r="D15" s="15">
        <f>B15-C15</f>
        <v/>
      </c>
      <c r="E15" s="18">
        <f>IF(C15=0,"",(B15-C15)/C15)</f>
        <v/>
      </c>
    </row>
    <row r="16">
      <c r="A16" s="10" t="inlineStr">
        <is>
          <t>Dépréciations des stocks</t>
        </is>
      </c>
      <c r="B16" s="11">
        <f>SUMIF(BALANCE!$A$2:$A$50,"39*",BALANCE!$G$2:$G$50)-SUMIF(BALANCE!$A$2:$A$50,"39*",BALANCE!$F$2:$F$50)</f>
        <v/>
      </c>
      <c r="C16" s="11">
        <f>SUMIF(BALANCE_N1!$A$2:$A$50,"39*",BALANCE_N1!$G$2:$G$50)-SUMIF(BALANCE_N1!$A$2:$A$50,"39*",BALANCE_N1!$F$2:$F$50)</f>
        <v/>
      </c>
      <c r="D16" s="11">
        <f>B16-C16</f>
        <v/>
      </c>
      <c r="E16" s="16">
        <f>IF(C16=0,"",(B16-C16)/C16)</f>
        <v/>
      </c>
    </row>
    <row r="17">
      <c r="A17" s="14" t="inlineStr"/>
      <c r="B17" s="15">
        <f>SUM(B16:B16)</f>
        <v/>
      </c>
      <c r="C17" s="15">
        <f>SUM(C16:C16)</f>
        <v/>
      </c>
      <c r="D17" s="15">
        <f>B17-C17</f>
        <v/>
      </c>
      <c r="E17" s="18">
        <f>IF(C17=0,"",(B17-C17)/C17)</f>
        <v/>
      </c>
    </row>
    <row r="18">
      <c r="A18" s="14" t="inlineStr">
        <is>
          <t>TOTAL NET DE DÉPRÉCIATIONS</t>
        </is>
      </c>
      <c r="B18" s="15">
        <f>B15-B17</f>
        <v/>
      </c>
      <c r="C18" s="15">
        <f>C15-C17</f>
        <v/>
      </c>
      <c r="D18" s="15">
        <f>B18-C18</f>
        <v/>
      </c>
      <c r="E18" s="18">
        <f>IF(C18=0,"",(B18-C18)/C18)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6</t>
        </is>
      </c>
    </row>
    <row r="2">
      <c r="A2" s="2" t="inlineStr">
        <is>
          <t>CLIENTS-USAGERS ET AUTRES CRÉANCES</t>
        </is>
      </c>
    </row>
    <row r="3"/>
    <row r="4">
      <c r="A4" s="3" t="inlineStr">
        <is>
          <t>Désignation entité : PROJET PADIR</t>
        </is>
      </c>
      <c r="G4" s="3" t="inlineStr">
        <is>
          <t>Exercice clos le : 31/12/2025</t>
        </is>
      </c>
    </row>
    <row r="5">
      <c r="A5" t="inlineStr">
        <is>
          <t>Numéro d'identification : Convention 2023/DR/045</t>
        </is>
      </c>
      <c r="G5" t="inlineStr">
        <is>
          <t>Durée (en mois) : 12</t>
        </is>
      </c>
    </row>
    <row r="6"/>
    <row r="7">
      <c r="A7" s="9" t="inlineStr">
        <is>
          <t>Libellés</t>
        </is>
      </c>
      <c r="B7" s="9" t="inlineStr">
        <is>
          <t>Année N</t>
        </is>
      </c>
      <c r="C7" s="9" t="inlineStr">
        <is>
          <t>Année N-1</t>
        </is>
      </c>
      <c r="D7" s="9" t="inlineStr">
        <is>
          <t>Variation en valeur</t>
        </is>
      </c>
      <c r="E7" s="9" t="inlineStr">
        <is>
          <t>Variation en %</t>
        </is>
      </c>
      <c r="F7" s="9" t="inlineStr">
        <is>
          <t>À un an au plus</t>
        </is>
      </c>
      <c r="G7" s="9" t="inlineStr">
        <is>
          <t>À plus d'un an et deux ans au plus</t>
        </is>
      </c>
      <c r="H7" s="9" t="inlineStr">
        <is>
          <t>À plus de deux ans</t>
        </is>
      </c>
    </row>
    <row r="8">
      <c r="A8" s="10" t="inlineStr">
        <is>
          <t>Fournisseurs, débiteurs</t>
        </is>
      </c>
      <c r="B8" s="11">
        <f>SUMIF(BALANCE!$A$2:$A$50,"409*",BALANCE!$F$2:$F$50)-SUMIF(BALANCE!$A$2:$A$50,"409*",BALANCE!$G$2:$G$50)</f>
        <v/>
      </c>
      <c r="C8" s="11">
        <f>SUMIF(BALANCE_N1!$A$2:$A$50,"409*",BALANCE_N1!$F$2:$F$50)-SUMIF(BALANCE_N1!$A$2:$A$50,"409*",BALANCE_N1!$G$2:$G$50)</f>
        <v/>
      </c>
      <c r="D8" s="11">
        <f>B8-C8</f>
        <v/>
      </c>
      <c r="E8" s="16">
        <f>IF(C8=0,"",(B8-C8)/C8)</f>
        <v/>
      </c>
      <c r="F8" s="10" t="n"/>
      <c r="G8" s="10" t="n"/>
      <c r="H8" s="10" t="n"/>
    </row>
    <row r="9">
      <c r="A9" s="12" t="inlineStr">
        <is>
          <t>Clients-usagers</t>
        </is>
      </c>
      <c r="B9" s="13">
        <f>SUMIF(BALANCE!$A$2:$A$50,"41*",BALANCE!$F$2:$F$50)-SUMIF(BALANCE!$A$2:$A$50,"41*",BALANCE!$G$2:$G$50)-SUMIF(BALANCE!$A$2:$A$50,"411*",BALANCE!$F$2:$F$50)+SUMIF(BALANCE!$A$2:$A$50,"411*",BALANCE!$G$2:$G$50)-SUMIF(BALANCE!$A$2:$A$50,"419*",BALANCE!$F$2:$F$50)+SUMIF(BALANCE!$A$2:$A$50,"419*",BALANCE!$G$2:$G$50)</f>
        <v/>
      </c>
      <c r="C9" s="13">
        <f>SUMIF(BALANCE_N1!$A$2:$A$50,"41*",BALANCE_N1!$F$2:$F$50)-SUMIF(BALANCE_N1!$A$2:$A$50,"41*",BALANCE_N1!$G$2:$G$50)-SUMIF(BALANCE_N1!$A$2:$A$50,"411*",BALANCE_N1!$F$2:$F$50)+SUMIF(BALANCE_N1!$A$2:$A$50,"411*",BALANCE_N1!$G$2:$G$50)-SUMIF(BALANCE_N1!$A$2:$A$50,"419*",BALANCE_N1!$F$2:$F$50)+SUMIF(BALANCE_N1!$A$2:$A$50,"419*",BALANCE_N1!$G$2:$G$50)</f>
        <v/>
      </c>
      <c r="D9" s="13">
        <f>B9-C9</f>
        <v/>
      </c>
      <c r="E9" s="17">
        <f>IF(C9=0,"",(B9-C9)/C9)</f>
        <v/>
      </c>
      <c r="F9" s="12" t="n"/>
      <c r="G9" s="12" t="n"/>
      <c r="H9" s="12" t="n"/>
    </row>
    <row r="10">
      <c r="A10" s="10" t="inlineStr">
        <is>
          <t>Personnel</t>
        </is>
      </c>
      <c r="B10" s="11">
        <f>SUMIF(BALANCE!$A$2:$A$50,"42*",BALANCE!$F$2:$F$50)</f>
        <v/>
      </c>
      <c r="C10" s="11">
        <f>SUMIF(BALANCE_N1!$A$2:$A$50,"42*",BALANCE_N1!$F$2:$F$50)</f>
        <v/>
      </c>
      <c r="D10" s="11">
        <f>B10-C10</f>
        <v/>
      </c>
      <c r="E10" s="16">
        <f>IF(C10=0,"",(B10-C10)/C10)</f>
        <v/>
      </c>
      <c r="F10" s="10" t="n"/>
      <c r="G10" s="10" t="n"/>
      <c r="H10" s="10" t="n"/>
    </row>
    <row r="11">
      <c r="A11" s="12" t="inlineStr">
        <is>
          <t>Organismes sociaux</t>
        </is>
      </c>
      <c r="B11" s="13">
        <f>SUMIF(BALANCE!$A$2:$A$50,"43*",BALANCE!$F$2:$F$50)</f>
        <v/>
      </c>
      <c r="C11" s="13">
        <f>SUMIF(BALANCE_N1!$A$2:$A$50,"43*",BALANCE_N1!$F$2:$F$50)</f>
        <v/>
      </c>
      <c r="D11" s="13">
        <f>B11-C11</f>
        <v/>
      </c>
      <c r="E11" s="17">
        <f>IF(C11=0,"",(B11-C11)/C11)</f>
        <v/>
      </c>
      <c r="F11" s="12" t="n"/>
      <c r="G11" s="12" t="n"/>
      <c r="H11" s="12" t="n"/>
    </row>
    <row r="12">
      <c r="A12" s="10" t="inlineStr">
        <is>
          <t>État et collectivités publiques</t>
        </is>
      </c>
      <c r="B12" s="11">
        <f>SUMIF(BALANCE!$A$2:$A$50,"44*",BALANCE!$F$2:$F$50)</f>
        <v/>
      </c>
      <c r="C12" s="11">
        <f>SUMIF(BALANCE_N1!$A$2:$A$50,"44*",BALANCE_N1!$F$2:$F$50)</f>
        <v/>
      </c>
      <c r="D12" s="11">
        <f>B12-C12</f>
        <v/>
      </c>
      <c r="E12" s="16">
        <f>IF(C12=0,"",(B12-C12)/C12)</f>
        <v/>
      </c>
      <c r="F12" s="10" t="n"/>
      <c r="G12" s="10" t="n"/>
      <c r="H12" s="10" t="n"/>
    </row>
    <row r="13">
      <c r="A13" s="12" t="inlineStr">
        <is>
          <t>Autres débiteurs divers</t>
        </is>
      </c>
      <c r="B13" s="13">
        <f>SUMIF(BALANCE!$A$2:$A$50,"47*",BALANCE!$F$2:$F$50)-SUMIF(BALANCE!$A$2:$A$50,"478*",BALANCE!$F$2:$F$50)</f>
        <v/>
      </c>
      <c r="C13" s="13">
        <f>SUMIF(BALANCE_N1!$A$2:$A$50,"47*",BALANCE_N1!$F$2:$F$50)-SUMIF(BALANCE_N1!$A$2:$A$50,"478*",BALANCE_N1!$F$2:$F$50)</f>
        <v/>
      </c>
      <c r="D13" s="13">
        <f>B13-C13</f>
        <v/>
      </c>
      <c r="E13" s="17">
        <f>IF(C13=0,"",(B13-C13)/C13)</f>
        <v/>
      </c>
      <c r="F13" s="12" t="n"/>
      <c r="G13" s="12" t="n"/>
      <c r="H13" s="12" t="n"/>
    </row>
    <row r="14">
      <c r="A14" s="14" t="inlineStr">
        <is>
          <t>TOTAL BRUT</t>
        </is>
      </c>
      <c r="B14" s="15">
        <f>SUM(B8:B13)</f>
        <v/>
      </c>
      <c r="C14" s="15">
        <f>SUM(C8:C13)</f>
        <v/>
      </c>
      <c r="D14" s="15">
        <f>B14-C14</f>
        <v/>
      </c>
      <c r="E14" s="18">
        <f>IF(C14=0,"",(B14-C14)/C14)</f>
        <v/>
      </c>
      <c r="F14" s="15" t="n"/>
      <c r="G14" s="15" t="n"/>
      <c r="H14" s="15" t="n"/>
    </row>
    <row r="15">
      <c r="A15" s="12" t="inlineStr">
        <is>
          <t>Dépréciations des créances</t>
        </is>
      </c>
      <c r="B15" s="13">
        <f>SUMIF(BALANCE!$A$2:$A$50,"493*",BALANCE!$G$2:$G$50)-SUMIF(BALANCE!$A$2:$A$50,"493*",BALANCE!$F$2:$F$50)+SUMIF(BALANCE!$A$2:$A$50,"492*",BALANCE!$G$2:$G$50)-SUMIF(BALANCE!$A$2:$A$50,"492*",BALANCE!$F$2:$F$50)+SUMIF(BALANCE!$A$2:$A$50,"490*",BALANCE!$G$2:$G$50)-SUMIF(BALANCE!$A$2:$A$50,"490*",BALANCE!$F$2:$F$50)+SUMIF(BALANCE!$A$2:$A$50,"491*",BALANCE!$G$2:$G$50)-SUMIF(BALANCE!$A$2:$A$50,"491*",BALANCE!$F$2:$F$50)+SUMIF(BALANCE!$A$2:$A$50,"494*",BALANCE!$G$2:$G$50)-SUMIF(BALANCE!$A$2:$A$50,"494*",BALANCE!$F$2:$F$50)+SUMIF(BALANCE!$A$2:$A$50,"497*",BALANCE!$G$2:$G$50)-SUMIF(BALANCE!$A$2:$A$50,"497*",BALANCE!$F$2:$F$50)</f>
        <v/>
      </c>
      <c r="C15" s="13">
        <f>SUMIF(BALANCE_N1!$A$2:$A$50,"493*",BALANCE_N1!$G$2:$G$50)-SUMIF(BALANCE_N1!$A$2:$A$50,"493*",BALANCE_N1!$F$2:$F$50)+SUMIF(BALANCE_N1!$A$2:$A$50,"492*",BALANCE_N1!$G$2:$G$50)-SUMIF(BALANCE_N1!$A$2:$A$50,"492*",BALANCE_N1!$F$2:$F$50)+SUMIF(BALANCE_N1!$A$2:$A$50,"490*",BALANCE_N1!$G$2:$G$50)-SUMIF(BALANCE_N1!$A$2:$A$50,"490*",BALANCE_N1!$F$2:$F$50)+SUMIF(BALANCE_N1!$A$2:$A$50,"491*",BALANCE_N1!$G$2:$G$50)-SUMIF(BALANCE_N1!$A$2:$A$50,"491*",BALANCE_N1!$F$2:$F$50)+SUMIF(BALANCE_N1!$A$2:$A$50,"494*",BALANCE_N1!$G$2:$G$50)-SUMIF(BALANCE_N1!$A$2:$A$50,"494*",BALANCE_N1!$F$2:$F$50)+SUMIF(BALANCE_N1!$A$2:$A$50,"497*",BALANCE_N1!$G$2:$G$50)-SUMIF(BALANCE_N1!$A$2:$A$50,"497*",BALANCE_N1!$F$2:$F$50)</f>
        <v/>
      </c>
      <c r="D15" s="13">
        <f>B15-C15</f>
        <v/>
      </c>
      <c r="E15" s="17">
        <f>IF(C15=0,"",(B15-C15)/C15)</f>
        <v/>
      </c>
      <c r="F15" s="12" t="n"/>
      <c r="G15" s="12" t="n"/>
      <c r="H15" s="12" t="n"/>
    </row>
    <row r="16">
      <c r="A16" s="14" t="inlineStr"/>
      <c r="B16" s="15">
        <f>SUM(B15:B15)</f>
        <v/>
      </c>
      <c r="C16" s="15">
        <f>SUM(C15:C15)</f>
        <v/>
      </c>
      <c r="D16" s="15">
        <f>B16-C16</f>
        <v/>
      </c>
      <c r="E16" s="18">
        <f>IF(C16=0,"",(B16-C16)/C16)</f>
        <v/>
      </c>
      <c r="F16" s="15" t="n"/>
      <c r="G16" s="15" t="n"/>
      <c r="H16" s="15" t="n"/>
    </row>
    <row r="17">
      <c r="A17" s="14" t="inlineStr">
        <is>
          <t>TOTAL NET DE DÉPRÉCIATIONS</t>
        </is>
      </c>
      <c r="B17" s="15">
        <f>B14-B16</f>
        <v/>
      </c>
      <c r="C17" s="15">
        <f>C14-C16</f>
        <v/>
      </c>
      <c r="D17" s="15">
        <f>B17-C17</f>
        <v/>
      </c>
      <c r="E17" s="18">
        <f>IF(C17=0,"",(B17-C17)/C17)</f>
        <v/>
      </c>
      <c r="F17" s="15" t="n"/>
      <c r="G17" s="15" t="n"/>
      <c r="H17" s="15" t="n"/>
    </row>
    <row r="18"/>
    <row r="19">
      <c r="A19" s="3" t="inlineStr">
        <is>
          <t>Commentaires :</t>
        </is>
      </c>
    </row>
    <row r="20">
      <c r="A20" s="5" t="inlineStr">
        <is>
          <t>• Justifier toute variation significative et les créances anciennes.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7</t>
        </is>
      </c>
    </row>
    <row r="2">
      <c r="A2" s="2" t="inlineStr">
        <is>
          <t>DISPONIBILITÉS</t>
        </is>
      </c>
    </row>
    <row r="3"/>
    <row r="4">
      <c r="A4" s="3" t="inlineStr">
        <is>
          <t>Désignation entité : PROJET PADIR</t>
        </is>
      </c>
      <c r="D4" s="3" t="inlineStr">
        <is>
          <t>Exercice clos le : 31/12/2025</t>
        </is>
      </c>
    </row>
    <row r="5">
      <c r="A5" t="inlineStr">
        <is>
          <t>Numéro d'identification : Convention 2023/DR/045</t>
        </is>
      </c>
      <c r="D5" t="inlineStr">
        <is>
          <t>Durée (en mois) : 12</t>
        </is>
      </c>
    </row>
    <row r="6"/>
    <row r="7">
      <c r="A7" s="9" t="inlineStr">
        <is>
          <t>Libellés</t>
        </is>
      </c>
      <c r="B7" s="9" t="inlineStr">
        <is>
          <t>Année N</t>
        </is>
      </c>
      <c r="C7" s="9" t="inlineStr">
        <is>
          <t>Année N-1</t>
        </is>
      </c>
      <c r="D7" s="9" t="inlineStr">
        <is>
          <t>Variation en valeur</t>
        </is>
      </c>
      <c r="E7" s="9" t="inlineStr">
        <is>
          <t>Variation en %</t>
        </is>
      </c>
    </row>
    <row r="8">
      <c r="A8" s="10" t="inlineStr">
        <is>
          <t>Chèques à encaisser</t>
        </is>
      </c>
      <c r="B8" s="11">
        <f>SUMIF(BALANCE!$A$2:$A$50,"513*",BALANCE!$F$2:$F$50)-SUMIF(BALANCE!$A$2:$A$50,"513*",BALANCE!$G$2:$G$50)</f>
        <v/>
      </c>
      <c r="C8" s="11">
        <f>SUMIF(BALANCE_N1!$A$2:$A$50,"513*",BALANCE_N1!$F$2:$F$50)-SUMIF(BALANCE_N1!$A$2:$A$50,"513*",BALANCE_N1!$G$2:$G$50)</f>
        <v/>
      </c>
      <c r="D8" s="11">
        <f>B8-C8</f>
        <v/>
      </c>
      <c r="E8" s="16">
        <f>IF(C8=0,"",(B8-C8)/C8)</f>
        <v/>
      </c>
    </row>
    <row r="9">
      <c r="A9" s="12" t="inlineStr">
        <is>
          <t>Chèques à l'encaissement</t>
        </is>
      </c>
      <c r="B9" s="13">
        <f>SUMIF(BALANCE!$A$2:$A$50,"514*",BALANCE!$F$2:$F$50)-SUMIF(BALANCE!$A$2:$A$50,"514*",BALANCE!$G$2:$G$50)</f>
        <v/>
      </c>
      <c r="C9" s="13">
        <f>SUMIF(BALANCE_N1!$A$2:$A$50,"514*",BALANCE_N1!$F$2:$F$50)-SUMIF(BALANCE_N1!$A$2:$A$50,"514*",BALANCE_N1!$G$2:$G$50)</f>
        <v/>
      </c>
      <c r="D9" s="13">
        <f>B9-C9</f>
        <v/>
      </c>
      <c r="E9" s="17">
        <f>IF(C9=0,"",(B9-C9)/C9)</f>
        <v/>
      </c>
    </row>
    <row r="10">
      <c r="A10" s="10" t="inlineStr">
        <is>
          <t>Cartes de crédit à encaisser</t>
        </is>
      </c>
      <c r="B10" s="11">
        <f>SUMIF(BALANCE!$A$2:$A$50,"515*",BALANCE!$F$2:$F$50)-SUMIF(BALANCE!$A$2:$A$50,"515*",BALANCE!$G$2:$G$50)</f>
        <v/>
      </c>
      <c r="C10" s="11">
        <f>SUMIF(BALANCE_N1!$A$2:$A$50,"515*",BALANCE_N1!$F$2:$F$50)-SUMIF(BALANCE_N1!$A$2:$A$50,"515*",BALANCE_N1!$G$2:$G$50)</f>
        <v/>
      </c>
      <c r="D10" s="11">
        <f>B10-C10</f>
        <v/>
      </c>
      <c r="E10" s="16">
        <f>IF(C10=0,"",(B10-C10)/C10)</f>
        <v/>
      </c>
    </row>
    <row r="11">
      <c r="A11" s="12" t="inlineStr">
        <is>
          <t>Autres valeurs à encaisser</t>
        </is>
      </c>
      <c r="B11" s="13">
        <f>SUMIF(BALANCE!$A$2:$A$50,"518*",BALANCE!$F$2:$F$50)-SUMIF(BALANCE!$A$2:$A$50,"518*",BALANCE!$G$2:$G$50)</f>
        <v/>
      </c>
      <c r="C11" s="13">
        <f>SUMIF(BALANCE_N1!$A$2:$A$50,"518*",BALANCE_N1!$F$2:$F$50)-SUMIF(BALANCE_N1!$A$2:$A$50,"518*",BALANCE_N1!$G$2:$G$50)</f>
        <v/>
      </c>
      <c r="D11" s="13">
        <f>B11-C11</f>
        <v/>
      </c>
      <c r="E11" s="17">
        <f>IF(C11=0,"",(B11-C11)/C11)</f>
        <v/>
      </c>
    </row>
    <row r="12">
      <c r="A12" s="14" t="inlineStr">
        <is>
          <t>TOTAL VALEURS À ENCAISSER</t>
        </is>
      </c>
      <c r="B12" s="15">
        <f>SUM(B8:B11)</f>
        <v/>
      </c>
      <c r="C12" s="15">
        <f>SUM(C8:C11)</f>
        <v/>
      </c>
      <c r="D12" s="15">
        <f>B12-C12</f>
        <v/>
      </c>
      <c r="E12" s="18">
        <f>IF(C12=0,"",(B12-C12)/C12)</f>
        <v/>
      </c>
    </row>
    <row r="13">
      <c r="A13" s="12" t="inlineStr">
        <is>
          <t>Banques locales</t>
        </is>
      </c>
      <c r="B13" s="13">
        <f>SUMIF(BALANCE!$A$2:$A$50,"521*",BALANCE!$F$2:$F$50)</f>
        <v/>
      </c>
      <c r="C13" s="13">
        <f>SUMIF(BALANCE_N1!$A$2:$A$50,"521*",BALANCE_N1!$F$2:$F$50)</f>
        <v/>
      </c>
      <c r="D13" s="13">
        <f>B13-C13</f>
        <v/>
      </c>
      <c r="E13" s="17">
        <f>IF(C13=0,"",(B13-C13)/C13)</f>
        <v/>
      </c>
    </row>
    <row r="14">
      <c r="A14" s="10" t="inlineStr">
        <is>
          <t>Banques autres États région</t>
        </is>
      </c>
      <c r="B14" s="11">
        <f>SUMIF(BALANCE!$A$2:$A$50,"522*",BALANCE!$F$2:$F$50)</f>
        <v/>
      </c>
      <c r="C14" s="11">
        <f>SUMIF(BALANCE_N1!$A$2:$A$50,"522*",BALANCE_N1!$F$2:$F$50)</f>
        <v/>
      </c>
      <c r="D14" s="11">
        <f>B14-C14</f>
        <v/>
      </c>
      <c r="E14" s="16">
        <f>IF(C14=0,"",(B14-C14)/C14)</f>
        <v/>
      </c>
    </row>
    <row r="15">
      <c r="A15" s="12" t="inlineStr">
        <is>
          <t>Banques, dépôt à terme et assimilés</t>
        </is>
      </c>
      <c r="B15" s="13">
        <f>SUMIF(BALANCE!$A$2:$A$50,"525*",BALANCE!$F$2:$F$50)</f>
        <v/>
      </c>
      <c r="C15" s="13">
        <f>SUMIF(BALANCE_N1!$A$2:$A$50,"525*",BALANCE_N1!$F$2:$F$50)</f>
        <v/>
      </c>
      <c r="D15" s="13">
        <f>B15-C15</f>
        <v/>
      </c>
      <c r="E15" s="17">
        <f>IF(C15=0,"",(B15-C15)/C15)</f>
        <v/>
      </c>
    </row>
    <row r="16">
      <c r="A16" s="10" t="inlineStr">
        <is>
          <t>Autres banques</t>
        </is>
      </c>
      <c r="B16" s="11">
        <f>SUMIF(BALANCE!$A$2:$A$50,"524*",BALANCE!$F$2:$F$50)+SUMIF(BALANCE!$A$2:$A$50,"523*",BALANCE!$F$2:$F$50)</f>
        <v/>
      </c>
      <c r="C16" s="11">
        <f>SUMIF(BALANCE_N1!$A$2:$A$50,"524*",BALANCE_N1!$F$2:$F$50)+SUMIF(BALANCE_N1!$A$2:$A$50,"523*",BALANCE_N1!$F$2:$F$50)</f>
        <v/>
      </c>
      <c r="D16" s="11">
        <f>B16-C16</f>
        <v/>
      </c>
      <c r="E16" s="16">
        <f>IF(C16=0,"",(B16-C16)/C16)</f>
        <v/>
      </c>
    </row>
    <row r="17">
      <c r="A17" s="12" t="inlineStr">
        <is>
          <t>Banques intérêts courus</t>
        </is>
      </c>
      <c r="B17" s="13">
        <f>SUMIF(BALANCE!$A$2:$A$50,"526*",BALANCE!$F$2:$F$50)-SUMIF(BALANCE!$A$2:$A$50,"526*",BALANCE!$G$2:$G$50)</f>
        <v/>
      </c>
      <c r="C17" s="13">
        <f>SUMIF(BALANCE_N1!$A$2:$A$50,"526*",BALANCE_N1!$F$2:$F$50)-SUMIF(BALANCE_N1!$A$2:$A$50,"526*",BALANCE_N1!$G$2:$G$50)</f>
        <v/>
      </c>
      <c r="D17" s="13">
        <f>B17-C17</f>
        <v/>
      </c>
      <c r="E17" s="17">
        <f>IF(C17=0,"",(B17-C17)/C17)</f>
        <v/>
      </c>
    </row>
    <row r="18">
      <c r="A18" s="10" t="inlineStr">
        <is>
          <t>Banques postales</t>
        </is>
      </c>
      <c r="B18" s="11">
        <f>SUMIF(BALANCE!$A$2:$A$50,"531*",BALANCE!$F$2:$F$50)</f>
        <v/>
      </c>
      <c r="C18" s="11">
        <f>SUMIF(BALANCE_N1!$A$2:$A$50,"531*",BALANCE_N1!$F$2:$F$50)</f>
        <v/>
      </c>
      <c r="D18" s="11">
        <f>B18-C18</f>
        <v/>
      </c>
      <c r="E18" s="16">
        <f>IF(C18=0,"",(B18-C18)/C18)</f>
        <v/>
      </c>
    </row>
    <row r="19">
      <c r="A19" s="12" t="inlineStr">
        <is>
          <t>Autres établissements financiers</t>
        </is>
      </c>
      <c r="B19" s="13">
        <f>SUMIF(BALANCE!$A$2:$A$50,"532*",BALANCE!$F$2:$F$50)+SUMIF(BALANCE!$A$2:$A$50,"533*",BALANCE!$F$2:$F$50)+SUMIF(BALANCE!$A$2:$A$50,"538*",BALANCE!$F$2:$F$50)</f>
        <v/>
      </c>
      <c r="C19" s="13">
        <f>SUMIF(BALANCE_N1!$A$2:$A$50,"532*",BALANCE_N1!$F$2:$F$50)+SUMIF(BALANCE_N1!$A$2:$A$50,"533*",BALANCE_N1!$F$2:$F$50)+SUMIF(BALANCE_N1!$A$2:$A$50,"538*",BALANCE_N1!$F$2:$F$50)</f>
        <v/>
      </c>
      <c r="D19" s="13">
        <f>B19-C19</f>
        <v/>
      </c>
      <c r="E19" s="17">
        <f>IF(C19=0,"",(B19-C19)/C19)</f>
        <v/>
      </c>
    </row>
    <row r="20">
      <c r="A20" s="10" t="inlineStr">
        <is>
          <t>Établissements financiers intérêts courus</t>
        </is>
      </c>
      <c r="B20" s="11">
        <f>SUMIF(BALANCE!$A$2:$A$50,"536*",BALANCE!$F$2:$F$50)-SUMIF(BALANCE!$A$2:$A$50,"536*",BALANCE!$G$2:$G$50)</f>
        <v/>
      </c>
      <c r="C20" s="11">
        <f>SUMIF(BALANCE_N1!$A$2:$A$50,"536*",BALANCE_N1!$F$2:$F$50)-SUMIF(BALANCE_N1!$A$2:$A$50,"536*",BALANCE_N1!$G$2:$G$50)</f>
        <v/>
      </c>
      <c r="D20" s="11">
        <f>B20-C20</f>
        <v/>
      </c>
      <c r="E20" s="16">
        <f>IF(C20=0,"",(B20-C20)/C20)</f>
        <v/>
      </c>
    </row>
    <row r="21">
      <c r="A21" s="12" t="inlineStr">
        <is>
          <t>Instruments de monnaie électronique</t>
        </is>
      </c>
      <c r="B21" s="13">
        <f>SUMIF(BALANCE!$A$2:$A$50,"55*",BALANCE!$F$2:$F$50)-SUMIF(BALANCE!$A$2:$A$50,"55*",BALANCE!$G$2:$G$50)</f>
        <v/>
      </c>
      <c r="C21" s="13">
        <f>SUMIF(BALANCE_N1!$A$2:$A$50,"55*",BALANCE_N1!$F$2:$F$50)-SUMIF(BALANCE_N1!$A$2:$A$50,"55*",BALANCE_N1!$G$2:$G$50)</f>
        <v/>
      </c>
      <c r="D21" s="13">
        <f>B21-C21</f>
        <v/>
      </c>
      <c r="E21" s="17">
        <f>IF(C21=0,"",(B21-C21)/C21)</f>
        <v/>
      </c>
    </row>
    <row r="22">
      <c r="A22" s="10" t="inlineStr">
        <is>
          <t>Caisse</t>
        </is>
      </c>
      <c r="B22" s="11">
        <f>SUMIF(BALANCE!$A$2:$A$50,"57*",BALANCE!$F$2:$F$50)-SUMIF(BALANCE!$A$2:$A$50,"57*",BALANCE!$G$2:$G$50)</f>
        <v/>
      </c>
      <c r="C22" s="11">
        <f>SUMIF(BALANCE_N1!$A$2:$A$50,"57*",BALANCE_N1!$F$2:$F$50)-SUMIF(BALANCE_N1!$A$2:$A$50,"57*",BALANCE_N1!$G$2:$G$50)</f>
        <v/>
      </c>
      <c r="D22" s="11">
        <f>B22-C22</f>
        <v/>
      </c>
      <c r="E22" s="16">
        <f>IF(C22=0,"",(B22-C22)/C22)</f>
        <v/>
      </c>
    </row>
    <row r="23">
      <c r="A23" s="14" t="inlineStr">
        <is>
          <t>TOTAL BANQUES ET CAISSES</t>
        </is>
      </c>
      <c r="B23" s="15">
        <f>SUM(B13:B22)</f>
        <v/>
      </c>
      <c r="C23" s="15">
        <f>SUM(C13:C22)</f>
        <v/>
      </c>
      <c r="D23" s="15">
        <f>B23-C23</f>
        <v/>
      </c>
      <c r="E23" s="18">
        <f>IF(C23=0,"",(B23-C23)/C23)</f>
        <v/>
      </c>
    </row>
    <row r="24">
      <c r="A24" s="10" t="inlineStr">
        <is>
          <t>Dépréciations</t>
        </is>
      </c>
      <c r="B24" s="11">
        <f>SUMIF(BALANCE!$A$2:$A$50,"595*",BALANCE!$G$2:$G$50)-SUMIF(BALANCE!$A$2:$A$50,"595*",BALANCE!$F$2:$F$50)+SUMIF(BALANCE!$A$2:$A$50,"592*",BALANCE!$G$2:$G$50)-SUMIF(BALANCE!$A$2:$A$50,"592*",BALANCE!$F$2:$F$50)+SUMIF(BALANCE!$A$2:$A$50,"591*",BALANCE!$G$2:$G$50)-SUMIF(BALANCE!$A$2:$A$50,"591*",BALANCE!$F$2:$F$50)+SUMIF(BALANCE!$A$2:$A$50,"593*",BALANCE!$G$2:$G$50)-SUMIF(BALANCE!$A$2:$A$50,"593*",BALANCE!$F$2:$F$50)</f>
        <v/>
      </c>
      <c r="C24" s="11">
        <f>SUMIF(BALANCE_N1!$A$2:$A$50,"595*",BALANCE_N1!$G$2:$G$50)-SUMIF(BALANCE_N1!$A$2:$A$50,"595*",BALANCE_N1!$F$2:$F$50)+SUMIF(BALANCE_N1!$A$2:$A$50,"592*",BALANCE_N1!$G$2:$G$50)-SUMIF(BALANCE_N1!$A$2:$A$50,"592*",BALANCE_N1!$F$2:$F$50)+SUMIF(BALANCE_N1!$A$2:$A$50,"591*",BALANCE_N1!$G$2:$G$50)-SUMIF(BALANCE_N1!$A$2:$A$50,"591*",BALANCE_N1!$F$2:$F$50)+SUMIF(BALANCE_N1!$A$2:$A$50,"593*",BALANCE_N1!$G$2:$G$50)-SUMIF(BALANCE_N1!$A$2:$A$50,"593*",BALANCE_N1!$F$2:$F$50)</f>
        <v/>
      </c>
      <c r="D24" s="11">
        <f>B24-C24</f>
        <v/>
      </c>
      <c r="E24" s="16">
        <f>IF(C24=0,"",(B24-C24)/C24)</f>
        <v/>
      </c>
    </row>
    <row r="25">
      <c r="A25" s="14" t="inlineStr"/>
      <c r="B25" s="15">
        <f>SUM(B24:B24)</f>
        <v/>
      </c>
      <c r="C25" s="15">
        <f>SUM(C24:C24)</f>
        <v/>
      </c>
      <c r="D25" s="15">
        <f>B25-C25</f>
        <v/>
      </c>
      <c r="E25" s="18">
        <f>IF(C25=0,"",(B25-C25)/C25)</f>
        <v/>
      </c>
    </row>
    <row r="26">
      <c r="A26" s="14" t="inlineStr">
        <is>
          <t>TOTAL NET DE DÉPRÉCIATIONS</t>
        </is>
      </c>
      <c r="B26" s="15">
        <f>B12+B23-B25</f>
        <v/>
      </c>
      <c r="C26" s="15">
        <f>C12+C23-C25</f>
        <v/>
      </c>
      <c r="D26" s="15">
        <f>B26-C26</f>
        <v/>
      </c>
      <c r="E26" s="18">
        <f>IF(C26=0,"",(B26-C26)/C26)</f>
        <v/>
      </c>
    </row>
    <row r="27"/>
    <row r="28">
      <c r="A28" s="3" t="inlineStr">
        <is>
          <t>Commentaires :</t>
        </is>
      </c>
    </row>
    <row r="29">
      <c r="A29" s="5" t="inlineStr">
        <is>
          <t>• Indiquer la date de rapprochement des comptes bancaires et la date d'inventaire de la caisse.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8</t>
        </is>
      </c>
    </row>
    <row r="2">
      <c r="A2" s="2" t="inlineStr">
        <is>
          <t>ÉCARTS DE CONVERSION</t>
        </is>
      </c>
    </row>
    <row r="3"/>
    <row r="4">
      <c r="A4" s="3" t="inlineStr">
        <is>
          <t>Désignation entité : PROJET PADIR</t>
        </is>
      </c>
      <c r="D4" s="3" t="inlineStr">
        <is>
          <t>Exercice clos le : 31/12/2025</t>
        </is>
      </c>
    </row>
    <row r="5">
      <c r="A5" t="inlineStr">
        <is>
          <t>Numéro d'identification : Convention 2023/DR/045</t>
        </is>
      </c>
      <c r="D5" t="inlineStr">
        <is>
          <t>Durée (en mois) : 12</t>
        </is>
      </c>
    </row>
    <row r="6"/>
    <row r="7">
      <c r="A7" s="9" t="inlineStr">
        <is>
          <t>Libellés</t>
        </is>
      </c>
      <c r="B7" s="9" t="inlineStr">
        <is>
          <t>Année N</t>
        </is>
      </c>
      <c r="C7" s="9" t="inlineStr">
        <is>
          <t>Année N-1</t>
        </is>
      </c>
      <c r="D7" s="9" t="inlineStr">
        <is>
          <t>Variation en valeur</t>
        </is>
      </c>
      <c r="E7" s="9" t="inlineStr">
        <is>
          <t>Variation en %</t>
        </is>
      </c>
    </row>
    <row r="8">
      <c r="A8" s="10" t="inlineStr">
        <is>
          <t>Écarts de conversion-actif (détailler les créances et dettes concernées)</t>
        </is>
      </c>
      <c r="B8" s="11">
        <f>SUMIF(BALANCE!$A$2:$A$50,"478*",BALANCE!$F$2:$F$50)-SUMIF(BALANCE!$A$2:$A$50,"478*",BALANCE!$G$2:$G$50)</f>
        <v/>
      </c>
      <c r="C8" s="11">
        <f>SUMIF(BALANCE_N1!$A$2:$A$50,"478*",BALANCE_N1!$F$2:$F$50)-SUMIF(BALANCE_N1!$A$2:$A$50,"478*",BALANCE_N1!$G$2:$G$50)</f>
        <v/>
      </c>
      <c r="D8" s="11">
        <f>B8-C8</f>
        <v/>
      </c>
      <c r="E8" s="16">
        <f>IF(C8=0,"",(B8-C8)/C8)</f>
        <v/>
      </c>
    </row>
    <row r="9">
      <c r="A9" s="12" t="inlineStr">
        <is>
          <t>…</t>
        </is>
      </c>
      <c r="B9" s="13" t="n"/>
      <c r="C9" s="13" t="n"/>
      <c r="D9" s="13" t="n"/>
      <c r="E9" s="12" t="n"/>
    </row>
    <row r="10">
      <c r="A10" s="10" t="inlineStr">
        <is>
          <t>Écart de conversion-passif (détailler les créances et dettes concernées)</t>
        </is>
      </c>
      <c r="B10" s="11">
        <f>SUMIF(BALANCE!$A$2:$A$50,"479*",BALANCE!$G$2:$G$50)-SUMIF(BALANCE!$A$2:$A$50,"479*",BALANCE!$F$2:$F$50)</f>
        <v/>
      </c>
      <c r="C10" s="11">
        <f>SUMIF(BALANCE_N1!$A$2:$A$50,"479*",BALANCE_N1!$G$2:$G$50)-SUMIF(BALANCE_N1!$A$2:$A$50,"479*",BALANCE_N1!$F$2:$F$50)</f>
        <v/>
      </c>
      <c r="D10" s="11">
        <f>B10-C10</f>
        <v/>
      </c>
      <c r="E10" s="16">
        <f>IF(C10=0,"",(B10-C10)/C10)</f>
        <v/>
      </c>
    </row>
    <row r="11">
      <c r="A11" s="12" t="inlineStr">
        <is>
          <t>…</t>
        </is>
      </c>
      <c r="B11" s="13" t="n"/>
      <c r="C11" s="13" t="n"/>
      <c r="D11" s="13" t="n"/>
      <c r="E11" s="12" t="n"/>
    </row>
  </sheetData>
  <mergeCells count="2">
    <mergeCell ref="A2:E2"/>
    <mergeCell ref="A1:E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7" customWidth="1" min="2" max="2"/>
    <col width="16" customWidth="1" min="3" max="3"/>
    <col width="14" customWidth="1" min="4" max="4"/>
    <col width="17" customWidth="1" min="5" max="5"/>
    <col width="16" customWidth="1" min="6" max="6"/>
    <col width="14" customWidth="1" min="7" max="7"/>
  </cols>
  <sheetData>
    <row r="1">
      <c r="A1" s="1" t="inlineStr">
        <is>
          <t>NOTE 9</t>
        </is>
      </c>
    </row>
    <row r="2">
      <c r="A2" s="2" t="inlineStr">
        <is>
          <t>FONDS DU BAILLEUR</t>
        </is>
      </c>
    </row>
    <row r="3"/>
    <row r="4">
      <c r="A4" s="3" t="inlineStr">
        <is>
          <t>Désignation entité : PROJET PADIR</t>
        </is>
      </c>
      <c r="F4" s="3" t="inlineStr">
        <is>
          <t>Exercice clos le : 31/12/2025</t>
        </is>
      </c>
    </row>
    <row r="5">
      <c r="A5" t="inlineStr">
        <is>
          <t>Numéro d'identification : Convention 2023/DR/045</t>
        </is>
      </c>
      <c r="F5" t="inlineStr">
        <is>
          <t>Durée (en mois) : 12</t>
        </is>
      </c>
    </row>
    <row r="6"/>
    <row r="7">
      <c r="A7" s="9" t="inlineStr">
        <is>
          <t>Date des décaissements</t>
        </is>
      </c>
      <c r="B7" s="9" t="inlineStr">
        <is>
          <t>Bailleur / sous-projet 1 : montant décaissé</t>
        </is>
      </c>
      <c r="C7" s="9" t="inlineStr">
        <is>
          <t>Montant consommé</t>
        </is>
      </c>
      <c r="D7" s="9" t="inlineStr">
        <is>
          <t>Solde restant</t>
        </is>
      </c>
      <c r="E7" s="9" t="inlineStr">
        <is>
          <t>Bailleur / sous-projet 2 : montant décaissé</t>
        </is>
      </c>
      <c r="F7" s="9" t="inlineStr">
        <is>
          <t>Montant consommé</t>
        </is>
      </c>
      <c r="G7" s="9" t="inlineStr">
        <is>
          <t>Solde restant</t>
        </is>
      </c>
    </row>
    <row r="8">
      <c r="A8" s="4" t="inlineStr">
        <is>
          <t>FONDS D'INVESTISSEMENT</t>
        </is>
      </c>
    </row>
    <row r="9">
      <c r="A9" s="12" t="n"/>
      <c r="B9" s="13" t="n"/>
      <c r="C9" s="13" t="n"/>
      <c r="D9" s="13">
        <f>B9-C9</f>
        <v/>
      </c>
      <c r="E9" s="13" t="n"/>
      <c r="F9" s="13" t="n"/>
      <c r="G9" s="13">
        <f>E9-F9</f>
        <v/>
      </c>
    </row>
    <row r="10">
      <c r="A10" s="10" t="n"/>
      <c r="B10" s="11" t="n"/>
      <c r="C10" s="11" t="n"/>
      <c r="D10" s="11">
        <f>B10-C10</f>
        <v/>
      </c>
      <c r="E10" s="11" t="n"/>
      <c r="F10" s="11" t="n"/>
      <c r="G10" s="11">
        <f>E10-F10</f>
        <v/>
      </c>
    </row>
    <row r="11">
      <c r="A11" s="12" t="n"/>
      <c r="B11" s="13" t="n"/>
      <c r="C11" s="13" t="n"/>
      <c r="D11" s="13">
        <f>B11-C11</f>
        <v/>
      </c>
      <c r="E11" s="13" t="n"/>
      <c r="F11" s="13" t="n"/>
      <c r="G11" s="13">
        <f>E11-F11</f>
        <v/>
      </c>
    </row>
    <row r="12">
      <c r="A12" s="10" t="n"/>
      <c r="B12" s="11" t="n"/>
      <c r="C12" s="11" t="n"/>
      <c r="D12" s="11">
        <f>B12-C12</f>
        <v/>
      </c>
      <c r="E12" s="11" t="n"/>
      <c r="F12" s="11" t="n"/>
      <c r="G12" s="11">
        <f>E12-F12</f>
        <v/>
      </c>
    </row>
    <row r="13">
      <c r="A13" s="14" t="inlineStr">
        <is>
          <t>TOTAL FONDS D'INVESTISSEMENT</t>
        </is>
      </c>
      <c r="B13" s="15">
        <f>SUM(B9:B12)</f>
        <v/>
      </c>
      <c r="C13" s="15">
        <f>SUM(C9:C12)</f>
        <v/>
      </c>
      <c r="D13" s="15">
        <f>SUM(D9:D12)</f>
        <v/>
      </c>
      <c r="E13" s="15">
        <f>SUM(E9:E12)</f>
        <v/>
      </c>
      <c r="F13" s="15">
        <f>SUM(F9:F12)</f>
        <v/>
      </c>
      <c r="G13" s="15">
        <f>SUM(G9:G12)</f>
        <v/>
      </c>
    </row>
    <row r="14">
      <c r="A14" s="4" t="inlineStr">
        <is>
          <t>FONDS D'ADMINISTRATION (2)</t>
        </is>
      </c>
    </row>
    <row r="15">
      <c r="A15" s="12" t="n"/>
      <c r="B15" s="13" t="n"/>
      <c r="C15" s="13" t="n"/>
      <c r="D15" s="13">
        <f>B15-C15</f>
        <v/>
      </c>
      <c r="E15" s="13" t="n"/>
      <c r="F15" s="13" t="n"/>
      <c r="G15" s="13">
        <f>E15-F15</f>
        <v/>
      </c>
    </row>
    <row r="16">
      <c r="A16" s="10" t="n"/>
      <c r="B16" s="11" t="n"/>
      <c r="C16" s="11" t="n"/>
      <c r="D16" s="11">
        <f>B16-C16</f>
        <v/>
      </c>
      <c r="E16" s="11" t="n"/>
      <c r="F16" s="11" t="n"/>
      <c r="G16" s="11">
        <f>E16-F16</f>
        <v/>
      </c>
    </row>
    <row r="17">
      <c r="A17" s="12" t="n"/>
      <c r="B17" s="13" t="n"/>
      <c r="C17" s="13" t="n"/>
      <c r="D17" s="13">
        <f>B17-C17</f>
        <v/>
      </c>
      <c r="E17" s="13" t="n"/>
      <c r="F17" s="13" t="n"/>
      <c r="G17" s="13">
        <f>E17-F17</f>
        <v/>
      </c>
    </row>
    <row r="18">
      <c r="A18" s="10" t="n"/>
      <c r="B18" s="11" t="n"/>
      <c r="C18" s="11" t="n"/>
      <c r="D18" s="11">
        <f>B18-C18</f>
        <v/>
      </c>
      <c r="E18" s="11" t="n"/>
      <c r="F18" s="11" t="n"/>
      <c r="G18" s="11">
        <f>E18-F18</f>
        <v/>
      </c>
    </row>
    <row r="19">
      <c r="A19" s="14" t="inlineStr">
        <is>
          <t>TOTAL FONDS D'ADMINISTRATION (2)</t>
        </is>
      </c>
      <c r="B19" s="15">
        <f>SUM(B15:B18)</f>
        <v/>
      </c>
      <c r="C19" s="15">
        <f>SUM(C15:C18)</f>
        <v/>
      </c>
      <c r="D19" s="15">
        <f>SUM(D15:D18)</f>
        <v/>
      </c>
      <c r="E19" s="15">
        <f>SUM(E15:E18)</f>
        <v/>
      </c>
      <c r="F19" s="15">
        <f>SUM(F15:F18)</f>
        <v/>
      </c>
      <c r="G19" s="15">
        <f>SUM(G15:G18)</f>
        <v/>
      </c>
    </row>
    <row r="20"/>
    <row r="21">
      <c r="A21" s="3" t="inlineStr">
        <is>
          <t>Rappels balance (formules) - à ventiler par bailleur :</t>
        </is>
      </c>
    </row>
    <row r="22">
      <c r="A22" t="inlineStr">
        <is>
          <t>Fonds affectés aux investissements non consommés (soldes 162-164)</t>
        </is>
      </c>
      <c r="B22" s="19">
        <f>SUMIF(BALANCE!$A$2:$A$50,"163*",BALANCE!$G$2:$G$50)-SUMIF(BALANCE!$A$2:$A$50,"163*",BALANCE!$F$2:$F$50)+SUMIF(BALANCE!$A$2:$A$50,"162*",BALANCE!$G$2:$G$50)-SUMIF(BALANCE!$A$2:$A$50,"162*",BALANCE!$F$2:$F$50)+SUMIF(BALANCE!$A$2:$A$50,"164*",BALANCE!$G$2:$G$50)-SUMIF(BALANCE!$A$2:$A$50,"164*",BALANCE!$F$2:$F$50)</f>
        <v/>
      </c>
    </row>
    <row r="23">
      <c r="A23" t="inlineStr">
        <is>
          <t>Fonds d'administration non consommés (soldes 462-464)</t>
        </is>
      </c>
      <c r="B23" s="19">
        <f>SUMIF(BALANCE!$A$2:$A$50,"464*",BALANCE!$G$2:$G$50)-SUMIF(BALANCE!$A$2:$A$50,"464*",BALANCE!$F$2:$F$50)+SUMIF(BALANCE!$A$2:$A$50,"463*",BALANCE!$G$2:$G$50)-SUMIF(BALANCE!$A$2:$A$50,"463*",BALANCE!$F$2:$F$50)+SUMIF(BALANCE!$A$2:$A$50,"462*",BALANCE!$G$2:$G$50)-SUMIF(BALANCE!$A$2:$A$50,"462*",BALANCE!$F$2:$F$50)</f>
        <v/>
      </c>
    </row>
    <row r="24">
      <c r="A24" t="inlineStr">
        <is>
          <t>Quote-part de fonds d'administration consommée de l'exercice (702)</t>
        </is>
      </c>
      <c r="B24" s="19">
        <f>SUMIF(BALANCE!$A$2:$A$50,"702*",BALANCE!$G$2:$G$50)-SUMIF(BALANCE!$A$2:$A$50,"702*",BALANCE!$F$2:$F$50)</f>
        <v/>
      </c>
    </row>
    <row r="25"/>
    <row r="26">
      <c r="A26" t="inlineStr">
        <is>
          <t>(1) une colonne par bailleur et/ou sous-projet. (2) le montant consommé d'un exercice = solde du compte 702, à subdiviser par nature de projet. Indiquer le niveau d'utilisation des fonds en % et expliquer les retards d'exécution éventuels.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16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10</t>
        </is>
      </c>
    </row>
    <row r="2">
      <c r="A2" s="2" t="inlineStr">
        <is>
          <t>SUBVENTIONS</t>
        </is>
      </c>
    </row>
    <row r="3"/>
    <row r="4">
      <c r="A4" s="3" t="inlineStr">
        <is>
          <t>Désignation entité : PROJET PADIR</t>
        </is>
      </c>
      <c r="F4" s="3" t="inlineStr">
        <is>
          <t>Exercice clos le : 31/12/2025</t>
        </is>
      </c>
    </row>
    <row r="5">
      <c r="A5" t="inlineStr">
        <is>
          <t>Numéro d'identification : Convention 2023/DR/045</t>
        </is>
      </c>
      <c r="F5" t="inlineStr">
        <is>
          <t>Durée (en mois) : 12</t>
        </is>
      </c>
    </row>
    <row r="6"/>
    <row r="7">
      <c r="A7" s="9" t="inlineStr">
        <is>
          <t>Libellés</t>
        </is>
      </c>
      <c r="B7" s="9" t="inlineStr">
        <is>
          <t>Année N</t>
        </is>
      </c>
      <c r="C7" s="9" t="inlineStr">
        <is>
          <t>Année N-1</t>
        </is>
      </c>
      <c r="D7" s="9" t="inlineStr">
        <is>
          <t>Variation en valeur</t>
        </is>
      </c>
      <c r="E7" s="9" t="inlineStr">
        <is>
          <t>Variation en %</t>
        </is>
      </c>
      <c r="F7" s="9" t="inlineStr">
        <is>
          <t>Régime fiscal</t>
        </is>
      </c>
      <c r="G7" s="9" t="inlineStr">
        <is>
          <t>Échéances</t>
        </is>
      </c>
    </row>
    <row r="8">
      <c r="A8" s="10" t="inlineStr">
        <is>
          <t>État</t>
        </is>
      </c>
      <c r="B8" s="11">
        <f>SUMIF(BALANCE!$A$2:$A$50,"1411*",BALANCE!$G$2:$G$50)-SUMIF(BALANCE!$A$2:$A$50,"1411*",BALANCE!$F$2:$F$50)</f>
        <v/>
      </c>
      <c r="C8" s="11">
        <f>SUMIF(BALANCE_N1!$A$2:$A$50,"1411*",BALANCE_N1!$G$2:$G$50)-SUMIF(BALANCE_N1!$A$2:$A$50,"1411*",BALANCE_N1!$F$2:$F$50)</f>
        <v/>
      </c>
      <c r="D8" s="11">
        <f>B8-C8</f>
        <v/>
      </c>
      <c r="E8" s="16">
        <f>IF(C8=0,"",(B8-C8)/C8)</f>
        <v/>
      </c>
      <c r="F8" s="10" t="n"/>
      <c r="G8" s="10" t="n"/>
    </row>
    <row r="9">
      <c r="A9" s="12" t="inlineStr">
        <is>
          <t>Régions</t>
        </is>
      </c>
      <c r="B9" s="13">
        <f>SUMIF(BALANCE!$A$2:$A$50,"1412*",BALANCE!$G$2:$G$50)-SUMIF(BALANCE!$A$2:$A$50,"1412*",BALANCE!$F$2:$F$50)</f>
        <v/>
      </c>
      <c r="C9" s="13">
        <f>SUMIF(BALANCE_N1!$A$2:$A$50,"1412*",BALANCE_N1!$G$2:$G$50)-SUMIF(BALANCE_N1!$A$2:$A$50,"1412*",BALANCE_N1!$F$2:$F$50)</f>
        <v/>
      </c>
      <c r="D9" s="13">
        <f>B9-C9</f>
        <v/>
      </c>
      <c r="E9" s="17">
        <f>IF(C9=0,"",(B9-C9)/C9)</f>
        <v/>
      </c>
      <c r="F9" s="12" t="n"/>
      <c r="G9" s="12" t="n"/>
    </row>
    <row r="10">
      <c r="A10" s="10" t="inlineStr">
        <is>
          <t>Départements</t>
        </is>
      </c>
      <c r="B10" s="11">
        <f>SUMIF(BALANCE!$A$2:$A$50,"1413*",BALANCE!$G$2:$G$50)-SUMIF(BALANCE!$A$2:$A$50,"1413*",BALANCE!$F$2:$F$50)</f>
        <v/>
      </c>
      <c r="C10" s="11">
        <f>SUMIF(BALANCE_N1!$A$2:$A$50,"1413*",BALANCE_N1!$G$2:$G$50)-SUMIF(BALANCE_N1!$A$2:$A$50,"1413*",BALANCE_N1!$F$2:$F$50)</f>
        <v/>
      </c>
      <c r="D10" s="11">
        <f>B10-C10</f>
        <v/>
      </c>
      <c r="E10" s="16">
        <f>IF(C10=0,"",(B10-C10)/C10)</f>
        <v/>
      </c>
      <c r="F10" s="10" t="n"/>
      <c r="G10" s="10" t="n"/>
    </row>
    <row r="11">
      <c r="A11" s="12" t="inlineStr">
        <is>
          <t>Communes et collectivités publiques décentralisées</t>
        </is>
      </c>
      <c r="B11" s="13">
        <f>SUMIF(BALANCE!$A$2:$A$50,"1414*",BALANCE!$G$2:$G$50)-SUMIF(BALANCE!$A$2:$A$50,"1414*",BALANCE!$F$2:$F$50)</f>
        <v/>
      </c>
      <c r="C11" s="13">
        <f>SUMIF(BALANCE_N1!$A$2:$A$50,"1414*",BALANCE_N1!$G$2:$G$50)-SUMIF(BALANCE_N1!$A$2:$A$50,"1414*",BALANCE_N1!$F$2:$F$50)</f>
        <v/>
      </c>
      <c r="D11" s="13">
        <f>B11-C11</f>
        <v/>
      </c>
      <c r="E11" s="17">
        <f>IF(C11=0,"",(B11-C11)/C11)</f>
        <v/>
      </c>
      <c r="F11" s="12" t="n"/>
      <c r="G11" s="12" t="n"/>
    </row>
    <row r="12">
      <c r="A12" s="10" t="inlineStr">
        <is>
          <t>Entités publiques ou mixtes</t>
        </is>
      </c>
      <c r="B12" s="11">
        <f>SUMIF(BALANCE!$A$2:$A$50,"1415*",BALANCE!$G$2:$G$50)-SUMIF(BALANCE!$A$2:$A$50,"1415*",BALANCE!$F$2:$F$50)</f>
        <v/>
      </c>
      <c r="C12" s="11">
        <f>SUMIF(BALANCE_N1!$A$2:$A$50,"1415*",BALANCE_N1!$G$2:$G$50)-SUMIF(BALANCE_N1!$A$2:$A$50,"1415*",BALANCE_N1!$F$2:$F$50)</f>
        <v/>
      </c>
      <c r="D12" s="11">
        <f>B12-C12</f>
        <v/>
      </c>
      <c r="E12" s="16">
        <f>IF(C12=0,"",(B12-C12)/C12)</f>
        <v/>
      </c>
      <c r="F12" s="10" t="n"/>
      <c r="G12" s="10" t="n"/>
    </row>
    <row r="13">
      <c r="A13" s="12" t="inlineStr">
        <is>
          <t>Entités et organismes privés</t>
        </is>
      </c>
      <c r="B13" s="13">
        <f>SUMIF(BALANCE!$A$2:$A$50,"1416*",BALANCE!$G$2:$G$50)-SUMIF(BALANCE!$A$2:$A$50,"1416*",BALANCE!$F$2:$F$50)</f>
        <v/>
      </c>
      <c r="C13" s="13">
        <f>SUMIF(BALANCE_N1!$A$2:$A$50,"1416*",BALANCE_N1!$G$2:$G$50)-SUMIF(BALANCE_N1!$A$2:$A$50,"1416*",BALANCE_N1!$F$2:$F$50)</f>
        <v/>
      </c>
      <c r="D13" s="13">
        <f>B13-C13</f>
        <v/>
      </c>
      <c r="E13" s="17">
        <f>IF(C13=0,"",(B13-C13)/C13)</f>
        <v/>
      </c>
      <c r="F13" s="12" t="n"/>
      <c r="G13" s="12" t="n"/>
    </row>
    <row r="14">
      <c r="A14" s="10" t="inlineStr">
        <is>
          <t>Organismes internationaux</t>
        </is>
      </c>
      <c r="B14" s="11">
        <f>SUMIF(BALANCE!$A$2:$A$50,"1417*",BALANCE!$G$2:$G$50)-SUMIF(BALANCE!$A$2:$A$50,"1417*",BALANCE!$F$2:$F$50)</f>
        <v/>
      </c>
      <c r="C14" s="11">
        <f>SUMIF(BALANCE_N1!$A$2:$A$50,"1417*",BALANCE_N1!$G$2:$G$50)-SUMIF(BALANCE_N1!$A$2:$A$50,"1417*",BALANCE_N1!$F$2:$F$50)</f>
        <v/>
      </c>
      <c r="D14" s="11">
        <f>B14-C14</f>
        <v/>
      </c>
      <c r="E14" s="16">
        <f>IF(C14=0,"",(B14-C14)/C14)</f>
        <v/>
      </c>
      <c r="F14" s="10" t="n"/>
      <c r="G14" s="10" t="n"/>
    </row>
    <row r="15">
      <c r="A15" s="12" t="inlineStr">
        <is>
          <t>Autres</t>
        </is>
      </c>
      <c r="B15" s="13">
        <f>SUMIF(BALANCE!$A$2:$A$50,"148*",BALANCE!$G$2:$G$50)-SUMIF(BALANCE!$A$2:$A$50,"148*",BALANCE!$F$2:$F$50)+SUMIF(BALANCE!$A$2:$A$50,"1418*",BALANCE!$G$2:$G$50)-SUMIF(BALANCE!$A$2:$A$50,"1418*",BALANCE!$F$2:$F$50)</f>
        <v/>
      </c>
      <c r="C15" s="13">
        <f>SUMIF(BALANCE_N1!$A$2:$A$50,"148*",BALANCE_N1!$G$2:$G$50)-SUMIF(BALANCE_N1!$A$2:$A$50,"148*",BALANCE_N1!$F$2:$F$50)+SUMIF(BALANCE_N1!$A$2:$A$50,"1418*",BALANCE_N1!$G$2:$G$50)-SUMIF(BALANCE_N1!$A$2:$A$50,"1418*",BALANCE_N1!$F$2:$F$50)</f>
        <v/>
      </c>
      <c r="D15" s="13">
        <f>B15-C15</f>
        <v/>
      </c>
      <c r="E15" s="17">
        <f>IF(C15=0,"",(B15-C15)/C15)</f>
        <v/>
      </c>
      <c r="F15" s="12" t="n"/>
      <c r="G15" s="12" t="n"/>
    </row>
    <row r="16">
      <c r="A16" s="14" t="inlineStr">
        <is>
          <t>TOTAL SUBVENTIONS</t>
        </is>
      </c>
      <c r="B16" s="15">
        <f>SUM(B8:B15)</f>
        <v/>
      </c>
      <c r="C16" s="15">
        <f>SUM(C8:C15)</f>
        <v/>
      </c>
      <c r="D16" s="15">
        <f>B16-C16</f>
        <v/>
      </c>
      <c r="E16" s="18">
        <f>IF(C16=0,"",(B16-C16)/C16)</f>
        <v/>
      </c>
      <c r="F16" s="15" t="n"/>
      <c r="G16" s="15" t="n"/>
    </row>
  </sheetData>
  <mergeCells count="2">
    <mergeCell ref="A2:G2"/>
    <mergeCell ref="A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28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11</t>
        </is>
      </c>
    </row>
    <row r="2">
      <c r="A2" s="2" t="inlineStr">
        <is>
          <t>DETTES FINANCIÈRES ET RESSOURCES ASSIMILÉES</t>
        </is>
      </c>
    </row>
    <row r="3"/>
    <row r="4">
      <c r="A4" s="3" t="inlineStr">
        <is>
          <t>Désignation entité : PROJET PADIR</t>
        </is>
      </c>
      <c r="G4" s="3" t="inlineStr">
        <is>
          <t>Exercice clos le : 31/12/2025</t>
        </is>
      </c>
    </row>
    <row r="5">
      <c r="A5" t="inlineStr">
        <is>
          <t>Numéro d'identification : Convention 2023/DR/045</t>
        </is>
      </c>
      <c r="G5" t="inlineStr">
        <is>
          <t>Durée (en mois) : 12</t>
        </is>
      </c>
    </row>
    <row r="6"/>
    <row r="7">
      <c r="A7" s="9" t="inlineStr">
        <is>
          <t>Libellés</t>
        </is>
      </c>
      <c r="B7" s="9" t="inlineStr">
        <is>
          <t>Année N</t>
        </is>
      </c>
      <c r="C7" s="9" t="inlineStr">
        <is>
          <t>Année N-1</t>
        </is>
      </c>
      <c r="D7" s="9" t="inlineStr">
        <is>
          <t>Variation en valeur</t>
        </is>
      </c>
      <c r="E7" s="9" t="inlineStr">
        <is>
          <t>Variation en %</t>
        </is>
      </c>
      <c r="F7" s="9" t="inlineStr">
        <is>
          <t>À un an au plus</t>
        </is>
      </c>
      <c r="G7" s="9" t="inlineStr">
        <is>
          <t>À plus d'un an et deux ans au plus</t>
        </is>
      </c>
      <c r="H7" s="9" t="inlineStr">
        <is>
          <t>À plus de deux ans</t>
        </is>
      </c>
    </row>
    <row r="8">
      <c r="A8" s="10" t="inlineStr">
        <is>
          <t>Emprunts et dettes auprès des établissements de crédit</t>
        </is>
      </c>
      <c r="B8" s="11">
        <f>SUMIF(BALANCE!$A$2:$A$50,"182*",BALANCE!$G$2:$G$50)-SUMIF(BALANCE!$A$2:$A$50,"182*",BALANCE!$F$2:$F$50)</f>
        <v/>
      </c>
      <c r="C8" s="11">
        <f>SUMIF(BALANCE_N1!$A$2:$A$50,"182*",BALANCE_N1!$G$2:$G$50)-SUMIF(BALANCE_N1!$A$2:$A$50,"182*",BALANCE_N1!$F$2:$F$50)</f>
        <v/>
      </c>
      <c r="D8" s="11">
        <f>B8-C8</f>
        <v/>
      </c>
      <c r="E8" s="16">
        <f>IF(C8=0,"",(B8-C8)/C8)</f>
        <v/>
      </c>
      <c r="F8" s="10" t="n"/>
      <c r="G8" s="10" t="n"/>
      <c r="H8" s="10" t="n"/>
    </row>
    <row r="9">
      <c r="A9" s="12" t="inlineStr">
        <is>
          <t>Avances reçues de l'État</t>
        </is>
      </c>
      <c r="B9" s="13">
        <f>SUMIF(BALANCE!$A$2:$A$50,"183*",BALANCE!$G$2:$G$50)-SUMIF(BALANCE!$A$2:$A$50,"183*",BALANCE!$F$2:$F$50)</f>
        <v/>
      </c>
      <c r="C9" s="13">
        <f>SUMIF(BALANCE_N1!$A$2:$A$50,"183*",BALANCE_N1!$G$2:$G$50)-SUMIF(BALANCE_N1!$A$2:$A$50,"183*",BALANCE_N1!$F$2:$F$50)</f>
        <v/>
      </c>
      <c r="D9" s="13">
        <f>B9-C9</f>
        <v/>
      </c>
      <c r="E9" s="17">
        <f>IF(C9=0,"",(B9-C9)/C9)</f>
        <v/>
      </c>
      <c r="F9" s="12" t="n"/>
      <c r="G9" s="12" t="n"/>
      <c r="H9" s="12" t="n"/>
    </row>
    <row r="10">
      <c r="A10" s="10" t="inlineStr">
        <is>
          <t>Dépôts et cautionnements reçus</t>
        </is>
      </c>
      <c r="B10" s="11">
        <f>SUMIF(BALANCE!$A$2:$A$50,"185*",BALANCE!$G$2:$G$50)-SUMIF(BALANCE!$A$2:$A$50,"185*",BALANCE!$F$2:$F$50)</f>
        <v/>
      </c>
      <c r="C10" s="11">
        <f>SUMIF(BALANCE_N1!$A$2:$A$50,"185*",BALANCE_N1!$G$2:$G$50)-SUMIF(BALANCE_N1!$A$2:$A$50,"185*",BALANCE_N1!$F$2:$F$50)</f>
        <v/>
      </c>
      <c r="D10" s="11">
        <f>B10-C10</f>
        <v/>
      </c>
      <c r="E10" s="16">
        <f>IF(C10=0,"",(B10-C10)/C10)</f>
        <v/>
      </c>
      <c r="F10" s="10" t="n"/>
      <c r="G10" s="10" t="n"/>
      <c r="H10" s="10" t="n"/>
    </row>
    <row r="11">
      <c r="A11" s="12" t="inlineStr">
        <is>
          <t>Intérêts courus</t>
        </is>
      </c>
      <c r="B11" s="13">
        <f>SUMIF(BALANCE!$A$2:$A$50,"186*",BALANCE!$G$2:$G$50)-SUMIF(BALANCE!$A$2:$A$50,"186*",BALANCE!$F$2:$F$50)</f>
        <v/>
      </c>
      <c r="C11" s="13">
        <f>SUMIF(BALANCE_N1!$A$2:$A$50,"186*",BALANCE_N1!$G$2:$G$50)-SUMIF(BALANCE_N1!$A$2:$A$50,"186*",BALANCE_N1!$F$2:$F$50)</f>
        <v/>
      </c>
      <c r="D11" s="13">
        <f>B11-C11</f>
        <v/>
      </c>
      <c r="E11" s="17">
        <f>IF(C11=0,"",(B11-C11)/C11)</f>
        <v/>
      </c>
      <c r="F11" s="12" t="n"/>
      <c r="G11" s="12" t="n"/>
      <c r="H11" s="12" t="n"/>
    </row>
    <row r="12">
      <c r="A12" s="10" t="inlineStr">
        <is>
          <t>Autres emprunts et dettes</t>
        </is>
      </c>
      <c r="B12" s="11">
        <f>SUMIF(BALANCE!$A$2:$A$50,"188*",BALANCE!$G$2:$G$50)-SUMIF(BALANCE!$A$2:$A$50,"188*",BALANCE!$F$2:$F$50)+SUMIF(BALANCE!$A$2:$A$50,"181*",BALANCE!$G$2:$G$50)-SUMIF(BALANCE!$A$2:$A$50,"181*",BALANCE!$F$2:$F$50)</f>
        <v/>
      </c>
      <c r="C12" s="11">
        <f>SUMIF(BALANCE_N1!$A$2:$A$50,"188*",BALANCE_N1!$G$2:$G$50)-SUMIF(BALANCE_N1!$A$2:$A$50,"188*",BALANCE_N1!$F$2:$F$50)+SUMIF(BALANCE_N1!$A$2:$A$50,"181*",BALANCE_N1!$G$2:$G$50)-SUMIF(BALANCE_N1!$A$2:$A$50,"181*",BALANCE_N1!$F$2:$F$50)</f>
        <v/>
      </c>
      <c r="D12" s="11">
        <f>B12-C12</f>
        <v/>
      </c>
      <c r="E12" s="16">
        <f>IF(C12=0,"",(B12-C12)/C12)</f>
        <v/>
      </c>
      <c r="F12" s="10" t="n"/>
      <c r="G12" s="10" t="n"/>
      <c r="H12" s="10" t="n"/>
    </row>
    <row r="13">
      <c r="A13" s="14" t="inlineStr">
        <is>
          <t>TOTAL EMPRUNTS ET DETTES FINANCIÈRES</t>
        </is>
      </c>
      <c r="B13" s="15">
        <f>SUM(B8:B12)</f>
        <v/>
      </c>
      <c r="C13" s="15">
        <f>SUM(C8:C12)</f>
        <v/>
      </c>
      <c r="D13" s="15">
        <f>B13-C13</f>
        <v/>
      </c>
      <c r="E13" s="18">
        <f>IF(C13=0,"",(B13-C13)/C13)</f>
        <v/>
      </c>
      <c r="F13" s="15" t="n"/>
      <c r="G13" s="15" t="n"/>
      <c r="H13" s="15" t="n"/>
    </row>
    <row r="14">
      <c r="A14" s="10" t="inlineStr">
        <is>
          <t>Crédit-bail immobilier</t>
        </is>
      </c>
      <c r="B14" s="11">
        <f>SUMIF(BALANCE!$A$2:$A$50,"1871*",BALANCE!$G$2:$G$50)-SUMIF(BALANCE!$A$2:$A$50,"1871*",BALANCE!$F$2:$F$50)</f>
        <v/>
      </c>
      <c r="C14" s="11">
        <f>SUMIF(BALANCE_N1!$A$2:$A$50,"1871*",BALANCE_N1!$G$2:$G$50)-SUMIF(BALANCE_N1!$A$2:$A$50,"1871*",BALANCE_N1!$F$2:$F$50)</f>
        <v/>
      </c>
      <c r="D14" s="11">
        <f>B14-C14</f>
        <v/>
      </c>
      <c r="E14" s="16">
        <f>IF(C14=0,"",(B14-C14)/C14)</f>
        <v/>
      </c>
      <c r="F14" s="10" t="n"/>
      <c r="G14" s="10" t="n"/>
      <c r="H14" s="10" t="n"/>
    </row>
    <row r="15">
      <c r="A15" s="12" t="inlineStr">
        <is>
          <t>Crédit-bail mobilier</t>
        </is>
      </c>
      <c r="B15" s="13">
        <f>SUMIF(BALANCE!$A$2:$A$50,"1872*",BALANCE!$G$2:$G$50)-SUMIF(BALANCE!$A$2:$A$50,"1872*",BALANCE!$F$2:$F$50)</f>
        <v/>
      </c>
      <c r="C15" s="13">
        <f>SUMIF(BALANCE_N1!$A$2:$A$50,"1872*",BALANCE_N1!$G$2:$G$50)-SUMIF(BALANCE_N1!$A$2:$A$50,"1872*",BALANCE_N1!$F$2:$F$50)</f>
        <v/>
      </c>
      <c r="D15" s="13">
        <f>B15-C15</f>
        <v/>
      </c>
      <c r="E15" s="17">
        <f>IF(C15=0,"",(B15-C15)/C15)</f>
        <v/>
      </c>
      <c r="F15" s="12" t="n"/>
      <c r="G15" s="12" t="n"/>
      <c r="H15" s="12" t="n"/>
    </row>
    <row r="16">
      <c r="A16" s="10" t="inlineStr">
        <is>
          <t>Location-vente</t>
        </is>
      </c>
      <c r="B16" s="11">
        <f>SUMIF(BALANCE!$A$2:$A$50,"1873*",BALANCE!$G$2:$G$50)-SUMIF(BALANCE!$A$2:$A$50,"1873*",BALANCE!$F$2:$F$50)</f>
        <v/>
      </c>
      <c r="C16" s="11">
        <f>SUMIF(BALANCE_N1!$A$2:$A$50,"1873*",BALANCE_N1!$G$2:$G$50)-SUMIF(BALANCE_N1!$A$2:$A$50,"1873*",BALANCE_N1!$F$2:$F$50)</f>
        <v/>
      </c>
      <c r="D16" s="11">
        <f>B16-C16</f>
        <v/>
      </c>
      <c r="E16" s="16">
        <f>IF(C16=0,"",(B16-C16)/C16)</f>
        <v/>
      </c>
      <c r="F16" s="10" t="n"/>
      <c r="G16" s="10" t="n"/>
      <c r="H16" s="10" t="n"/>
    </row>
    <row r="17">
      <c r="A17" s="12" t="inlineStr">
        <is>
          <t>Intérêts courus (location-acquisition)</t>
        </is>
      </c>
      <c r="B17" s="13">
        <f>SUMIF(BALANCE!$A$2:$A$50,"1876*",BALANCE!$G$2:$G$50)-SUMIF(BALANCE!$A$2:$A$50,"1876*",BALANCE!$F$2:$F$50)</f>
        <v/>
      </c>
      <c r="C17" s="13">
        <f>SUMIF(BALANCE_N1!$A$2:$A$50,"1876*",BALANCE_N1!$G$2:$G$50)-SUMIF(BALANCE_N1!$A$2:$A$50,"1876*",BALANCE_N1!$F$2:$F$50)</f>
        <v/>
      </c>
      <c r="D17" s="13">
        <f>B17-C17</f>
        <v/>
      </c>
      <c r="E17" s="17">
        <f>IF(C17=0,"",(B17-C17)/C17)</f>
        <v/>
      </c>
      <c r="F17" s="12" t="n"/>
      <c r="G17" s="12" t="n"/>
      <c r="H17" s="12" t="n"/>
    </row>
    <row r="18">
      <c r="A18" s="10" t="inlineStr">
        <is>
          <t>Autres dettes de location-acquisition</t>
        </is>
      </c>
      <c r="B18" s="11">
        <f>SUMIF(BALANCE!$A$2:$A$50,"187*",BALANCE!$G$2:$G$50)-SUMIF(BALANCE!$A$2:$A$50,"187*",BALANCE!$F$2:$F$50)-SUMIF(BALANCE!$A$2:$A$50,"1871*",BALANCE!$G$2:$G$50)+SUMIF(BALANCE!$A$2:$A$50,"1871*",BALANCE!$F$2:$F$50)-SUMIF(BALANCE!$A$2:$A$50,"1876*",BALANCE!$G$2:$G$50)+SUMIF(BALANCE!$A$2:$A$50,"1876*",BALANCE!$F$2:$F$50)-SUMIF(BALANCE!$A$2:$A$50,"1873*",BALANCE!$G$2:$G$50)+SUMIF(BALANCE!$A$2:$A$50,"1873*",BALANCE!$F$2:$F$50)-SUMIF(BALANCE!$A$2:$A$50,"1872*",BALANCE!$G$2:$G$50)+SUMIF(BALANCE!$A$2:$A$50,"1872*",BALANCE!$F$2:$F$50)</f>
        <v/>
      </c>
      <c r="C18" s="11">
        <f>SUMIF(BALANCE_N1!$A$2:$A$50,"187*",BALANCE_N1!$G$2:$G$50)-SUMIF(BALANCE_N1!$A$2:$A$50,"187*",BALANCE_N1!$F$2:$F$50)-SUMIF(BALANCE_N1!$A$2:$A$50,"1871*",BALANCE_N1!$G$2:$G$50)+SUMIF(BALANCE_N1!$A$2:$A$50,"1871*",BALANCE_N1!$F$2:$F$50)-SUMIF(BALANCE_N1!$A$2:$A$50,"1876*",BALANCE_N1!$G$2:$G$50)+SUMIF(BALANCE_N1!$A$2:$A$50,"1876*",BALANCE_N1!$F$2:$F$50)-SUMIF(BALANCE_N1!$A$2:$A$50,"1873*",BALANCE_N1!$G$2:$G$50)+SUMIF(BALANCE_N1!$A$2:$A$50,"1873*",BALANCE_N1!$F$2:$F$50)-SUMIF(BALANCE_N1!$A$2:$A$50,"1872*",BALANCE_N1!$G$2:$G$50)+SUMIF(BALANCE_N1!$A$2:$A$50,"1872*",BALANCE_N1!$F$2:$F$50)</f>
        <v/>
      </c>
      <c r="D18" s="11">
        <f>B18-C18</f>
        <v/>
      </c>
      <c r="E18" s="16">
        <f>IF(C18=0,"",(B18-C18)/C18)</f>
        <v/>
      </c>
      <c r="F18" s="10" t="n"/>
      <c r="G18" s="10" t="n"/>
      <c r="H18" s="10" t="n"/>
    </row>
    <row r="19">
      <c r="A19" s="14" t="inlineStr">
        <is>
          <t>TOTAL DETTES DE LOCATION-ACQUISITION</t>
        </is>
      </c>
      <c r="B19" s="15">
        <f>SUM(B14:B18)</f>
        <v/>
      </c>
      <c r="C19" s="15">
        <f>SUM(C14:C18)</f>
        <v/>
      </c>
      <c r="D19" s="15">
        <f>B19-C19</f>
        <v/>
      </c>
      <c r="E19" s="18">
        <f>IF(C19=0,"",(B19-C19)/C19)</f>
        <v/>
      </c>
      <c r="F19" s="15" t="n"/>
      <c r="G19" s="15" t="n"/>
      <c r="H19" s="15" t="n"/>
    </row>
    <row r="20">
      <c r="A20" s="10" t="inlineStr">
        <is>
          <t>Provisions pour litiges</t>
        </is>
      </c>
      <c r="B20" s="11">
        <f>SUMIF(BALANCE!$A$2:$A$50,"191*",BALANCE!$G$2:$G$50)-SUMIF(BALANCE!$A$2:$A$50,"191*",BALANCE!$F$2:$F$50)</f>
        <v/>
      </c>
      <c r="C20" s="11">
        <f>SUMIF(BALANCE_N1!$A$2:$A$50,"191*",BALANCE_N1!$G$2:$G$50)-SUMIF(BALANCE_N1!$A$2:$A$50,"191*",BALANCE_N1!$F$2:$F$50)</f>
        <v/>
      </c>
      <c r="D20" s="11">
        <f>B20-C20</f>
        <v/>
      </c>
      <c r="E20" s="16">
        <f>IF(C20=0,"",(B20-C20)/C20)</f>
        <v/>
      </c>
      <c r="F20" s="10" t="n"/>
      <c r="G20" s="10" t="n"/>
      <c r="H20" s="10" t="n"/>
    </row>
    <row r="21">
      <c r="A21" s="12" t="inlineStr">
        <is>
          <t>Provisions pour pertes de change</t>
        </is>
      </c>
      <c r="B21" s="13">
        <f>SUMIF(BALANCE!$A$2:$A$50,"194*",BALANCE!$G$2:$G$50)-SUMIF(BALANCE!$A$2:$A$50,"194*",BALANCE!$F$2:$F$50)</f>
        <v/>
      </c>
      <c r="C21" s="13">
        <f>SUMIF(BALANCE_N1!$A$2:$A$50,"194*",BALANCE_N1!$G$2:$G$50)-SUMIF(BALANCE_N1!$A$2:$A$50,"194*",BALANCE_N1!$F$2:$F$50)</f>
        <v/>
      </c>
      <c r="D21" s="13">
        <f>B21-C21</f>
        <v/>
      </c>
      <c r="E21" s="17">
        <f>IF(C21=0,"",(B21-C21)/C21)</f>
        <v/>
      </c>
      <c r="F21" s="12" t="n"/>
      <c r="G21" s="12" t="n"/>
      <c r="H21" s="12" t="n"/>
    </row>
    <row r="22">
      <c r="A22" s="10" t="inlineStr">
        <is>
          <t>Provisions pour pensions et obligations assimilées</t>
        </is>
      </c>
      <c r="B22" s="11">
        <f>SUMIF(BALANCE!$A$2:$A$50,"196*",BALANCE!$G$2:$G$50)-SUMIF(BALANCE!$A$2:$A$50,"196*",BALANCE!$F$2:$F$50)</f>
        <v/>
      </c>
      <c r="C22" s="11">
        <f>SUMIF(BALANCE_N1!$A$2:$A$50,"196*",BALANCE_N1!$G$2:$G$50)-SUMIF(BALANCE_N1!$A$2:$A$50,"196*",BALANCE_N1!$F$2:$F$50)</f>
        <v/>
      </c>
      <c r="D22" s="11">
        <f>B22-C22</f>
        <v/>
      </c>
      <c r="E22" s="16">
        <f>IF(C22=0,"",(B22-C22)/C22)</f>
        <v/>
      </c>
      <c r="F22" s="10" t="n"/>
      <c r="G22" s="10" t="n"/>
      <c r="H22" s="10" t="n"/>
    </row>
    <row r="23">
      <c r="A23" s="12" t="inlineStr">
        <is>
          <t>Autres provisions pour risques et charges</t>
        </is>
      </c>
      <c r="B23" s="13">
        <f>SUMIF(BALANCE!$A$2:$A$50,"198*",BALANCE!$G$2:$G$50)-SUMIF(BALANCE!$A$2:$A$50,"198*",BALANCE!$F$2:$F$50)+SUMIF(BALANCE!$A$2:$A$50,"192*",BALANCE!$G$2:$G$50)-SUMIF(BALANCE!$A$2:$A$50,"192*",BALANCE!$F$2:$F$50)</f>
        <v/>
      </c>
      <c r="C23" s="13">
        <f>SUMIF(BALANCE_N1!$A$2:$A$50,"198*",BALANCE_N1!$G$2:$G$50)-SUMIF(BALANCE_N1!$A$2:$A$50,"198*",BALANCE_N1!$F$2:$F$50)+SUMIF(BALANCE_N1!$A$2:$A$50,"192*",BALANCE_N1!$G$2:$G$50)-SUMIF(BALANCE_N1!$A$2:$A$50,"192*",BALANCE_N1!$F$2:$F$50)</f>
        <v/>
      </c>
      <c r="D23" s="13">
        <f>B23-C23</f>
        <v/>
      </c>
      <c r="E23" s="17">
        <f>IF(C23=0,"",(B23-C23)/C23)</f>
        <v/>
      </c>
      <c r="F23" s="12" t="n"/>
      <c r="G23" s="12" t="n"/>
      <c r="H23" s="12" t="n"/>
    </row>
    <row r="24">
      <c r="A24" s="14" t="inlineStr">
        <is>
          <t>TOTAL PROVISIONS FINANCIÈRES POUR RISQUES ET CHARGES</t>
        </is>
      </c>
      <c r="B24" s="15">
        <f>SUM(B20:B23)</f>
        <v/>
      </c>
      <c r="C24" s="15">
        <f>SUM(C20:C23)</f>
        <v/>
      </c>
      <c r="D24" s="15">
        <f>B24-C24</f>
        <v/>
      </c>
      <c r="E24" s="18">
        <f>IF(C24=0,"",(B24-C24)/C24)</f>
        <v/>
      </c>
      <c r="F24" s="15" t="n"/>
      <c r="G24" s="15" t="n"/>
      <c r="H24" s="15" t="n"/>
    </row>
    <row r="25">
      <c r="A25" s="14" t="inlineStr">
        <is>
          <t>TOTAL DETTES FINANCIÈRES ET RESSOURCES ASSIMILÉES</t>
        </is>
      </c>
      <c r="B25" s="15">
        <f>B13+B19+B24</f>
        <v/>
      </c>
      <c r="C25" s="15">
        <f>C13+C19+C24</f>
        <v/>
      </c>
      <c r="D25" s="15">
        <f>B25-C25</f>
        <v/>
      </c>
      <c r="E25" s="18">
        <f>IF(C25=0,"",(B25-C25)/C25)</f>
        <v/>
      </c>
      <c r="F25" s="15" t="n"/>
      <c r="G25" s="15" t="n"/>
      <c r="H25" s="15" t="n"/>
    </row>
    <row r="26"/>
    <row r="27">
      <c r="A27" s="3" t="inlineStr">
        <is>
          <t>Commentaires :</t>
        </is>
      </c>
    </row>
    <row r="28">
      <c r="A28" s="5" t="inlineStr">
        <is>
          <t>• Pour chaque emprunt : date d'octroi, organisme, montant initial, durée, garanties données.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12</t>
        </is>
      </c>
    </row>
    <row r="2">
      <c r="A2" s="2" t="inlineStr">
        <is>
          <t>DETTES FOURNISSEURS ET ASSIMILÉES, FISCALES ET SOCIALES</t>
        </is>
      </c>
    </row>
    <row r="3"/>
    <row r="4">
      <c r="A4" s="3" t="inlineStr">
        <is>
          <t>Désignation entité : PROJET PADIR</t>
        </is>
      </c>
      <c r="G4" s="3" t="inlineStr">
        <is>
          <t>Exercice clos le : 31/12/2025</t>
        </is>
      </c>
    </row>
    <row r="5">
      <c r="A5" t="inlineStr">
        <is>
          <t>Numéro d'identification : Convention 2023/DR/045</t>
        </is>
      </c>
      <c r="G5" t="inlineStr">
        <is>
          <t>Durée (en mois) : 12</t>
        </is>
      </c>
    </row>
    <row r="6"/>
    <row r="7">
      <c r="A7" s="9" t="inlineStr">
        <is>
          <t>Libellés</t>
        </is>
      </c>
      <c r="B7" s="9" t="inlineStr">
        <is>
          <t>Année N</t>
        </is>
      </c>
      <c r="C7" s="9" t="inlineStr">
        <is>
          <t>Année N-1</t>
        </is>
      </c>
      <c r="D7" s="9" t="inlineStr">
        <is>
          <t>Variation en valeur</t>
        </is>
      </c>
      <c r="E7" s="9" t="inlineStr">
        <is>
          <t>Variation en %</t>
        </is>
      </c>
      <c r="F7" s="9" t="inlineStr">
        <is>
          <t>À un an au plus</t>
        </is>
      </c>
      <c r="G7" s="9" t="inlineStr">
        <is>
          <t>À plus d'un an et deux ans au plus</t>
        </is>
      </c>
      <c r="H7" s="9" t="inlineStr">
        <is>
          <t>À plus de deux ans</t>
        </is>
      </c>
    </row>
    <row r="8">
      <c r="A8" s="10" t="inlineStr">
        <is>
          <t>Fournisseurs</t>
        </is>
      </c>
      <c r="B8" s="11">
        <f>SUMIF(BALANCE!$A$2:$A$50,"40*",BALANCE!$G$2:$G$50)-SUMIF(BALANCE!$A$2:$A$50,"40*",BALANCE!$F$2:$F$50)-SUMIF(BALANCE!$A$2:$A$50,"409*",BALANCE!$G$2:$G$50)+SUMIF(BALANCE!$A$2:$A$50,"409*",BALANCE!$F$2:$F$50)</f>
        <v/>
      </c>
      <c r="C8" s="11">
        <f>SUMIF(BALANCE_N1!$A$2:$A$50,"40*",BALANCE_N1!$G$2:$G$50)-SUMIF(BALANCE_N1!$A$2:$A$50,"40*",BALANCE_N1!$F$2:$F$50)-SUMIF(BALANCE_N1!$A$2:$A$50,"409*",BALANCE_N1!$G$2:$G$50)+SUMIF(BALANCE_N1!$A$2:$A$50,"409*",BALANCE_N1!$F$2:$F$50)</f>
        <v/>
      </c>
      <c r="D8" s="11">
        <f>B8-C8</f>
        <v/>
      </c>
      <c r="E8" s="16">
        <f>IF(C8=0,"",(B8-C8)/C8)</f>
        <v/>
      </c>
      <c r="F8" s="10" t="n"/>
      <c r="G8" s="10" t="n"/>
      <c r="H8" s="10" t="n"/>
    </row>
    <row r="9">
      <c r="A9" s="12" t="inlineStr">
        <is>
          <t>Clients-usagers créditeurs</t>
        </is>
      </c>
      <c r="B9" s="13">
        <f>SUMIF(BALANCE!$A$2:$A$50,"419*",BALANCE!$G$2:$G$50)-SUMIF(BALANCE!$A$2:$A$50,"419*",BALANCE!$F$2:$F$50)</f>
        <v/>
      </c>
      <c r="C9" s="13">
        <f>SUMIF(BALANCE_N1!$A$2:$A$50,"419*",BALANCE_N1!$G$2:$G$50)-SUMIF(BALANCE_N1!$A$2:$A$50,"419*",BALANCE_N1!$F$2:$F$50)</f>
        <v/>
      </c>
      <c r="D9" s="13">
        <f>B9-C9</f>
        <v/>
      </c>
      <c r="E9" s="17">
        <f>IF(C9=0,"",(B9-C9)/C9)</f>
        <v/>
      </c>
      <c r="F9" s="12" t="n"/>
      <c r="G9" s="12" t="n"/>
      <c r="H9" s="12" t="n"/>
    </row>
    <row r="10">
      <c r="A10" s="14" t="inlineStr">
        <is>
          <t>DETTES FOURNISSEURS ET ASSIMILÉES</t>
        </is>
      </c>
      <c r="B10" s="15">
        <f>SUM(B8:B9)</f>
        <v/>
      </c>
      <c r="C10" s="15">
        <f>SUM(C8:C9)</f>
        <v/>
      </c>
      <c r="D10" s="15">
        <f>B10-C10</f>
        <v/>
      </c>
      <c r="E10" s="18">
        <f>IF(C10=0,"",(B10-C10)/C10)</f>
        <v/>
      </c>
      <c r="F10" s="15" t="n"/>
      <c r="G10" s="15" t="n"/>
      <c r="H10" s="15" t="n"/>
    </row>
    <row r="11">
      <c r="A11" s="12" t="inlineStr">
        <is>
          <t>Personnel, rémunérations dues</t>
        </is>
      </c>
      <c r="B11" s="13">
        <f>SUMIF(BALANCE!$A$2:$A$50,"422*",BALANCE!$G$2:$G$50)</f>
        <v/>
      </c>
      <c r="C11" s="13">
        <f>SUMIF(BALANCE_N1!$A$2:$A$50,"422*",BALANCE_N1!$G$2:$G$50)</f>
        <v/>
      </c>
      <c r="D11" s="13">
        <f>B11-C11</f>
        <v/>
      </c>
      <c r="E11" s="17">
        <f>IF(C11=0,"",(B11-C11)/C11)</f>
        <v/>
      </c>
      <c r="F11" s="12" t="n"/>
      <c r="G11" s="12" t="n"/>
      <c r="H11" s="12" t="n"/>
    </row>
    <row r="12">
      <c r="A12" s="10" t="inlineStr">
        <is>
          <t>Personnel, congés à payer</t>
        </is>
      </c>
      <c r="B12" s="11">
        <f>SUMIF(BALANCE!$A$2:$A$50,"4281*",BALANCE!$G$2:$G$50)</f>
        <v/>
      </c>
      <c r="C12" s="11">
        <f>SUMIF(BALANCE_N1!$A$2:$A$50,"4281*",BALANCE_N1!$G$2:$G$50)</f>
        <v/>
      </c>
      <c r="D12" s="11">
        <f>B12-C12</f>
        <v/>
      </c>
      <c r="E12" s="16">
        <f>IF(C12=0,"",(B12-C12)/C12)</f>
        <v/>
      </c>
      <c r="F12" s="10" t="n"/>
      <c r="G12" s="10" t="n"/>
      <c r="H12" s="10" t="n"/>
    </row>
    <row r="13">
      <c r="A13" s="12" t="inlineStr">
        <is>
          <t>Charges sociales sur congés à payer</t>
        </is>
      </c>
      <c r="B13" s="13">
        <f>SUMIF(BALANCE!$A$2:$A$50,"4382*",BALANCE!$G$2:$G$50)</f>
        <v/>
      </c>
      <c r="C13" s="13">
        <f>SUMIF(BALANCE_N1!$A$2:$A$50,"4382*",BALANCE_N1!$G$2:$G$50)</f>
        <v/>
      </c>
      <c r="D13" s="13">
        <f>B13-C13</f>
        <v/>
      </c>
      <c r="E13" s="17">
        <f>IF(C13=0,"",(B13-C13)/C13)</f>
        <v/>
      </c>
      <c r="F13" s="12" t="n"/>
      <c r="G13" s="12" t="n"/>
      <c r="H13" s="12" t="n"/>
    </row>
    <row r="14">
      <c r="A14" s="10" t="inlineStr">
        <is>
          <t>Autres personnel</t>
        </is>
      </c>
      <c r="B14" s="11">
        <f>SUMIF(BALANCE!$A$2:$A$50,"425*",BALANCE!$G$2:$G$50)+SUMIF(BALANCE!$A$2:$A$50,"428*",BALANCE!$G$2:$G$50)+SUMIF(BALANCE!$A$2:$A$50,"421*",BALANCE!$G$2:$G$50)+SUMIF(BALANCE!$A$2:$A$50,"427*",BALANCE!$G$2:$G$50)+SUMIF(BALANCE!$A$2:$A$50,"424*",BALANCE!$G$2:$G$50)+SUMIF(BALANCE!$A$2:$A$50,"423*",BALANCE!$G$2:$G$50)-SUMIF(BALANCE!$A$2:$A$50,"4281*",BALANCE!$G$2:$G$50)</f>
        <v/>
      </c>
      <c r="C14" s="11">
        <f>SUMIF(BALANCE_N1!$A$2:$A$50,"425*",BALANCE_N1!$G$2:$G$50)+SUMIF(BALANCE_N1!$A$2:$A$50,"428*",BALANCE_N1!$G$2:$G$50)+SUMIF(BALANCE_N1!$A$2:$A$50,"421*",BALANCE_N1!$G$2:$G$50)+SUMIF(BALANCE_N1!$A$2:$A$50,"427*",BALANCE_N1!$G$2:$G$50)+SUMIF(BALANCE_N1!$A$2:$A$50,"424*",BALANCE_N1!$G$2:$G$50)+SUMIF(BALANCE_N1!$A$2:$A$50,"423*",BALANCE_N1!$G$2:$G$50)-SUMIF(BALANCE_N1!$A$2:$A$50,"4281*",BALANCE_N1!$G$2:$G$50)</f>
        <v/>
      </c>
      <c r="D14" s="11">
        <f>B14-C14</f>
        <v/>
      </c>
      <c r="E14" s="16">
        <f>IF(C14=0,"",(B14-C14)/C14)</f>
        <v/>
      </c>
      <c r="F14" s="10" t="n"/>
      <c r="G14" s="10" t="n"/>
      <c r="H14" s="10" t="n"/>
    </row>
    <row r="15">
      <c r="A15" s="12" t="inlineStr">
        <is>
          <t>Caisse de sécurité sociale</t>
        </is>
      </c>
      <c r="B15" s="13">
        <f>SUMIF(BALANCE!$A$2:$A$50,"431*",BALANCE!$G$2:$G$50)</f>
        <v/>
      </c>
      <c r="C15" s="13">
        <f>SUMIF(BALANCE_N1!$A$2:$A$50,"431*",BALANCE_N1!$G$2:$G$50)</f>
        <v/>
      </c>
      <c r="D15" s="13">
        <f>B15-C15</f>
        <v/>
      </c>
      <c r="E15" s="17">
        <f>IF(C15=0,"",(B15-C15)/C15)</f>
        <v/>
      </c>
      <c r="F15" s="12" t="n"/>
      <c r="G15" s="12" t="n"/>
      <c r="H15" s="12" t="n"/>
    </row>
    <row r="16">
      <c r="A16" s="10" t="inlineStr">
        <is>
          <t>Caisse de retraite</t>
        </is>
      </c>
      <c r="B16" s="11">
        <f>SUMIF(BALANCE!$A$2:$A$50,"432*",BALANCE!$G$2:$G$50)</f>
        <v/>
      </c>
      <c r="C16" s="11">
        <f>SUMIF(BALANCE_N1!$A$2:$A$50,"432*",BALANCE_N1!$G$2:$G$50)</f>
        <v/>
      </c>
      <c r="D16" s="11">
        <f>B16-C16</f>
        <v/>
      </c>
      <c r="E16" s="16">
        <f>IF(C16=0,"",(B16-C16)/C16)</f>
        <v/>
      </c>
      <c r="F16" s="10" t="n"/>
      <c r="G16" s="10" t="n"/>
      <c r="H16" s="10" t="n"/>
    </row>
    <row r="17">
      <c r="A17" s="12" t="inlineStr">
        <is>
          <t>Mutuelle de santé</t>
        </is>
      </c>
      <c r="B17" s="13">
        <f>SUMIF(BALANCE!$A$2:$A$50,"4331*",BALANCE!$G$2:$G$50)</f>
        <v/>
      </c>
      <c r="C17" s="13">
        <f>SUMIF(BALANCE_N1!$A$2:$A$50,"4331*",BALANCE_N1!$G$2:$G$50)</f>
        <v/>
      </c>
      <c r="D17" s="13">
        <f>B17-C17</f>
        <v/>
      </c>
      <c r="E17" s="17">
        <f>IF(C17=0,"",(B17-C17)/C17)</f>
        <v/>
      </c>
      <c r="F17" s="12" t="n"/>
      <c r="G17" s="12" t="n"/>
      <c r="H17" s="12" t="n"/>
    </row>
    <row r="18">
      <c r="A18" s="10" t="inlineStr">
        <is>
          <t>Assurance retraite</t>
        </is>
      </c>
      <c r="B18" s="11">
        <f>SUMIF(BALANCE!$A$2:$A$50,"4332*",BALANCE!$G$2:$G$50)</f>
        <v/>
      </c>
      <c r="C18" s="11">
        <f>SUMIF(BALANCE_N1!$A$2:$A$50,"4332*",BALANCE_N1!$G$2:$G$50)</f>
        <v/>
      </c>
      <c r="D18" s="11">
        <f>B18-C18</f>
        <v/>
      </c>
      <c r="E18" s="16">
        <f>IF(C18=0,"",(B18-C18)/C18)</f>
        <v/>
      </c>
      <c r="F18" s="10" t="n"/>
      <c r="G18" s="10" t="n"/>
      <c r="H18" s="10" t="n"/>
    </row>
    <row r="19">
      <c r="A19" s="12" t="inlineStr">
        <is>
          <t>Autres charges sociales et cotisations</t>
        </is>
      </c>
      <c r="B19" s="13">
        <f>SUMIF(BALANCE!$A$2:$A$50,"438*",BALANCE!$G$2:$G$50)+SUMIF(BALANCE!$A$2:$A$50,"4333*",BALANCE!$G$2:$G$50)-SUMIF(BALANCE!$A$2:$A$50,"4382*",BALANCE!$G$2:$G$50)</f>
        <v/>
      </c>
      <c r="C19" s="13">
        <f>SUMIF(BALANCE_N1!$A$2:$A$50,"438*",BALANCE_N1!$G$2:$G$50)+SUMIF(BALANCE_N1!$A$2:$A$50,"4333*",BALANCE_N1!$G$2:$G$50)-SUMIF(BALANCE_N1!$A$2:$A$50,"4382*",BALANCE_N1!$G$2:$G$50)</f>
        <v/>
      </c>
      <c r="D19" s="13">
        <f>B19-C19</f>
        <v/>
      </c>
      <c r="E19" s="17">
        <f>IF(C19=0,"",(B19-C19)/C19)</f>
        <v/>
      </c>
      <c r="F19" s="12" t="n"/>
      <c r="G19" s="12" t="n"/>
      <c r="H19" s="12" t="n"/>
    </row>
    <row r="20">
      <c r="A20" s="14" t="inlineStr">
        <is>
          <t>TOTAL DETTES SOCIALES</t>
        </is>
      </c>
      <c r="B20" s="15">
        <f>SUM(B11:B19)</f>
        <v/>
      </c>
      <c r="C20" s="15">
        <f>SUM(C11:C19)</f>
        <v/>
      </c>
      <c r="D20" s="15">
        <f>B20-C20</f>
        <v/>
      </c>
      <c r="E20" s="18">
        <f>IF(C20=0,"",(B20-C20)/C20)</f>
        <v/>
      </c>
      <c r="F20" s="15" t="n"/>
      <c r="G20" s="15" t="n"/>
      <c r="H20" s="15" t="n"/>
    </row>
    <row r="21">
      <c r="A21" s="12" t="inlineStr">
        <is>
          <t>État, autres impôts et taxes</t>
        </is>
      </c>
      <c r="B21" s="13">
        <f>SUMIF(BALANCE!$A$2:$A$50,"446*",BALANCE!$G$2:$G$50)+SUMIF(BALANCE!$A$2:$A$50,"442*",BALANCE!$G$2:$G$50)</f>
        <v/>
      </c>
      <c r="C21" s="13">
        <f>SUMIF(BALANCE_N1!$A$2:$A$50,"446*",BALANCE_N1!$G$2:$G$50)+SUMIF(BALANCE_N1!$A$2:$A$50,"442*",BALANCE_N1!$G$2:$G$50)</f>
        <v/>
      </c>
      <c r="D21" s="13">
        <f>B21-C21</f>
        <v/>
      </c>
      <c r="E21" s="17">
        <f>IF(C21=0,"",(B21-C21)/C21)</f>
        <v/>
      </c>
      <c r="F21" s="12" t="n"/>
      <c r="G21" s="12" t="n"/>
      <c r="H21" s="12" t="n"/>
    </row>
    <row r="22">
      <c r="A22" s="10" t="inlineStr">
        <is>
          <t>État, TVA</t>
        </is>
      </c>
      <c r="B22" s="11">
        <f>SUMIF(BALANCE!$A$2:$A$50,"444*",BALANCE!$G$2:$G$50)+SUMIF(BALANCE!$A$2:$A$50,"445*",BALANCE!$G$2:$G$50)+SUMIF(BALANCE!$A$2:$A$50,"443*",BALANCE!$G$2:$G$50)</f>
        <v/>
      </c>
      <c r="C22" s="11">
        <f>SUMIF(BALANCE_N1!$A$2:$A$50,"444*",BALANCE_N1!$G$2:$G$50)+SUMIF(BALANCE_N1!$A$2:$A$50,"445*",BALANCE_N1!$G$2:$G$50)+SUMIF(BALANCE_N1!$A$2:$A$50,"443*",BALANCE_N1!$G$2:$G$50)</f>
        <v/>
      </c>
      <c r="D22" s="11">
        <f>B22-C22</f>
        <v/>
      </c>
      <c r="E22" s="16">
        <f>IF(C22=0,"",(B22-C22)/C22)</f>
        <v/>
      </c>
      <c r="F22" s="10" t="n"/>
      <c r="G22" s="10" t="n"/>
      <c r="H22" s="10" t="n"/>
    </row>
    <row r="23">
      <c r="A23" s="12" t="inlineStr">
        <is>
          <t>État, impôts retenus à la source</t>
        </is>
      </c>
      <c r="B23" s="13">
        <f>SUMIF(BALANCE!$A$2:$A$50,"447*",BALANCE!$G$2:$G$50)</f>
        <v/>
      </c>
      <c r="C23" s="13">
        <f>SUMIF(BALANCE_N1!$A$2:$A$50,"447*",BALANCE_N1!$G$2:$G$50)</f>
        <v/>
      </c>
      <c r="D23" s="13">
        <f>B23-C23</f>
        <v/>
      </c>
      <c r="E23" s="17">
        <f>IF(C23=0,"",(B23-C23)/C23)</f>
        <v/>
      </c>
      <c r="F23" s="12" t="n"/>
      <c r="G23" s="12" t="n"/>
      <c r="H23" s="12" t="n"/>
    </row>
    <row r="24">
      <c r="A24" s="10" t="inlineStr">
        <is>
          <t>Autres dettes État</t>
        </is>
      </c>
      <c r="B24" s="11">
        <f>SUMIF(BALANCE!$A$2:$A$50,"448*",BALANCE!$G$2:$G$50)+SUMIF(BALANCE!$A$2:$A$50,"449*",BALANCE!$G$2:$G$50)</f>
        <v/>
      </c>
      <c r="C24" s="11">
        <f>SUMIF(BALANCE_N1!$A$2:$A$50,"448*",BALANCE_N1!$G$2:$G$50)+SUMIF(BALANCE_N1!$A$2:$A$50,"449*",BALANCE_N1!$G$2:$G$50)</f>
        <v/>
      </c>
      <c r="D24" s="11">
        <f>B24-C24</f>
        <v/>
      </c>
      <c r="E24" s="16">
        <f>IF(C24=0,"",(B24-C24)/C24)</f>
        <v/>
      </c>
      <c r="F24" s="10" t="n"/>
      <c r="G24" s="10" t="n"/>
      <c r="H24" s="10" t="n"/>
    </row>
    <row r="25">
      <c r="A25" s="14" t="inlineStr">
        <is>
          <t>TOTAL DETTES FISCALES</t>
        </is>
      </c>
      <c r="B25" s="15">
        <f>SUM(B21:B24)</f>
        <v/>
      </c>
      <c r="C25" s="15">
        <f>SUM(C21:C24)</f>
        <v/>
      </c>
      <c r="D25" s="15">
        <f>B25-C25</f>
        <v/>
      </c>
      <c r="E25" s="18">
        <f>IF(C25=0,"",(B25-C25)/C25)</f>
        <v/>
      </c>
      <c r="F25" s="15" t="n"/>
      <c r="G25" s="15" t="n"/>
      <c r="H25" s="15" t="n"/>
    </row>
    <row r="26">
      <c r="A26" s="14" t="inlineStr">
        <is>
          <t>TOTAL DETTES FOURNISSEURS ET ASSIMILÉES, FISCALES ET SOCIALES</t>
        </is>
      </c>
      <c r="B26" s="15">
        <f>B10+B20+B25</f>
        <v/>
      </c>
      <c r="C26" s="15">
        <f>C10+C20+C25</f>
        <v/>
      </c>
      <c r="D26" s="15">
        <f>B26-C26</f>
        <v/>
      </c>
      <c r="E26" s="18">
        <f>IF(C26=0,"",(B26-C26)/C26)</f>
        <v/>
      </c>
      <c r="F26" s="15" t="n"/>
      <c r="G26" s="15" t="n"/>
      <c r="H26" s="15" t="n"/>
    </row>
  </sheetData>
  <mergeCells count="2">
    <mergeCell ref="A2:H2"/>
    <mergeCell ref="A1:H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13</t>
        </is>
      </c>
    </row>
    <row r="2">
      <c r="A2" s="2" t="inlineStr">
        <is>
          <t>BANQUES, CRÉDIT D'ESCOMPTE ET DE TRÉSORERIE</t>
        </is>
      </c>
    </row>
    <row r="3"/>
    <row r="4">
      <c r="A4" s="3" t="inlineStr">
        <is>
          <t>Désignation entité : PROJET PADIR</t>
        </is>
      </c>
      <c r="D4" s="3" t="inlineStr">
        <is>
          <t>Exercice clos le : 31/12/2025</t>
        </is>
      </c>
    </row>
    <row r="5">
      <c r="A5" t="inlineStr">
        <is>
          <t>Numéro d'identification : Convention 2023/DR/045</t>
        </is>
      </c>
      <c r="D5" t="inlineStr">
        <is>
          <t>Durée (en mois) : 12</t>
        </is>
      </c>
    </row>
    <row r="6"/>
    <row r="7">
      <c r="A7" s="9" t="inlineStr">
        <is>
          <t>Libellés</t>
        </is>
      </c>
      <c r="B7" s="9" t="inlineStr">
        <is>
          <t>Année N</t>
        </is>
      </c>
      <c r="C7" s="9" t="inlineStr">
        <is>
          <t>Année N-1</t>
        </is>
      </c>
      <c r="D7" s="9" t="inlineStr">
        <is>
          <t>Variation en valeur</t>
        </is>
      </c>
      <c r="E7" s="9" t="inlineStr">
        <is>
          <t>Variation en %</t>
        </is>
      </c>
    </row>
    <row r="8">
      <c r="A8" s="10" t="inlineStr">
        <is>
          <t>Escomptes de crédits ordinaires</t>
        </is>
      </c>
      <c r="B8" s="11">
        <f>SUMIF(BALANCE!$A$2:$A$50,"565*",BALANCE!$G$2:$G$50)</f>
        <v/>
      </c>
      <c r="C8" s="11">
        <f>SUMIF(BALANCE_N1!$A$2:$A$50,"565*",BALANCE_N1!$G$2:$G$50)</f>
        <v/>
      </c>
      <c r="D8" s="11">
        <f>B8-C8</f>
        <v/>
      </c>
      <c r="E8" s="16">
        <f>IF(C8=0,"",(B8-C8)/C8)</f>
        <v/>
      </c>
    </row>
    <row r="9">
      <c r="A9" s="14" t="inlineStr">
        <is>
          <t>TOTAL : BANQUES, CRÉDITS D'ESCOMPTE</t>
        </is>
      </c>
      <c r="B9" s="15">
        <f>SUM(B8:B8)</f>
        <v/>
      </c>
      <c r="C9" s="15">
        <f>SUM(C8:C8)</f>
        <v/>
      </c>
      <c r="D9" s="15">
        <f>B9-C9</f>
        <v/>
      </c>
      <c r="E9" s="18">
        <f>IF(C9=0,"",(B9-C9)/C9)</f>
        <v/>
      </c>
    </row>
    <row r="10">
      <c r="A10" s="10" t="inlineStr">
        <is>
          <t>Banques locales</t>
        </is>
      </c>
      <c r="B10" s="11">
        <f>SUMIF(BALANCE!$A$2:$A$50,"521*",BALANCE!$G$2:$G$50)</f>
        <v/>
      </c>
      <c r="C10" s="11">
        <f>SUMIF(BALANCE_N1!$A$2:$A$50,"521*",BALANCE_N1!$G$2:$G$50)</f>
        <v/>
      </c>
      <c r="D10" s="11">
        <f>B10-C10</f>
        <v/>
      </c>
      <c r="E10" s="16">
        <f>IF(C10=0,"",(B10-C10)/C10)</f>
        <v/>
      </c>
    </row>
    <row r="11">
      <c r="A11" s="12" t="inlineStr">
        <is>
          <t>Banques autres États région</t>
        </is>
      </c>
      <c r="B11" s="13">
        <f>SUMIF(BALANCE!$A$2:$A$50,"522*",BALANCE!$G$2:$G$50)</f>
        <v/>
      </c>
      <c r="C11" s="13">
        <f>SUMIF(BALANCE_N1!$A$2:$A$50,"522*",BALANCE_N1!$G$2:$G$50)</f>
        <v/>
      </c>
      <c r="D11" s="13">
        <f>B11-C11</f>
        <v/>
      </c>
      <c r="E11" s="17">
        <f>IF(C11=0,"",(B11-C11)/C11)</f>
        <v/>
      </c>
    </row>
    <row r="12">
      <c r="A12" s="10" t="inlineStr">
        <is>
          <t>Autres banques</t>
        </is>
      </c>
      <c r="B12" s="11">
        <f>SUMIF(BALANCE!$A$2:$A$50,"524*",BALANCE!$G$2:$G$50)+SUMIF(BALANCE!$A$2:$A$50,"523*",BALANCE!$G$2:$G$50)+SUMIF(BALANCE!$A$2:$A$50,"525*",BALANCE!$G$2:$G$50)</f>
        <v/>
      </c>
      <c r="C12" s="11">
        <f>SUMIF(BALANCE_N1!$A$2:$A$50,"524*",BALANCE_N1!$G$2:$G$50)+SUMIF(BALANCE_N1!$A$2:$A$50,"523*",BALANCE_N1!$G$2:$G$50)+SUMIF(BALANCE_N1!$A$2:$A$50,"525*",BALANCE_N1!$G$2:$G$50)</f>
        <v/>
      </c>
      <c r="D12" s="11">
        <f>B12-C12</f>
        <v/>
      </c>
      <c r="E12" s="16">
        <f>IF(C12=0,"",(B12-C12)/C12)</f>
        <v/>
      </c>
    </row>
    <row r="13">
      <c r="A13" s="12" t="inlineStr">
        <is>
          <t>Banques, intérêts courus</t>
        </is>
      </c>
      <c r="B13" s="13">
        <f>SUMIF(BALANCE!$A$2:$A$50,"566*",BALANCE!$G$2:$G$50)+SUMIF(BALANCE!$A$2:$A$50,"526*",BALANCE!$G$2:$G$50)</f>
        <v/>
      </c>
      <c r="C13" s="13">
        <f>SUMIF(BALANCE_N1!$A$2:$A$50,"566*",BALANCE_N1!$G$2:$G$50)+SUMIF(BALANCE_N1!$A$2:$A$50,"526*",BALANCE_N1!$G$2:$G$50)</f>
        <v/>
      </c>
      <c r="D13" s="13">
        <f>B13-C13</f>
        <v/>
      </c>
      <c r="E13" s="17">
        <f>IF(C13=0,"",(B13-C13)/C13)</f>
        <v/>
      </c>
    </row>
    <row r="14">
      <c r="A14" s="10" t="inlineStr">
        <is>
          <t>Crédit de trésorerie</t>
        </is>
      </c>
      <c r="B14" s="11">
        <f>SUMIF(BALANCE!$A$2:$A$50,"561*",BALANCE!$G$2:$G$50)</f>
        <v/>
      </c>
      <c r="C14" s="11">
        <f>SUMIF(BALANCE_N1!$A$2:$A$50,"561*",BALANCE_N1!$G$2:$G$50)</f>
        <v/>
      </c>
      <c r="D14" s="11">
        <f>B14-C14</f>
        <v/>
      </c>
      <c r="E14" s="16">
        <f>IF(C14=0,"",(B14-C14)/C14)</f>
        <v/>
      </c>
    </row>
    <row r="15">
      <c r="A15" s="14" t="inlineStr">
        <is>
          <t>TOTAL : BANQUES, CRÉDITS DE TRÉSORERIE</t>
        </is>
      </c>
      <c r="B15" s="15">
        <f>SUM(B10:B14)</f>
        <v/>
      </c>
      <c r="C15" s="15">
        <f>SUM(C10:C14)</f>
        <v/>
      </c>
      <c r="D15" s="15">
        <f>B15-C15</f>
        <v/>
      </c>
      <c r="E15" s="18">
        <f>IF(C15=0,"",(B15-C15)/C15)</f>
        <v/>
      </c>
    </row>
    <row r="16">
      <c r="A16" s="14" t="inlineStr">
        <is>
          <t>TOTAL GÉNÉRAL</t>
        </is>
      </c>
      <c r="B16" s="15">
        <f>B9+B15</f>
        <v/>
      </c>
      <c r="C16" s="15">
        <f>C9+C15</f>
        <v/>
      </c>
      <c r="D16" s="15">
        <f>B16-C16</f>
        <v/>
      </c>
      <c r="E16" s="18">
        <f>IF(C16=0,"",(B16-C16)/C16)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14</t>
        </is>
      </c>
    </row>
    <row r="2">
      <c r="A2" s="2" t="inlineStr">
        <is>
          <t>REVENUS ET AUTRES PRODUITS</t>
        </is>
      </c>
    </row>
    <row r="3"/>
    <row r="4">
      <c r="A4" s="3" t="inlineStr">
        <is>
          <t>Désignation entité : PROJET PADIR</t>
        </is>
      </c>
      <c r="D4" s="3" t="inlineStr">
        <is>
          <t>Exercice clos le : 31/12/2025</t>
        </is>
      </c>
    </row>
    <row r="5">
      <c r="A5" t="inlineStr">
        <is>
          <t>Numéro d'identification : Convention 2023/DR/045</t>
        </is>
      </c>
      <c r="D5" t="inlineStr">
        <is>
          <t>Durée (en mois) : 12</t>
        </is>
      </c>
    </row>
    <row r="6"/>
    <row r="7">
      <c r="A7" s="9" t="inlineStr">
        <is>
          <t>Libellés</t>
        </is>
      </c>
      <c r="B7" s="9" t="inlineStr">
        <is>
          <t>Année N</t>
        </is>
      </c>
      <c r="C7" s="9" t="inlineStr">
        <is>
          <t>Année N-1</t>
        </is>
      </c>
      <c r="D7" s="9" t="inlineStr">
        <is>
          <t>Variation en valeur</t>
        </is>
      </c>
      <c r="E7" s="9" t="inlineStr">
        <is>
          <t>Variation en %</t>
        </is>
      </c>
    </row>
    <row r="8">
      <c r="A8" s="10" t="inlineStr">
        <is>
          <t>Fonds d'administration consommés</t>
        </is>
      </c>
      <c r="B8" s="11">
        <f>SUMIF(BALANCE!$A$2:$A$50,"702*",BALANCE!$G$2:$G$50)-SUMIF(BALANCE!$A$2:$A$50,"702*",BALANCE!$F$2:$F$50)</f>
        <v/>
      </c>
      <c r="C8" s="11">
        <f>SUMIF(BALANCE_N1!$A$2:$A$50,"702*",BALANCE_N1!$G$2:$G$50)-SUMIF(BALANCE_N1!$A$2:$A$50,"702*",BALANCE_N1!$F$2:$F$50)</f>
        <v/>
      </c>
      <c r="D8" s="11">
        <f>B8-C8</f>
        <v/>
      </c>
      <c r="E8" s="16">
        <f>IF(C8=0,"",(B8-C8)/C8)</f>
        <v/>
      </c>
    </row>
    <row r="9">
      <c r="A9" s="12" t="inlineStr">
        <is>
          <t>Ventes de marchandises, produits fabriqués, travaux et services</t>
        </is>
      </c>
      <c r="B9" s="13">
        <f>SUMIF(BALANCE!$A$2:$A$50,"705*",BALANCE!$G$2:$G$50)-SUMIF(BALANCE!$A$2:$A$50,"705*",BALANCE!$F$2:$F$50)</f>
        <v/>
      </c>
      <c r="C9" s="13">
        <f>SUMIF(BALANCE_N1!$A$2:$A$50,"705*",BALANCE_N1!$G$2:$G$50)-SUMIF(BALANCE_N1!$A$2:$A$50,"705*",BALANCE_N1!$F$2:$F$50)</f>
        <v/>
      </c>
      <c r="D9" s="13">
        <f>B9-C9</f>
        <v/>
      </c>
      <c r="E9" s="17">
        <f>IF(C9=0,"",(B9-C9)/C9)</f>
        <v/>
      </c>
    </row>
    <row r="10">
      <c r="A10" s="10" t="inlineStr">
        <is>
          <t>Produits accessoires</t>
        </is>
      </c>
      <c r="B10" s="11">
        <f>SUMIF(BALANCE!$A$2:$A$50,"707*",BALANCE!$G$2:$G$50)-SUMIF(BALANCE!$A$2:$A$50,"707*",BALANCE!$F$2:$F$50)</f>
        <v/>
      </c>
      <c r="C10" s="11">
        <f>SUMIF(BALANCE_N1!$A$2:$A$50,"707*",BALANCE_N1!$G$2:$G$50)-SUMIF(BALANCE_N1!$A$2:$A$50,"707*",BALANCE_N1!$F$2:$F$50)</f>
        <v/>
      </c>
      <c r="D10" s="11">
        <f>B10-C10</f>
        <v/>
      </c>
      <c r="E10" s="16">
        <f>IF(C10=0,"",(B10-C10)/C10)</f>
        <v/>
      </c>
    </row>
    <row r="11">
      <c r="A11" s="12" t="inlineStr">
        <is>
          <t>Production immobilisée</t>
        </is>
      </c>
      <c r="B11" s="13">
        <f>SUMIF(BALANCE!$A$2:$A$50,"72*",BALANCE!$G$2:$G$50)-SUMIF(BALANCE!$A$2:$A$50,"72*",BALANCE!$F$2:$F$50)</f>
        <v/>
      </c>
      <c r="C11" s="13">
        <f>SUMIF(BALANCE_N1!$A$2:$A$50,"72*",BALANCE_N1!$G$2:$G$50)-SUMIF(BALANCE_N1!$A$2:$A$50,"72*",BALANCE_N1!$F$2:$F$50)</f>
        <v/>
      </c>
      <c r="D11" s="13">
        <f>B11-C11</f>
        <v/>
      </c>
      <c r="E11" s="17">
        <f>IF(C11=0,"",(B11-C11)/C11)</f>
        <v/>
      </c>
    </row>
    <row r="12">
      <c r="A12" s="10" t="inlineStr">
        <is>
          <t>Subventions d'exploitation</t>
        </is>
      </c>
      <c r="B12" s="11">
        <f>SUMIF(BALANCE!$A$2:$A$50,"71*",BALANCE!$G$2:$G$50)-SUMIF(BALANCE!$A$2:$A$50,"71*",BALANCE!$F$2:$F$50)</f>
        <v/>
      </c>
      <c r="C12" s="11">
        <f>SUMIF(BALANCE_N1!$A$2:$A$50,"71*",BALANCE_N1!$G$2:$G$50)-SUMIF(BALANCE_N1!$A$2:$A$50,"71*",BALANCE_N1!$F$2:$F$50)</f>
        <v/>
      </c>
      <c r="D12" s="11">
        <f>B12-C12</f>
        <v/>
      </c>
      <c r="E12" s="16">
        <f>IF(C12=0,"",(B12-C12)/C12)</f>
        <v/>
      </c>
    </row>
    <row r="13">
      <c r="A13" s="12" t="inlineStr">
        <is>
          <t>Autres produits et transferts de charges d'exploitation</t>
        </is>
      </c>
      <c r="B13" s="13">
        <f>SUMIF(BALANCE!$A$2:$A$50,"78*",BALANCE!$G$2:$G$50)-SUMIF(BALANCE!$A$2:$A$50,"78*",BALANCE!$F$2:$F$50)+SUMIF(BALANCE!$A$2:$A$50,"75*",BALANCE!$G$2:$G$50)-SUMIF(BALANCE!$A$2:$A$50,"75*",BALANCE!$F$2:$F$50)+SUMIF(BALANCE!$A$2:$A$50,"73*",BALANCE!$G$2:$G$50)-SUMIF(BALANCE!$A$2:$A$50,"73*",BALANCE!$F$2:$F$50)+SUMIF(BALANCE!$A$2:$A$50,"77*",BALANCE!$G$2:$G$50)-SUMIF(BALANCE!$A$2:$A$50,"77*",BALANCE!$F$2:$F$50)+SUMIF(BALANCE!$A$2:$A$50,"708*",BALANCE!$G$2:$G$50)-SUMIF(BALANCE!$A$2:$A$50,"708*",BALANCE!$F$2:$F$50)+SUMIF(BALANCE!$A$2:$A$50,"706*",BALANCE!$G$2:$G$50)-SUMIF(BALANCE!$A$2:$A$50,"706*",BALANCE!$F$2:$F$50)</f>
        <v/>
      </c>
      <c r="C13" s="13">
        <f>SUMIF(BALANCE_N1!$A$2:$A$50,"78*",BALANCE_N1!$G$2:$G$50)-SUMIF(BALANCE_N1!$A$2:$A$50,"78*",BALANCE_N1!$F$2:$F$50)+SUMIF(BALANCE_N1!$A$2:$A$50,"75*",BALANCE_N1!$G$2:$G$50)-SUMIF(BALANCE_N1!$A$2:$A$50,"75*",BALANCE_N1!$F$2:$F$50)+SUMIF(BALANCE_N1!$A$2:$A$50,"73*",BALANCE_N1!$G$2:$G$50)-SUMIF(BALANCE_N1!$A$2:$A$50,"73*",BALANCE_N1!$F$2:$F$50)+SUMIF(BALANCE_N1!$A$2:$A$50,"77*",BALANCE_N1!$G$2:$G$50)-SUMIF(BALANCE_N1!$A$2:$A$50,"77*",BALANCE_N1!$F$2:$F$50)+SUMIF(BALANCE_N1!$A$2:$A$50,"708*",BALANCE_N1!$G$2:$G$50)-SUMIF(BALANCE_N1!$A$2:$A$50,"708*",BALANCE_N1!$F$2:$F$50)+SUMIF(BALANCE_N1!$A$2:$A$50,"706*",BALANCE_N1!$G$2:$G$50)-SUMIF(BALANCE_N1!$A$2:$A$50,"706*",BALANCE_N1!$F$2:$F$50)</f>
        <v/>
      </c>
      <c r="D13" s="13">
        <f>B13-C13</f>
        <v/>
      </c>
      <c r="E13" s="17">
        <f>IF(C13=0,"",(B13-C13)/C13)</f>
        <v/>
      </c>
    </row>
    <row r="14">
      <c r="A14" s="14" t="inlineStr">
        <is>
          <t>TOTAL : REVENUS ET AUTRES PRODUITS</t>
        </is>
      </c>
      <c r="B14" s="15">
        <f>SUM(B8:B13)</f>
        <v/>
      </c>
      <c r="C14" s="15">
        <f>SUM(C8:C13)</f>
        <v/>
      </c>
      <c r="D14" s="15">
        <f>B14-C14</f>
        <v/>
      </c>
      <c r="E14" s="18">
        <f>IF(C14=0,"",(B14-C14)/C14)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15</t>
        </is>
      </c>
    </row>
    <row r="2">
      <c r="A2" s="2" t="inlineStr">
        <is>
          <t>ACHATS</t>
        </is>
      </c>
    </row>
    <row r="3"/>
    <row r="4">
      <c r="A4" s="3" t="inlineStr">
        <is>
          <t>Désignation entité : PROJET PADIR</t>
        </is>
      </c>
      <c r="D4" s="3" t="inlineStr">
        <is>
          <t>Exercice clos le : 31/12/2025</t>
        </is>
      </c>
    </row>
    <row r="5">
      <c r="A5" t="inlineStr">
        <is>
          <t>Numéro d'identification : Convention 2023/DR/045</t>
        </is>
      </c>
      <c r="D5" t="inlineStr">
        <is>
          <t>Durée (en mois) : 12</t>
        </is>
      </c>
    </row>
    <row r="6"/>
    <row r="7">
      <c r="A7" s="9" t="inlineStr">
        <is>
          <t>Libellés</t>
        </is>
      </c>
      <c r="B7" s="9" t="inlineStr">
        <is>
          <t>Année N</t>
        </is>
      </c>
      <c r="C7" s="9" t="inlineStr">
        <is>
          <t>Année N-1</t>
        </is>
      </c>
      <c r="D7" s="9" t="inlineStr">
        <is>
          <t>Variation en valeur</t>
        </is>
      </c>
      <c r="E7" s="9" t="inlineStr">
        <is>
          <t>Variation en %</t>
        </is>
      </c>
    </row>
    <row r="8">
      <c r="A8" s="10" t="inlineStr">
        <is>
          <t>Achats de biens et services liés à l'activité</t>
        </is>
      </c>
      <c r="B8" s="11">
        <f>SUMIF(BALANCE!$A$2:$A$50,"601*",BALANCE!$F$2:$F$50)-SUMIF(BALANCE!$A$2:$A$50,"601*",BALANCE!$G$2:$G$50)</f>
        <v/>
      </c>
      <c r="C8" s="11">
        <f>SUMIF(BALANCE_N1!$A$2:$A$50,"601*",BALANCE_N1!$F$2:$F$50)-SUMIF(BALANCE_N1!$A$2:$A$50,"601*",BALANCE_N1!$G$2:$G$50)</f>
        <v/>
      </c>
      <c r="D8" s="11">
        <f>B8-C8</f>
        <v/>
      </c>
      <c r="E8" s="16">
        <f>IF(C8=0,"",(B8-C8)/C8)</f>
        <v/>
      </c>
    </row>
    <row r="9">
      <c r="A9" s="12" t="inlineStr">
        <is>
          <t>Achats de marchandises et matières premières</t>
        </is>
      </c>
      <c r="B9" s="13">
        <f>SUMIF(BALANCE!$A$2:$A$50,"602*",BALANCE!$F$2:$F$50)-SUMIF(BALANCE!$A$2:$A$50,"602*",BALANCE!$G$2:$G$50)</f>
        <v/>
      </c>
      <c r="C9" s="13">
        <f>SUMIF(BALANCE_N1!$A$2:$A$50,"602*",BALANCE_N1!$F$2:$F$50)-SUMIF(BALANCE_N1!$A$2:$A$50,"602*",BALANCE_N1!$G$2:$G$50)</f>
        <v/>
      </c>
      <c r="D9" s="13">
        <f>B9-C9</f>
        <v/>
      </c>
      <c r="E9" s="17">
        <f>IF(C9=0,"",(B9-C9)/C9)</f>
        <v/>
      </c>
    </row>
    <row r="10">
      <c r="A10" s="10" t="inlineStr">
        <is>
          <t>Matières et fournitures consommables</t>
        </is>
      </c>
      <c r="B10" s="11">
        <f>SUMIF(BALANCE!$A$2:$A$50,"604*",BALANCE!$F$2:$F$50)-SUMIF(BALANCE!$A$2:$A$50,"604*",BALANCE!$G$2:$G$50)</f>
        <v/>
      </c>
      <c r="C10" s="11">
        <f>SUMIF(BALANCE_N1!$A$2:$A$50,"604*",BALANCE_N1!$F$2:$F$50)-SUMIF(BALANCE_N1!$A$2:$A$50,"604*",BALANCE_N1!$G$2:$G$50)</f>
        <v/>
      </c>
      <c r="D10" s="11">
        <f>B10-C10</f>
        <v/>
      </c>
      <c r="E10" s="16">
        <f>IF(C10=0,"",(B10-C10)/C10)</f>
        <v/>
      </c>
    </row>
    <row r="11">
      <c r="A11" s="12" t="inlineStr">
        <is>
          <t>Eau, électricité, énergies et fournitures non stockées</t>
        </is>
      </c>
      <c r="B11" s="13">
        <f>SUMIF(BALANCE!$A$2:$A$50,"605*",BALANCE!$F$2:$F$50)-SUMIF(BALANCE!$A$2:$A$50,"605*",BALANCE!$G$2:$G$50)</f>
        <v/>
      </c>
      <c r="C11" s="13">
        <f>SUMIF(BALANCE_N1!$A$2:$A$50,"605*",BALANCE_N1!$F$2:$F$50)-SUMIF(BALANCE_N1!$A$2:$A$50,"605*",BALANCE_N1!$G$2:$G$50)</f>
        <v/>
      </c>
      <c r="D11" s="13">
        <f>B11-C11</f>
        <v/>
      </c>
      <c r="E11" s="17">
        <f>IF(C11=0,"",(B11-C11)/C11)</f>
        <v/>
      </c>
    </row>
    <row r="12">
      <c r="A12" s="10" t="inlineStr">
        <is>
          <t>Achats autres activités</t>
        </is>
      </c>
      <c r="B12" s="11">
        <f>SUMIF(BALANCE!$A$2:$A$50,"606*",BALANCE!$F$2:$F$50)-SUMIF(BALANCE!$A$2:$A$50,"606*",BALANCE!$G$2:$G$50)</f>
        <v/>
      </c>
      <c r="C12" s="11">
        <f>SUMIF(BALANCE_N1!$A$2:$A$50,"606*",BALANCE_N1!$F$2:$F$50)-SUMIF(BALANCE_N1!$A$2:$A$50,"606*",BALANCE_N1!$G$2:$G$50)</f>
        <v/>
      </c>
      <c r="D12" s="11">
        <f>B12-C12</f>
        <v/>
      </c>
      <c r="E12" s="16">
        <f>IF(C12=0,"",(B12-C12)/C12)</f>
        <v/>
      </c>
    </row>
    <row r="13">
      <c r="A13" s="12" t="inlineStr">
        <is>
          <t>Achats d'emballages</t>
        </is>
      </c>
      <c r="B13" s="13">
        <f>SUMIF(BALANCE!$A$2:$A$50,"608*",BALANCE!$F$2:$F$50)-SUMIF(BALANCE!$A$2:$A$50,"608*",BALANCE!$G$2:$G$50)</f>
        <v/>
      </c>
      <c r="C13" s="13">
        <f>SUMIF(BALANCE_N1!$A$2:$A$50,"608*",BALANCE_N1!$F$2:$F$50)-SUMIF(BALANCE_N1!$A$2:$A$50,"608*",BALANCE_N1!$G$2:$G$50)</f>
        <v/>
      </c>
      <c r="D13" s="13">
        <f>B13-C13</f>
        <v/>
      </c>
      <c r="E13" s="17">
        <f>IF(C13=0,"",(B13-C13)/C13)</f>
        <v/>
      </c>
    </row>
    <row r="14">
      <c r="A14" s="14" t="inlineStr">
        <is>
          <t>TOTAL ACHATS</t>
        </is>
      </c>
      <c r="B14" s="15">
        <f>SUM(B8:B13)</f>
        <v/>
      </c>
      <c r="C14" s="15">
        <f>SUM(C8:C13)</f>
        <v/>
      </c>
      <c r="D14" s="15">
        <f>B14-C14</f>
        <v/>
      </c>
      <c r="E14" s="18">
        <f>IF(C14=0,"",(B14-C14)/C14)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16</t>
        </is>
      </c>
    </row>
    <row r="2">
      <c r="A2" s="2" t="inlineStr">
        <is>
          <t>TRANSPORTS</t>
        </is>
      </c>
    </row>
    <row r="3"/>
    <row r="4">
      <c r="A4" s="3" t="inlineStr">
        <is>
          <t>Désignation entité : PROJET PADIR</t>
        </is>
      </c>
      <c r="D4" s="3" t="inlineStr">
        <is>
          <t>Exercice clos le : 31/12/2025</t>
        </is>
      </c>
    </row>
    <row r="5">
      <c r="A5" t="inlineStr">
        <is>
          <t>Numéro d'identification : Convention 2023/DR/045</t>
        </is>
      </c>
      <c r="D5" t="inlineStr">
        <is>
          <t>Durée (en mois) : 12</t>
        </is>
      </c>
    </row>
    <row r="6"/>
    <row r="7">
      <c r="A7" s="9" t="inlineStr">
        <is>
          <t>Libellés</t>
        </is>
      </c>
      <c r="B7" s="9" t="inlineStr">
        <is>
          <t>Année N</t>
        </is>
      </c>
      <c r="C7" s="9" t="inlineStr">
        <is>
          <t>Année N-1</t>
        </is>
      </c>
      <c r="D7" s="9" t="inlineStr">
        <is>
          <t>Variation en valeur</t>
        </is>
      </c>
      <c r="E7" s="9" t="inlineStr">
        <is>
          <t>Variation en %</t>
        </is>
      </c>
    </row>
    <row r="8">
      <c r="A8" s="10" t="inlineStr">
        <is>
          <t>Transports sur ventes</t>
        </is>
      </c>
      <c r="B8" s="11">
        <f>SUMIF(BALANCE!$A$2:$A$50,"612*",BALANCE!$F$2:$F$50)-SUMIF(BALANCE!$A$2:$A$50,"612*",BALANCE!$G$2:$G$50)</f>
        <v/>
      </c>
      <c r="C8" s="11">
        <f>SUMIF(BALANCE_N1!$A$2:$A$50,"612*",BALANCE_N1!$F$2:$F$50)-SUMIF(BALANCE_N1!$A$2:$A$50,"612*",BALANCE_N1!$G$2:$G$50)</f>
        <v/>
      </c>
      <c r="D8" s="11">
        <f>B8-C8</f>
        <v/>
      </c>
      <c r="E8" s="16">
        <f>IF(C8=0,"",(B8-C8)/C8)</f>
        <v/>
      </c>
    </row>
    <row r="9">
      <c r="A9" s="12" t="inlineStr">
        <is>
          <t>Transports pour le compte de tiers</t>
        </is>
      </c>
      <c r="B9" s="13">
        <f>SUMIF(BALANCE!$A$2:$A$50,"613*",BALANCE!$F$2:$F$50)-SUMIF(BALANCE!$A$2:$A$50,"613*",BALANCE!$G$2:$G$50)</f>
        <v/>
      </c>
      <c r="C9" s="13">
        <f>SUMIF(BALANCE_N1!$A$2:$A$50,"613*",BALANCE_N1!$F$2:$F$50)-SUMIF(BALANCE_N1!$A$2:$A$50,"613*",BALANCE_N1!$G$2:$G$50)</f>
        <v/>
      </c>
      <c r="D9" s="13">
        <f>B9-C9</f>
        <v/>
      </c>
      <c r="E9" s="17">
        <f>IF(C9=0,"",(B9-C9)/C9)</f>
        <v/>
      </c>
    </row>
    <row r="10">
      <c r="A10" s="10" t="inlineStr">
        <is>
          <t>Transport du personnel</t>
        </is>
      </c>
      <c r="B10" s="11">
        <f>SUMIF(BALANCE!$A$2:$A$50,"614*",BALANCE!$F$2:$F$50)-SUMIF(BALANCE!$A$2:$A$50,"614*",BALANCE!$G$2:$G$50)</f>
        <v/>
      </c>
      <c r="C10" s="11">
        <f>SUMIF(BALANCE_N1!$A$2:$A$50,"614*",BALANCE_N1!$F$2:$F$50)-SUMIF(BALANCE_N1!$A$2:$A$50,"614*",BALANCE_N1!$G$2:$G$50)</f>
        <v/>
      </c>
      <c r="D10" s="11">
        <f>B10-C10</f>
        <v/>
      </c>
      <c r="E10" s="16">
        <f>IF(C10=0,"",(B10-C10)/C10)</f>
        <v/>
      </c>
    </row>
    <row r="11">
      <c r="A11" s="12" t="inlineStr">
        <is>
          <t>Transports de plis</t>
        </is>
      </c>
      <c r="B11" s="13">
        <f>SUMIF(BALANCE!$A$2:$A$50,"616*",BALANCE!$F$2:$F$50)-SUMIF(BALANCE!$A$2:$A$50,"616*",BALANCE!$G$2:$G$50)</f>
        <v/>
      </c>
      <c r="C11" s="13">
        <f>SUMIF(BALANCE_N1!$A$2:$A$50,"616*",BALANCE_N1!$F$2:$F$50)-SUMIF(BALANCE_N1!$A$2:$A$50,"616*",BALANCE_N1!$G$2:$G$50)</f>
        <v/>
      </c>
      <c r="D11" s="13">
        <f>B11-C11</f>
        <v/>
      </c>
      <c r="E11" s="17">
        <f>IF(C11=0,"",(B11-C11)/C11)</f>
        <v/>
      </c>
    </row>
    <row r="12">
      <c r="A12" s="10" t="inlineStr">
        <is>
          <t>Voyages, déplacements et autres frais de transport</t>
        </is>
      </c>
      <c r="B12" s="11">
        <f>SUMIF(BALANCE!$A$2:$A$50,"619*",BALANCE!$F$2:$F$50)-SUMIF(BALANCE!$A$2:$A$50,"619*",BALANCE!$G$2:$G$50)+SUMIF(BALANCE!$A$2:$A$50,"618*",BALANCE!$F$2:$F$50)-SUMIF(BALANCE!$A$2:$A$50,"618*",BALANCE!$G$2:$G$50)</f>
        <v/>
      </c>
      <c r="C12" s="11">
        <f>SUMIF(BALANCE_N1!$A$2:$A$50,"619*",BALANCE_N1!$F$2:$F$50)-SUMIF(BALANCE_N1!$A$2:$A$50,"619*",BALANCE_N1!$G$2:$G$50)+SUMIF(BALANCE_N1!$A$2:$A$50,"618*",BALANCE_N1!$F$2:$F$50)-SUMIF(BALANCE_N1!$A$2:$A$50,"618*",BALANCE_N1!$G$2:$G$50)</f>
        <v/>
      </c>
      <c r="D12" s="11">
        <f>B12-C12</f>
        <v/>
      </c>
      <c r="E12" s="16">
        <f>IF(C12=0,"",(B12-C12)/C12)</f>
        <v/>
      </c>
    </row>
    <row r="13">
      <c r="A13" s="14" t="inlineStr">
        <is>
          <t>TOTAL</t>
        </is>
      </c>
      <c r="B13" s="15">
        <f>SUM(B8:B12)</f>
        <v/>
      </c>
      <c r="C13" s="15">
        <f>SUM(C8:C12)</f>
        <v/>
      </c>
      <c r="D13" s="15">
        <f>B13-C13</f>
        <v/>
      </c>
      <c r="E13" s="18">
        <f>IF(C13=0,"",(B13-C13)/C13)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24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17</t>
        </is>
      </c>
    </row>
    <row r="2">
      <c r="A2" s="2" t="inlineStr">
        <is>
          <t>SERVICES EXTÉRIEURS</t>
        </is>
      </c>
    </row>
    <row r="3"/>
    <row r="4">
      <c r="A4" s="3" t="inlineStr">
        <is>
          <t>Désignation entité : PROJET PADIR</t>
        </is>
      </c>
      <c r="D4" s="3" t="inlineStr">
        <is>
          <t>Exercice clos le : 31/12/2025</t>
        </is>
      </c>
    </row>
    <row r="5">
      <c r="A5" t="inlineStr">
        <is>
          <t>Numéro d'identification : Convention 2023/DR/045</t>
        </is>
      </c>
      <c r="D5" t="inlineStr">
        <is>
          <t>Durée (en mois) : 12</t>
        </is>
      </c>
    </row>
    <row r="6"/>
    <row r="7">
      <c r="A7" s="9" t="inlineStr">
        <is>
          <t>Libellés</t>
        </is>
      </c>
      <c r="B7" s="9" t="inlineStr">
        <is>
          <t>Année N</t>
        </is>
      </c>
      <c r="C7" s="9" t="inlineStr">
        <is>
          <t>Année N-1</t>
        </is>
      </c>
      <c r="D7" s="9" t="inlineStr">
        <is>
          <t>Variation en valeur</t>
        </is>
      </c>
      <c r="E7" s="9" t="inlineStr">
        <is>
          <t>Variation en %</t>
        </is>
      </c>
    </row>
    <row r="8">
      <c r="A8" s="10" t="inlineStr">
        <is>
          <t>Sous-traitance générale</t>
        </is>
      </c>
      <c r="B8" s="11">
        <f>SUMIF(BALANCE!$A$2:$A$50,"621*",BALANCE!$F$2:$F$50)-SUMIF(BALANCE!$A$2:$A$50,"621*",BALANCE!$G$2:$G$50)</f>
        <v/>
      </c>
      <c r="C8" s="11">
        <f>SUMIF(BALANCE_N1!$A$2:$A$50,"621*",BALANCE_N1!$F$2:$F$50)-SUMIF(BALANCE_N1!$A$2:$A$50,"621*",BALANCE_N1!$G$2:$G$50)</f>
        <v/>
      </c>
      <c r="D8" s="11">
        <f>B8-C8</f>
        <v/>
      </c>
      <c r="E8" s="16">
        <f>IF(C8=0,"",(B8-C8)/C8)</f>
        <v/>
      </c>
    </row>
    <row r="9">
      <c r="A9" s="12" t="inlineStr">
        <is>
          <t>Locations et charges locatives</t>
        </is>
      </c>
      <c r="B9" s="13">
        <f>SUMIF(BALANCE!$A$2:$A$50,"622*",BALANCE!$F$2:$F$50)-SUMIF(BALANCE!$A$2:$A$50,"622*",BALANCE!$G$2:$G$50)</f>
        <v/>
      </c>
      <c r="C9" s="13">
        <f>SUMIF(BALANCE_N1!$A$2:$A$50,"622*",BALANCE_N1!$F$2:$F$50)-SUMIF(BALANCE_N1!$A$2:$A$50,"622*",BALANCE_N1!$G$2:$G$50)</f>
        <v/>
      </c>
      <c r="D9" s="13">
        <f>B9-C9</f>
        <v/>
      </c>
      <c r="E9" s="17">
        <f>IF(C9=0,"",(B9-C9)/C9)</f>
        <v/>
      </c>
    </row>
    <row r="10">
      <c r="A10" s="10" t="inlineStr">
        <is>
          <t>Redevances de location-acquisition</t>
        </is>
      </c>
      <c r="B10" s="11">
        <f>SUMIF(BALANCE!$A$2:$A$50,"623*",BALANCE!$F$2:$F$50)-SUMIF(BALANCE!$A$2:$A$50,"623*",BALANCE!$G$2:$G$50)</f>
        <v/>
      </c>
      <c r="C10" s="11">
        <f>SUMIF(BALANCE_N1!$A$2:$A$50,"623*",BALANCE_N1!$F$2:$F$50)-SUMIF(BALANCE_N1!$A$2:$A$50,"623*",BALANCE_N1!$G$2:$G$50)</f>
        <v/>
      </c>
      <c r="D10" s="11">
        <f>B10-C10</f>
        <v/>
      </c>
      <c r="E10" s="16">
        <f>IF(C10=0,"",(B10-C10)/C10)</f>
        <v/>
      </c>
    </row>
    <row r="11">
      <c r="A11" s="12" t="inlineStr">
        <is>
          <t>Entretien, réparations et maintenance</t>
        </is>
      </c>
      <c r="B11" s="13">
        <f>SUMIF(BALANCE!$A$2:$A$50,"624*",BALANCE!$F$2:$F$50)-SUMIF(BALANCE!$A$2:$A$50,"624*",BALANCE!$G$2:$G$50)</f>
        <v/>
      </c>
      <c r="C11" s="13">
        <f>SUMIF(BALANCE_N1!$A$2:$A$50,"624*",BALANCE_N1!$F$2:$F$50)-SUMIF(BALANCE_N1!$A$2:$A$50,"624*",BALANCE_N1!$G$2:$G$50)</f>
        <v/>
      </c>
      <c r="D11" s="13">
        <f>B11-C11</f>
        <v/>
      </c>
      <c r="E11" s="17">
        <f>IF(C11=0,"",(B11-C11)/C11)</f>
        <v/>
      </c>
    </row>
    <row r="12">
      <c r="A12" s="10" t="inlineStr">
        <is>
          <t>Primes d'assurance</t>
        </is>
      </c>
      <c r="B12" s="11">
        <f>SUMIF(BALANCE!$A$2:$A$50,"625*",BALANCE!$F$2:$F$50)-SUMIF(BALANCE!$A$2:$A$50,"625*",BALANCE!$G$2:$G$50)</f>
        <v/>
      </c>
      <c r="C12" s="11">
        <f>SUMIF(BALANCE_N1!$A$2:$A$50,"625*",BALANCE_N1!$F$2:$F$50)-SUMIF(BALANCE_N1!$A$2:$A$50,"625*",BALANCE_N1!$G$2:$G$50)</f>
        <v/>
      </c>
      <c r="D12" s="11">
        <f>B12-C12</f>
        <v/>
      </c>
      <c r="E12" s="16">
        <f>IF(C12=0,"",(B12-C12)/C12)</f>
        <v/>
      </c>
    </row>
    <row r="13">
      <c r="A13" s="12" t="inlineStr">
        <is>
          <t>Études, recherches et documentation</t>
        </is>
      </c>
      <c r="B13" s="13">
        <f>SUMIF(BALANCE!$A$2:$A$50,"626*",BALANCE!$F$2:$F$50)-SUMIF(BALANCE!$A$2:$A$50,"626*",BALANCE!$G$2:$G$50)</f>
        <v/>
      </c>
      <c r="C13" s="13">
        <f>SUMIF(BALANCE_N1!$A$2:$A$50,"626*",BALANCE_N1!$F$2:$F$50)-SUMIF(BALANCE_N1!$A$2:$A$50,"626*",BALANCE_N1!$G$2:$G$50)</f>
        <v/>
      </c>
      <c r="D13" s="13">
        <f>B13-C13</f>
        <v/>
      </c>
      <c r="E13" s="17">
        <f>IF(C13=0,"",(B13-C13)/C13)</f>
        <v/>
      </c>
    </row>
    <row r="14">
      <c r="A14" s="10" t="inlineStr">
        <is>
          <t>Publicité, publications, relations publiques</t>
        </is>
      </c>
      <c r="B14" s="11">
        <f>SUMIF(BALANCE!$A$2:$A$50,"627*",BALANCE!$F$2:$F$50)-SUMIF(BALANCE!$A$2:$A$50,"627*",BALANCE!$G$2:$G$50)</f>
        <v/>
      </c>
      <c r="C14" s="11">
        <f>SUMIF(BALANCE_N1!$A$2:$A$50,"627*",BALANCE_N1!$F$2:$F$50)-SUMIF(BALANCE_N1!$A$2:$A$50,"627*",BALANCE_N1!$G$2:$G$50)</f>
        <v/>
      </c>
      <c r="D14" s="11">
        <f>B14-C14</f>
        <v/>
      </c>
      <c r="E14" s="16">
        <f>IF(C14=0,"",(B14-C14)/C14)</f>
        <v/>
      </c>
    </row>
    <row r="15">
      <c r="A15" s="12" t="inlineStr">
        <is>
          <t>Frais de télécommunications</t>
        </is>
      </c>
      <c r="B15" s="13">
        <f>SUMIF(BALANCE!$A$2:$A$50,"628*",BALANCE!$F$2:$F$50)-SUMIF(BALANCE!$A$2:$A$50,"628*",BALANCE!$G$2:$G$50)</f>
        <v/>
      </c>
      <c r="C15" s="13">
        <f>SUMIF(BALANCE_N1!$A$2:$A$50,"628*",BALANCE_N1!$F$2:$F$50)-SUMIF(BALANCE_N1!$A$2:$A$50,"628*",BALANCE_N1!$G$2:$G$50)</f>
        <v/>
      </c>
      <c r="D15" s="13">
        <f>B15-C15</f>
        <v/>
      </c>
      <c r="E15" s="17">
        <f>IF(C15=0,"",(B15-C15)/C15)</f>
        <v/>
      </c>
    </row>
    <row r="16">
      <c r="A16" s="10" t="inlineStr">
        <is>
          <t>Frais bancaires</t>
        </is>
      </c>
      <c r="B16" s="11">
        <f>SUMIF(BALANCE!$A$2:$A$50,"631*",BALANCE!$F$2:$F$50)-SUMIF(BALANCE!$A$2:$A$50,"631*",BALANCE!$G$2:$G$50)</f>
        <v/>
      </c>
      <c r="C16" s="11">
        <f>SUMIF(BALANCE_N1!$A$2:$A$50,"631*",BALANCE_N1!$F$2:$F$50)-SUMIF(BALANCE_N1!$A$2:$A$50,"631*",BALANCE_N1!$G$2:$G$50)</f>
        <v/>
      </c>
      <c r="D16" s="11">
        <f>B16-C16</f>
        <v/>
      </c>
      <c r="E16" s="16">
        <f>IF(C16=0,"",(B16-C16)/C16)</f>
        <v/>
      </c>
    </row>
    <row r="17">
      <c r="A17" s="12" t="inlineStr">
        <is>
          <t>Rémunérations d'intermédiaires et de conseils</t>
        </is>
      </c>
      <c r="B17" s="13">
        <f>SUMIF(BALANCE!$A$2:$A$50,"632*",BALANCE!$F$2:$F$50)-SUMIF(BALANCE!$A$2:$A$50,"632*",BALANCE!$G$2:$G$50)</f>
        <v/>
      </c>
      <c r="C17" s="13">
        <f>SUMIF(BALANCE_N1!$A$2:$A$50,"632*",BALANCE_N1!$F$2:$F$50)-SUMIF(BALANCE_N1!$A$2:$A$50,"632*",BALANCE_N1!$G$2:$G$50)</f>
        <v/>
      </c>
      <c r="D17" s="13">
        <f>B17-C17</f>
        <v/>
      </c>
      <c r="E17" s="17">
        <f>IF(C17=0,"",(B17-C17)/C17)</f>
        <v/>
      </c>
    </row>
    <row r="18">
      <c r="A18" s="10" t="inlineStr">
        <is>
          <t>Frais de formation du personnel</t>
        </is>
      </c>
      <c r="B18" s="11">
        <f>SUMIF(BALANCE!$A$2:$A$50,"633*",BALANCE!$F$2:$F$50)-SUMIF(BALANCE!$A$2:$A$50,"633*",BALANCE!$G$2:$G$50)</f>
        <v/>
      </c>
      <c r="C18" s="11">
        <f>SUMIF(BALANCE_N1!$A$2:$A$50,"633*",BALANCE_N1!$F$2:$F$50)-SUMIF(BALANCE_N1!$A$2:$A$50,"633*",BALANCE_N1!$G$2:$G$50)</f>
        <v/>
      </c>
      <c r="D18" s="11">
        <f>B18-C18</f>
        <v/>
      </c>
      <c r="E18" s="16">
        <f>IF(C18=0,"",(B18-C18)/C18)</f>
        <v/>
      </c>
    </row>
    <row r="19">
      <c r="A19" s="12" t="inlineStr">
        <is>
          <t>Redevances pour brevets, licences, logiciels</t>
        </is>
      </c>
      <c r="B19" s="13">
        <f>SUMIF(BALANCE!$A$2:$A$50,"634*",BALANCE!$F$2:$F$50)-SUMIF(BALANCE!$A$2:$A$50,"634*",BALANCE!$G$2:$G$50)</f>
        <v/>
      </c>
      <c r="C19" s="13">
        <f>SUMIF(BALANCE_N1!$A$2:$A$50,"634*",BALANCE_N1!$F$2:$F$50)-SUMIF(BALANCE_N1!$A$2:$A$50,"634*",BALANCE_N1!$G$2:$G$50)</f>
        <v/>
      </c>
      <c r="D19" s="13">
        <f>B19-C19</f>
        <v/>
      </c>
      <c r="E19" s="17">
        <f>IF(C19=0,"",(B19-C19)/C19)</f>
        <v/>
      </c>
    </row>
    <row r="20">
      <c r="A20" s="10" t="inlineStr">
        <is>
          <t>Cotisations</t>
        </is>
      </c>
      <c r="B20" s="11">
        <f>SUMIF(BALANCE!$A$2:$A$50,"635*",BALANCE!$F$2:$F$50)-SUMIF(BALANCE!$A$2:$A$50,"635*",BALANCE!$G$2:$G$50)</f>
        <v/>
      </c>
      <c r="C20" s="11">
        <f>SUMIF(BALANCE_N1!$A$2:$A$50,"635*",BALANCE_N1!$F$2:$F$50)-SUMIF(BALANCE_N1!$A$2:$A$50,"635*",BALANCE_N1!$G$2:$G$50)</f>
        <v/>
      </c>
      <c r="D20" s="11">
        <f>B20-C20</f>
        <v/>
      </c>
      <c r="E20" s="16">
        <f>IF(C20=0,"",(B20-C20)/C20)</f>
        <v/>
      </c>
    </row>
    <row r="21">
      <c r="A21" s="12" t="inlineStr">
        <is>
          <t>Frais de recherche de fonds</t>
        </is>
      </c>
      <c r="B21" s="13">
        <f>SUMIF(BALANCE!$A$2:$A$50,"636*",BALANCE!$F$2:$F$50)-SUMIF(BALANCE!$A$2:$A$50,"636*",BALANCE!$G$2:$G$50)</f>
        <v/>
      </c>
      <c r="C21" s="13">
        <f>SUMIF(BALANCE_N1!$A$2:$A$50,"636*",BALANCE_N1!$F$2:$F$50)-SUMIF(BALANCE_N1!$A$2:$A$50,"636*",BALANCE_N1!$G$2:$G$50)</f>
        <v/>
      </c>
      <c r="D21" s="13">
        <f>B21-C21</f>
        <v/>
      </c>
      <c r="E21" s="17">
        <f>IF(C21=0,"",(B21-C21)/C21)</f>
        <v/>
      </c>
    </row>
    <row r="22">
      <c r="A22" s="10" t="inlineStr">
        <is>
          <t>Rémunérations de personnel extérieur à l'entité</t>
        </is>
      </c>
      <c r="B22" s="11">
        <f>SUMIF(BALANCE!$A$2:$A$50,"637*",BALANCE!$F$2:$F$50)-SUMIF(BALANCE!$A$2:$A$50,"637*",BALANCE!$G$2:$G$50)</f>
        <v/>
      </c>
      <c r="C22" s="11">
        <f>SUMIF(BALANCE_N1!$A$2:$A$50,"637*",BALANCE_N1!$F$2:$F$50)-SUMIF(BALANCE_N1!$A$2:$A$50,"637*",BALANCE_N1!$G$2:$G$50)</f>
        <v/>
      </c>
      <c r="D22" s="11">
        <f>B22-C22</f>
        <v/>
      </c>
      <c r="E22" s="16">
        <f>IF(C22=0,"",(B22-C22)/C22)</f>
        <v/>
      </c>
    </row>
    <row r="23">
      <c r="A23" s="12" t="inlineStr">
        <is>
          <t>Autres charges externes</t>
        </is>
      </c>
      <c r="B23" s="13">
        <f>SUMIF(BALANCE!$A$2:$A$50,"638*",BALANCE!$F$2:$F$50)-SUMIF(BALANCE!$A$2:$A$50,"638*",BALANCE!$G$2:$G$50)</f>
        <v/>
      </c>
      <c r="C23" s="13">
        <f>SUMIF(BALANCE_N1!$A$2:$A$50,"638*",BALANCE_N1!$F$2:$F$50)-SUMIF(BALANCE_N1!$A$2:$A$50,"638*",BALANCE_N1!$G$2:$G$50)</f>
        <v/>
      </c>
      <c r="D23" s="13">
        <f>B23-C23</f>
        <v/>
      </c>
      <c r="E23" s="17">
        <f>IF(C23=0,"",(B23-C23)/C23)</f>
        <v/>
      </c>
    </row>
    <row r="24">
      <c r="A24" s="14" t="inlineStr">
        <is>
          <t>TOTAL</t>
        </is>
      </c>
      <c r="B24" s="15">
        <f>SUM(B8:B23)</f>
        <v/>
      </c>
      <c r="C24" s="15">
        <f>SUM(C8:C23)</f>
        <v/>
      </c>
      <c r="D24" s="15">
        <f>B24-C24</f>
        <v/>
      </c>
      <c r="E24" s="18">
        <f>IF(C24=0,"",(B24-C24)/C24)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18</t>
        </is>
      </c>
    </row>
    <row r="2">
      <c r="A2" s="2" t="inlineStr">
        <is>
          <t>IMPÔTS ET TAXES</t>
        </is>
      </c>
    </row>
    <row r="3"/>
    <row r="4">
      <c r="A4" s="3" t="inlineStr">
        <is>
          <t>Désignation entité : PROJET PADIR</t>
        </is>
      </c>
      <c r="D4" s="3" t="inlineStr">
        <is>
          <t>Exercice clos le : 31/12/2025</t>
        </is>
      </c>
    </row>
    <row r="5">
      <c r="A5" t="inlineStr">
        <is>
          <t>Numéro d'identification : Convention 2023/DR/045</t>
        </is>
      </c>
      <c r="D5" t="inlineStr">
        <is>
          <t>Durée (en mois) : 12</t>
        </is>
      </c>
    </row>
    <row r="6"/>
    <row r="7">
      <c r="A7" s="9" t="inlineStr">
        <is>
          <t>Libellés</t>
        </is>
      </c>
      <c r="B7" s="9" t="inlineStr">
        <is>
          <t>Année N</t>
        </is>
      </c>
      <c r="C7" s="9" t="inlineStr">
        <is>
          <t>Année N-1</t>
        </is>
      </c>
      <c r="D7" s="9" t="inlineStr">
        <is>
          <t>Variation en valeur</t>
        </is>
      </c>
      <c r="E7" s="9" t="inlineStr">
        <is>
          <t>Variation en %</t>
        </is>
      </c>
    </row>
    <row r="8">
      <c r="A8" s="10" t="inlineStr">
        <is>
          <t>Impôts et taxes directs</t>
        </is>
      </c>
      <c r="B8" s="11">
        <f>SUMIF(BALANCE!$A$2:$A$50,"641*",BALANCE!$F$2:$F$50)-SUMIF(BALANCE!$A$2:$A$50,"641*",BALANCE!$G$2:$G$50)</f>
        <v/>
      </c>
      <c r="C8" s="11">
        <f>SUMIF(BALANCE_N1!$A$2:$A$50,"641*",BALANCE_N1!$F$2:$F$50)-SUMIF(BALANCE_N1!$A$2:$A$50,"641*",BALANCE_N1!$G$2:$G$50)</f>
        <v/>
      </c>
      <c r="D8" s="11">
        <f>B8-C8</f>
        <v/>
      </c>
      <c r="E8" s="16">
        <f>IF(C8=0,"",(B8-C8)/C8)</f>
        <v/>
      </c>
    </row>
    <row r="9">
      <c r="A9" s="12" t="inlineStr">
        <is>
          <t>Impôts et taxes indirects</t>
        </is>
      </c>
      <c r="B9" s="13">
        <f>SUMIF(BALANCE!$A$2:$A$50,"645*",BALANCE!$F$2:$F$50)-SUMIF(BALANCE!$A$2:$A$50,"645*",BALANCE!$G$2:$G$50)</f>
        <v/>
      </c>
      <c r="C9" s="13">
        <f>SUMIF(BALANCE_N1!$A$2:$A$50,"645*",BALANCE_N1!$F$2:$F$50)-SUMIF(BALANCE_N1!$A$2:$A$50,"645*",BALANCE_N1!$G$2:$G$50)</f>
        <v/>
      </c>
      <c r="D9" s="13">
        <f>B9-C9</f>
        <v/>
      </c>
      <c r="E9" s="17">
        <f>IF(C9=0,"",(B9-C9)/C9)</f>
        <v/>
      </c>
    </row>
    <row r="10">
      <c r="A10" s="10" t="inlineStr">
        <is>
          <t>Droits d'enregistrement</t>
        </is>
      </c>
      <c r="B10" s="11">
        <f>SUMIF(BALANCE!$A$2:$A$50,"646*",BALANCE!$F$2:$F$50)-SUMIF(BALANCE!$A$2:$A$50,"646*",BALANCE!$G$2:$G$50)</f>
        <v/>
      </c>
      <c r="C10" s="11">
        <f>SUMIF(BALANCE_N1!$A$2:$A$50,"646*",BALANCE_N1!$F$2:$F$50)-SUMIF(BALANCE_N1!$A$2:$A$50,"646*",BALANCE_N1!$G$2:$G$50)</f>
        <v/>
      </c>
      <c r="D10" s="11">
        <f>B10-C10</f>
        <v/>
      </c>
      <c r="E10" s="16">
        <f>IF(C10=0,"",(B10-C10)/C10)</f>
        <v/>
      </c>
    </row>
    <row r="11">
      <c r="A11" s="12" t="inlineStr">
        <is>
          <t>Pénalités et amendes fiscales</t>
        </is>
      </c>
      <c r="B11" s="13">
        <f>SUMIF(BALANCE!$A$2:$A$50,"647*",BALANCE!$F$2:$F$50)-SUMIF(BALANCE!$A$2:$A$50,"647*",BALANCE!$G$2:$G$50)</f>
        <v/>
      </c>
      <c r="C11" s="13">
        <f>SUMIF(BALANCE_N1!$A$2:$A$50,"647*",BALANCE_N1!$F$2:$F$50)-SUMIF(BALANCE_N1!$A$2:$A$50,"647*",BALANCE_N1!$G$2:$G$50)</f>
        <v/>
      </c>
      <c r="D11" s="13">
        <f>B11-C11</f>
        <v/>
      </c>
      <c r="E11" s="17">
        <f>IF(C11=0,"",(B11-C11)/C11)</f>
        <v/>
      </c>
    </row>
    <row r="12">
      <c r="A12" s="10" t="inlineStr">
        <is>
          <t>Autres impôts et taxes</t>
        </is>
      </c>
      <c r="B12" s="11">
        <f>SUMIF(BALANCE!$A$2:$A$50,"648*",BALANCE!$F$2:$F$50)-SUMIF(BALANCE!$A$2:$A$50,"648*",BALANCE!$G$2:$G$50)</f>
        <v/>
      </c>
      <c r="C12" s="11">
        <f>SUMIF(BALANCE_N1!$A$2:$A$50,"648*",BALANCE_N1!$F$2:$F$50)-SUMIF(BALANCE_N1!$A$2:$A$50,"648*",BALANCE_N1!$G$2:$G$50)</f>
        <v/>
      </c>
      <c r="D12" s="11">
        <f>B12-C12</f>
        <v/>
      </c>
      <c r="E12" s="16">
        <f>IF(C12=0,"",(B12-C12)/C12)</f>
        <v/>
      </c>
    </row>
    <row r="13">
      <c r="A13" s="12" t="inlineStr">
        <is>
          <t>Dégrèvements et annulations des impôts et taxes (-)</t>
        </is>
      </c>
      <c r="B13" s="13">
        <f>SUMIF(BALANCE!$A$2:$A$50,"649*",BALANCE!$F$2:$F$50)-SUMIF(BALANCE!$A$2:$A$50,"649*",BALANCE!$G$2:$G$50)</f>
        <v/>
      </c>
      <c r="C13" s="13">
        <f>SUMIF(BALANCE_N1!$A$2:$A$50,"649*",BALANCE_N1!$F$2:$F$50)-SUMIF(BALANCE_N1!$A$2:$A$50,"649*",BALANCE_N1!$G$2:$G$50)</f>
        <v/>
      </c>
      <c r="D13" s="13">
        <f>B13-C13</f>
        <v/>
      </c>
      <c r="E13" s="17">
        <f>IF(C13=0,"",(B13-C13)/C13)</f>
        <v/>
      </c>
    </row>
    <row r="14">
      <c r="A14" s="14" t="inlineStr">
        <is>
          <t>TOTAL</t>
        </is>
      </c>
      <c r="B14" s="15">
        <f>SUM(B8:B13)</f>
        <v/>
      </c>
      <c r="C14" s="15">
        <f>SUM(C8:C13)</f>
        <v/>
      </c>
      <c r="D14" s="15">
        <f>B14-C14</f>
        <v/>
      </c>
      <c r="E14" s="18">
        <f>IF(C14=0,"",(B14-C14)/C14)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19</t>
        </is>
      </c>
    </row>
    <row r="2">
      <c r="A2" s="2" t="inlineStr">
        <is>
          <t>AUTRES CHARGES</t>
        </is>
      </c>
    </row>
    <row r="3"/>
    <row r="4">
      <c r="A4" s="3" t="inlineStr">
        <is>
          <t>Désignation entité : PROJET PADIR</t>
        </is>
      </c>
      <c r="D4" s="3" t="inlineStr">
        <is>
          <t>Exercice clos le : 31/12/2025</t>
        </is>
      </c>
    </row>
    <row r="5">
      <c r="A5" t="inlineStr">
        <is>
          <t>Numéro d'identification : Convention 2023/DR/045</t>
        </is>
      </c>
      <c r="D5" t="inlineStr">
        <is>
          <t>Durée (en mois) : 12</t>
        </is>
      </c>
    </row>
    <row r="6"/>
    <row r="7">
      <c r="A7" s="9" t="inlineStr">
        <is>
          <t>Libellés</t>
        </is>
      </c>
      <c r="B7" s="9" t="inlineStr">
        <is>
          <t>Année N</t>
        </is>
      </c>
      <c r="C7" s="9" t="inlineStr">
        <is>
          <t>Année N-1</t>
        </is>
      </c>
      <c r="D7" s="9" t="inlineStr">
        <is>
          <t>Variation en valeur</t>
        </is>
      </c>
      <c r="E7" s="9" t="inlineStr">
        <is>
          <t>Variation en %</t>
        </is>
      </c>
    </row>
    <row r="8">
      <c r="A8" s="10" t="inlineStr">
        <is>
          <t>Pertes sur créances</t>
        </is>
      </c>
      <c r="B8" s="11">
        <f>SUMIF(BALANCE!$A$2:$A$50,"651*",BALANCE!$F$2:$F$50)-SUMIF(BALANCE!$A$2:$A$50,"651*",BALANCE!$G$2:$G$50)</f>
        <v/>
      </c>
      <c r="C8" s="11">
        <f>SUMIF(BALANCE_N1!$A$2:$A$50,"651*",BALANCE_N1!$F$2:$F$50)-SUMIF(BALANCE_N1!$A$2:$A$50,"651*",BALANCE_N1!$G$2:$G$50)</f>
        <v/>
      </c>
      <c r="D8" s="11">
        <f>B8-C8</f>
        <v/>
      </c>
      <c r="E8" s="16">
        <f>IF(C8=0,"",(B8-C8)/C8)</f>
        <v/>
      </c>
    </row>
    <row r="9">
      <c r="A9" s="12" t="inlineStr">
        <is>
          <t>Subventions accordées</t>
        </is>
      </c>
      <c r="B9" s="13">
        <f>SUMIF(BALANCE!$A$2:$A$50,"652*",BALANCE!$F$2:$F$50)-SUMIF(BALANCE!$A$2:$A$50,"652*",BALANCE!$G$2:$G$50)</f>
        <v/>
      </c>
      <c r="C9" s="13">
        <f>SUMIF(BALANCE_N1!$A$2:$A$50,"652*",BALANCE_N1!$F$2:$F$50)-SUMIF(BALANCE_N1!$A$2:$A$50,"652*",BALANCE_N1!$G$2:$G$50)</f>
        <v/>
      </c>
      <c r="D9" s="13">
        <f>B9-C9</f>
        <v/>
      </c>
      <c r="E9" s="17">
        <f>IF(C9=0,"",(B9-C9)/C9)</f>
        <v/>
      </c>
    </row>
    <row r="10">
      <c r="A10" s="10" t="inlineStr">
        <is>
          <t>Dons en nature courants à distribuer</t>
        </is>
      </c>
      <c r="B10" s="11">
        <f>SUMIF(BALANCE!$A$2:$A$50,"654*",BALANCE!$F$2:$F$50)-SUMIF(BALANCE!$A$2:$A$50,"654*",BALANCE!$G$2:$G$50)</f>
        <v/>
      </c>
      <c r="C10" s="11">
        <f>SUMIF(BALANCE_N1!$A$2:$A$50,"654*",BALANCE_N1!$F$2:$F$50)-SUMIF(BALANCE_N1!$A$2:$A$50,"654*",BALANCE_N1!$G$2:$G$50)</f>
        <v/>
      </c>
      <c r="D10" s="11">
        <f>B10-C10</f>
        <v/>
      </c>
      <c r="E10" s="16">
        <f>IF(C10=0,"",(B10-C10)/C10)</f>
        <v/>
      </c>
    </row>
    <row r="11">
      <c r="A11" s="12" t="inlineStr">
        <is>
          <t>Pénalités et amendes pénales</t>
        </is>
      </c>
      <c r="B11" s="13">
        <f>SUMIF(BALANCE!$A$2:$A$50,"657*",BALANCE!$F$2:$F$50)-SUMIF(BALANCE!$A$2:$A$50,"657*",BALANCE!$G$2:$G$50)</f>
        <v/>
      </c>
      <c r="C11" s="13">
        <f>SUMIF(BALANCE_N1!$A$2:$A$50,"657*",BALANCE_N1!$F$2:$F$50)-SUMIF(BALANCE_N1!$A$2:$A$50,"657*",BALANCE_N1!$G$2:$G$50)</f>
        <v/>
      </c>
      <c r="D11" s="13">
        <f>B11-C11</f>
        <v/>
      </c>
      <c r="E11" s="17">
        <f>IF(C11=0,"",(B11-C11)/C11)</f>
        <v/>
      </c>
    </row>
    <row r="12">
      <c r="A12" s="10" t="inlineStr">
        <is>
          <t>Autres charges diverses</t>
        </is>
      </c>
      <c r="B12" s="11">
        <f>SUMIF(BALANCE!$A$2:$A$50,"658*",BALANCE!$F$2:$F$50)-SUMIF(BALANCE!$A$2:$A$50,"658*",BALANCE!$G$2:$G$50)</f>
        <v/>
      </c>
      <c r="C12" s="11">
        <f>SUMIF(BALANCE_N1!$A$2:$A$50,"658*",BALANCE_N1!$F$2:$F$50)-SUMIF(BALANCE_N1!$A$2:$A$50,"658*",BALANCE_N1!$G$2:$G$50)</f>
        <v/>
      </c>
      <c r="D12" s="11">
        <f>B12-C12</f>
        <v/>
      </c>
      <c r="E12" s="16">
        <f>IF(C12=0,"",(B12-C12)/C12)</f>
        <v/>
      </c>
    </row>
    <row r="13">
      <c r="A13" s="12" t="inlineStr">
        <is>
          <t>Charges pour provisions pour risques à court terme d'exploitation</t>
        </is>
      </c>
      <c r="B13" s="13">
        <f>SUMIF(BALANCE!$A$2:$A$50,"659*",BALANCE!$F$2:$F$50)-SUMIF(BALANCE!$A$2:$A$50,"659*",BALANCE!$G$2:$G$50)</f>
        <v/>
      </c>
      <c r="C13" s="13">
        <f>SUMIF(BALANCE_N1!$A$2:$A$50,"659*",BALANCE_N1!$F$2:$F$50)-SUMIF(BALANCE_N1!$A$2:$A$50,"659*",BALANCE_N1!$G$2:$G$50)</f>
        <v/>
      </c>
      <c r="D13" s="13">
        <f>B13-C13</f>
        <v/>
      </c>
      <c r="E13" s="17">
        <f>IF(C13=0,"",(B13-C13)/C13)</f>
        <v/>
      </c>
    </row>
    <row r="14">
      <c r="A14" s="14" t="inlineStr">
        <is>
          <t>TOTAL</t>
        </is>
      </c>
      <c r="B14" s="15">
        <f>SUM(B8:B13)</f>
        <v/>
      </c>
      <c r="C14" s="15">
        <f>SUM(C8:C13)</f>
        <v/>
      </c>
      <c r="D14" s="15">
        <f>B14-C14</f>
        <v/>
      </c>
      <c r="E14" s="18">
        <f>IF(C14=0,"",(B14-C14)/C14)</f>
        <v/>
      </c>
    </row>
    <row r="15"/>
    <row r="16">
      <c r="A16" s="3" t="inlineStr">
        <is>
          <t>Commentaires :</t>
        </is>
      </c>
    </row>
    <row r="17">
      <c r="A17" s="5" t="inlineStr">
        <is>
          <t>• Indiquer les organismes bénéficiaires des dons.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20A</t>
        </is>
      </c>
    </row>
    <row r="2">
      <c r="A2" s="2" t="inlineStr">
        <is>
          <t>CHARGES DE PERSONNEL</t>
        </is>
      </c>
    </row>
    <row r="3"/>
    <row r="4">
      <c r="A4" s="3" t="inlineStr">
        <is>
          <t>Désignation entité : PROJET PADIR</t>
        </is>
      </c>
      <c r="D4" s="3" t="inlineStr">
        <is>
          <t>Exercice clos le : 31/12/2025</t>
        </is>
      </c>
    </row>
    <row r="5">
      <c r="A5" t="inlineStr">
        <is>
          <t>Numéro d'identification : Convention 2023/DR/045</t>
        </is>
      </c>
      <c r="D5" t="inlineStr">
        <is>
          <t>Durée (en mois) : 12</t>
        </is>
      </c>
    </row>
    <row r="6"/>
    <row r="7">
      <c r="A7" s="9" t="inlineStr">
        <is>
          <t>Libellés</t>
        </is>
      </c>
      <c r="B7" s="9" t="inlineStr">
        <is>
          <t>Année N</t>
        </is>
      </c>
      <c r="C7" s="9" t="inlineStr">
        <is>
          <t>Année N-1</t>
        </is>
      </c>
      <c r="D7" s="9" t="inlineStr">
        <is>
          <t>Variation en valeur</t>
        </is>
      </c>
      <c r="E7" s="9" t="inlineStr">
        <is>
          <t>Variation en %</t>
        </is>
      </c>
    </row>
    <row r="8">
      <c r="A8" s="10" t="inlineStr">
        <is>
          <t>Rémunérations directes versées au personnel national</t>
        </is>
      </c>
      <c r="B8" s="11">
        <f>SUMIF(BALANCE!$A$2:$A$50,"661*",BALANCE!$F$2:$F$50)-SUMIF(BALANCE!$A$2:$A$50,"661*",BALANCE!$G$2:$G$50)</f>
        <v/>
      </c>
      <c r="C8" s="11">
        <f>SUMIF(BALANCE_N1!$A$2:$A$50,"661*",BALANCE_N1!$F$2:$F$50)-SUMIF(BALANCE_N1!$A$2:$A$50,"661*",BALANCE_N1!$G$2:$G$50)</f>
        <v/>
      </c>
      <c r="D8" s="11">
        <f>B8-C8</f>
        <v/>
      </c>
      <c r="E8" s="16">
        <f>IF(C8=0,"",(B8-C8)/C8)</f>
        <v/>
      </c>
    </row>
    <row r="9">
      <c r="A9" s="12" t="inlineStr">
        <is>
          <t>Rémunérations directes versées au personnel non national</t>
        </is>
      </c>
      <c r="B9" s="13">
        <f>SUMIF(BALANCE!$A$2:$A$50,"662*",BALANCE!$F$2:$F$50)-SUMIF(BALANCE!$A$2:$A$50,"662*",BALANCE!$G$2:$G$50)</f>
        <v/>
      </c>
      <c r="C9" s="13">
        <f>SUMIF(BALANCE_N1!$A$2:$A$50,"662*",BALANCE_N1!$F$2:$F$50)-SUMIF(BALANCE_N1!$A$2:$A$50,"662*",BALANCE_N1!$G$2:$G$50)</f>
        <v/>
      </c>
      <c r="D9" s="13">
        <f>B9-C9</f>
        <v/>
      </c>
      <c r="E9" s="17">
        <f>IF(C9=0,"",(B9-C9)/C9)</f>
        <v/>
      </c>
    </row>
    <row r="10">
      <c r="A10" s="10" t="inlineStr">
        <is>
          <t>Indemnités forfaitaires versées au personnel</t>
        </is>
      </c>
      <c r="B10" s="11">
        <f>SUMIF(BALANCE!$A$2:$A$50,"663*",BALANCE!$F$2:$F$50)-SUMIF(BALANCE!$A$2:$A$50,"663*",BALANCE!$G$2:$G$50)</f>
        <v/>
      </c>
      <c r="C10" s="11">
        <f>SUMIF(BALANCE_N1!$A$2:$A$50,"663*",BALANCE_N1!$F$2:$F$50)-SUMIF(BALANCE_N1!$A$2:$A$50,"663*",BALANCE_N1!$G$2:$G$50)</f>
        <v/>
      </c>
      <c r="D10" s="11">
        <f>B10-C10</f>
        <v/>
      </c>
      <c r="E10" s="16">
        <f>IF(C10=0,"",(B10-C10)/C10)</f>
        <v/>
      </c>
    </row>
    <row r="11">
      <c r="A11" s="12" t="inlineStr">
        <is>
          <t>Charges sociales</t>
        </is>
      </c>
      <c r="B11" s="13">
        <f>SUMIF(BALANCE!$A$2:$A$50,"664*",BALANCE!$F$2:$F$50)-SUMIF(BALANCE!$A$2:$A$50,"664*",BALANCE!$G$2:$G$50)</f>
        <v/>
      </c>
      <c r="C11" s="13">
        <f>SUMIF(BALANCE_N1!$A$2:$A$50,"664*",BALANCE_N1!$F$2:$F$50)-SUMIF(BALANCE_N1!$A$2:$A$50,"664*",BALANCE_N1!$G$2:$G$50)</f>
        <v/>
      </c>
      <c r="D11" s="13">
        <f>B11-C11</f>
        <v/>
      </c>
      <c r="E11" s="17">
        <f>IF(C11=0,"",(B11-C11)/C11)</f>
        <v/>
      </c>
    </row>
    <row r="12">
      <c r="A12" s="10" t="inlineStr">
        <is>
          <t>Habillement et équipement du personnel</t>
        </is>
      </c>
      <c r="B12" s="11">
        <f>SUMIF(BALANCE!$A$2:$A$50,"665*",BALANCE!$F$2:$F$50)-SUMIF(BALANCE!$A$2:$A$50,"665*",BALANCE!$G$2:$G$50)</f>
        <v/>
      </c>
      <c r="C12" s="11">
        <f>SUMIF(BALANCE_N1!$A$2:$A$50,"665*",BALANCE_N1!$F$2:$F$50)-SUMIF(BALANCE_N1!$A$2:$A$50,"665*",BALANCE_N1!$G$2:$G$50)</f>
        <v/>
      </c>
      <c r="D12" s="11">
        <f>B12-C12</f>
        <v/>
      </c>
      <c r="E12" s="16">
        <f>IF(C12=0,"",(B12-C12)/C12)</f>
        <v/>
      </c>
    </row>
    <row r="13">
      <c r="A13" s="12" t="inlineStr">
        <is>
          <t>Rémunération transférée de personnel extérieur</t>
        </is>
      </c>
      <c r="B13" s="13">
        <f>SUMIF(BALANCE!$A$2:$A$50,"667*",BALANCE!$F$2:$F$50)-SUMIF(BALANCE!$A$2:$A$50,"667*",BALANCE!$G$2:$G$50)</f>
        <v/>
      </c>
      <c r="C13" s="13">
        <f>SUMIF(BALANCE_N1!$A$2:$A$50,"667*",BALANCE_N1!$F$2:$F$50)-SUMIF(BALANCE_N1!$A$2:$A$50,"667*",BALANCE_N1!$G$2:$G$50)</f>
        <v/>
      </c>
      <c r="D13" s="13">
        <f>B13-C13</f>
        <v/>
      </c>
      <c r="E13" s="17">
        <f>IF(C13=0,"",(B13-C13)/C13)</f>
        <v/>
      </c>
    </row>
    <row r="14">
      <c r="A14" s="10" t="inlineStr">
        <is>
          <t>Autres charges sociales</t>
        </is>
      </c>
      <c r="B14" s="11">
        <f>SUMIF(BALANCE!$A$2:$A$50,"668*",BALANCE!$F$2:$F$50)-SUMIF(BALANCE!$A$2:$A$50,"668*",BALANCE!$G$2:$G$50)</f>
        <v/>
      </c>
      <c r="C14" s="11">
        <f>SUMIF(BALANCE_N1!$A$2:$A$50,"668*",BALANCE_N1!$F$2:$F$50)-SUMIF(BALANCE_N1!$A$2:$A$50,"668*",BALANCE_N1!$G$2:$G$50)</f>
        <v/>
      </c>
      <c r="D14" s="11">
        <f>B14-C14</f>
        <v/>
      </c>
      <c r="E14" s="16">
        <f>IF(C14=0,"",(B14-C14)/C14)</f>
        <v/>
      </c>
    </row>
    <row r="15">
      <c r="A15" s="12" t="inlineStr">
        <is>
          <t>Dégrèvements et annulations des charges sociales (-)</t>
        </is>
      </c>
      <c r="B15" s="13">
        <f>SUMIF(BALANCE!$A$2:$A$50,"669*",BALANCE!$F$2:$F$50)-SUMIF(BALANCE!$A$2:$A$50,"669*",BALANCE!$G$2:$G$50)</f>
        <v/>
      </c>
      <c r="C15" s="13">
        <f>SUMIF(BALANCE_N1!$A$2:$A$50,"669*",BALANCE_N1!$F$2:$F$50)-SUMIF(BALANCE_N1!$A$2:$A$50,"669*",BALANCE_N1!$G$2:$G$50)</f>
        <v/>
      </c>
      <c r="D15" s="13">
        <f>B15-C15</f>
        <v/>
      </c>
      <c r="E15" s="17">
        <f>IF(C15=0,"",(B15-C15)/C15)</f>
        <v/>
      </c>
    </row>
    <row r="16">
      <c r="A16" s="14" t="inlineStr">
        <is>
          <t>TOTAL</t>
        </is>
      </c>
      <c r="B16" s="15">
        <f>SUM(B8:B15)</f>
        <v/>
      </c>
      <c r="C16" s="15">
        <f>SUM(C8:C15)</f>
        <v/>
      </c>
      <c r="D16" s="15">
        <f>B16-C16</f>
        <v/>
      </c>
      <c r="E16" s="18">
        <f>IF(C16=0,"",(B16-C16)/C16)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4" customWidth="1" min="2" max="2"/>
    <col width="14" customWidth="1" min="3" max="3"/>
    <col width="14" customWidth="1" min="4" max="4"/>
    <col width="12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NOTE 20B</t>
        </is>
      </c>
    </row>
    <row r="2">
      <c r="A2" s="2" t="inlineStr">
        <is>
          <t>EFFECTIFS, MASSE SALARIALE ET PERSONNEL EXTÉRIEUR</t>
        </is>
      </c>
    </row>
    <row r="3"/>
    <row r="4">
      <c r="A4" s="3" t="inlineStr">
        <is>
          <t>Désignation entité : PROJET PADIR</t>
        </is>
      </c>
      <c r="H4" s="3" t="inlineStr">
        <is>
          <t>Exercice clos le : 31/12/2025</t>
        </is>
      </c>
    </row>
    <row r="5">
      <c r="A5" t="inlineStr">
        <is>
          <t>Numéro d'identification : Convention 2023/DR/045</t>
        </is>
      </c>
      <c r="H5" t="inlineStr">
        <is>
          <t>Durée (en mois) : 12</t>
        </is>
      </c>
    </row>
    <row r="6"/>
    <row r="7">
      <c r="A7" s="4" t="inlineStr">
        <is>
          <t>1. PERSONNEL PROPRE</t>
        </is>
      </c>
    </row>
    <row r="8">
      <c r="A8" s="9" t="inlineStr">
        <is>
          <t>QUALIFICATIONS</t>
        </is>
      </c>
      <c r="B8" s="9" t="inlineStr">
        <is>
          <t>Effectifs Nationaux (M/F)</t>
        </is>
      </c>
      <c r="C8" s="9" t="inlineStr">
        <is>
          <t>Effectifs Autres États Région (M/F)</t>
        </is>
      </c>
      <c r="D8" s="9" t="inlineStr">
        <is>
          <t>Effectifs Hors Région (M/F)</t>
        </is>
      </c>
      <c r="E8" s="9" t="inlineStr">
        <is>
          <t>Effectifs Total</t>
        </is>
      </c>
      <c r="F8" s="9" t="inlineStr">
        <is>
          <t>Masse salariale Nationaux</t>
        </is>
      </c>
      <c r="G8" s="9" t="inlineStr">
        <is>
          <t>Masse salariale Autres États</t>
        </is>
      </c>
      <c r="H8" s="9" t="inlineStr">
        <is>
          <t>Masse salariale Hors Région</t>
        </is>
      </c>
      <c r="I8" s="9" t="inlineStr">
        <is>
          <t>Masse salariale Total</t>
        </is>
      </c>
    </row>
    <row r="9">
      <c r="A9" s="12" t="inlineStr">
        <is>
          <t>YA. 1. Cadres supérieurs</t>
        </is>
      </c>
      <c r="B9" s="12" t="n"/>
      <c r="C9" s="12" t="n"/>
      <c r="D9" s="12" t="n"/>
      <c r="E9" s="12" t="n"/>
      <c r="F9" s="13" t="n"/>
      <c r="G9" s="13" t="n"/>
      <c r="H9" s="13" t="n"/>
      <c r="I9" s="13" t="n"/>
    </row>
    <row r="10">
      <c r="A10" s="10" t="inlineStr">
        <is>
          <t>YB. 2. Techniciens supérieurs et cadres moyens</t>
        </is>
      </c>
      <c r="B10" s="10" t="n"/>
      <c r="C10" s="10" t="n"/>
      <c r="D10" s="10" t="n"/>
      <c r="E10" s="10" t="n"/>
      <c r="F10" s="11" t="n"/>
      <c r="G10" s="11" t="n"/>
      <c r="H10" s="11" t="n"/>
      <c r="I10" s="11" t="n"/>
    </row>
    <row r="11">
      <c r="A11" s="12" t="inlineStr">
        <is>
          <t>YC. 3. Techniciens, agents de maîtrise et ouvriers qualifiés</t>
        </is>
      </c>
      <c r="B11" s="12" t="n"/>
      <c r="C11" s="12" t="n"/>
      <c r="D11" s="12" t="n"/>
      <c r="E11" s="12" t="n"/>
      <c r="F11" s="13" t="n"/>
      <c r="G11" s="13" t="n"/>
      <c r="H11" s="13" t="n"/>
      <c r="I11" s="13" t="n"/>
    </row>
    <row r="12">
      <c r="A12" s="10" t="inlineStr">
        <is>
          <t>YD. 4. Employés, manœuvres, ouvriers et apprentis</t>
        </is>
      </c>
      <c r="B12" s="10" t="n"/>
      <c r="C12" s="10" t="n"/>
      <c r="D12" s="10" t="n"/>
      <c r="E12" s="10" t="n"/>
      <c r="F12" s="11" t="n"/>
      <c r="G12" s="11" t="n"/>
      <c r="H12" s="11" t="n"/>
      <c r="I12" s="11" t="n"/>
    </row>
    <row r="13">
      <c r="A13" s="14" t="inlineStr">
        <is>
          <t>YE. TOTAL (1)</t>
        </is>
      </c>
      <c r="B13" s="14">
        <f>SUM(B9:B12)</f>
        <v/>
      </c>
      <c r="C13" s="14">
        <f>SUM(C9:C12)</f>
        <v/>
      </c>
      <c r="D13" s="14">
        <f>SUM(D9:D12)</f>
        <v/>
      </c>
      <c r="E13" s="14">
        <f>SUM(E9:E12)</f>
        <v/>
      </c>
      <c r="F13" s="15">
        <f>SUM(F9:F12)</f>
        <v/>
      </c>
      <c r="G13" s="15">
        <f>SUM(G9:G12)</f>
        <v/>
      </c>
      <c r="H13" s="15">
        <f>SUM(H9:H12)</f>
        <v/>
      </c>
      <c r="I13" s="15">
        <f>SUM(I9:I12)</f>
        <v/>
      </c>
    </row>
    <row r="14">
      <c r="A14" t="inlineStr">
        <is>
          <t>YF. Permanents</t>
        </is>
      </c>
    </row>
    <row r="15">
      <c r="A15" t="inlineStr">
        <is>
          <t>YG. Saisonniers</t>
        </is>
      </c>
    </row>
    <row r="16"/>
    <row r="17">
      <c r="A17" s="4" t="inlineStr">
        <is>
          <t>2. PERSONNEL EXTÉRIEUR ET BÉNÉVOLE - facturation à l'entité</t>
        </is>
      </c>
    </row>
    <row r="18"/>
    <row r="19">
      <c r="A19" t="inlineStr">
        <is>
          <t>YH. 1. Cadres supérieurs</t>
        </is>
      </c>
    </row>
    <row r="20">
      <c r="A20" t="inlineStr">
        <is>
          <t>YI. 2. Techniciens supérieurs et cadres moyens</t>
        </is>
      </c>
    </row>
    <row r="21">
      <c r="A21" t="inlineStr">
        <is>
          <t>YJ. 3. Techniciens, agents de maîtrise et ouvriers qualifiés</t>
        </is>
      </c>
    </row>
    <row r="22">
      <c r="A22" t="inlineStr">
        <is>
          <t>YK. 4. Employés, manœuvres, ouvriers et apprentis</t>
        </is>
      </c>
    </row>
    <row r="23">
      <c r="A23" s="14" t="inlineStr">
        <is>
          <t>YL. TOTAL (2)</t>
        </is>
      </c>
      <c r="B23" s="15">
        <f>SUM(B19:B22)</f>
        <v/>
      </c>
    </row>
    <row r="24">
      <c r="A24" t="inlineStr">
        <is>
          <t>YO. TOTAL (1 + 2) : à rapprocher de la note 29A et du compte 637</t>
        </is>
      </c>
    </row>
  </sheetData>
  <mergeCells count="2">
    <mergeCell ref="A1:I1"/>
    <mergeCell ref="A2:I2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21</t>
        </is>
      </c>
    </row>
    <row r="2">
      <c r="A2" s="2" t="inlineStr">
        <is>
          <t>CHARGES ET REVENUS FINANCIERS</t>
        </is>
      </c>
    </row>
    <row r="3"/>
    <row r="4">
      <c r="A4" s="3" t="inlineStr">
        <is>
          <t>Désignation entité : PROJET PADIR</t>
        </is>
      </c>
      <c r="D4" s="3" t="inlineStr">
        <is>
          <t>Exercice clos le : 31/12/2025</t>
        </is>
      </c>
    </row>
    <row r="5">
      <c r="A5" t="inlineStr">
        <is>
          <t>Numéro d'identification : Convention 2023/DR/045</t>
        </is>
      </c>
      <c r="D5" t="inlineStr">
        <is>
          <t>Durée (en mois) : 12</t>
        </is>
      </c>
    </row>
    <row r="6"/>
    <row r="7">
      <c r="A7" s="9" t="inlineStr">
        <is>
          <t>Libellés</t>
        </is>
      </c>
      <c r="B7" s="9" t="inlineStr">
        <is>
          <t>Année N</t>
        </is>
      </c>
      <c r="C7" s="9" t="inlineStr">
        <is>
          <t>Année N-1</t>
        </is>
      </c>
      <c r="D7" s="9" t="inlineStr">
        <is>
          <t>Variation en valeur</t>
        </is>
      </c>
      <c r="E7" s="9" t="inlineStr">
        <is>
          <t>Variation en %</t>
        </is>
      </c>
    </row>
    <row r="8">
      <c r="A8" s="10" t="inlineStr">
        <is>
          <t>Intérêts des emprunts</t>
        </is>
      </c>
      <c r="B8" s="11">
        <f>SUMIF(BALANCE!$A$2:$A$50,"671*",BALANCE!$F$2:$F$50)-SUMIF(BALANCE!$A$2:$A$50,"671*",BALANCE!$G$2:$G$50)</f>
        <v/>
      </c>
      <c r="C8" s="11">
        <f>SUMIF(BALANCE_N1!$A$2:$A$50,"671*",BALANCE_N1!$F$2:$F$50)-SUMIF(BALANCE_N1!$A$2:$A$50,"671*",BALANCE_N1!$G$2:$G$50)</f>
        <v/>
      </c>
      <c r="D8" s="11">
        <f>B8-C8</f>
        <v/>
      </c>
      <c r="E8" s="16">
        <f>IF(C8=0,"",(B8-C8)/C8)</f>
        <v/>
      </c>
    </row>
    <row r="9">
      <c r="A9" s="12" t="inlineStr">
        <is>
          <t>Intérêts dans loyers de location-acquisition</t>
        </is>
      </c>
      <c r="B9" s="13">
        <f>SUMIF(BALANCE!$A$2:$A$50,"672*",BALANCE!$F$2:$F$50)-SUMIF(BALANCE!$A$2:$A$50,"672*",BALANCE!$G$2:$G$50)</f>
        <v/>
      </c>
      <c r="C9" s="13">
        <f>SUMIF(BALANCE_N1!$A$2:$A$50,"672*",BALANCE_N1!$F$2:$F$50)-SUMIF(BALANCE_N1!$A$2:$A$50,"672*",BALANCE_N1!$G$2:$G$50)</f>
        <v/>
      </c>
      <c r="D9" s="13">
        <f>B9-C9</f>
        <v/>
      </c>
      <c r="E9" s="17">
        <f>IF(C9=0,"",(B9-C9)/C9)</f>
        <v/>
      </c>
    </row>
    <row r="10">
      <c r="A10" s="10" t="inlineStr">
        <is>
          <t>Escomptes accordés</t>
        </is>
      </c>
      <c r="B10" s="11">
        <f>SUMIF(BALANCE!$A$2:$A$50,"673*",BALANCE!$F$2:$F$50)-SUMIF(BALANCE!$A$2:$A$50,"673*",BALANCE!$G$2:$G$50)</f>
        <v/>
      </c>
      <c r="C10" s="11">
        <f>SUMIF(BALANCE_N1!$A$2:$A$50,"673*",BALANCE_N1!$F$2:$F$50)-SUMIF(BALANCE_N1!$A$2:$A$50,"673*",BALANCE_N1!$G$2:$G$50)</f>
        <v/>
      </c>
      <c r="D10" s="11">
        <f>B10-C10</f>
        <v/>
      </c>
      <c r="E10" s="16">
        <f>IF(C10=0,"",(B10-C10)/C10)</f>
        <v/>
      </c>
    </row>
    <row r="11">
      <c r="A11" s="12" t="inlineStr">
        <is>
          <t>Autres intérêts</t>
        </is>
      </c>
      <c r="B11" s="13">
        <f>SUMIF(BALANCE!$A$2:$A$50,"674*",BALANCE!$F$2:$F$50)-SUMIF(BALANCE!$A$2:$A$50,"674*",BALANCE!$G$2:$G$50)</f>
        <v/>
      </c>
      <c r="C11" s="13">
        <f>SUMIF(BALANCE_N1!$A$2:$A$50,"674*",BALANCE_N1!$F$2:$F$50)-SUMIF(BALANCE_N1!$A$2:$A$50,"674*",BALANCE_N1!$G$2:$G$50)</f>
        <v/>
      </c>
      <c r="D11" s="13">
        <f>B11-C11</f>
        <v/>
      </c>
      <c r="E11" s="17">
        <f>IF(C11=0,"",(B11-C11)/C11)</f>
        <v/>
      </c>
    </row>
    <row r="12">
      <c r="A12" s="10" t="inlineStr">
        <is>
          <t>Pertes de change financières</t>
        </is>
      </c>
      <c r="B12" s="11">
        <f>SUMIF(BALANCE!$A$2:$A$50,"676*",BALANCE!$F$2:$F$50)-SUMIF(BALANCE!$A$2:$A$50,"676*",BALANCE!$G$2:$G$50)</f>
        <v/>
      </c>
      <c r="C12" s="11">
        <f>SUMIF(BALANCE_N1!$A$2:$A$50,"676*",BALANCE_N1!$F$2:$F$50)-SUMIF(BALANCE_N1!$A$2:$A$50,"676*",BALANCE_N1!$G$2:$G$50)</f>
        <v/>
      </c>
      <c r="D12" s="11">
        <f>B12-C12</f>
        <v/>
      </c>
      <c r="E12" s="16">
        <f>IF(C12=0,"",(B12-C12)/C12)</f>
        <v/>
      </c>
    </row>
    <row r="13">
      <c r="A13" s="12" t="inlineStr">
        <is>
          <t>Pertes sur cessions de titres de placement</t>
        </is>
      </c>
      <c r="B13" s="13">
        <f>SUMIF(BALANCE!$A$2:$A$50,"677*",BALANCE!$F$2:$F$50)-SUMIF(BALANCE!$A$2:$A$50,"677*",BALANCE!$G$2:$G$50)</f>
        <v/>
      </c>
      <c r="C13" s="13">
        <f>SUMIF(BALANCE_N1!$A$2:$A$50,"677*",BALANCE_N1!$F$2:$F$50)-SUMIF(BALANCE_N1!$A$2:$A$50,"677*",BALANCE_N1!$G$2:$G$50)</f>
        <v/>
      </c>
      <c r="D13" s="13">
        <f>B13-C13</f>
        <v/>
      </c>
      <c r="E13" s="17">
        <f>IF(C13=0,"",(B13-C13)/C13)</f>
        <v/>
      </c>
    </row>
    <row r="14">
      <c r="A14" s="10" t="inlineStr">
        <is>
          <t>Charges pour provisions à court terme à caractère financier</t>
        </is>
      </c>
      <c r="B14" s="11">
        <f>SUMIF(BALANCE!$A$2:$A$50,"679*",BALANCE!$F$2:$F$50)-SUMIF(BALANCE!$A$2:$A$50,"679*",BALANCE!$G$2:$G$50)+SUMIF(BALANCE!$A$2:$A$50,"678*",BALANCE!$F$2:$F$50)-SUMIF(BALANCE!$A$2:$A$50,"678*",BALANCE!$G$2:$G$50)</f>
        <v/>
      </c>
      <c r="C14" s="11">
        <f>SUMIF(BALANCE_N1!$A$2:$A$50,"679*",BALANCE_N1!$F$2:$F$50)-SUMIF(BALANCE_N1!$A$2:$A$50,"679*",BALANCE_N1!$G$2:$G$50)+SUMIF(BALANCE_N1!$A$2:$A$50,"678*",BALANCE_N1!$F$2:$F$50)-SUMIF(BALANCE_N1!$A$2:$A$50,"678*",BALANCE_N1!$G$2:$G$50)</f>
        <v/>
      </c>
      <c r="D14" s="11">
        <f>B14-C14</f>
        <v/>
      </c>
      <c r="E14" s="16">
        <f>IF(C14=0,"",(B14-C14)/C14)</f>
        <v/>
      </c>
    </row>
    <row r="15">
      <c r="A15" s="14" t="inlineStr">
        <is>
          <t>TOTAL : FRAIS FINANCIERS</t>
        </is>
      </c>
      <c r="B15" s="15">
        <f>SUM(B8:B14)</f>
        <v/>
      </c>
      <c r="C15" s="15">
        <f>SUM(C8:C14)</f>
        <v/>
      </c>
      <c r="D15" s="15">
        <f>B15-C15</f>
        <v/>
      </c>
      <c r="E15" s="18">
        <f>IF(C15=0,"",(B15-C15)/C15)</f>
        <v/>
      </c>
    </row>
    <row r="16">
      <c r="A16" s="10" t="inlineStr">
        <is>
          <t>Intérêts de prêts et créances diverses</t>
        </is>
      </c>
      <c r="B16" s="11">
        <f>SUMIF(BALANCE!$A$2:$A$50,"771*",BALANCE!$G$2:$G$50)-SUMIF(BALANCE!$A$2:$A$50,"771*",BALANCE!$F$2:$F$50)</f>
        <v/>
      </c>
      <c r="C16" s="11">
        <f>SUMIF(BALANCE_N1!$A$2:$A$50,"771*",BALANCE_N1!$G$2:$G$50)-SUMIF(BALANCE_N1!$A$2:$A$50,"771*",BALANCE_N1!$F$2:$F$50)</f>
        <v/>
      </c>
      <c r="D16" s="11">
        <f>B16-C16</f>
        <v/>
      </c>
      <c r="E16" s="16">
        <f>IF(C16=0,"",(B16-C16)/C16)</f>
        <v/>
      </c>
    </row>
    <row r="17">
      <c r="A17" s="12" t="inlineStr">
        <is>
          <t>Revenus de participations et autres titres immobilisés</t>
        </is>
      </c>
      <c r="B17" s="13">
        <f>SUMIF(BALANCE!$A$2:$A$50,"772*",BALANCE!$G$2:$G$50)-SUMIF(BALANCE!$A$2:$A$50,"772*",BALANCE!$F$2:$F$50)</f>
        <v/>
      </c>
      <c r="C17" s="13">
        <f>SUMIF(BALANCE_N1!$A$2:$A$50,"772*",BALANCE_N1!$G$2:$G$50)-SUMIF(BALANCE_N1!$A$2:$A$50,"772*",BALANCE_N1!$F$2:$F$50)</f>
        <v/>
      </c>
      <c r="D17" s="13">
        <f>B17-C17</f>
        <v/>
      </c>
      <c r="E17" s="17">
        <f>IF(C17=0,"",(B17-C17)/C17)</f>
        <v/>
      </c>
    </row>
    <row r="18">
      <c r="A18" s="10" t="inlineStr">
        <is>
          <t>Escomptes obtenus</t>
        </is>
      </c>
      <c r="B18" s="11">
        <f>SUMIF(BALANCE!$A$2:$A$50,"773*",BALANCE!$G$2:$G$50)-SUMIF(BALANCE!$A$2:$A$50,"773*",BALANCE!$F$2:$F$50)</f>
        <v/>
      </c>
      <c r="C18" s="11">
        <f>SUMIF(BALANCE_N1!$A$2:$A$50,"773*",BALANCE_N1!$G$2:$G$50)-SUMIF(BALANCE_N1!$A$2:$A$50,"773*",BALANCE_N1!$F$2:$F$50)</f>
        <v/>
      </c>
      <c r="D18" s="11">
        <f>B18-C18</f>
        <v/>
      </c>
      <c r="E18" s="16">
        <f>IF(C18=0,"",(B18-C18)/C18)</f>
        <v/>
      </c>
    </row>
    <row r="19">
      <c r="A19" s="12" t="inlineStr">
        <is>
          <t>Revenus de placement</t>
        </is>
      </c>
      <c r="B19" s="13">
        <f>SUMIF(BALANCE!$A$2:$A$50,"774*",BALANCE!$G$2:$G$50)-SUMIF(BALANCE!$A$2:$A$50,"774*",BALANCE!$F$2:$F$50)</f>
        <v/>
      </c>
      <c r="C19" s="13">
        <f>SUMIF(BALANCE_N1!$A$2:$A$50,"774*",BALANCE_N1!$G$2:$G$50)-SUMIF(BALANCE_N1!$A$2:$A$50,"774*",BALANCE_N1!$F$2:$F$50)</f>
        <v/>
      </c>
      <c r="D19" s="13">
        <f>B19-C19</f>
        <v/>
      </c>
      <c r="E19" s="17">
        <f>IF(C19=0,"",(B19-C19)/C19)</f>
        <v/>
      </c>
    </row>
    <row r="20">
      <c r="A20" s="10" t="inlineStr">
        <is>
          <t>Gains de change financiers</t>
        </is>
      </c>
      <c r="B20" s="11">
        <f>SUMIF(BALANCE!$A$2:$A$50,"776*",BALANCE!$G$2:$G$50)-SUMIF(BALANCE!$A$2:$A$50,"776*",BALANCE!$F$2:$F$50)</f>
        <v/>
      </c>
      <c r="C20" s="11">
        <f>SUMIF(BALANCE_N1!$A$2:$A$50,"776*",BALANCE_N1!$G$2:$G$50)-SUMIF(BALANCE_N1!$A$2:$A$50,"776*",BALANCE_N1!$F$2:$F$50)</f>
        <v/>
      </c>
      <c r="D20" s="11">
        <f>B20-C20</f>
        <v/>
      </c>
      <c r="E20" s="16">
        <f>IF(C20=0,"",(B20-C20)/C20)</f>
        <v/>
      </c>
    </row>
    <row r="21">
      <c r="A21" s="12" t="inlineStr">
        <is>
          <t>Gains sur cessions de titres de placement</t>
        </is>
      </c>
      <c r="B21" s="13">
        <f>SUMIF(BALANCE!$A$2:$A$50,"777*",BALANCE!$G$2:$G$50)-SUMIF(BALANCE!$A$2:$A$50,"777*",BALANCE!$F$2:$F$50)+SUMIF(BALANCE!$A$2:$A$50,"778*",BALANCE!$G$2:$G$50)-SUMIF(BALANCE!$A$2:$A$50,"778*",BALANCE!$F$2:$F$50)</f>
        <v/>
      </c>
      <c r="C21" s="13">
        <f>SUMIF(BALANCE_N1!$A$2:$A$50,"777*",BALANCE_N1!$G$2:$G$50)-SUMIF(BALANCE_N1!$A$2:$A$50,"777*",BALANCE_N1!$F$2:$F$50)+SUMIF(BALANCE_N1!$A$2:$A$50,"778*",BALANCE_N1!$G$2:$G$50)-SUMIF(BALANCE_N1!$A$2:$A$50,"778*",BALANCE_N1!$F$2:$F$50)</f>
        <v/>
      </c>
      <c r="D21" s="13">
        <f>B21-C21</f>
        <v/>
      </c>
      <c r="E21" s="17">
        <f>IF(C21=0,"",(B21-C21)/C21)</f>
        <v/>
      </c>
    </row>
    <row r="22">
      <c r="A22" s="10" t="inlineStr">
        <is>
          <t>Transferts de charges financières</t>
        </is>
      </c>
      <c r="B22" s="11">
        <f>SUMIF(BALANCE!$A$2:$A$50,"787*",BALANCE!$G$2:$G$50)-SUMIF(BALANCE!$A$2:$A$50,"787*",BALANCE!$F$2:$F$50)</f>
        <v/>
      </c>
      <c r="C22" s="11">
        <f>SUMIF(BALANCE_N1!$A$2:$A$50,"787*",BALANCE_N1!$G$2:$G$50)-SUMIF(BALANCE_N1!$A$2:$A$50,"787*",BALANCE_N1!$F$2:$F$50)</f>
        <v/>
      </c>
      <c r="D22" s="11">
        <f>B22-C22</f>
        <v/>
      </c>
      <c r="E22" s="16">
        <f>IF(C22=0,"",(B22-C22)/C22)</f>
        <v/>
      </c>
    </row>
    <row r="23">
      <c r="A23" s="12" t="inlineStr">
        <is>
          <t>Reprises de charges pour provisions à court terme à caractère financier</t>
        </is>
      </c>
      <c r="B23" s="13">
        <f>SUMIF(BALANCE!$A$2:$A$50,"779*",BALANCE!$G$2:$G$50)-SUMIF(BALANCE!$A$2:$A$50,"779*",BALANCE!$F$2:$F$50)</f>
        <v/>
      </c>
      <c r="C23" s="13">
        <f>SUMIF(BALANCE_N1!$A$2:$A$50,"779*",BALANCE_N1!$G$2:$G$50)-SUMIF(BALANCE_N1!$A$2:$A$50,"779*",BALANCE_N1!$F$2:$F$50)</f>
        <v/>
      </c>
      <c r="D23" s="13">
        <f>B23-C23</f>
        <v/>
      </c>
      <c r="E23" s="17">
        <f>IF(C23=0,"",(B23-C23)/C23)</f>
        <v/>
      </c>
    </row>
    <row r="24">
      <c r="A24" s="14" t="inlineStr">
        <is>
          <t>TOTAL : REVENUS FINANCIERS</t>
        </is>
      </c>
      <c r="B24" s="15">
        <f>SUM(B16:B23)</f>
        <v/>
      </c>
      <c r="C24" s="15">
        <f>SUM(C16:C23)</f>
        <v/>
      </c>
      <c r="D24" s="15">
        <f>B24-C24</f>
        <v/>
      </c>
      <c r="E24" s="18">
        <f>IF(C24=0,"",(B24-C24)/C24)</f>
        <v/>
      </c>
    </row>
    <row r="25">
      <c r="A25" s="14" t="inlineStr">
        <is>
          <t>TOTAL (revenus - frais)</t>
        </is>
      </c>
      <c r="B25" s="15">
        <f>B24-B15</f>
        <v/>
      </c>
      <c r="C25" s="15">
        <f>C24-C15</f>
        <v/>
      </c>
      <c r="D25" s="15">
        <f>B25-C25</f>
        <v/>
      </c>
      <c r="E25" s="18">
        <f>IF(C25=0,"",(B25-C25)/C25)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6" customWidth="1" min="9" max="9"/>
  </cols>
  <sheetData>
    <row r="1">
      <c r="A1" s="1" t="inlineStr">
        <is>
          <t>NOTE 22</t>
        </is>
      </c>
    </row>
    <row r="2">
      <c r="A2" s="2" t="inlineStr">
        <is>
          <t>DOTATIONS ET CHARGES POUR PROVISIONS</t>
        </is>
      </c>
    </row>
    <row r="3"/>
    <row r="4">
      <c r="A4" s="3" t="inlineStr">
        <is>
          <t>Désignation entité : PROJET PADIR</t>
        </is>
      </c>
      <c r="H4" s="3" t="inlineStr">
        <is>
          <t>Exercice clos le : 31/12/2025</t>
        </is>
      </c>
    </row>
    <row r="5">
      <c r="A5" t="inlineStr">
        <is>
          <t>Numéro d'identification : Convention 2023/DR/045</t>
        </is>
      </c>
      <c r="H5" t="inlineStr">
        <is>
          <t>Durée (en mois) : 12</t>
        </is>
      </c>
    </row>
    <row r="6"/>
    <row r="7">
      <c r="A7" s="9" t="inlineStr">
        <is>
          <t>NATURE</t>
        </is>
      </c>
      <c r="B7" s="9" t="inlineStr">
        <is>
          <t>Provisions à l'ouverture (A)</t>
        </is>
      </c>
      <c r="C7" s="9" t="inlineStr">
        <is>
          <t>Dotations exploitation</t>
        </is>
      </c>
      <c r="D7" s="9" t="inlineStr">
        <is>
          <t>Dotations financières</t>
        </is>
      </c>
      <c r="E7" s="9" t="inlineStr">
        <is>
          <t>Dotations HAO</t>
        </is>
      </c>
      <c r="F7" s="9" t="inlineStr">
        <is>
          <t>Reprises exploitation</t>
        </is>
      </c>
      <c r="G7" s="9" t="inlineStr">
        <is>
          <t>Reprises financières</t>
        </is>
      </c>
      <c r="H7" s="9" t="inlineStr">
        <is>
          <t>Reprises HAO</t>
        </is>
      </c>
      <c r="I7" s="9" t="inlineStr">
        <is>
          <t>Provisions à la clôture (D = A + B - C)</t>
        </is>
      </c>
    </row>
    <row r="8">
      <c r="A8" s="10" t="inlineStr">
        <is>
          <t>Provisions pour risques et charges</t>
        </is>
      </c>
      <c r="B8" s="11">
        <f>SUMIF(BALANCE_N1!$A$2:$A$50,"19*",BALANCE_N1!$G$2:$G$50)-SUMIF(BALANCE_N1!$A$2:$A$50,"19*",BALANCE_N1!$F$2:$F$50)</f>
        <v/>
      </c>
      <c r="C8" s="11" t="n"/>
      <c r="D8" s="11">
        <f>MAX(0,(SUMIF(BALANCE!$A$2:$A$50,"19*",BALANCE!$G$2:$G$50)-SUMIF(BALANCE!$A$2:$A$50,"19*",BALANCE!$F$2:$F$50))-(SUMIF(BALANCE_N1!$A$2:$A$50,"19*",BALANCE_N1!$G$2:$G$50)-SUMIF(BALANCE_N1!$A$2:$A$50,"19*",BALANCE_N1!$F$2:$F$50)))</f>
        <v/>
      </c>
      <c r="E8" s="11" t="n"/>
      <c r="F8" s="11" t="n"/>
      <c r="G8" s="11">
        <f>MAX(0,(SUMIF(BALANCE_N1!$A$2:$A$50,"19*",BALANCE_N1!$G$2:$G$50)-SUMIF(BALANCE_N1!$A$2:$A$50,"19*",BALANCE_N1!$F$2:$F$50))-(SUMIF(BALANCE!$A$2:$A$50,"19*",BALANCE!$G$2:$G$50)-SUMIF(BALANCE!$A$2:$A$50,"19*",BALANCE!$F$2:$F$50)))</f>
        <v/>
      </c>
      <c r="H8" s="11" t="n"/>
      <c r="I8" s="11">
        <f>B8+C8+D8+E8-F8-G8-H8</f>
        <v/>
      </c>
    </row>
    <row r="9">
      <c r="A9" s="12" t="inlineStr">
        <is>
          <t>Dépréciations des immobilisations</t>
        </is>
      </c>
      <c r="B9" s="13">
        <f>SUMIF(BALANCE_N1!$A$2:$A$50,"29*",BALANCE_N1!$G$2:$G$50)-SUMIF(BALANCE_N1!$A$2:$A$50,"29*",BALANCE_N1!$F$2:$F$50)</f>
        <v/>
      </c>
      <c r="C9" s="13">
        <f>MAX(0,(SUMIF(BALANCE!$A$2:$A$50,"29*",BALANCE!$G$2:$G$50)-SUMIF(BALANCE!$A$2:$A$50,"29*",BALANCE!$F$2:$F$50))-(SUMIF(BALANCE_N1!$A$2:$A$50,"29*",BALANCE_N1!$G$2:$G$50)-SUMIF(BALANCE_N1!$A$2:$A$50,"29*",BALANCE_N1!$F$2:$F$50)))</f>
        <v/>
      </c>
      <c r="D9" s="13" t="n"/>
      <c r="E9" s="13" t="n"/>
      <c r="F9" s="13">
        <f>MAX(0,(SUMIF(BALANCE_N1!$A$2:$A$50,"29*",BALANCE_N1!$G$2:$G$50)-SUMIF(BALANCE_N1!$A$2:$A$50,"29*",BALANCE_N1!$F$2:$F$50))-(SUMIF(BALANCE!$A$2:$A$50,"29*",BALANCE!$G$2:$G$50)-SUMIF(BALANCE!$A$2:$A$50,"29*",BALANCE!$F$2:$F$50)))</f>
        <v/>
      </c>
      <c r="G9" s="13" t="n"/>
      <c r="H9" s="13" t="n"/>
      <c r="I9" s="13">
        <f>B9+C9+D9+E9-F9-G9-H9</f>
        <v/>
      </c>
    </row>
    <row r="10">
      <c r="A10" s="14" t="inlineStr">
        <is>
          <t>TOTAL : DOTATIONS</t>
        </is>
      </c>
      <c r="B10" s="15">
        <f>SUM(B8:B9)</f>
        <v/>
      </c>
      <c r="C10" s="15">
        <f>SUM(C8:C9)</f>
        <v/>
      </c>
      <c r="D10" s="15">
        <f>SUM(D8:D9)</f>
        <v/>
      </c>
      <c r="E10" s="15">
        <f>SUM(E8:E9)</f>
        <v/>
      </c>
      <c r="F10" s="15">
        <f>SUM(F8:F9)</f>
        <v/>
      </c>
      <c r="G10" s="15">
        <f>SUM(G8:G9)</f>
        <v/>
      </c>
      <c r="H10" s="15">
        <f>SUM(H8:H9)</f>
        <v/>
      </c>
      <c r="I10" s="15">
        <f>SUM(I8:I9)</f>
        <v/>
      </c>
    </row>
    <row r="11">
      <c r="A11" s="12" t="inlineStr">
        <is>
          <t>Dépréciations des stocks et en-cours</t>
        </is>
      </c>
      <c r="B11" s="13">
        <f>SUMIF(BALANCE_N1!$A$2:$A$50,"39*",BALANCE_N1!$G$2:$G$50)-SUMIF(BALANCE_N1!$A$2:$A$50,"39*",BALANCE_N1!$F$2:$F$50)</f>
        <v/>
      </c>
      <c r="C11" s="13">
        <f>MAX(0,(SUMIF(BALANCE!$A$2:$A$50,"39*",BALANCE!$G$2:$G$50)-SUMIF(BALANCE!$A$2:$A$50,"39*",BALANCE!$F$2:$F$50))-(SUMIF(BALANCE_N1!$A$2:$A$50,"39*",BALANCE_N1!$G$2:$G$50)-SUMIF(BALANCE_N1!$A$2:$A$50,"39*",BALANCE_N1!$F$2:$F$50)))</f>
        <v/>
      </c>
      <c r="D11" s="13" t="n"/>
      <c r="E11" s="13" t="n"/>
      <c r="F11" s="13">
        <f>MAX(0,(SUMIF(BALANCE_N1!$A$2:$A$50,"39*",BALANCE_N1!$G$2:$G$50)-SUMIF(BALANCE_N1!$A$2:$A$50,"39*",BALANCE_N1!$F$2:$F$50))-(SUMIF(BALANCE!$A$2:$A$50,"39*",BALANCE!$G$2:$G$50)-SUMIF(BALANCE!$A$2:$A$50,"39*",BALANCE!$F$2:$F$50)))</f>
        <v/>
      </c>
      <c r="G11" s="13" t="n"/>
      <c r="H11" s="13" t="n"/>
      <c r="I11" s="13">
        <f>B11+C11+D11+E11-F11-G11-H11</f>
        <v/>
      </c>
    </row>
    <row r="12">
      <c r="A12" s="10" t="inlineStr">
        <is>
          <t>Dépréciations des comptes de tiers</t>
        </is>
      </c>
      <c r="B12" s="11">
        <f>SUMIF(BALANCE_N1!$A$2:$A$50,"493*",BALANCE_N1!$G$2:$G$50)-SUMIF(BALANCE_N1!$A$2:$A$50,"493*",BALANCE_N1!$F$2:$F$50)+SUMIF(BALANCE_N1!$A$2:$A$50,"492*",BALANCE_N1!$G$2:$G$50)-SUMIF(BALANCE_N1!$A$2:$A$50,"492*",BALANCE_N1!$F$2:$F$50)+SUMIF(BALANCE_N1!$A$2:$A$50,"490*",BALANCE_N1!$G$2:$G$50)-SUMIF(BALANCE_N1!$A$2:$A$50,"490*",BALANCE_N1!$F$2:$F$50)+SUMIF(BALANCE_N1!$A$2:$A$50,"491*",BALANCE_N1!$G$2:$G$50)-SUMIF(BALANCE_N1!$A$2:$A$50,"491*",BALANCE_N1!$F$2:$F$50)+SUMIF(BALANCE_N1!$A$2:$A$50,"494*",BALANCE_N1!$G$2:$G$50)-SUMIF(BALANCE_N1!$A$2:$A$50,"494*",BALANCE_N1!$F$2:$F$50)+SUMIF(BALANCE_N1!$A$2:$A$50,"497*",BALANCE_N1!$G$2:$G$50)-SUMIF(BALANCE_N1!$A$2:$A$50,"497*",BALANCE_N1!$F$2:$F$50)</f>
        <v/>
      </c>
      <c r="C12" s="11">
        <f>MAX(0,(SUMIF(BALANCE!$A$2:$A$50,"493*",BALANCE!$G$2:$G$50)-SUMIF(BALANCE!$A$2:$A$50,"493*",BALANCE!$F$2:$F$50)+SUMIF(BALANCE!$A$2:$A$50,"492*",BALANCE!$G$2:$G$50)-SUMIF(BALANCE!$A$2:$A$50,"492*",BALANCE!$F$2:$F$50)+SUMIF(BALANCE!$A$2:$A$50,"490*",BALANCE!$G$2:$G$50)-SUMIF(BALANCE!$A$2:$A$50,"490*",BALANCE!$F$2:$F$50)+SUMIF(BALANCE!$A$2:$A$50,"491*",BALANCE!$G$2:$G$50)-SUMIF(BALANCE!$A$2:$A$50,"491*",BALANCE!$F$2:$F$50)+SUMIF(BALANCE!$A$2:$A$50,"494*",BALANCE!$G$2:$G$50)-SUMIF(BALANCE!$A$2:$A$50,"494*",BALANCE!$F$2:$F$50)+SUMIF(BALANCE!$A$2:$A$50,"497*",BALANCE!$G$2:$G$50)-SUMIF(BALANCE!$A$2:$A$50,"497*",BALANCE!$F$2:$F$50))-(SUMIF(BALANCE_N1!$A$2:$A$50,"493*",BALANCE_N1!$G$2:$G$50)-SUMIF(BALANCE_N1!$A$2:$A$50,"493*",BALANCE_N1!$F$2:$F$50)+SUMIF(BALANCE_N1!$A$2:$A$50,"492*",BALANCE_N1!$G$2:$G$50)-SUMIF(BALANCE_N1!$A$2:$A$50,"492*",BALANCE_N1!$F$2:$F$50)+SUMIF(BALANCE_N1!$A$2:$A$50,"490*",BALANCE_N1!$G$2:$G$50)-SUMIF(BALANCE_N1!$A$2:$A$50,"490*",BALANCE_N1!$F$2:$F$50)+SUMIF(BALANCE_N1!$A$2:$A$50,"491*",BALANCE_N1!$G$2:$G$50)-SUMIF(BALANCE_N1!$A$2:$A$50,"491*",BALANCE_N1!$F$2:$F$50)+SUMIF(BALANCE_N1!$A$2:$A$50,"494*",BALANCE_N1!$G$2:$G$50)-SUMIF(BALANCE_N1!$A$2:$A$50,"494*",BALANCE_N1!$F$2:$F$50)+SUMIF(BALANCE_N1!$A$2:$A$50,"497*",BALANCE_N1!$G$2:$G$50)-SUMIF(BALANCE_N1!$A$2:$A$50,"497*",BALANCE_N1!$F$2:$F$50)))</f>
        <v/>
      </c>
      <c r="D12" s="11" t="n"/>
      <c r="E12" s="11" t="n"/>
      <c r="F12" s="11">
        <f>MAX(0,(SUMIF(BALANCE_N1!$A$2:$A$50,"493*",BALANCE_N1!$G$2:$G$50)-SUMIF(BALANCE_N1!$A$2:$A$50,"493*",BALANCE_N1!$F$2:$F$50)+SUMIF(BALANCE_N1!$A$2:$A$50,"492*",BALANCE_N1!$G$2:$G$50)-SUMIF(BALANCE_N1!$A$2:$A$50,"492*",BALANCE_N1!$F$2:$F$50)+SUMIF(BALANCE_N1!$A$2:$A$50,"490*",BALANCE_N1!$G$2:$G$50)-SUMIF(BALANCE_N1!$A$2:$A$50,"490*",BALANCE_N1!$F$2:$F$50)+SUMIF(BALANCE_N1!$A$2:$A$50,"491*",BALANCE_N1!$G$2:$G$50)-SUMIF(BALANCE_N1!$A$2:$A$50,"491*",BALANCE_N1!$F$2:$F$50)+SUMIF(BALANCE_N1!$A$2:$A$50,"494*",BALANCE_N1!$G$2:$G$50)-SUMIF(BALANCE_N1!$A$2:$A$50,"494*",BALANCE_N1!$F$2:$F$50)+SUMIF(BALANCE_N1!$A$2:$A$50,"497*",BALANCE_N1!$G$2:$G$50)-SUMIF(BALANCE_N1!$A$2:$A$50,"497*",BALANCE_N1!$F$2:$F$50))-(SUMIF(BALANCE!$A$2:$A$50,"493*",BALANCE!$G$2:$G$50)-SUMIF(BALANCE!$A$2:$A$50,"493*",BALANCE!$F$2:$F$50)+SUMIF(BALANCE!$A$2:$A$50,"492*",BALANCE!$G$2:$G$50)-SUMIF(BALANCE!$A$2:$A$50,"492*",BALANCE!$F$2:$F$50)+SUMIF(BALANCE!$A$2:$A$50,"490*",BALANCE!$G$2:$G$50)-SUMIF(BALANCE!$A$2:$A$50,"490*",BALANCE!$F$2:$F$50)+SUMIF(BALANCE!$A$2:$A$50,"491*",BALANCE!$G$2:$G$50)-SUMIF(BALANCE!$A$2:$A$50,"491*",BALANCE!$F$2:$F$50)+SUMIF(BALANCE!$A$2:$A$50,"494*",BALANCE!$G$2:$G$50)-SUMIF(BALANCE!$A$2:$A$50,"494*",BALANCE!$F$2:$F$50)+SUMIF(BALANCE!$A$2:$A$50,"497*",BALANCE!$G$2:$G$50)-SUMIF(BALANCE!$A$2:$A$50,"497*",BALANCE!$F$2:$F$50)))</f>
        <v/>
      </c>
      <c r="G12" s="11" t="n"/>
      <c r="H12" s="11" t="n"/>
      <c r="I12" s="11">
        <f>B12+C12+D12+E12-F12-G12-H12</f>
        <v/>
      </c>
    </row>
    <row r="13">
      <c r="A13" s="12" t="inlineStr">
        <is>
          <t>Dépréciations des comptes de créances HAO</t>
        </is>
      </c>
      <c r="B13" s="13">
        <f>SUMIF(BALANCE_N1!$A$2:$A$50,"498*",BALANCE_N1!$G$2:$G$50)-SUMIF(BALANCE_N1!$A$2:$A$50,"498*",BALANCE_N1!$F$2:$F$50)</f>
        <v/>
      </c>
      <c r="C13" s="13" t="n"/>
      <c r="D13" s="13" t="n"/>
      <c r="E13" s="13">
        <f>MAX(0,(SUMIF(BALANCE!$A$2:$A$50,"498*",BALANCE!$G$2:$G$50)-SUMIF(BALANCE!$A$2:$A$50,"498*",BALANCE!$F$2:$F$50))-(SUMIF(BALANCE_N1!$A$2:$A$50,"498*",BALANCE_N1!$G$2:$G$50)-SUMIF(BALANCE_N1!$A$2:$A$50,"498*",BALANCE_N1!$F$2:$F$50)))</f>
        <v/>
      </c>
      <c r="F13" s="13" t="n"/>
      <c r="G13" s="13" t="n"/>
      <c r="H13" s="13">
        <f>MAX(0,(SUMIF(BALANCE_N1!$A$2:$A$50,"498*",BALANCE_N1!$G$2:$G$50)-SUMIF(BALANCE_N1!$A$2:$A$50,"498*",BALANCE_N1!$F$2:$F$50))-(SUMIF(BALANCE!$A$2:$A$50,"498*",BALANCE!$G$2:$G$50)-SUMIF(BALANCE!$A$2:$A$50,"498*",BALANCE!$F$2:$F$50)))</f>
        <v/>
      </c>
      <c r="I13" s="13">
        <f>B13+C13+D13+E13-F13-G13-H13</f>
        <v/>
      </c>
    </row>
    <row r="14">
      <c r="A14" s="10" t="inlineStr">
        <is>
          <t>Dépréciations de trésorerie</t>
        </is>
      </c>
      <c r="B14" s="11">
        <f>SUMIF(BALANCE_N1!$A$2:$A$50,"595*",BALANCE_N1!$G$2:$G$50)-SUMIF(BALANCE_N1!$A$2:$A$50,"595*",BALANCE_N1!$F$2:$F$50)+SUMIF(BALANCE_N1!$A$2:$A$50,"592*",BALANCE_N1!$G$2:$G$50)-SUMIF(BALANCE_N1!$A$2:$A$50,"592*",BALANCE_N1!$F$2:$F$50)+SUMIF(BALANCE_N1!$A$2:$A$50,"591*",BALANCE_N1!$G$2:$G$50)-SUMIF(BALANCE_N1!$A$2:$A$50,"591*",BALANCE_N1!$F$2:$F$50)+SUMIF(BALANCE_N1!$A$2:$A$50,"593*",BALANCE_N1!$G$2:$G$50)-SUMIF(BALANCE_N1!$A$2:$A$50,"593*",BALANCE_N1!$F$2:$F$50)</f>
        <v/>
      </c>
      <c r="C14" s="11" t="n"/>
      <c r="D14" s="11">
        <f>MAX(0,(SUMIF(BALANCE!$A$2:$A$50,"595*",BALANCE!$G$2:$G$50)-SUMIF(BALANCE!$A$2:$A$50,"595*",BALANCE!$F$2:$F$50)+SUMIF(BALANCE!$A$2:$A$50,"592*",BALANCE!$G$2:$G$50)-SUMIF(BALANCE!$A$2:$A$50,"592*",BALANCE!$F$2:$F$50)+SUMIF(BALANCE!$A$2:$A$50,"591*",BALANCE!$G$2:$G$50)-SUMIF(BALANCE!$A$2:$A$50,"591*",BALANCE!$F$2:$F$50)+SUMIF(BALANCE!$A$2:$A$50,"593*",BALANCE!$G$2:$G$50)-SUMIF(BALANCE!$A$2:$A$50,"593*",BALANCE!$F$2:$F$50))-(SUMIF(BALANCE_N1!$A$2:$A$50,"595*",BALANCE_N1!$G$2:$G$50)-SUMIF(BALANCE_N1!$A$2:$A$50,"595*",BALANCE_N1!$F$2:$F$50)+SUMIF(BALANCE_N1!$A$2:$A$50,"592*",BALANCE_N1!$G$2:$G$50)-SUMIF(BALANCE_N1!$A$2:$A$50,"592*",BALANCE_N1!$F$2:$F$50)+SUMIF(BALANCE_N1!$A$2:$A$50,"591*",BALANCE_N1!$G$2:$G$50)-SUMIF(BALANCE_N1!$A$2:$A$50,"591*",BALANCE_N1!$F$2:$F$50)+SUMIF(BALANCE_N1!$A$2:$A$50,"593*",BALANCE_N1!$G$2:$G$50)-SUMIF(BALANCE_N1!$A$2:$A$50,"593*",BALANCE_N1!$F$2:$F$50)))</f>
        <v/>
      </c>
      <c r="E14" s="11" t="n"/>
      <c r="F14" s="11" t="n"/>
      <c r="G14" s="11">
        <f>MAX(0,(SUMIF(BALANCE_N1!$A$2:$A$50,"595*",BALANCE_N1!$G$2:$G$50)-SUMIF(BALANCE_N1!$A$2:$A$50,"595*",BALANCE_N1!$F$2:$F$50)+SUMIF(BALANCE_N1!$A$2:$A$50,"592*",BALANCE_N1!$G$2:$G$50)-SUMIF(BALANCE_N1!$A$2:$A$50,"592*",BALANCE_N1!$F$2:$F$50)+SUMIF(BALANCE_N1!$A$2:$A$50,"591*",BALANCE_N1!$G$2:$G$50)-SUMIF(BALANCE_N1!$A$2:$A$50,"591*",BALANCE_N1!$F$2:$F$50)+SUMIF(BALANCE_N1!$A$2:$A$50,"593*",BALANCE_N1!$G$2:$G$50)-SUMIF(BALANCE_N1!$A$2:$A$50,"593*",BALANCE_N1!$F$2:$F$50))-(SUMIF(BALANCE!$A$2:$A$50,"595*",BALANCE!$G$2:$G$50)-SUMIF(BALANCE!$A$2:$A$50,"595*",BALANCE!$F$2:$F$50)+SUMIF(BALANCE!$A$2:$A$50,"592*",BALANCE!$G$2:$G$50)-SUMIF(BALANCE!$A$2:$A$50,"592*",BALANCE!$F$2:$F$50)+SUMIF(BALANCE!$A$2:$A$50,"591*",BALANCE!$G$2:$G$50)-SUMIF(BALANCE!$A$2:$A$50,"591*",BALANCE!$F$2:$F$50)+SUMIF(BALANCE!$A$2:$A$50,"593*",BALANCE!$G$2:$G$50)-SUMIF(BALANCE!$A$2:$A$50,"593*",BALANCE!$F$2:$F$50)))</f>
        <v/>
      </c>
      <c r="H14" s="11" t="n"/>
      <c r="I14" s="11">
        <f>B14+C14+D14+E14-F14-G14-H14</f>
        <v/>
      </c>
    </row>
    <row r="15">
      <c r="A15" s="12" t="inlineStr">
        <is>
          <t>Provisions pour risques à court terme</t>
        </is>
      </c>
      <c r="B15" s="13">
        <f>SUMIF(BALANCE_N1!$A$2:$A$50,"599*",BALANCE_N1!$G$2:$G$50)-SUMIF(BALANCE_N1!$A$2:$A$50,"599*",BALANCE_N1!$F$2:$F$50)+SUMIF(BALANCE_N1!$A$2:$A$50,"499*",BALANCE_N1!$G$2:$G$50)-SUMIF(BALANCE_N1!$A$2:$A$50,"499*",BALANCE_N1!$F$2:$F$50)-SUMIF(BALANCE_N1!$A$2:$A$50,"4998*",BALANCE_N1!$G$2:$G$50)+SUMIF(BALANCE_N1!$A$2:$A$50,"4998*",BALANCE_N1!$F$2:$F$50)</f>
        <v/>
      </c>
      <c r="C15" s="13">
        <f>MAX(0,(SUMIF(BALANCE!$A$2:$A$50,"599*",BALANCE!$G$2:$G$50)-SUMIF(BALANCE!$A$2:$A$50,"599*",BALANCE!$F$2:$F$50)+SUMIF(BALANCE!$A$2:$A$50,"499*",BALANCE!$G$2:$G$50)-SUMIF(BALANCE!$A$2:$A$50,"499*",BALANCE!$F$2:$F$50)-SUMIF(BALANCE!$A$2:$A$50,"4998*",BALANCE!$G$2:$G$50)+SUMIF(BALANCE!$A$2:$A$50,"4998*",BALANCE!$F$2:$F$50))-(SUMIF(BALANCE_N1!$A$2:$A$50,"599*",BALANCE_N1!$G$2:$G$50)-SUMIF(BALANCE_N1!$A$2:$A$50,"599*",BALANCE_N1!$F$2:$F$50)+SUMIF(BALANCE_N1!$A$2:$A$50,"499*",BALANCE_N1!$G$2:$G$50)-SUMIF(BALANCE_N1!$A$2:$A$50,"499*",BALANCE_N1!$F$2:$F$50)-SUMIF(BALANCE_N1!$A$2:$A$50,"4998*",BALANCE_N1!$G$2:$G$50)+SUMIF(BALANCE_N1!$A$2:$A$50,"4998*",BALANCE_N1!$F$2:$F$50)))</f>
        <v/>
      </c>
      <c r="D15" s="13" t="n"/>
      <c r="E15" s="13" t="n"/>
      <c r="F15" s="13">
        <f>MAX(0,(SUMIF(BALANCE_N1!$A$2:$A$50,"599*",BALANCE_N1!$G$2:$G$50)-SUMIF(BALANCE_N1!$A$2:$A$50,"599*",BALANCE_N1!$F$2:$F$50)+SUMIF(BALANCE_N1!$A$2:$A$50,"499*",BALANCE_N1!$G$2:$G$50)-SUMIF(BALANCE_N1!$A$2:$A$50,"499*",BALANCE_N1!$F$2:$F$50)-SUMIF(BALANCE_N1!$A$2:$A$50,"4998*",BALANCE_N1!$G$2:$G$50)+SUMIF(BALANCE_N1!$A$2:$A$50,"4998*",BALANCE_N1!$F$2:$F$50))-(SUMIF(BALANCE!$A$2:$A$50,"599*",BALANCE!$G$2:$G$50)-SUMIF(BALANCE!$A$2:$A$50,"599*",BALANCE!$F$2:$F$50)+SUMIF(BALANCE!$A$2:$A$50,"499*",BALANCE!$G$2:$G$50)-SUMIF(BALANCE!$A$2:$A$50,"499*",BALANCE!$F$2:$F$50)-SUMIF(BALANCE!$A$2:$A$50,"4998*",BALANCE!$G$2:$G$50)+SUMIF(BALANCE!$A$2:$A$50,"4998*",BALANCE!$F$2:$F$50)))</f>
        <v/>
      </c>
      <c r="G15" s="13" t="n"/>
      <c r="H15" s="13" t="n"/>
      <c r="I15" s="13">
        <f>B15+C15+D15+E15-F15-G15-H15</f>
        <v/>
      </c>
    </row>
    <row r="16">
      <c r="A16" s="14" t="inlineStr">
        <is>
          <t>TOTAL : CHARGES POUR DÉPRÉCIATIONS ET PROVISIONS</t>
        </is>
      </c>
      <c r="B16" s="15">
        <f>SUM(B11:B15)</f>
        <v/>
      </c>
      <c r="C16" s="15">
        <f>SUM(C11:C15)</f>
        <v/>
      </c>
      <c r="D16" s="15">
        <f>SUM(D11:D15)</f>
        <v/>
      </c>
      <c r="E16" s="15">
        <f>SUM(E11:E15)</f>
        <v/>
      </c>
      <c r="F16" s="15">
        <f>SUM(F11:F15)</f>
        <v/>
      </c>
      <c r="G16" s="15">
        <f>SUM(G11:G15)</f>
        <v/>
      </c>
      <c r="H16" s="15">
        <f>SUM(H11:H15)</f>
        <v/>
      </c>
      <c r="I16" s="15">
        <f>SUM(I11:I15)</f>
        <v/>
      </c>
    </row>
    <row r="17">
      <c r="A17" s="14" t="inlineStr">
        <is>
          <t>TOTAL</t>
        </is>
      </c>
      <c r="B17" s="15">
        <f>B10+B16</f>
        <v/>
      </c>
      <c r="C17" s="15">
        <f>C10+C16</f>
        <v/>
      </c>
      <c r="D17" s="15">
        <f>D10+D16</f>
        <v/>
      </c>
      <c r="E17" s="15">
        <f>E10+E16</f>
        <v/>
      </c>
      <c r="F17" s="15">
        <f>F10+F16</f>
        <v/>
      </c>
      <c r="G17" s="15">
        <f>G10+G16</f>
        <v/>
      </c>
      <c r="H17" s="15">
        <f>H10+H16</f>
        <v/>
      </c>
      <c r="I17" s="15">
        <f>I10+I16</f>
        <v/>
      </c>
    </row>
    <row r="18"/>
    <row r="19">
      <c r="A19" t="inlineStr">
        <is>
          <t>À défaut d'échéancier, dotations et reprises sont posées en variation nette N/N-1 par nature - indiquer les évènements et circonstances de chaque constitution et reprise.</t>
        </is>
      </c>
    </row>
  </sheetData>
  <mergeCells count="2">
    <mergeCell ref="A1:I1"/>
    <mergeCell ref="A2:I2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23</t>
        </is>
      </c>
    </row>
    <row r="2">
      <c r="A2" s="2" t="inlineStr">
        <is>
          <t>AUTRES CHARGES ET PRODUITS HAO</t>
        </is>
      </c>
    </row>
    <row r="3"/>
    <row r="4">
      <c r="A4" s="3" t="inlineStr">
        <is>
          <t>Désignation entité : PROJET PADIR</t>
        </is>
      </c>
      <c r="D4" s="3" t="inlineStr">
        <is>
          <t>Exercice clos le : 31/12/2025</t>
        </is>
      </c>
    </row>
    <row r="5">
      <c r="A5" t="inlineStr">
        <is>
          <t>Numéro d'identification : Convention 2023/DR/045</t>
        </is>
      </c>
      <c r="D5" t="inlineStr">
        <is>
          <t>Durée (en mois) : 12</t>
        </is>
      </c>
    </row>
    <row r="6"/>
    <row r="7">
      <c r="A7" s="9" t="inlineStr">
        <is>
          <t>Libellés</t>
        </is>
      </c>
      <c r="B7" s="9" t="inlineStr">
        <is>
          <t>Année N</t>
        </is>
      </c>
      <c r="C7" s="9" t="inlineStr">
        <is>
          <t>Année N-1</t>
        </is>
      </c>
      <c r="D7" s="9" t="inlineStr">
        <is>
          <t>Variation en valeur</t>
        </is>
      </c>
      <c r="E7" s="9" t="inlineStr">
        <is>
          <t>Variation en %</t>
        </is>
      </c>
    </row>
    <row r="8">
      <c r="A8" s="10" t="inlineStr">
        <is>
          <t>Charges H.A.O. constatées (compte 831)</t>
        </is>
      </c>
      <c r="B8" s="11">
        <f>SUMIF(BALANCE!$A$2:$A$50,"831*",BALANCE!$F$2:$F$50)-SUMIF(BALANCE!$A$2:$A$50,"831*",BALANCE!$G$2:$G$50)</f>
        <v/>
      </c>
      <c r="C8" s="11">
        <f>SUMIF(BALANCE_N1!$A$2:$A$50,"831*",BALANCE_N1!$F$2:$F$50)-SUMIF(BALANCE_N1!$A$2:$A$50,"831*",BALANCE_N1!$G$2:$G$50)</f>
        <v/>
      </c>
      <c r="D8" s="11">
        <f>B8-C8</f>
        <v/>
      </c>
      <c r="E8" s="16">
        <f>IF(C8=0,"",(B8-C8)/C8)</f>
        <v/>
      </c>
    </row>
    <row r="9">
      <c r="A9" s="12" t="inlineStr">
        <is>
          <t>Dons en nature H.A.O. (compte 832)</t>
        </is>
      </c>
      <c r="B9" s="13">
        <f>SUMIF(BALANCE!$A$2:$A$50,"832*",BALANCE!$F$2:$F$50)-SUMIF(BALANCE!$A$2:$A$50,"832*",BALANCE!$G$2:$G$50)</f>
        <v/>
      </c>
      <c r="C9" s="13">
        <f>SUMIF(BALANCE_N1!$A$2:$A$50,"832*",BALANCE_N1!$F$2:$F$50)-SUMIF(BALANCE_N1!$A$2:$A$50,"832*",BALANCE_N1!$G$2:$G$50)</f>
        <v/>
      </c>
      <c r="D9" s="13">
        <f>B9-C9</f>
        <v/>
      </c>
      <c r="E9" s="17">
        <f>IF(C9=0,"",(B9-C9)/C9)</f>
        <v/>
      </c>
    </row>
    <row r="10">
      <c r="A10" s="10" t="inlineStr">
        <is>
          <t>Pertes sur créances HAO</t>
        </is>
      </c>
      <c r="B10" s="11">
        <f>SUMIF(BALANCE!$A$2:$A$50,"834*",BALANCE!$F$2:$F$50)-SUMIF(BALANCE!$A$2:$A$50,"834*",BALANCE!$G$2:$G$50)</f>
        <v/>
      </c>
      <c r="C10" s="11">
        <f>SUMIF(BALANCE_N1!$A$2:$A$50,"834*",BALANCE_N1!$F$2:$F$50)-SUMIF(BALANCE_N1!$A$2:$A$50,"834*",BALANCE_N1!$G$2:$G$50)</f>
        <v/>
      </c>
      <c r="D10" s="11">
        <f>B10-C10</f>
        <v/>
      </c>
      <c r="E10" s="16">
        <f>IF(C10=0,"",(B10-C10)/C10)</f>
        <v/>
      </c>
    </row>
    <row r="11">
      <c r="A11" s="12" t="inlineStr">
        <is>
          <t>Abandons de créances consentis</t>
        </is>
      </c>
      <c r="B11" s="13">
        <f>SUMIF(BALANCE!$A$2:$A$50,"836*",BALANCE!$F$2:$F$50)-SUMIF(BALANCE!$A$2:$A$50,"836*",BALANCE!$G$2:$G$50)</f>
        <v/>
      </c>
      <c r="C11" s="13">
        <f>SUMIF(BALANCE_N1!$A$2:$A$50,"836*",BALANCE_N1!$F$2:$F$50)-SUMIF(BALANCE_N1!$A$2:$A$50,"836*",BALANCE_N1!$G$2:$G$50)</f>
        <v/>
      </c>
      <c r="D11" s="13">
        <f>B11-C11</f>
        <v/>
      </c>
      <c r="E11" s="17">
        <f>IF(C11=0,"",(B11-C11)/C11)</f>
        <v/>
      </c>
    </row>
    <row r="12">
      <c r="A12" s="10" t="inlineStr">
        <is>
          <t>Charges pour provisions pour risques à court terme HAO</t>
        </is>
      </c>
      <c r="B12" s="11">
        <f>SUMIF(BALANCE!$A$2:$A$50,"838*",BALANCE!$F$2:$F$50)-SUMIF(BALANCE!$A$2:$A$50,"838*",BALANCE!$G$2:$G$50)+SUMIF(BALANCE!$A$2:$A$50,"839*",BALANCE!$F$2:$F$50)-SUMIF(BALANCE!$A$2:$A$50,"839*",BALANCE!$G$2:$G$50)</f>
        <v/>
      </c>
      <c r="C12" s="11">
        <f>SUMIF(BALANCE_N1!$A$2:$A$50,"838*",BALANCE_N1!$F$2:$F$50)-SUMIF(BALANCE_N1!$A$2:$A$50,"838*",BALANCE_N1!$G$2:$G$50)+SUMIF(BALANCE_N1!$A$2:$A$50,"839*",BALANCE_N1!$F$2:$F$50)-SUMIF(BALANCE_N1!$A$2:$A$50,"839*",BALANCE_N1!$G$2:$G$50)</f>
        <v/>
      </c>
      <c r="D12" s="11">
        <f>B12-C12</f>
        <v/>
      </c>
      <c r="E12" s="16">
        <f>IF(C12=0,"",(B12-C12)/C12)</f>
        <v/>
      </c>
    </row>
    <row r="13">
      <c r="A13" s="12" t="inlineStr">
        <is>
          <t>Dotations hors activités ordinaires</t>
        </is>
      </c>
      <c r="B13" s="13">
        <f>SUMIF(BALANCE!$A$2:$A$50,"85*",BALANCE!$F$2:$F$50)-SUMIF(BALANCE!$A$2:$A$50,"85*",BALANCE!$G$2:$G$50)</f>
        <v/>
      </c>
      <c r="C13" s="13">
        <f>SUMIF(BALANCE_N1!$A$2:$A$50,"85*",BALANCE_N1!$F$2:$F$50)-SUMIF(BALANCE_N1!$A$2:$A$50,"85*",BALANCE_N1!$G$2:$G$50)</f>
        <v/>
      </c>
      <c r="D13" s="13">
        <f>B13-C13</f>
        <v/>
      </c>
      <c r="E13" s="17">
        <f>IF(C13=0,"",(B13-C13)/C13)</f>
        <v/>
      </c>
    </row>
    <row r="14">
      <c r="A14" s="10" t="inlineStr">
        <is>
          <t>Valeurs comptables des cessions d'immobilisations</t>
        </is>
      </c>
      <c r="B14" s="11">
        <f>SUMIF(BALANCE!$A$2:$A$50,"81*",BALANCE!$F$2:$F$50)-SUMIF(BALANCE!$A$2:$A$50,"81*",BALANCE!$G$2:$G$50)</f>
        <v/>
      </c>
      <c r="C14" s="11">
        <f>SUMIF(BALANCE_N1!$A$2:$A$50,"81*",BALANCE_N1!$F$2:$F$50)-SUMIF(BALANCE_N1!$A$2:$A$50,"81*",BALANCE_N1!$G$2:$G$50)</f>
        <v/>
      </c>
      <c r="D14" s="11">
        <f>B14-C14</f>
        <v/>
      </c>
      <c r="E14" s="16">
        <f>IF(C14=0,"",(B14-C14)/C14)</f>
        <v/>
      </c>
    </row>
    <row r="15">
      <c r="A15" s="12" t="inlineStr">
        <is>
          <t>Variations de stocks de dons en nature HAO (+/-)</t>
        </is>
      </c>
      <c r="B15" s="13">
        <f>SUMIF(BALANCE!$A$2:$A$50,"87*",BALANCE!$F$2:$F$50)-SUMIF(BALANCE!$A$2:$A$50,"87*",BALANCE!$G$2:$G$50)</f>
        <v/>
      </c>
      <c r="C15" s="13">
        <f>SUMIF(BALANCE_N1!$A$2:$A$50,"87*",BALANCE_N1!$F$2:$F$50)-SUMIF(BALANCE_N1!$A$2:$A$50,"87*",BALANCE_N1!$G$2:$G$50)</f>
        <v/>
      </c>
      <c r="D15" s="13">
        <f>B15-C15</f>
        <v/>
      </c>
      <c r="E15" s="17">
        <f>IF(C15=0,"",(B15-C15)/C15)</f>
        <v/>
      </c>
    </row>
    <row r="16">
      <c r="A16" s="14" t="inlineStr">
        <is>
          <t>TOTAL : AUTRES CHARGES HAO</t>
        </is>
      </c>
      <c r="B16" s="15">
        <f>SUM(B8:B15)</f>
        <v/>
      </c>
      <c r="C16" s="15">
        <f>SUM(C8:C15)</f>
        <v/>
      </c>
      <c r="D16" s="15">
        <f>B16-C16</f>
        <v/>
      </c>
      <c r="E16" s="18">
        <f>IF(C16=0,"",(B16-C16)/C16)</f>
        <v/>
      </c>
    </row>
    <row r="17">
      <c r="A17" s="12" t="inlineStr">
        <is>
          <t>Produits H.A.O. constatés (compte 841)</t>
        </is>
      </c>
      <c r="B17" s="13">
        <f>SUMIF(BALANCE!$A$2:$A$50,"841*",BALANCE!$G$2:$G$50)-SUMIF(BALANCE!$A$2:$A$50,"841*",BALANCE!$F$2:$F$50)</f>
        <v/>
      </c>
      <c r="C17" s="13">
        <f>SUMIF(BALANCE_N1!$A$2:$A$50,"841*",BALANCE_N1!$G$2:$G$50)-SUMIF(BALANCE_N1!$A$2:$A$50,"841*",BALANCE_N1!$F$2:$F$50)</f>
        <v/>
      </c>
      <c r="D17" s="13">
        <f>B17-C17</f>
        <v/>
      </c>
      <c r="E17" s="17">
        <f>IF(C17=0,"",(B17-C17)/C17)</f>
        <v/>
      </c>
    </row>
    <row r="18">
      <c r="A18" s="10" t="inlineStr">
        <is>
          <t>Contributions volontaires en nature (compte 842)</t>
        </is>
      </c>
      <c r="B18" s="11">
        <f>SUMIF(BALANCE!$A$2:$A$50,"842*",BALANCE!$G$2:$G$50)-SUMIF(BALANCE!$A$2:$A$50,"842*",BALANCE!$F$2:$F$50)</f>
        <v/>
      </c>
      <c r="C18" s="11">
        <f>SUMIF(BALANCE_N1!$A$2:$A$50,"842*",BALANCE_N1!$G$2:$G$50)-SUMIF(BALANCE_N1!$A$2:$A$50,"842*",BALANCE_N1!$F$2:$F$50)</f>
        <v/>
      </c>
      <c r="D18" s="11">
        <f>B18-C18</f>
        <v/>
      </c>
      <c r="E18" s="16">
        <f>IF(C18=0,"",(B18-C18)/C18)</f>
        <v/>
      </c>
    </row>
    <row r="19">
      <c r="A19" s="12" t="inlineStr">
        <is>
          <t>Contributions volontaires en numéraire</t>
        </is>
      </c>
      <c r="B19" s="13">
        <f>SUMIF(BALANCE!$A$2:$A$50,"843*",BALANCE!$G$2:$G$50)-SUMIF(BALANCE!$A$2:$A$50,"843*",BALANCE!$F$2:$F$50)</f>
        <v/>
      </c>
      <c r="C19" s="13">
        <f>SUMIF(BALANCE_N1!$A$2:$A$50,"843*",BALANCE_N1!$G$2:$G$50)-SUMIF(BALANCE_N1!$A$2:$A$50,"843*",BALANCE_N1!$F$2:$F$50)</f>
        <v/>
      </c>
      <c r="D19" s="13">
        <f>B19-C19</f>
        <v/>
      </c>
      <c r="E19" s="17">
        <f>IF(C19=0,"",(B19-C19)/C19)</f>
        <v/>
      </c>
    </row>
    <row r="20">
      <c r="A20" s="10" t="inlineStr">
        <is>
          <t>Abandons de créances obtenus</t>
        </is>
      </c>
      <c r="B20" s="11">
        <f>SUMIF(BALANCE!$A$2:$A$50,"846*",BALANCE!$G$2:$G$50)-SUMIF(BALANCE!$A$2:$A$50,"846*",BALANCE!$F$2:$F$50)</f>
        <v/>
      </c>
      <c r="C20" s="11">
        <f>SUMIF(BALANCE_N1!$A$2:$A$50,"846*",BALANCE_N1!$G$2:$G$50)-SUMIF(BALANCE_N1!$A$2:$A$50,"846*",BALANCE_N1!$F$2:$F$50)</f>
        <v/>
      </c>
      <c r="D20" s="11">
        <f>B20-C20</f>
        <v/>
      </c>
      <c r="E20" s="16">
        <f>IF(C20=0,"",(B20-C20)/C20)</f>
        <v/>
      </c>
    </row>
    <row r="21">
      <c r="A21" s="12" t="inlineStr">
        <is>
          <t>Transferts de produits H.A.O.</t>
        </is>
      </c>
      <c r="B21" s="13">
        <f>SUMIF(BALANCE!$A$2:$A$50,"848*",BALANCE!$G$2:$G$50)-SUMIF(BALANCE!$A$2:$A$50,"848*",BALANCE!$F$2:$F$50)</f>
        <v/>
      </c>
      <c r="C21" s="13">
        <f>SUMIF(BALANCE_N1!$A$2:$A$50,"848*",BALANCE_N1!$G$2:$G$50)-SUMIF(BALANCE_N1!$A$2:$A$50,"848*",BALANCE_N1!$F$2:$F$50)</f>
        <v/>
      </c>
      <c r="D21" s="13">
        <f>B21-C21</f>
        <v/>
      </c>
      <c r="E21" s="17">
        <f>IF(C21=0,"",(B21-C21)/C21)</f>
        <v/>
      </c>
    </row>
    <row r="22">
      <c r="A22" s="10" t="inlineStr">
        <is>
          <t>Reprises de charges et provisions à court terme HAO</t>
        </is>
      </c>
      <c r="B22" s="11">
        <f>SUMIF(BALANCE!$A$2:$A$50,"849*",BALANCE!$G$2:$G$50)-SUMIF(BALANCE!$A$2:$A$50,"849*",BALANCE!$F$2:$F$50)</f>
        <v/>
      </c>
      <c r="C22" s="11">
        <f>SUMIF(BALANCE_N1!$A$2:$A$50,"849*",BALANCE_N1!$G$2:$G$50)-SUMIF(BALANCE_N1!$A$2:$A$50,"849*",BALANCE_N1!$F$2:$F$50)</f>
        <v/>
      </c>
      <c r="D22" s="11">
        <f>B22-C22</f>
        <v/>
      </c>
      <c r="E22" s="16">
        <f>IF(C22=0,"",(B22-C22)/C22)</f>
        <v/>
      </c>
    </row>
    <row r="23">
      <c r="A23" s="12" t="inlineStr">
        <is>
          <t>Reprises d'amortissements, provisions et dépréciations H.A.O.</t>
        </is>
      </c>
      <c r="B23" s="13">
        <f>SUMIF(BALANCE!$A$2:$A$50,"86*",BALANCE!$G$2:$G$50)-SUMIF(BALANCE!$A$2:$A$50,"86*",BALANCE!$F$2:$F$50)</f>
        <v/>
      </c>
      <c r="C23" s="13">
        <f>SUMIF(BALANCE_N1!$A$2:$A$50,"86*",BALANCE_N1!$G$2:$G$50)-SUMIF(BALANCE_N1!$A$2:$A$50,"86*",BALANCE_N1!$F$2:$F$50)</f>
        <v/>
      </c>
      <c r="D23" s="13">
        <f>B23-C23</f>
        <v/>
      </c>
      <c r="E23" s="17">
        <f>IF(C23=0,"",(B23-C23)/C23)</f>
        <v/>
      </c>
    </row>
    <row r="24">
      <c r="A24" s="10" t="inlineStr">
        <is>
          <t>Produits des cessions d'immobilisations</t>
        </is>
      </c>
      <c r="B24" s="11">
        <f>SUMIF(BALANCE!$A$2:$A$50,"82*",BALANCE!$G$2:$G$50)-SUMIF(BALANCE!$A$2:$A$50,"82*",BALANCE!$F$2:$F$50)</f>
        <v/>
      </c>
      <c r="C24" s="11">
        <f>SUMIF(BALANCE_N1!$A$2:$A$50,"82*",BALANCE_N1!$G$2:$G$50)-SUMIF(BALANCE_N1!$A$2:$A$50,"82*",BALANCE_N1!$F$2:$F$50)</f>
        <v/>
      </c>
      <c r="D24" s="11">
        <f>B24-C24</f>
        <v/>
      </c>
      <c r="E24" s="16">
        <f>IF(C24=0,"",(B24-C24)/C24)</f>
        <v/>
      </c>
    </row>
    <row r="25">
      <c r="A25" s="12" t="inlineStr">
        <is>
          <t>Subventions d'équilibre</t>
        </is>
      </c>
      <c r="B25" s="13">
        <f>SUMIF(BALANCE!$A$2:$A$50,"88*",BALANCE!$G$2:$G$50)-SUMIF(BALANCE!$A$2:$A$50,"88*",BALANCE!$F$2:$F$50)</f>
        <v/>
      </c>
      <c r="C25" s="13">
        <f>SUMIF(BALANCE_N1!$A$2:$A$50,"88*",BALANCE_N1!$G$2:$G$50)-SUMIF(BALANCE_N1!$A$2:$A$50,"88*",BALANCE_N1!$F$2:$F$50)</f>
        <v/>
      </c>
      <c r="D25" s="13">
        <f>B25-C25</f>
        <v/>
      </c>
      <c r="E25" s="17">
        <f>IF(C25=0,"",(B25-C25)/C25)</f>
        <v/>
      </c>
    </row>
    <row r="26">
      <c r="A26" s="14" t="inlineStr">
        <is>
          <t>TOTAL : AUTRES PRODUITS HAO</t>
        </is>
      </c>
      <c r="B26" s="15">
        <f>SUM(B17:B25)</f>
        <v/>
      </c>
      <c r="C26" s="15">
        <f>SUM(C17:C25)</f>
        <v/>
      </c>
      <c r="D26" s="15">
        <f>B26-C26</f>
        <v/>
      </c>
      <c r="E26" s="18">
        <f>IF(C26=0,"",(B26-C26)/C26)</f>
        <v/>
      </c>
    </row>
    <row r="27">
      <c r="A27" s="14" t="inlineStr">
        <is>
          <t>TOTAL (produits - charges)</t>
        </is>
      </c>
      <c r="B27" s="15">
        <f>B26-B16</f>
        <v/>
      </c>
      <c r="C27" s="15">
        <f>C26-C16</f>
        <v/>
      </c>
      <c r="D27" s="15">
        <f>B27-C27</f>
        <v/>
      </c>
      <c r="E27" s="18">
        <f>IF(C27=0,"",(B27-C27)/C27)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22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40" customWidth="1" min="2" max="2"/>
    <col width="16" customWidth="1" min="3" max="3"/>
    <col width="15" customWidth="1" min="4" max="4"/>
    <col width="15" customWidth="1" min="5" max="5"/>
    <col width="16" customWidth="1" min="6" max="6"/>
    <col width="17" customWidth="1" min="7" max="7"/>
    <col width="14" customWidth="1" min="8" max="8"/>
  </cols>
  <sheetData>
    <row r="1">
      <c r="A1" s="1" t="inlineStr">
        <is>
          <t>NOTE 24</t>
        </is>
      </c>
    </row>
    <row r="2">
      <c r="A2" s="2" t="inlineStr">
        <is>
          <t>TABLEAU D'EXÉCUTION BUDGÉTAIRE</t>
        </is>
      </c>
    </row>
    <row r="3"/>
    <row r="4">
      <c r="A4" s="3" t="inlineStr">
        <is>
          <t>Désignation entité : PROJET PADIR</t>
        </is>
      </c>
      <c r="G4" s="3" t="inlineStr">
        <is>
          <t>Exercice clos le : 31/12/2025</t>
        </is>
      </c>
    </row>
    <row r="5">
      <c r="A5" t="inlineStr">
        <is>
          <t>Numéro d'identification : Convention 2023/DR/045</t>
        </is>
      </c>
      <c r="G5" t="inlineStr">
        <is>
          <t>Durée (en mois) : 12</t>
        </is>
      </c>
    </row>
    <row r="6"/>
    <row r="7">
      <c r="A7" s="9" t="inlineStr">
        <is>
          <t>Code</t>
        </is>
      </c>
      <c r="B7" s="9" t="inlineStr">
        <is>
          <t>Libellé</t>
        </is>
      </c>
      <c r="C7" s="9" t="inlineStr">
        <is>
          <t>Budget de l'exercice (1)</t>
        </is>
      </c>
      <c r="D7" s="9" t="inlineStr">
        <is>
          <t>Décaissement (2)</t>
        </is>
      </c>
      <c r="E7" s="9" t="inlineStr">
        <is>
          <t>Engagement (3)</t>
        </is>
      </c>
      <c r="F7" s="9" t="inlineStr">
        <is>
          <t>Réalisation (4 = 2 + 3)</t>
        </is>
      </c>
      <c r="G7" s="9" t="inlineStr">
        <is>
          <t>Crédit disponible (5 = 1 - 4)</t>
        </is>
      </c>
      <c r="H7" s="9" t="inlineStr">
        <is>
          <t>Exécution budget % (4/1)</t>
        </is>
      </c>
    </row>
    <row r="8">
      <c r="A8" s="10" t="n"/>
      <c r="B8" s="10" t="n"/>
      <c r="C8" s="11" t="n"/>
      <c r="D8" s="11" t="n"/>
      <c r="E8" s="11" t="n"/>
      <c r="F8" s="11">
        <f>D8+E8</f>
        <v/>
      </c>
      <c r="G8" s="11">
        <f>C8-F8</f>
        <v/>
      </c>
      <c r="H8" s="16">
        <f>IF(C8=0,"",F8/C8)</f>
        <v/>
      </c>
    </row>
    <row r="9">
      <c r="A9" s="12" t="n"/>
      <c r="B9" s="12" t="n"/>
      <c r="C9" s="13" t="n"/>
      <c r="D9" s="13" t="n"/>
      <c r="E9" s="13" t="n"/>
      <c r="F9" s="13">
        <f>D9+E9</f>
        <v/>
      </c>
      <c r="G9" s="13">
        <f>C9-F9</f>
        <v/>
      </c>
      <c r="H9" s="17">
        <f>IF(C9=0,"",F9/C9)</f>
        <v/>
      </c>
    </row>
    <row r="10">
      <c r="A10" s="10" t="n"/>
      <c r="B10" s="10" t="n"/>
      <c r="C10" s="11" t="n"/>
      <c r="D10" s="11" t="n"/>
      <c r="E10" s="11" t="n"/>
      <c r="F10" s="11">
        <f>D10+E10</f>
        <v/>
      </c>
      <c r="G10" s="11">
        <f>C10-F10</f>
        <v/>
      </c>
      <c r="H10" s="16">
        <f>IF(C10=0,"",F10/C10)</f>
        <v/>
      </c>
    </row>
    <row r="11">
      <c r="A11" s="12" t="n"/>
      <c r="B11" s="12" t="n"/>
      <c r="C11" s="13" t="n"/>
      <c r="D11" s="13" t="n"/>
      <c r="E11" s="13" t="n"/>
      <c r="F11" s="13">
        <f>D11+E11</f>
        <v/>
      </c>
      <c r="G11" s="13">
        <f>C11-F11</f>
        <v/>
      </c>
      <c r="H11" s="17">
        <f>IF(C11=0,"",F11/C11)</f>
        <v/>
      </c>
    </row>
    <row r="12">
      <c r="A12" s="10" t="n"/>
      <c r="B12" s="10" t="n"/>
      <c r="C12" s="11" t="n"/>
      <c r="D12" s="11" t="n"/>
      <c r="E12" s="11" t="n"/>
      <c r="F12" s="11">
        <f>D12+E12</f>
        <v/>
      </c>
      <c r="G12" s="11">
        <f>C12-F12</f>
        <v/>
      </c>
      <c r="H12" s="16">
        <f>IF(C12=0,"",F12/C12)</f>
        <v/>
      </c>
    </row>
    <row r="13">
      <c r="A13" s="12" t="n"/>
      <c r="B13" s="12" t="n"/>
      <c r="C13" s="13" t="n"/>
      <c r="D13" s="13" t="n"/>
      <c r="E13" s="13" t="n"/>
      <c r="F13" s="13">
        <f>D13+E13</f>
        <v/>
      </c>
      <c r="G13" s="13">
        <f>C13-F13</f>
        <v/>
      </c>
      <c r="H13" s="17">
        <f>IF(C13=0,"",F13/C13)</f>
        <v/>
      </c>
    </row>
    <row r="14">
      <c r="A14" s="10" t="n"/>
      <c r="B14" s="10" t="n"/>
      <c r="C14" s="11" t="n"/>
      <c r="D14" s="11" t="n"/>
      <c r="E14" s="11" t="n"/>
      <c r="F14" s="11">
        <f>D14+E14</f>
        <v/>
      </c>
      <c r="G14" s="11">
        <f>C14-F14</f>
        <v/>
      </c>
      <c r="H14" s="16">
        <f>IF(C14=0,"",F14/C14)</f>
        <v/>
      </c>
    </row>
    <row r="15">
      <c r="A15" s="12" t="n"/>
      <c r="B15" s="12" t="n"/>
      <c r="C15" s="13" t="n"/>
      <c r="D15" s="13" t="n"/>
      <c r="E15" s="13" t="n"/>
      <c r="F15" s="13">
        <f>D15+E15</f>
        <v/>
      </c>
      <c r="G15" s="13">
        <f>C15-F15</f>
        <v/>
      </c>
      <c r="H15" s="17">
        <f>IF(C15=0,"",F15/C15)</f>
        <v/>
      </c>
    </row>
    <row r="16">
      <c r="A16" s="10" t="n"/>
      <c r="B16" s="10" t="n"/>
      <c r="C16" s="11" t="n"/>
      <c r="D16" s="11" t="n"/>
      <c r="E16" s="11" t="n"/>
      <c r="F16" s="11">
        <f>D16+E16</f>
        <v/>
      </c>
      <c r="G16" s="11">
        <f>C16-F16</f>
        <v/>
      </c>
      <c r="H16" s="16">
        <f>IF(C16=0,"",F16/C16)</f>
        <v/>
      </c>
    </row>
    <row r="17">
      <c r="A17" s="12" t="n"/>
      <c r="B17" s="12" t="n"/>
      <c r="C17" s="13" t="n"/>
      <c r="D17" s="13" t="n"/>
      <c r="E17" s="13" t="n"/>
      <c r="F17" s="13">
        <f>D17+E17</f>
        <v/>
      </c>
      <c r="G17" s="13">
        <f>C17-F17</f>
        <v/>
      </c>
      <c r="H17" s="17">
        <f>IF(C17=0,"",F17/C17)</f>
        <v/>
      </c>
    </row>
    <row r="18">
      <c r="A18" s="10" t="n"/>
      <c r="B18" s="10" t="n"/>
      <c r="C18" s="11" t="n"/>
      <c r="D18" s="11" t="n"/>
      <c r="E18" s="11" t="n"/>
      <c r="F18" s="11">
        <f>D18+E18</f>
        <v/>
      </c>
      <c r="G18" s="11">
        <f>C18-F18</f>
        <v/>
      </c>
      <c r="H18" s="16">
        <f>IF(C18=0,"",F18/C18)</f>
        <v/>
      </c>
    </row>
    <row r="19">
      <c r="A19" s="12" t="n"/>
      <c r="B19" s="12" t="n"/>
      <c r="C19" s="13" t="n"/>
      <c r="D19" s="13" t="n"/>
      <c r="E19" s="13" t="n"/>
      <c r="F19" s="13">
        <f>D19+E19</f>
        <v/>
      </c>
      <c r="G19" s="13">
        <f>C19-F19</f>
        <v/>
      </c>
      <c r="H19" s="17">
        <f>IF(C19=0,"",F19/C19)</f>
        <v/>
      </c>
    </row>
    <row r="20">
      <c r="A20" s="14" t="n"/>
      <c r="B20" s="14" t="inlineStr">
        <is>
          <t>TOTAL</t>
        </is>
      </c>
      <c r="C20" s="15">
        <f>SUM(C8:C19)</f>
        <v/>
      </c>
      <c r="D20" s="15">
        <f>SUM(D8:D19)</f>
        <v/>
      </c>
      <c r="E20" s="15">
        <f>SUM(E8:E19)</f>
        <v/>
      </c>
      <c r="F20" s="15">
        <f>SUM(F8:F19)</f>
        <v/>
      </c>
      <c r="G20" s="15">
        <f>SUM(G8:G19)</f>
        <v/>
      </c>
      <c r="H20" s="18">
        <f>IF(C20=0,"",F20/C20)</f>
        <v/>
      </c>
    </row>
    <row r="21"/>
    <row r="22">
      <c r="A22" t="inlineStr">
        <is>
          <t>Remplir code et libellé suivant la nomenclature budgétaire de l'entité ; expliquer les écarts significatifs entre budget et réalisation.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2" customWidth="1" min="2" max="2"/>
    <col width="9" customWidth="1" min="3" max="3"/>
    <col width="9" customWidth="1" min="4" max="4"/>
    <col width="9" customWidth="1" min="5" max="5"/>
    <col width="15" customWidth="1" min="6" max="6"/>
    <col width="15" customWidth="1" min="7" max="7"/>
    <col width="22" customWidth="1" min="10" max="10"/>
  </cols>
  <sheetData>
    <row r="1">
      <c r="A1" s="9" t="inlineStr">
        <is>
          <t>Compte</t>
        </is>
      </c>
      <c r="B1" s="9" t="inlineStr">
        <is>
          <t>Intitulé</t>
        </is>
      </c>
      <c r="C1" s="9" t="inlineStr">
        <is>
          <t>Préfixe 2</t>
        </is>
      </c>
      <c r="D1" s="9" t="inlineStr">
        <is>
          <t>Préfixe 3</t>
        </is>
      </c>
      <c r="E1" s="9" t="inlineStr">
        <is>
          <t>Préfixe 4</t>
        </is>
      </c>
      <c r="F1" s="9" t="inlineStr">
        <is>
          <t>Solde final débit</t>
        </is>
      </c>
      <c r="G1" s="9" t="inlineStr">
        <is>
          <t>Solde final crédit</t>
        </is>
      </c>
      <c r="H1" s="9" t="inlineStr"/>
      <c r="I1" s="9" t="inlineStr"/>
      <c r="J1" s="9" t="inlineStr">
        <is>
          <t>Poste(s) d'affectation</t>
        </is>
      </c>
    </row>
    <row r="2">
      <c r="A2" s="10" t="inlineStr">
        <is>
          <t>2441</t>
        </is>
      </c>
      <c r="B2" s="10" t="inlineStr">
        <is>
          <t>Matériel et mobilier de bureau</t>
        </is>
      </c>
      <c r="C2" s="10" t="inlineStr">
        <is>
          <t>24</t>
        </is>
      </c>
      <c r="D2" s="10" t="inlineStr">
        <is>
          <t>244</t>
        </is>
      </c>
      <c r="E2" s="10" t="inlineStr">
        <is>
          <t>2441</t>
        </is>
      </c>
      <c r="F2" s="11" t="n">
        <v>4000000</v>
      </c>
      <c r="G2" s="11" t="n">
        <v>0</v>
      </c>
      <c r="H2" s="10" t="inlineStr"/>
      <c r="I2" s="10" t="inlineStr"/>
      <c r="J2" s="10" t="inlineStr">
        <is>
          <t>AD</t>
        </is>
      </c>
    </row>
    <row r="3">
      <c r="A3" s="12" t="inlineStr">
        <is>
          <t>2451</t>
        </is>
      </c>
      <c r="B3" s="12" t="inlineStr">
        <is>
          <t>Matériel de transport automobile</t>
        </is>
      </c>
      <c r="C3" s="12" t="inlineStr">
        <is>
          <t>24</t>
        </is>
      </c>
      <c r="D3" s="12" t="inlineStr">
        <is>
          <t>245</t>
        </is>
      </c>
      <c r="E3" s="12" t="inlineStr">
        <is>
          <t>2451</t>
        </is>
      </c>
      <c r="F3" s="13" t="n">
        <v>8000000</v>
      </c>
      <c r="G3" s="13" t="n">
        <v>0</v>
      </c>
      <c r="H3" s="12" t="inlineStr"/>
      <c r="I3" s="12" t="inlineStr"/>
      <c r="J3" s="12" t="inlineStr">
        <is>
          <t>AE</t>
        </is>
      </c>
    </row>
    <row r="4">
      <c r="A4" s="10" t="inlineStr">
        <is>
          <t>2751</t>
        </is>
      </c>
      <c r="B4" s="10" t="inlineStr">
        <is>
          <t>Dépôts et cautionnements - loyers d'avance</t>
        </is>
      </c>
      <c r="C4" s="10" t="inlineStr">
        <is>
          <t>27</t>
        </is>
      </c>
      <c r="D4" s="10" t="inlineStr">
        <is>
          <t>275</t>
        </is>
      </c>
      <c r="E4" s="10" t="inlineStr">
        <is>
          <t>2751</t>
        </is>
      </c>
      <c r="F4" s="11" t="n">
        <v>500000</v>
      </c>
      <c r="G4" s="11" t="n">
        <v>0</v>
      </c>
      <c r="H4" s="10" t="inlineStr"/>
      <c r="I4" s="10" t="inlineStr"/>
      <c r="J4" s="10" t="inlineStr">
        <is>
          <t>AG</t>
        </is>
      </c>
    </row>
    <row r="5">
      <c r="A5" s="12" t="inlineStr">
        <is>
          <t>521</t>
        </is>
      </c>
      <c r="B5" s="12" t="inlineStr">
        <is>
          <t>Banques locales</t>
        </is>
      </c>
      <c r="C5" s="12" t="inlineStr">
        <is>
          <t>52</t>
        </is>
      </c>
      <c r="D5" s="12" t="inlineStr">
        <is>
          <t>521</t>
        </is>
      </c>
      <c r="E5" s="12" t="inlineStr">
        <is>
          <t>521</t>
        </is>
      </c>
      <c r="F5" s="13" t="n">
        <v>2450000</v>
      </c>
      <c r="G5" s="13" t="n">
        <v>0</v>
      </c>
      <c r="H5" s="12" t="inlineStr"/>
      <c r="I5" s="12" t="inlineStr"/>
      <c r="J5" s="12" t="inlineStr">
        <is>
          <t>BW, DW</t>
        </is>
      </c>
    </row>
    <row r="6">
      <c r="A6" s="10" t="inlineStr">
        <is>
          <t>571</t>
        </is>
      </c>
      <c r="B6" s="10" t="inlineStr">
        <is>
          <t>Caisse</t>
        </is>
      </c>
      <c r="C6" s="10" t="inlineStr">
        <is>
          <t>57</t>
        </is>
      </c>
      <c r="D6" s="10" t="inlineStr">
        <is>
          <t>571</t>
        </is>
      </c>
      <c r="E6" s="10" t="inlineStr">
        <is>
          <t>571</t>
        </is>
      </c>
      <c r="F6" s="11" t="n">
        <v>200000</v>
      </c>
      <c r="G6" s="11" t="n">
        <v>0</v>
      </c>
      <c r="H6" s="10" t="inlineStr"/>
      <c r="I6" s="10" t="inlineStr"/>
      <c r="J6" s="10" t="inlineStr">
        <is>
          <t>BW</t>
        </is>
      </c>
    </row>
    <row r="7">
      <c r="A7" s="12" t="inlineStr">
        <is>
          <t>162</t>
        </is>
      </c>
      <c r="B7" s="12" t="inlineStr">
        <is>
          <t>Fonds affectés aux investissements - bailleurs</t>
        </is>
      </c>
      <c r="C7" s="12" t="inlineStr">
        <is>
          <t>16</t>
        </is>
      </c>
      <c r="D7" s="12" t="inlineStr">
        <is>
          <t>162</t>
        </is>
      </c>
      <c r="E7" s="12" t="inlineStr">
        <is>
          <t>162</t>
        </is>
      </c>
      <c r="F7" s="13" t="n">
        <v>0</v>
      </c>
      <c r="G7" s="13" t="n">
        <v>12500000</v>
      </c>
      <c r="H7" s="12" t="inlineStr"/>
      <c r="I7" s="12" t="inlineStr"/>
      <c r="J7" s="12" t="inlineStr">
        <is>
          <t>CA</t>
        </is>
      </c>
    </row>
    <row r="8">
      <c r="A8" s="10" t="inlineStr">
        <is>
          <t>462</t>
        </is>
      </c>
      <c r="B8" s="10" t="inlineStr">
        <is>
          <t>Bailleurs - fonds d'administration</t>
        </is>
      </c>
      <c r="C8" s="10" t="inlineStr">
        <is>
          <t>46</t>
        </is>
      </c>
      <c r="D8" s="10" t="inlineStr">
        <is>
          <t>462</t>
        </is>
      </c>
      <c r="E8" s="10" t="inlineStr">
        <is>
          <t>462</t>
        </is>
      </c>
      <c r="F8" s="11" t="n">
        <v>0</v>
      </c>
      <c r="G8" s="11" t="n">
        <v>1200000</v>
      </c>
      <c r="H8" s="10" t="inlineStr"/>
      <c r="I8" s="10" t="inlineStr"/>
      <c r="J8" s="10" t="inlineStr">
        <is>
          <t>DF</t>
        </is>
      </c>
    </row>
    <row r="9">
      <c r="A9" s="12" t="inlineStr">
        <is>
          <t>4011</t>
        </is>
      </c>
      <c r="B9" s="12" t="inlineStr">
        <is>
          <t>Fournisseurs</t>
        </is>
      </c>
      <c r="C9" s="12" t="inlineStr">
        <is>
          <t>40</t>
        </is>
      </c>
      <c r="D9" s="12" t="inlineStr">
        <is>
          <t>401</t>
        </is>
      </c>
      <c r="E9" s="12" t="inlineStr">
        <is>
          <t>4011</t>
        </is>
      </c>
      <c r="F9" s="13" t="n">
        <v>0</v>
      </c>
      <c r="G9" s="13" t="n">
        <v>800000</v>
      </c>
      <c r="H9" s="12" t="inlineStr"/>
      <c r="I9" s="12" t="inlineStr"/>
      <c r="J9" s="12" t="inlineStr">
        <is>
          <t>DG</t>
        </is>
      </c>
    </row>
    <row r="10">
      <c r="A10" s="10" t="inlineStr">
        <is>
          <t>422</t>
        </is>
      </c>
      <c r="B10" s="10" t="inlineStr">
        <is>
          <t>Personnel, rémunérations dues</t>
        </is>
      </c>
      <c r="C10" s="10" t="inlineStr">
        <is>
          <t>42</t>
        </is>
      </c>
      <c r="D10" s="10" t="inlineStr">
        <is>
          <t>422</t>
        </is>
      </c>
      <c r="E10" s="10" t="inlineStr">
        <is>
          <t>422</t>
        </is>
      </c>
      <c r="F10" s="11" t="n">
        <v>0</v>
      </c>
      <c r="G10" s="11" t="n">
        <v>300000</v>
      </c>
      <c r="H10" s="10" t="inlineStr"/>
      <c r="I10" s="10" t="inlineStr"/>
      <c r="J10" s="10" t="inlineStr">
        <is>
          <t>BE, DH</t>
        </is>
      </c>
    </row>
    <row r="11">
      <c r="A11" s="12" t="inlineStr">
        <is>
          <t>431</t>
        </is>
      </c>
      <c r="B11" s="12" t="inlineStr">
        <is>
          <t>Sécurité sociale</t>
        </is>
      </c>
      <c r="C11" s="12" t="inlineStr">
        <is>
          <t>43</t>
        </is>
      </c>
      <c r="D11" s="12" t="inlineStr">
        <is>
          <t>431</t>
        </is>
      </c>
      <c r="E11" s="12" t="inlineStr">
        <is>
          <t>431</t>
        </is>
      </c>
      <c r="F11" s="13" t="n">
        <v>0</v>
      </c>
      <c r="G11" s="13" t="n">
        <v>150000</v>
      </c>
      <c r="H11" s="12" t="inlineStr"/>
      <c r="I11" s="12" t="inlineStr"/>
      <c r="J11" s="12" t="inlineStr">
        <is>
          <t>BE, DH</t>
        </is>
      </c>
    </row>
    <row r="12">
      <c r="A12" s="10" t="inlineStr">
        <is>
          <t>447</t>
        </is>
      </c>
      <c r="B12" s="10" t="inlineStr">
        <is>
          <t>État, impôts retenus à la source</t>
        </is>
      </c>
      <c r="C12" s="10" t="inlineStr">
        <is>
          <t>44</t>
        </is>
      </c>
      <c r="D12" s="10" t="inlineStr">
        <is>
          <t>447</t>
        </is>
      </c>
      <c r="E12" s="10" t="inlineStr">
        <is>
          <t>447</t>
        </is>
      </c>
      <c r="F12" s="11" t="n">
        <v>0</v>
      </c>
      <c r="G12" s="11" t="n">
        <v>100000</v>
      </c>
      <c r="H12" s="10" t="inlineStr"/>
      <c r="I12" s="10" t="inlineStr"/>
      <c r="J12" s="10" t="inlineStr">
        <is>
          <t>BE, DH</t>
        </is>
      </c>
    </row>
    <row r="13">
      <c r="A13" s="12" t="inlineStr">
        <is>
          <t>601</t>
        </is>
      </c>
      <c r="B13" s="12" t="inlineStr">
        <is>
          <t>Achats de biens et services liés à l'activité</t>
        </is>
      </c>
      <c r="C13" s="12" t="inlineStr">
        <is>
          <t>60</t>
        </is>
      </c>
      <c r="D13" s="12" t="inlineStr">
        <is>
          <t>601</t>
        </is>
      </c>
      <c r="E13" s="12" t="inlineStr">
        <is>
          <t>601</t>
        </is>
      </c>
      <c r="F13" s="13" t="n">
        <v>2500000</v>
      </c>
      <c r="G13" s="13" t="n">
        <v>0</v>
      </c>
      <c r="H13" s="12" t="inlineStr"/>
      <c r="I13" s="12" t="inlineStr"/>
      <c r="J13" s="12" t="inlineStr">
        <is>
          <t>TA</t>
        </is>
      </c>
    </row>
    <row r="14">
      <c r="A14" s="10" t="inlineStr">
        <is>
          <t>605</t>
        </is>
      </c>
      <c r="B14" s="10" t="inlineStr">
        <is>
          <t>Eau, électricité et fournitures non stockées</t>
        </is>
      </c>
      <c r="C14" s="10" t="inlineStr">
        <is>
          <t>60</t>
        </is>
      </c>
      <c r="D14" s="10" t="inlineStr">
        <is>
          <t>605</t>
        </is>
      </c>
      <c r="E14" s="10" t="inlineStr">
        <is>
          <t>605</t>
        </is>
      </c>
      <c r="F14" s="11" t="n">
        <v>800000</v>
      </c>
      <c r="G14" s="11" t="n">
        <v>0</v>
      </c>
      <c r="H14" s="10" t="inlineStr"/>
      <c r="I14" s="10" t="inlineStr"/>
      <c r="J14" s="10" t="inlineStr">
        <is>
          <t>TB</t>
        </is>
      </c>
    </row>
    <row r="15">
      <c r="A15" s="12" t="inlineStr">
        <is>
          <t>614</t>
        </is>
      </c>
      <c r="B15" s="12" t="inlineStr">
        <is>
          <t>Transport du personnel</t>
        </is>
      </c>
      <c r="C15" s="12" t="inlineStr">
        <is>
          <t>61</t>
        </is>
      </c>
      <c r="D15" s="12" t="inlineStr">
        <is>
          <t>614</t>
        </is>
      </c>
      <c r="E15" s="12" t="inlineStr">
        <is>
          <t>614</t>
        </is>
      </c>
      <c r="F15" s="13" t="n">
        <v>600000</v>
      </c>
      <c r="G15" s="13" t="n">
        <v>0</v>
      </c>
      <c r="H15" s="12" t="inlineStr"/>
      <c r="I15" s="12" t="inlineStr"/>
      <c r="J15" s="12" t="inlineStr">
        <is>
          <t>TD</t>
        </is>
      </c>
    </row>
    <row r="16">
      <c r="A16" s="10" t="inlineStr">
        <is>
          <t>622</t>
        </is>
      </c>
      <c r="B16" s="10" t="inlineStr">
        <is>
          <t>Locations et charges locatives</t>
        </is>
      </c>
      <c r="C16" s="10" t="inlineStr">
        <is>
          <t>62</t>
        </is>
      </c>
      <c r="D16" s="10" t="inlineStr">
        <is>
          <t>622</t>
        </is>
      </c>
      <c r="E16" s="10" t="inlineStr">
        <is>
          <t>622</t>
        </is>
      </c>
      <c r="F16" s="11" t="n">
        <v>1000000</v>
      </c>
      <c r="G16" s="11" t="n">
        <v>0</v>
      </c>
      <c r="H16" s="10" t="inlineStr"/>
      <c r="I16" s="10" t="inlineStr"/>
      <c r="J16" s="10" t="inlineStr">
        <is>
          <t>TG</t>
        </is>
      </c>
    </row>
    <row r="17">
      <c r="A17" s="12" t="inlineStr">
        <is>
          <t>628</t>
        </is>
      </c>
      <c r="B17" s="12" t="inlineStr">
        <is>
          <t>Frais de télécommunications</t>
        </is>
      </c>
      <c r="C17" s="12" t="inlineStr">
        <is>
          <t>62</t>
        </is>
      </c>
      <c r="D17" s="12" t="inlineStr">
        <is>
          <t>628</t>
        </is>
      </c>
      <c r="E17" s="12" t="inlineStr">
        <is>
          <t>628</t>
        </is>
      </c>
      <c r="F17" s="13" t="n">
        <v>400000</v>
      </c>
      <c r="G17" s="13" t="n">
        <v>0</v>
      </c>
      <c r="H17" s="12" t="inlineStr"/>
      <c r="I17" s="12" t="inlineStr"/>
      <c r="J17" s="12" t="inlineStr">
        <is>
          <t>TG</t>
        </is>
      </c>
    </row>
    <row r="18">
      <c r="A18" s="10" t="inlineStr">
        <is>
          <t>637</t>
        </is>
      </c>
      <c r="B18" s="10" t="inlineStr">
        <is>
          <t>Rémunérations de personnel extérieur</t>
        </is>
      </c>
      <c r="C18" s="10" t="inlineStr">
        <is>
          <t>63</t>
        </is>
      </c>
      <c r="D18" s="10" t="inlineStr">
        <is>
          <t>637</t>
        </is>
      </c>
      <c r="E18" s="10" t="inlineStr">
        <is>
          <t>637</t>
        </is>
      </c>
      <c r="F18" s="11" t="n">
        <v>700000</v>
      </c>
      <c r="G18" s="11" t="n">
        <v>0</v>
      </c>
      <c r="H18" s="10" t="inlineStr"/>
      <c r="I18" s="10" t="inlineStr"/>
      <c r="J18" s="10" t="inlineStr">
        <is>
          <t>TG</t>
        </is>
      </c>
    </row>
    <row r="19">
      <c r="A19" s="12" t="inlineStr">
        <is>
          <t>641</t>
        </is>
      </c>
      <c r="B19" s="12" t="inlineStr">
        <is>
          <t>Impôts et taxes directs</t>
        </is>
      </c>
      <c r="C19" s="12" t="inlineStr">
        <is>
          <t>64</t>
        </is>
      </c>
      <c r="D19" s="12" t="inlineStr">
        <is>
          <t>641</t>
        </is>
      </c>
      <c r="E19" s="12" t="inlineStr">
        <is>
          <t>641</t>
        </is>
      </c>
      <c r="F19" s="13" t="n">
        <v>200000</v>
      </c>
      <c r="G19" s="13" t="n">
        <v>0</v>
      </c>
      <c r="H19" s="12" t="inlineStr"/>
      <c r="I19" s="12" t="inlineStr"/>
      <c r="J19" s="12" t="inlineStr">
        <is>
          <t>TH</t>
        </is>
      </c>
    </row>
    <row r="20">
      <c r="A20" s="10" t="inlineStr">
        <is>
          <t>661</t>
        </is>
      </c>
      <c r="B20" s="10" t="inlineStr">
        <is>
          <t>Rémunérations directes personnel national</t>
        </is>
      </c>
      <c r="C20" s="10" t="inlineStr">
        <is>
          <t>66</t>
        </is>
      </c>
      <c r="D20" s="10" t="inlineStr">
        <is>
          <t>661</t>
        </is>
      </c>
      <c r="E20" s="10" t="inlineStr">
        <is>
          <t>661</t>
        </is>
      </c>
      <c r="F20" s="11" t="n">
        <v>3600000</v>
      </c>
      <c r="G20" s="11" t="n">
        <v>0</v>
      </c>
      <c r="H20" s="10" t="inlineStr"/>
      <c r="I20" s="10" t="inlineStr"/>
      <c r="J20" s="10" t="inlineStr">
        <is>
          <t>TJ</t>
        </is>
      </c>
    </row>
    <row r="21">
      <c r="A21" s="12" t="inlineStr">
        <is>
          <t>664</t>
        </is>
      </c>
      <c r="B21" s="12" t="inlineStr">
        <is>
          <t>Charges sociales</t>
        </is>
      </c>
      <c r="C21" s="12" t="inlineStr">
        <is>
          <t>66</t>
        </is>
      </c>
      <c r="D21" s="12" t="inlineStr">
        <is>
          <t>664</t>
        </is>
      </c>
      <c r="E21" s="12" t="inlineStr">
        <is>
          <t>664</t>
        </is>
      </c>
      <c r="F21" s="13" t="n">
        <v>650000</v>
      </c>
      <c r="G21" s="13" t="n">
        <v>0</v>
      </c>
      <c r="H21" s="12" t="inlineStr"/>
      <c r="I21" s="12" t="inlineStr"/>
      <c r="J21" s="12" t="inlineStr">
        <is>
          <t>TJ</t>
        </is>
      </c>
    </row>
    <row r="22">
      <c r="A22" s="10" t="inlineStr">
        <is>
          <t>702</t>
        </is>
      </c>
      <c r="B22" s="10" t="inlineStr">
        <is>
          <t>Quote-part de fonds d'administration transférés</t>
        </is>
      </c>
      <c r="C22" s="10" t="inlineStr">
        <is>
          <t>70</t>
        </is>
      </c>
      <c r="D22" s="10" t="inlineStr">
        <is>
          <t>702</t>
        </is>
      </c>
      <c r="E22" s="10" t="inlineStr">
        <is>
          <t>702</t>
        </is>
      </c>
      <c r="F22" s="11" t="n">
        <v>0</v>
      </c>
      <c r="G22" s="11" t="n">
        <v>10500000</v>
      </c>
      <c r="H22" s="10" t="inlineStr"/>
      <c r="I22" s="10" t="inlineStr"/>
      <c r="J22" s="10" t="inlineStr">
        <is>
          <t>RA</t>
        </is>
      </c>
    </row>
    <row r="23">
      <c r="A23" s="12" t="inlineStr">
        <is>
          <t>771</t>
        </is>
      </c>
      <c r="B23" s="12" t="inlineStr">
        <is>
          <t>Intérêts de prêts et créances diverses</t>
        </is>
      </c>
      <c r="C23" s="12" t="inlineStr">
        <is>
          <t>77</t>
        </is>
      </c>
      <c r="D23" s="12" t="inlineStr">
        <is>
          <t>771</t>
        </is>
      </c>
      <c r="E23" s="12" t="inlineStr">
        <is>
          <t>771</t>
        </is>
      </c>
      <c r="F23" s="13" t="n">
        <v>0</v>
      </c>
      <c r="G23" s="13" t="n">
        <v>50000</v>
      </c>
      <c r="H23" s="12" t="inlineStr"/>
      <c r="I23" s="12" t="inlineStr"/>
      <c r="J23" s="12" t="inlineStr">
        <is>
          <t>RD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2" customWidth="1" min="2" max="2"/>
    <col width="9" customWidth="1" min="3" max="3"/>
    <col width="9" customWidth="1" min="4" max="4"/>
    <col width="9" customWidth="1" min="5" max="5"/>
    <col width="15" customWidth="1" min="6" max="6"/>
    <col width="15" customWidth="1" min="7" max="7"/>
    <col width="22" customWidth="1" min="10" max="10"/>
  </cols>
  <sheetData>
    <row r="1">
      <c r="A1" s="9" t="inlineStr">
        <is>
          <t>Compte</t>
        </is>
      </c>
      <c r="B1" s="9" t="inlineStr">
        <is>
          <t>Intitulé</t>
        </is>
      </c>
      <c r="C1" s="9" t="inlineStr">
        <is>
          <t>Préfixe 2</t>
        </is>
      </c>
      <c r="D1" s="9" t="inlineStr">
        <is>
          <t>Préfixe 3</t>
        </is>
      </c>
      <c r="E1" s="9" t="inlineStr">
        <is>
          <t>Préfixe 4</t>
        </is>
      </c>
      <c r="F1" s="9" t="inlineStr">
        <is>
          <t>Solde final débit</t>
        </is>
      </c>
      <c r="G1" s="9" t="inlineStr">
        <is>
          <t>Solde final crédit</t>
        </is>
      </c>
      <c r="H1" s="9" t="inlineStr"/>
      <c r="I1" s="9" t="inlineStr"/>
      <c r="J1" s="9" t="inlineStr">
        <is>
          <t>Poste(s) d'affectation</t>
        </is>
      </c>
    </row>
    <row r="2">
      <c r="A2" s="10" t="inlineStr">
        <is>
          <t>2441</t>
        </is>
      </c>
      <c r="B2" s="10" t="inlineStr">
        <is>
          <t>Matériel et mobilier de bureau</t>
        </is>
      </c>
      <c r="C2" s="10" t="inlineStr">
        <is>
          <t>24</t>
        </is>
      </c>
      <c r="D2" s="10" t="inlineStr">
        <is>
          <t>244</t>
        </is>
      </c>
      <c r="E2" s="10" t="inlineStr">
        <is>
          <t>2441</t>
        </is>
      </c>
      <c r="F2" s="11" t="n">
        <v>4000000</v>
      </c>
      <c r="G2" s="11" t="n">
        <v>0</v>
      </c>
      <c r="H2" s="10" t="inlineStr"/>
      <c r="I2" s="10" t="inlineStr"/>
      <c r="J2" s="10" t="inlineStr">
        <is>
          <t>AD</t>
        </is>
      </c>
    </row>
    <row r="3">
      <c r="A3" s="12" t="inlineStr">
        <is>
          <t>2451</t>
        </is>
      </c>
      <c r="B3" s="12" t="inlineStr">
        <is>
          <t>Matériel de transport automobile</t>
        </is>
      </c>
      <c r="C3" s="12" t="inlineStr">
        <is>
          <t>24</t>
        </is>
      </c>
      <c r="D3" s="12" t="inlineStr">
        <is>
          <t>245</t>
        </is>
      </c>
      <c r="E3" s="12" t="inlineStr">
        <is>
          <t>2451</t>
        </is>
      </c>
      <c r="F3" s="13" t="n">
        <v>5000000</v>
      </c>
      <c r="G3" s="13" t="n">
        <v>0</v>
      </c>
      <c r="H3" s="12" t="inlineStr"/>
      <c r="I3" s="12" t="inlineStr"/>
      <c r="J3" s="12" t="inlineStr">
        <is>
          <t>AE</t>
        </is>
      </c>
    </row>
    <row r="4">
      <c r="A4" s="10" t="inlineStr">
        <is>
          <t>2751</t>
        </is>
      </c>
      <c r="B4" s="10" t="inlineStr">
        <is>
          <t>Dépôts et cautionnements - loyers d'avance</t>
        </is>
      </c>
      <c r="C4" s="10" t="inlineStr">
        <is>
          <t>27</t>
        </is>
      </c>
      <c r="D4" s="10" t="inlineStr">
        <is>
          <t>275</t>
        </is>
      </c>
      <c r="E4" s="10" t="inlineStr">
        <is>
          <t>2751</t>
        </is>
      </c>
      <c r="F4" s="11" t="n">
        <v>500000</v>
      </c>
      <c r="G4" s="11" t="n">
        <v>0</v>
      </c>
      <c r="H4" s="10" t="inlineStr"/>
      <c r="I4" s="10" t="inlineStr"/>
      <c r="J4" s="10" t="inlineStr">
        <is>
          <t>AG</t>
        </is>
      </c>
    </row>
    <row r="5">
      <c r="A5" s="12" t="inlineStr">
        <is>
          <t>521</t>
        </is>
      </c>
      <c r="B5" s="12" t="inlineStr">
        <is>
          <t>Banques locales</t>
        </is>
      </c>
      <c r="C5" s="12" t="inlineStr">
        <is>
          <t>52</t>
        </is>
      </c>
      <c r="D5" s="12" t="inlineStr">
        <is>
          <t>521</t>
        </is>
      </c>
      <c r="E5" s="12" t="inlineStr">
        <is>
          <t>521</t>
        </is>
      </c>
      <c r="F5" s="13" t="n">
        <v>1800000</v>
      </c>
      <c r="G5" s="13" t="n">
        <v>0</v>
      </c>
      <c r="H5" s="12" t="inlineStr"/>
      <c r="I5" s="12" t="inlineStr"/>
      <c r="J5" s="12" t="inlineStr">
        <is>
          <t>BW, DW</t>
        </is>
      </c>
    </row>
    <row r="6">
      <c r="A6" s="10" t="inlineStr">
        <is>
          <t>571</t>
        </is>
      </c>
      <c r="B6" s="10" t="inlineStr">
        <is>
          <t>Caisse</t>
        </is>
      </c>
      <c r="C6" s="10" t="inlineStr">
        <is>
          <t>57</t>
        </is>
      </c>
      <c r="D6" s="10" t="inlineStr">
        <is>
          <t>571</t>
        </is>
      </c>
      <c r="E6" s="10" t="inlineStr">
        <is>
          <t>571</t>
        </is>
      </c>
      <c r="F6" s="11" t="n">
        <v>100000</v>
      </c>
      <c r="G6" s="11" t="n">
        <v>0</v>
      </c>
      <c r="H6" s="10" t="inlineStr"/>
      <c r="I6" s="10" t="inlineStr"/>
      <c r="J6" s="10" t="inlineStr">
        <is>
          <t>BW</t>
        </is>
      </c>
    </row>
    <row r="7">
      <c r="A7" s="12" t="inlineStr">
        <is>
          <t>162</t>
        </is>
      </c>
      <c r="B7" s="12" t="inlineStr">
        <is>
          <t>Fonds affectés aux investissements - bailleurs</t>
        </is>
      </c>
      <c r="C7" s="12" t="inlineStr">
        <is>
          <t>16</t>
        </is>
      </c>
      <c r="D7" s="12" t="inlineStr">
        <is>
          <t>162</t>
        </is>
      </c>
      <c r="E7" s="12" t="inlineStr">
        <is>
          <t>162</t>
        </is>
      </c>
      <c r="F7" s="13" t="n">
        <v>0</v>
      </c>
      <c r="G7" s="13" t="n">
        <v>10000000</v>
      </c>
      <c r="H7" s="12" t="inlineStr"/>
      <c r="I7" s="12" t="inlineStr"/>
      <c r="J7" s="12" t="inlineStr">
        <is>
          <t>CA</t>
        </is>
      </c>
    </row>
    <row r="8">
      <c r="A8" s="10" t="inlineStr">
        <is>
          <t>462</t>
        </is>
      </c>
      <c r="B8" s="10" t="inlineStr">
        <is>
          <t>Bailleurs - fonds d'administration</t>
        </is>
      </c>
      <c r="C8" s="10" t="inlineStr">
        <is>
          <t>46</t>
        </is>
      </c>
      <c r="D8" s="10" t="inlineStr">
        <is>
          <t>462</t>
        </is>
      </c>
      <c r="E8" s="10" t="inlineStr">
        <is>
          <t>462</t>
        </is>
      </c>
      <c r="F8" s="11" t="n">
        <v>0</v>
      </c>
      <c r="G8" s="11" t="n">
        <v>700000</v>
      </c>
      <c r="H8" s="10" t="inlineStr"/>
      <c r="I8" s="10" t="inlineStr"/>
      <c r="J8" s="10" t="inlineStr">
        <is>
          <t>DF</t>
        </is>
      </c>
    </row>
    <row r="9">
      <c r="A9" s="12" t="inlineStr">
        <is>
          <t>4011</t>
        </is>
      </c>
      <c r="B9" s="12" t="inlineStr">
        <is>
          <t>Fournisseurs</t>
        </is>
      </c>
      <c r="C9" s="12" t="inlineStr">
        <is>
          <t>40</t>
        </is>
      </c>
      <c r="D9" s="12" t="inlineStr">
        <is>
          <t>401</t>
        </is>
      </c>
      <c r="E9" s="12" t="inlineStr">
        <is>
          <t>4011</t>
        </is>
      </c>
      <c r="F9" s="13" t="n">
        <v>0</v>
      </c>
      <c r="G9" s="13" t="n">
        <v>500000</v>
      </c>
      <c r="H9" s="12" t="inlineStr"/>
      <c r="I9" s="12" t="inlineStr"/>
      <c r="J9" s="12" t="inlineStr">
        <is>
          <t>DG</t>
        </is>
      </c>
    </row>
    <row r="10">
      <c r="A10" s="10" t="inlineStr">
        <is>
          <t>422</t>
        </is>
      </c>
      <c r="B10" s="10" t="inlineStr">
        <is>
          <t>Personnel, rémunérations dues</t>
        </is>
      </c>
      <c r="C10" s="10" t="inlineStr">
        <is>
          <t>42</t>
        </is>
      </c>
      <c r="D10" s="10" t="inlineStr">
        <is>
          <t>422</t>
        </is>
      </c>
      <c r="E10" s="10" t="inlineStr">
        <is>
          <t>422</t>
        </is>
      </c>
      <c r="F10" s="11" t="n">
        <v>0</v>
      </c>
      <c r="G10" s="11" t="n">
        <v>150000</v>
      </c>
      <c r="H10" s="10" t="inlineStr"/>
      <c r="I10" s="10" t="inlineStr"/>
      <c r="J10" s="10" t="inlineStr">
        <is>
          <t>BE, DH</t>
        </is>
      </c>
    </row>
    <row r="11">
      <c r="A11" s="12" t="inlineStr">
        <is>
          <t>431</t>
        </is>
      </c>
      <c r="B11" s="12" t="inlineStr">
        <is>
          <t>Sécurité sociale</t>
        </is>
      </c>
      <c r="C11" s="12" t="inlineStr">
        <is>
          <t>43</t>
        </is>
      </c>
      <c r="D11" s="12" t="inlineStr">
        <is>
          <t>431</t>
        </is>
      </c>
      <c r="E11" s="12" t="inlineStr">
        <is>
          <t>431</t>
        </is>
      </c>
      <c r="F11" s="13" t="n">
        <v>0</v>
      </c>
      <c r="G11" s="13" t="n">
        <v>50000</v>
      </c>
      <c r="H11" s="12" t="inlineStr"/>
      <c r="I11" s="12" t="inlineStr"/>
      <c r="J11" s="12" t="inlineStr">
        <is>
          <t>BE, DH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62" customWidth="1" min="1" max="1"/>
    <col width="20" customWidth="1" min="2" max="2"/>
    <col width="10" customWidth="1" min="3" max="3"/>
  </cols>
  <sheetData>
    <row r="1">
      <c r="A1" s="9" t="inlineStr">
        <is>
          <t>Contrôle</t>
        </is>
      </c>
      <c r="B1" s="9" t="inlineStr">
        <is>
          <t>Valeur</t>
        </is>
      </c>
      <c r="C1" s="9" t="inlineStr">
        <is>
          <t>Attendu</t>
        </is>
      </c>
    </row>
    <row r="2">
      <c r="A2" s="10" t="inlineStr">
        <is>
          <t>Total solde débit balance</t>
        </is>
      </c>
      <c r="B2" s="11">
        <f>SUM(BALANCE!F2:F23)</f>
        <v/>
      </c>
      <c r="C2" s="10" t="inlineStr"/>
    </row>
    <row r="3">
      <c r="A3" s="12" t="inlineStr">
        <is>
          <t>Total solde crédit balance</t>
        </is>
      </c>
      <c r="B3" s="13">
        <f>SUM(BALANCE!G2:G23)</f>
        <v/>
      </c>
      <c r="C3" s="12" t="inlineStr"/>
    </row>
    <row r="4">
      <c r="A4" s="10" t="inlineStr">
        <is>
          <t>Écart balance (doit être 0)</t>
        </is>
      </c>
      <c r="B4" s="11">
        <f>B2-B3</f>
        <v/>
      </c>
      <c r="C4" s="10" t="n">
        <v>0</v>
      </c>
    </row>
    <row r="5">
      <c r="A5" s="12" t="inlineStr">
        <is>
          <t>Total général actif (BZ)</t>
        </is>
      </c>
      <c r="B5" s="13">
        <f>ACTIF!D27</f>
        <v/>
      </c>
      <c r="C5" s="12" t="inlineStr"/>
    </row>
    <row r="6">
      <c r="A6" s="10" t="inlineStr">
        <is>
          <t>Total général passif (DZ)</t>
        </is>
      </c>
      <c r="B6" s="11">
        <f>PASSIF!D26</f>
        <v/>
      </c>
      <c r="C6" s="10" t="inlineStr"/>
    </row>
    <row r="7">
      <c r="A7" s="12" t="inlineStr">
        <is>
          <t>Écart bilan actif - passif (doit être 0)</t>
        </is>
      </c>
      <c r="B7" s="13">
        <f>B5-B6</f>
        <v/>
      </c>
      <c r="C7" s="12" t="n">
        <v>0</v>
      </c>
    </row>
    <row r="8">
      <c r="A8" s="10" t="inlineStr">
        <is>
          <t>Solde des opérations (compte d'exploitation, XC)</t>
        </is>
      </c>
      <c r="B8" s="11">
        <f>'Compte Exploitation'!D27</f>
        <v/>
      </c>
      <c r="C8" s="10" t="inlineStr"/>
    </row>
    <row r="9">
      <c r="A9" s="12" t="inlineStr">
        <is>
          <t>Solde des opérations (bilan, CC = XC + solde 13)</t>
        </is>
      </c>
      <c r="B9" s="13">
        <f>PASSIF!D10</f>
        <v/>
      </c>
      <c r="C9" s="12" t="inlineStr"/>
    </row>
    <row r="10">
      <c r="A10" s="10" t="inlineStr">
        <is>
          <t>- Recoupements notes annexes / états -</t>
        </is>
      </c>
      <c r="B10" s="11" t="inlineStr"/>
      <c r="C10" s="10" t="inlineStr"/>
    </row>
    <row r="11">
      <c r="A11" s="12" t="inlineStr">
        <is>
          <t>NOTE 4 total vs poste BA</t>
        </is>
      </c>
      <c r="B11" s="13">
        <f>'NOTE 4'!B13-ACTIF!D17</f>
        <v/>
      </c>
      <c r="C11" s="12" t="n">
        <v>0</v>
      </c>
    </row>
    <row r="12">
      <c r="A12" s="10" t="inlineStr">
        <is>
          <t>NOTE 5 total vs poste BB</t>
        </is>
      </c>
      <c r="B12" s="11">
        <f>'NOTE 5'!B18-ACTIF!D18</f>
        <v/>
      </c>
      <c r="C12" s="10" t="n">
        <v>0</v>
      </c>
    </row>
    <row r="13">
      <c r="A13" s="12" t="inlineStr">
        <is>
          <t>NOTE 10 total vs poste CD</t>
        </is>
      </c>
      <c r="B13" s="13">
        <f>'NOTE 10'!B16-PASSIF!D11</f>
        <v/>
      </c>
      <c r="C13" s="12" t="n">
        <v>0</v>
      </c>
    </row>
    <row r="14">
      <c r="A14" s="10" t="inlineStr">
        <is>
          <t>NOTE 11 total vs poste DC</t>
        </is>
      </c>
      <c r="B14" s="11">
        <f>'NOTE 11'!B25-PASSIF!D15</f>
        <v/>
      </c>
      <c r="C14" s="10" t="n">
        <v>0</v>
      </c>
    </row>
    <row r="15">
      <c r="A15" s="12" t="inlineStr">
        <is>
          <t>NOTE 13 total vs poste DX</t>
        </is>
      </c>
      <c r="B15" s="13">
        <f>'NOTE 13'!B16-PASSIF!D24</f>
        <v/>
      </c>
      <c r="C15" s="12" t="n">
        <v>0</v>
      </c>
    </row>
    <row r="16">
      <c r="A16" s="10" t="inlineStr">
        <is>
          <t>NOTE 16 total vs poste TD</t>
        </is>
      </c>
      <c r="B16" s="11">
        <f>'NOTE 16'!B13+'Compte Exploitation'!D17</f>
        <v/>
      </c>
      <c r="C16" s="10" t="n">
        <v>0</v>
      </c>
    </row>
    <row r="17">
      <c r="A17" s="12" t="inlineStr">
        <is>
          <t>NOTE 17 total vs poste TG</t>
        </is>
      </c>
      <c r="B17" s="13">
        <f>'NOTE 17'!B24+'Compte Exploitation'!D18</f>
        <v/>
      </c>
      <c r="C17" s="12" t="n">
        <v>0</v>
      </c>
    </row>
    <row r="18">
      <c r="A18" s="10" t="inlineStr">
        <is>
          <t>NOTE 18 total vs poste TH</t>
        </is>
      </c>
      <c r="B18" s="11">
        <f>'NOTE 18'!B14+'Compte Exploitation'!D19</f>
        <v/>
      </c>
      <c r="C18" s="10" t="n">
        <v>0</v>
      </c>
    </row>
    <row r="19">
      <c r="A19" s="12" t="inlineStr">
        <is>
          <t>NOTE 19 total vs poste TI</t>
        </is>
      </c>
      <c r="B19" s="13">
        <f>'NOTE 19'!B14+'Compte Exploitation'!D20</f>
        <v/>
      </c>
      <c r="C19" s="12" t="n">
        <v>0</v>
      </c>
    </row>
    <row r="20">
      <c r="A20" s="10" t="inlineStr">
        <is>
          <t>NOTE 20A total vs poste TJ</t>
        </is>
      </c>
      <c r="B20" s="11">
        <f>'NOTE 20A'!B16+'Compte Exploitation'!D21</f>
        <v/>
      </c>
      <c r="C20" s="10" t="n">
        <v>0</v>
      </c>
    </row>
    <row r="21">
      <c r="A21" s="12" t="inlineStr">
        <is>
          <t>NOTE 21 total vs poste TK</t>
        </is>
      </c>
      <c r="B21" s="13">
        <f>'NOTE 21'!B15+'Compte Exploitation'!D22</f>
        <v/>
      </c>
      <c r="C21" s="12" t="n">
        <v>0</v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6" customWidth="1" min="3" max="3"/>
    <col width="62" customWidth="1" min="4" max="4"/>
    <col width="62" customWidth="1" min="5" max="5"/>
  </cols>
  <sheetData>
    <row r="1">
      <c r="A1" s="9" t="inlineStr">
        <is>
          <t>Gravité</t>
        </is>
      </c>
      <c r="B1" s="9" t="inlineStr">
        <is>
          <t>Compte</t>
        </is>
      </c>
      <c r="C1" s="9" t="inlineStr">
        <is>
          <t>Intitulé</t>
        </is>
      </c>
      <c r="D1" s="9" t="inlineStr">
        <is>
          <t>Problème</t>
        </is>
      </c>
      <c r="E1" s="9" t="inlineStr">
        <is>
          <t>Solution proposée</t>
        </is>
      </c>
    </row>
    <row r="2">
      <c r="A2" s="10" t="n"/>
      <c r="B2" s="10" t="n"/>
      <c r="C2" s="10" t="n"/>
      <c r="D2" s="10" t="n"/>
      <c r="E2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2026-09-01T00:31:59Z</dcterms:created>
  <dcterms:modified xsi:type="dcterms:W3CDTF">2026-09-01T00:31:59Z</dcterms:modified>
</cp:coreProperties>
</file>