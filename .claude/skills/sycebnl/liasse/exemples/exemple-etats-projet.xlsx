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N" sheetId="1" state="visible" r:id="rId1"/>
    <sheet name="BALANCE N-1" sheetId="2" state="visible" r:id="rId2"/>
    <sheet name="CONTROLE BALANCE" sheetId="3" state="visible" r:id="rId3"/>
    <sheet name="Couverture" sheetId="4" state="visible" r:id="rId4"/>
    <sheet name="Garde" sheetId="5" state="visible" r:id="rId5"/>
    <sheet name="Fiche 1" sheetId="6" state="visible" r:id="rId6"/>
    <sheet name="Fiche 2" sheetId="7" state="visible" r:id="rId7"/>
    <sheet name="Emplois-Ressources" sheetId="8" state="visible" r:id="rId8"/>
    <sheet name="Execution budgetaire" sheetId="9" state="visible" r:id="rId9"/>
    <sheet name="Reconciliation tresorerie" sheetId="10" state="visible" r:id="rId10"/>
    <sheet name="Bilan paysage" sheetId="11" state="visible" r:id="rId11"/>
    <sheet name="Bilan-Actif" sheetId="12" state="visible" r:id="rId12"/>
    <sheet name="Bilan-Passif" sheetId="13" state="visible" r:id="rId13"/>
    <sheet name="Compte Exploitation" sheetId="14" state="visible" r:id="rId14"/>
    <sheet name="NOTES ANNEXES" sheetId="15" state="visible" r:id="rId15"/>
    <sheet name="NOTE 1" sheetId="16" state="visible" r:id="rId16"/>
    <sheet name="NOTE 2" sheetId="17" state="visible" r:id="rId17"/>
    <sheet name="NOTE 3A" sheetId="18" state="visible" r:id="rId18"/>
    <sheet name="NOTE 3B" sheetId="19" state="visible" r:id="rId19"/>
    <sheet name="NOTE 4" sheetId="20" state="visible" r:id="rId20"/>
    <sheet name="NOTE 5" sheetId="21" state="visible" r:id="rId21"/>
    <sheet name="NOTE 6" sheetId="22" state="visible" r:id="rId22"/>
    <sheet name="NOTE 7" sheetId="23" state="visible" r:id="rId23"/>
    <sheet name="NOTE 8" sheetId="24" state="visible" r:id="rId24"/>
    <sheet name="NOTE 9" sheetId="25" state="visible" r:id="rId25"/>
    <sheet name="NOTE 10" sheetId="26" state="visible" r:id="rId26"/>
    <sheet name="NOTE 11" sheetId="27" state="visible" r:id="rId27"/>
    <sheet name="NOTE 12" sheetId="28" state="visible" r:id="rId28"/>
    <sheet name="NOTE 13" sheetId="29" state="visible" r:id="rId29"/>
    <sheet name="NOTE 14" sheetId="30" state="visible" r:id="rId30"/>
    <sheet name="NOTE 15" sheetId="31" state="visible" r:id="rId31"/>
    <sheet name="NOTE 16" sheetId="32" state="visible" r:id="rId32"/>
    <sheet name="NOTE 17" sheetId="33" state="visible" r:id="rId33"/>
    <sheet name="NOTE 18" sheetId="34" state="visible" r:id="rId34"/>
    <sheet name="NOTE 19" sheetId="35" state="visible" r:id="rId35"/>
    <sheet name="NOTE 20A" sheetId="36" state="visible" r:id="rId36"/>
    <sheet name="NOTE 20B" sheetId="37" state="visible" r:id="rId37"/>
    <sheet name="NOTE 21" sheetId="38" state="visible" r:id="rId38"/>
    <sheet name="NOTE 22" sheetId="39" state="visible" r:id="rId39"/>
    <sheet name="NOTE 23" sheetId="40" state="visible" r:id="rId40"/>
    <sheet name="NOTE 24" sheetId="41" state="visible" r:id="rId41"/>
    <sheet name="TABLE COMMENTAIRE" sheetId="42" state="visible" r:id="rId42"/>
    <sheet name="CONTROLES" sheetId="43" state="visible" r:id="rId43"/>
    <sheet name="ANOMALIE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\ _€_-;\-* #,##0\ _€_-;_-* &quot;-&quot;\ _€_-;_-@_-"/>
    <numFmt numFmtId="165" formatCode="0.0%"/>
  </numFmts>
  <fonts count="25">
    <font>
      <name val="Calibri"/>
      <family val="2"/>
      <color theme="1"/>
      <sz val="11"/>
      <scheme val="minor"/>
    </font>
    <font>
      <name val="Arial"/>
      <sz val="10"/>
    </font>
    <font>
      <name val="Arial"/>
      <sz val="8"/>
    </font>
    <font>
      <name val="Arial"/>
      <sz val="9"/>
    </font>
    <font>
      <name val="Arial Black"/>
      <b val="1"/>
      <color rgb="00008000"/>
      <sz val="14"/>
    </font>
    <font>
      <name val="Arial"/>
      <b val="1"/>
      <sz val="9"/>
    </font>
    <font>
      <name val="Arial"/>
      <b val="1"/>
      <color rgb="00FFFFFF"/>
      <sz val="9"/>
    </font>
    <font>
      <name val="Arial Black"/>
      <b val="1"/>
      <color rgb="00008000"/>
      <sz val="16"/>
    </font>
    <font>
      <name val="Arial Black"/>
      <b val="1"/>
      <color rgb="00003366"/>
      <sz val="11"/>
    </font>
    <font>
      <name val="Arial"/>
      <b val="1"/>
      <sz val="10"/>
    </font>
    <font>
      <name val="Arial"/>
      <b val="1"/>
      <sz val="20"/>
    </font>
    <font>
      <name val="Arial"/>
      <b val="1"/>
      <sz val="14"/>
    </font>
    <font>
      <name val="Arial"/>
      <b val="1"/>
      <sz val="11"/>
    </font>
    <font>
      <name val="Arial Black"/>
      <b val="1"/>
      <color rgb="00000080"/>
      <sz val="10"/>
    </font>
    <font>
      <name val="Arial"/>
      <b val="1"/>
      <sz val="22"/>
    </font>
    <font>
      <name val="Arial Black"/>
      <b val="1"/>
      <color rgb="00FFFFFF"/>
      <sz val="20"/>
    </font>
    <font>
      <name val="Arial"/>
      <b val="1"/>
      <sz val="12"/>
    </font>
    <font>
      <name val="Arial"/>
      <b val="1"/>
      <color rgb="00CC99FF"/>
      <sz val="17"/>
    </font>
    <font>
      <name val="Arial"/>
      <b val="1"/>
      <sz val="16"/>
    </font>
    <font>
      <name val="Arial Black"/>
      <b val="1"/>
      <sz val="8"/>
    </font>
    <font>
      <name val="Arial"/>
      <b val="1"/>
      <color rgb="00008000"/>
      <sz val="11"/>
    </font>
    <font>
      <name val="Arial"/>
      <b val="1"/>
      <sz val="8"/>
    </font>
    <font>
      <name val="Arial"/>
      <b val="1"/>
      <color rgb="00008000"/>
      <sz val="12"/>
    </font>
    <font>
      <name val="Arial Black"/>
      <b val="1"/>
      <sz val="10"/>
    </font>
    <font>
      <name val="Arial"/>
      <color theme="1"/>
      <sz val="9"/>
    </font>
  </fonts>
  <fills count="12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008000"/>
      </patternFill>
    </fill>
    <fill>
      <patternFill patternType="solid">
        <fgColor rgb="00C0C0C0"/>
      </patternFill>
    </fill>
    <fill>
      <patternFill patternType="solid">
        <fgColor rgb="00003366"/>
      </patternFill>
    </fill>
    <fill>
      <patternFill patternType="solid">
        <fgColor rgb="00000080"/>
      </patternFill>
    </fill>
    <fill>
      <patternFill patternType="solid">
        <fgColor rgb="00FFCC99"/>
      </patternFill>
    </fill>
    <fill>
      <patternFill patternType="solid">
        <fgColor rgb="00CCFFCC"/>
      </patternFill>
    </fill>
    <fill>
      <patternFill patternType="solid">
        <fgColor rgb="00660066"/>
      </patternFill>
    </fill>
    <fill>
      <patternFill patternType="solid">
        <fgColor rgb="00FFFFCC"/>
      </patternFill>
    </fill>
    <fill>
      <patternFill patternType="solid">
        <fgColor rgb="00CCCCFF"/>
      </patternFill>
    </fill>
  </fills>
  <borders count="34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bottom style="dashed">
        <color rgb="00000000"/>
      </bottom>
    </border>
    <border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medium">
        <color rgb="00000000"/>
      </right>
      <top style="hair">
        <color rgb="00000000"/>
      </top>
      <bottom style="hair">
        <color rgb="00000000"/>
      </bottom>
    </border>
    <border>
      <left style="medium">
        <color rgb="00000000"/>
      </left>
      <right style="thin">
        <color rgb="00000000"/>
      </right>
      <top style="hair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hair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top style="medium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top style="dashed">
        <color rgb="00000000"/>
      </top>
    </border>
    <border>
      <bottom style="hair">
        <color rgb="00000000"/>
      </bottom>
    </border>
    <border>
      <top style="thin">
        <color rgb="00000000"/>
      </top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0" borderId="8" pivotButton="0" quotePrefix="0" xfId="0"/>
    <xf numFmtId="164" fontId="3" fillId="0" borderId="8" pivotButton="0" quotePrefix="0" xfId="0"/>
    <xf numFmtId="0" fontId="10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1" fillId="4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8" borderId="15" applyAlignment="1" pivotButton="0" quotePrefix="0" xfId="0">
      <alignment horizontal="center" vertical="center" wrapText="1"/>
    </xf>
    <xf numFmtId="0" fontId="9" fillId="8" borderId="16" applyAlignment="1" pivotButton="0" quotePrefix="0" xfId="0">
      <alignment horizontal="center" vertical="center" wrapText="1"/>
    </xf>
    <xf numFmtId="0" fontId="0" fillId="0" borderId="17" pivotButton="0" quotePrefix="0" xfId="0"/>
    <xf numFmtId="3" fontId="12" fillId="4" borderId="8" pivotButton="0" quotePrefix="0" xfId="0"/>
    <xf numFmtId="3" fontId="12" fillId="4" borderId="11" pivotButton="0" quotePrefix="0" xfId="0"/>
    <xf numFmtId="0" fontId="0" fillId="0" borderId="18" pivotButton="0" quotePrefix="0" xfId="0"/>
    <xf numFmtId="0" fontId="13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5" borderId="0" pivotButton="0" quotePrefix="0" xfId="0"/>
    <xf numFmtId="0" fontId="0" fillId="0" borderId="21" pivotButton="0" quotePrefix="0" xfId="0"/>
    <xf numFmtId="0" fontId="14" fillId="0" borderId="0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11" fillId="4" borderId="24" applyAlignment="1" pivotButton="0" quotePrefix="0" xfId="0">
      <alignment horizontal="center" vertical="center" wrapText="1"/>
    </xf>
    <xf numFmtId="0" fontId="0" fillId="4" borderId="24" pivotButton="0" quotePrefix="0" xfId="0"/>
    <xf numFmtId="0" fontId="17" fillId="6" borderId="3" applyAlignment="1" pivotButton="0" quotePrefix="0" xfId="0">
      <alignment horizontal="center" vertical="center" wrapText="1"/>
    </xf>
    <xf numFmtId="0" fontId="0" fillId="6" borderId="3" pivotButton="0" quotePrefix="0" xfId="0"/>
    <xf numFmtId="0" fontId="11" fillId="0" borderId="0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 wrapText="1"/>
    </xf>
    <xf numFmtId="0" fontId="0" fillId="0" borderId="25" pivotButton="0" quotePrefix="0" xfId="0"/>
    <xf numFmtId="0" fontId="3" fillId="0" borderId="0" pivotButton="0" quotePrefix="0" xfId="0"/>
    <xf numFmtId="0" fontId="1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0" pivotButton="0" quotePrefix="0" xfId="0"/>
    <xf numFmtId="0" fontId="18" fillId="0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9" fillId="0" borderId="0" pivotButton="0" quotePrefix="0" xfId="0"/>
    <xf numFmtId="0" fontId="3" fillId="0" borderId="4" pivotButton="0" quotePrefix="0" xfId="0"/>
    <xf numFmtId="0" fontId="0" fillId="0" borderId="4" pivotButton="0" quotePrefix="0" xfId="0"/>
    <xf numFmtId="0" fontId="19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top"/>
    </xf>
    <xf numFmtId="49" fontId="1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2" pivotButton="0" quotePrefix="0" xfId="0"/>
    <xf numFmtId="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1" fillId="10" borderId="4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left" vertical="center" wrapText="1"/>
    </xf>
    <xf numFmtId="0" fontId="0" fillId="0" borderId="27" pivotButton="0" quotePrefix="0" xfId="0"/>
    <xf numFmtId="0" fontId="21" fillId="0" borderId="27" applyAlignment="1" pivotButton="0" quotePrefix="0" xfId="0">
      <alignment horizontal="left" vertical="center" wrapText="1"/>
    </xf>
    <xf numFmtId="0" fontId="2" fillId="0" borderId="28" pivotButton="0" quotePrefix="0" xfId="0"/>
    <xf numFmtId="0" fontId="0" fillId="0" borderId="28" pivotButton="0" quotePrefix="0" xfId="0"/>
    <xf numFmtId="0" fontId="2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0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 wrapText="1"/>
    </xf>
    <xf numFmtId="164" fontId="3" fillId="0" borderId="8" applyAlignment="1" pivotButton="0" quotePrefix="0" xfId="0">
      <alignment vertical="center"/>
    </xf>
    <xf numFmtId="164" fontId="3" fillId="0" borderId="11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6" fillId="3" borderId="8" applyAlignment="1" pivotButton="0" quotePrefix="0" xfId="0">
      <alignment horizontal="left" vertical="center" wrapText="1"/>
    </xf>
    <xf numFmtId="164" fontId="6" fillId="3" borderId="8" applyAlignment="1" pivotButton="0" quotePrefix="0" xfId="0">
      <alignment vertical="center"/>
    </xf>
    <xf numFmtId="164" fontId="6" fillId="3" borderId="11" applyAlignment="1" pivotButton="0" quotePrefix="0" xfId="0">
      <alignment vertical="center"/>
    </xf>
    <xf numFmtId="0" fontId="5" fillId="4" borderId="8" applyAlignment="1" pivotButton="0" quotePrefix="0" xfId="0">
      <alignment horizontal="left" vertical="center" wrapText="1"/>
    </xf>
    <xf numFmtId="164" fontId="5" fillId="4" borderId="8" applyAlignment="1" pivotButton="0" quotePrefix="0" xfId="0">
      <alignment vertical="center"/>
    </xf>
    <xf numFmtId="164" fontId="5" fillId="4" borderId="11" applyAlignment="1" pivotButton="0" quotePrefix="0" xfId="0">
      <alignment vertical="center"/>
    </xf>
    <xf numFmtId="0" fontId="6" fillId="5" borderId="8" applyAlignment="1" pivotButton="0" quotePrefix="0" xfId="0">
      <alignment horizontal="left" vertical="center" wrapText="1"/>
    </xf>
    <xf numFmtId="164" fontId="6" fillId="5" borderId="8" applyAlignment="1" pivotButton="0" quotePrefix="0" xfId="0">
      <alignment vertical="center"/>
    </xf>
    <xf numFmtId="164" fontId="6" fillId="5" borderId="11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6" fillId="6" borderId="9" applyAlignment="1" pivotButton="0" quotePrefix="0" xfId="0">
      <alignment horizontal="left" vertical="center" wrapText="1"/>
    </xf>
    <xf numFmtId="164" fontId="6" fillId="6" borderId="9" applyAlignment="1" pivotButton="0" quotePrefix="0" xfId="0">
      <alignment vertical="center"/>
    </xf>
    <xf numFmtId="164" fontId="6" fillId="6" borderId="13" applyAlignment="1" pivotButton="0" quotePrefix="0" xfId="0">
      <alignment vertical="center"/>
    </xf>
    <xf numFmtId="0" fontId="24" fillId="0" borderId="0" applyAlignment="1" pivotButton="0" quotePrefix="0" xfId="0">
      <alignment horizontal="left" vertical="center" wrapText="1"/>
    </xf>
    <xf numFmtId="0" fontId="3" fillId="0" borderId="10" pivotButton="0" quotePrefix="0" xfId="0"/>
    <xf numFmtId="165" fontId="3" fillId="0" borderId="11" pivotButton="0" quotePrefix="0" xfId="0"/>
    <xf numFmtId="0" fontId="5" fillId="4" borderId="12" applyAlignment="1" pivotButton="0" quotePrefix="0" xfId="0">
      <alignment horizontal="left" vertical="center" wrapText="1"/>
    </xf>
    <xf numFmtId="0" fontId="5" fillId="4" borderId="9" applyAlignment="1" pivotButton="0" quotePrefix="0" xfId="0">
      <alignment horizontal="left" vertical="center" wrapText="1"/>
    </xf>
    <xf numFmtId="164" fontId="5" fillId="4" borderId="9" applyAlignment="1" pivotButton="0" quotePrefix="0" xfId="0">
      <alignment vertical="center"/>
    </xf>
    <xf numFmtId="165" fontId="5" fillId="4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3" fillId="0" borderId="2" applyAlignment="1" pivotButton="0" quotePrefix="0" xfId="0">
      <alignment horizontal="right" vertical="center"/>
    </xf>
    <xf numFmtId="0" fontId="3" fillId="0" borderId="10" applyAlignment="1" pivotButton="0" quotePrefix="0" xfId="0">
      <alignment horizontal="left" vertical="center" wrapText="1"/>
    </xf>
    <xf numFmtId="0" fontId="6" fillId="3" borderId="10" applyAlignment="1" pivotButton="0" quotePrefix="0" xfId="0">
      <alignment horizontal="left" vertical="center" wrapText="1"/>
    </xf>
    <xf numFmtId="0" fontId="6" fillId="6" borderId="12" applyAlignment="1" pivotButton="0" quotePrefix="0" xfId="0">
      <alignment horizontal="left" vertical="center" wrapText="1"/>
    </xf>
    <xf numFmtId="164" fontId="24" fillId="0" borderId="0" pivotButton="0" quotePrefix="0" xfId="0"/>
    <xf numFmtId="0" fontId="7" fillId="0" borderId="3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32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left" vertical="center" wrapText="1"/>
    </xf>
    <xf numFmtId="0" fontId="6" fillId="3" borderId="9" applyAlignment="1" pivotButton="0" quotePrefix="0" xfId="0">
      <alignment horizontal="center" vertical="center"/>
    </xf>
    <xf numFmtId="164" fontId="6" fillId="3" borderId="9" applyAlignment="1" pivotButton="0" quotePrefix="0" xfId="0">
      <alignment vertical="center"/>
    </xf>
    <xf numFmtId="164" fontId="6" fillId="3" borderId="13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0" fillId="4" borderId="4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left" vertical="center" wrapText="1"/>
    </xf>
    <xf numFmtId="164" fontId="5" fillId="2" borderId="8" pivotButton="0" quotePrefix="0" xfId="0"/>
    <xf numFmtId="0" fontId="3" fillId="0" borderId="0" applyAlignment="1" pivotButton="0" quotePrefix="0" xfId="0">
      <alignment horizontal="center" vertical="center" wrapText="1"/>
    </xf>
    <xf numFmtId="0" fontId="5" fillId="2" borderId="8" pivotButton="0" quotePrefix="0" xfId="0"/>
    <xf numFmtId="165" fontId="3" fillId="0" borderId="8" pivotButton="0" quotePrefix="0" xfId="0"/>
    <xf numFmtId="165" fontId="5" fillId="4" borderId="8" applyAlignment="1" pivotButton="0" quotePrefix="0" xfId="0">
      <alignment vertical="center"/>
    </xf>
    <xf numFmtId="0" fontId="9" fillId="2" borderId="4" applyAlignment="1" pivotButton="0" quotePrefix="0" xfId="0">
      <alignment horizontal="left" vertical="center" wrapText="1"/>
    </xf>
    <xf numFmtId="0" fontId="9" fillId="2" borderId="4" pivotButton="0" quotePrefix="0" xfId="0"/>
    <xf numFmtId="165" fontId="5" fillId="4" borderId="8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3" fillId="11" borderId="33" applyAlignment="1" pivotButton="0" quotePrefix="0" xfId="0">
      <alignment horizontal="center" vertical="center" wrapText="1"/>
    </xf>
    <xf numFmtId="0" fontId="0" fillId="11" borderId="33" pivotButton="0" quotePrefix="0" xfId="0"/>
    <xf numFmtId="0" fontId="2" fillId="4" borderId="4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9" customWidth="1" min="4" max="4"/>
    <col width="9" customWidth="1" min="5" max="5"/>
    <col width="15" customWidth="1" min="6" max="6"/>
    <col width="15" customWidth="1" min="7" max="7"/>
    <col width="22" customWidth="1" min="10" max="10"/>
  </cols>
  <sheetData>
    <row r="1">
      <c r="A1" s="1" t="inlineStr">
        <is>
          <t>Compte</t>
        </is>
      </c>
      <c r="B1" s="2" t="inlineStr">
        <is>
          <t>Intitulé</t>
        </is>
      </c>
      <c r="C1" s="2" t="inlineStr">
        <is>
          <t>Préfixe 2</t>
        </is>
      </c>
      <c r="D1" s="2" t="inlineStr">
        <is>
          <t>Préfixe 3</t>
        </is>
      </c>
      <c r="E1" s="2" t="inlineStr">
        <is>
          <t>Préfixe 4</t>
        </is>
      </c>
      <c r="F1" s="2" t="inlineStr">
        <is>
          <t>Solde final débit</t>
        </is>
      </c>
      <c r="G1" s="2" t="inlineStr">
        <is>
          <t>Solde final crédit</t>
        </is>
      </c>
      <c r="H1" s="2" t="inlineStr"/>
      <c r="I1" s="2" t="inlineStr"/>
      <c r="J1" s="3" t="inlineStr">
        <is>
          <t>Poste(s) d'affectation</t>
        </is>
      </c>
    </row>
    <row r="2">
      <c r="A2" s="4" t="inlineStr">
        <is>
          <t>2441</t>
        </is>
      </c>
      <c r="B2" s="4" t="inlineStr">
        <is>
          <t>Matériel et mobilier de bureau</t>
        </is>
      </c>
      <c r="C2" s="4" t="inlineStr">
        <is>
          <t>24</t>
        </is>
      </c>
      <c r="D2" s="4" t="inlineStr">
        <is>
          <t>244</t>
        </is>
      </c>
      <c r="E2" s="4" t="inlineStr">
        <is>
          <t>2441</t>
        </is>
      </c>
      <c r="F2" s="5" t="n">
        <v>4000000</v>
      </c>
      <c r="G2" s="5" t="n">
        <v>0</v>
      </c>
      <c r="H2" s="4" t="inlineStr"/>
      <c r="I2" s="4" t="inlineStr"/>
      <c r="J2" s="4" t="inlineStr">
        <is>
          <t>AD</t>
        </is>
      </c>
    </row>
    <row r="3">
      <c r="A3" s="4" t="inlineStr">
        <is>
          <t>2451</t>
        </is>
      </c>
      <c r="B3" s="4" t="inlineStr">
        <is>
          <t>Matériel de transport automobile</t>
        </is>
      </c>
      <c r="C3" s="4" t="inlineStr">
        <is>
          <t>24</t>
        </is>
      </c>
      <c r="D3" s="4" t="inlineStr">
        <is>
          <t>245</t>
        </is>
      </c>
      <c r="E3" s="4" t="inlineStr">
        <is>
          <t>2451</t>
        </is>
      </c>
      <c r="F3" s="5" t="n">
        <v>8000000</v>
      </c>
      <c r="G3" s="5" t="n">
        <v>0</v>
      </c>
      <c r="H3" s="4" t="inlineStr"/>
      <c r="I3" s="4" t="inlineStr"/>
      <c r="J3" s="4" t="inlineStr">
        <is>
          <t>AE</t>
        </is>
      </c>
    </row>
    <row r="4">
      <c r="A4" s="4" t="inlineStr">
        <is>
          <t>2751</t>
        </is>
      </c>
      <c r="B4" s="4" t="inlineStr">
        <is>
          <t>Dépôts et cautionnements - loyers d'avance</t>
        </is>
      </c>
      <c r="C4" s="4" t="inlineStr">
        <is>
          <t>27</t>
        </is>
      </c>
      <c r="D4" s="4" t="inlineStr">
        <is>
          <t>275</t>
        </is>
      </c>
      <c r="E4" s="4" t="inlineStr">
        <is>
          <t>2751</t>
        </is>
      </c>
      <c r="F4" s="5" t="n">
        <v>500000</v>
      </c>
      <c r="G4" s="5" t="n">
        <v>0</v>
      </c>
      <c r="H4" s="4" t="inlineStr"/>
      <c r="I4" s="4" t="inlineStr"/>
      <c r="J4" s="4" t="inlineStr">
        <is>
          <t>AG</t>
        </is>
      </c>
    </row>
    <row r="5">
      <c r="A5" s="4" t="inlineStr">
        <is>
          <t>521</t>
        </is>
      </c>
      <c r="B5" s="4" t="inlineStr">
        <is>
          <t>Banques locales</t>
        </is>
      </c>
      <c r="C5" s="4" t="inlineStr">
        <is>
          <t>52</t>
        </is>
      </c>
      <c r="D5" s="4" t="inlineStr">
        <is>
          <t>521</t>
        </is>
      </c>
      <c r="E5" s="4" t="inlineStr">
        <is>
          <t>521</t>
        </is>
      </c>
      <c r="F5" s="5" t="n">
        <v>2450000</v>
      </c>
      <c r="G5" s="5" t="n">
        <v>0</v>
      </c>
      <c r="H5" s="4" t="inlineStr"/>
      <c r="I5" s="4" t="inlineStr"/>
      <c r="J5" s="4" t="inlineStr">
        <is>
          <t>BW, DW</t>
        </is>
      </c>
    </row>
    <row r="6">
      <c r="A6" s="4" t="inlineStr">
        <is>
          <t>571</t>
        </is>
      </c>
      <c r="B6" s="4" t="inlineStr">
        <is>
          <t>Caisse</t>
        </is>
      </c>
      <c r="C6" s="4" t="inlineStr">
        <is>
          <t>57</t>
        </is>
      </c>
      <c r="D6" s="4" t="inlineStr">
        <is>
          <t>571</t>
        </is>
      </c>
      <c r="E6" s="4" t="inlineStr">
        <is>
          <t>571</t>
        </is>
      </c>
      <c r="F6" s="5" t="n">
        <v>200000</v>
      </c>
      <c r="G6" s="5" t="n">
        <v>0</v>
      </c>
      <c r="H6" s="4" t="inlineStr"/>
      <c r="I6" s="4" t="inlineStr"/>
      <c r="J6" s="4" t="inlineStr">
        <is>
          <t>BW</t>
        </is>
      </c>
    </row>
    <row r="7">
      <c r="A7" s="4" t="inlineStr">
        <is>
          <t>162</t>
        </is>
      </c>
      <c r="B7" s="4" t="inlineStr">
        <is>
          <t>Fonds affectés aux investissements - bailleurs</t>
        </is>
      </c>
      <c r="C7" s="4" t="inlineStr">
        <is>
          <t>16</t>
        </is>
      </c>
      <c r="D7" s="4" t="inlineStr">
        <is>
          <t>162</t>
        </is>
      </c>
      <c r="E7" s="4" t="inlineStr">
        <is>
          <t>162</t>
        </is>
      </c>
      <c r="F7" s="5" t="n">
        <v>0</v>
      </c>
      <c r="G7" s="5" t="n">
        <v>12500000</v>
      </c>
      <c r="H7" s="4" t="inlineStr"/>
      <c r="I7" s="4" t="inlineStr"/>
      <c r="J7" s="4" t="inlineStr">
        <is>
          <t>CA</t>
        </is>
      </c>
    </row>
    <row r="8">
      <c r="A8" s="4" t="inlineStr">
        <is>
          <t>462</t>
        </is>
      </c>
      <c r="B8" s="4" t="inlineStr">
        <is>
          <t>Bailleurs - fonds d'administration</t>
        </is>
      </c>
      <c r="C8" s="4" t="inlineStr">
        <is>
          <t>46</t>
        </is>
      </c>
      <c r="D8" s="4" t="inlineStr">
        <is>
          <t>462</t>
        </is>
      </c>
      <c r="E8" s="4" t="inlineStr">
        <is>
          <t>462</t>
        </is>
      </c>
      <c r="F8" s="5" t="n">
        <v>0</v>
      </c>
      <c r="G8" s="5" t="n">
        <v>1200000</v>
      </c>
      <c r="H8" s="4" t="inlineStr"/>
      <c r="I8" s="4" t="inlineStr"/>
      <c r="J8" s="4" t="inlineStr">
        <is>
          <t>DF</t>
        </is>
      </c>
    </row>
    <row r="9">
      <c r="A9" s="4" t="inlineStr">
        <is>
          <t>4011</t>
        </is>
      </c>
      <c r="B9" s="4" t="inlineStr">
        <is>
          <t>Fournisseurs</t>
        </is>
      </c>
      <c r="C9" s="4" t="inlineStr">
        <is>
          <t>40</t>
        </is>
      </c>
      <c r="D9" s="4" t="inlineStr">
        <is>
          <t>401</t>
        </is>
      </c>
      <c r="E9" s="4" t="inlineStr">
        <is>
          <t>4011</t>
        </is>
      </c>
      <c r="F9" s="5" t="n">
        <v>0</v>
      </c>
      <c r="G9" s="5" t="n">
        <v>800000</v>
      </c>
      <c r="H9" s="4" t="inlineStr"/>
      <c r="I9" s="4" t="inlineStr"/>
      <c r="J9" s="4" t="inlineStr">
        <is>
          <t>DG</t>
        </is>
      </c>
    </row>
    <row r="10">
      <c r="A10" s="4" t="inlineStr">
        <is>
          <t>422</t>
        </is>
      </c>
      <c r="B10" s="4" t="inlineStr">
        <is>
          <t>Personnel, rémunérations dues</t>
        </is>
      </c>
      <c r="C10" s="4" t="inlineStr">
        <is>
          <t>42</t>
        </is>
      </c>
      <c r="D10" s="4" t="inlineStr">
        <is>
          <t>422</t>
        </is>
      </c>
      <c r="E10" s="4" t="inlineStr">
        <is>
          <t>422</t>
        </is>
      </c>
      <c r="F10" s="5" t="n">
        <v>0</v>
      </c>
      <c r="G10" s="5" t="n">
        <v>300000</v>
      </c>
      <c r="H10" s="4" t="inlineStr"/>
      <c r="I10" s="4" t="inlineStr"/>
      <c r="J10" s="4" t="inlineStr">
        <is>
          <t>BE, DH</t>
        </is>
      </c>
    </row>
    <row r="11">
      <c r="A11" s="4" t="inlineStr">
        <is>
          <t>431</t>
        </is>
      </c>
      <c r="B11" s="4" t="inlineStr">
        <is>
          <t>Sécurité sociale</t>
        </is>
      </c>
      <c r="C11" s="4" t="inlineStr">
        <is>
          <t>43</t>
        </is>
      </c>
      <c r="D11" s="4" t="inlineStr">
        <is>
          <t>431</t>
        </is>
      </c>
      <c r="E11" s="4" t="inlineStr">
        <is>
          <t>431</t>
        </is>
      </c>
      <c r="F11" s="5" t="n">
        <v>0</v>
      </c>
      <c r="G11" s="5" t="n">
        <v>150000</v>
      </c>
      <c r="H11" s="4" t="inlineStr"/>
      <c r="I11" s="4" t="inlineStr"/>
      <c r="J11" s="4" t="inlineStr">
        <is>
          <t>BE, DH</t>
        </is>
      </c>
    </row>
    <row r="12">
      <c r="A12" s="4" t="inlineStr">
        <is>
          <t>447</t>
        </is>
      </c>
      <c r="B12" s="4" t="inlineStr">
        <is>
          <t>État, impôts retenus à la source</t>
        </is>
      </c>
      <c r="C12" s="4" t="inlineStr">
        <is>
          <t>44</t>
        </is>
      </c>
      <c r="D12" s="4" t="inlineStr">
        <is>
          <t>447</t>
        </is>
      </c>
      <c r="E12" s="4" t="inlineStr">
        <is>
          <t>447</t>
        </is>
      </c>
      <c r="F12" s="5" t="n">
        <v>0</v>
      </c>
      <c r="G12" s="5" t="n">
        <v>100000</v>
      </c>
      <c r="H12" s="4" t="inlineStr"/>
      <c r="I12" s="4" t="inlineStr"/>
      <c r="J12" s="4" t="inlineStr">
        <is>
          <t>BE, DH</t>
        </is>
      </c>
    </row>
    <row r="13">
      <c r="A13" s="4" t="inlineStr">
        <is>
          <t>601</t>
        </is>
      </c>
      <c r="B13" s="4" t="inlineStr">
        <is>
          <t>Achats de biens et services liés à l'activité</t>
        </is>
      </c>
      <c r="C13" s="4" t="inlineStr">
        <is>
          <t>60</t>
        </is>
      </c>
      <c r="D13" s="4" t="inlineStr">
        <is>
          <t>601</t>
        </is>
      </c>
      <c r="E13" s="4" t="inlineStr">
        <is>
          <t>601</t>
        </is>
      </c>
      <c r="F13" s="5" t="n">
        <v>2500000</v>
      </c>
      <c r="G13" s="5" t="n">
        <v>0</v>
      </c>
      <c r="H13" s="4" t="inlineStr"/>
      <c r="I13" s="4" t="inlineStr"/>
      <c r="J13" s="4" t="inlineStr">
        <is>
          <t>TA</t>
        </is>
      </c>
    </row>
    <row r="14">
      <c r="A14" s="4" t="inlineStr">
        <is>
          <t>605</t>
        </is>
      </c>
      <c r="B14" s="4" t="inlineStr">
        <is>
          <t>Eau, électricité et fournitures non stockées</t>
        </is>
      </c>
      <c r="C14" s="4" t="inlineStr">
        <is>
          <t>60</t>
        </is>
      </c>
      <c r="D14" s="4" t="inlineStr">
        <is>
          <t>605</t>
        </is>
      </c>
      <c r="E14" s="4" t="inlineStr">
        <is>
          <t>605</t>
        </is>
      </c>
      <c r="F14" s="5" t="n">
        <v>800000</v>
      </c>
      <c r="G14" s="5" t="n">
        <v>0</v>
      </c>
      <c r="H14" s="4" t="inlineStr"/>
      <c r="I14" s="4" t="inlineStr"/>
      <c r="J14" s="4" t="inlineStr">
        <is>
          <t>TB</t>
        </is>
      </c>
    </row>
    <row r="15">
      <c r="A15" s="4" t="inlineStr">
        <is>
          <t>614</t>
        </is>
      </c>
      <c r="B15" s="4" t="inlineStr">
        <is>
          <t>Transport du personnel</t>
        </is>
      </c>
      <c r="C15" s="4" t="inlineStr">
        <is>
          <t>61</t>
        </is>
      </c>
      <c r="D15" s="4" t="inlineStr">
        <is>
          <t>614</t>
        </is>
      </c>
      <c r="E15" s="4" t="inlineStr">
        <is>
          <t>614</t>
        </is>
      </c>
      <c r="F15" s="5" t="n">
        <v>600000</v>
      </c>
      <c r="G15" s="5" t="n">
        <v>0</v>
      </c>
      <c r="H15" s="4" t="inlineStr"/>
      <c r="I15" s="4" t="inlineStr"/>
      <c r="J15" s="4" t="inlineStr">
        <is>
          <t>TD</t>
        </is>
      </c>
    </row>
    <row r="16">
      <c r="A16" s="4" t="inlineStr">
        <is>
          <t>622</t>
        </is>
      </c>
      <c r="B16" s="4" t="inlineStr">
        <is>
          <t>Locations et charges locatives</t>
        </is>
      </c>
      <c r="C16" s="4" t="inlineStr">
        <is>
          <t>62</t>
        </is>
      </c>
      <c r="D16" s="4" t="inlineStr">
        <is>
          <t>622</t>
        </is>
      </c>
      <c r="E16" s="4" t="inlineStr">
        <is>
          <t>622</t>
        </is>
      </c>
      <c r="F16" s="5" t="n">
        <v>1000000</v>
      </c>
      <c r="G16" s="5" t="n">
        <v>0</v>
      </c>
      <c r="H16" s="4" t="inlineStr"/>
      <c r="I16" s="4" t="inlineStr"/>
      <c r="J16" s="4" t="inlineStr">
        <is>
          <t>TG</t>
        </is>
      </c>
    </row>
    <row r="17">
      <c r="A17" s="4" t="inlineStr">
        <is>
          <t>628</t>
        </is>
      </c>
      <c r="B17" s="4" t="inlineStr">
        <is>
          <t>Frais de télécommunications</t>
        </is>
      </c>
      <c r="C17" s="4" t="inlineStr">
        <is>
          <t>62</t>
        </is>
      </c>
      <c r="D17" s="4" t="inlineStr">
        <is>
          <t>628</t>
        </is>
      </c>
      <c r="E17" s="4" t="inlineStr">
        <is>
          <t>628</t>
        </is>
      </c>
      <c r="F17" s="5" t="n">
        <v>400000</v>
      </c>
      <c r="G17" s="5" t="n">
        <v>0</v>
      </c>
      <c r="H17" s="4" t="inlineStr"/>
      <c r="I17" s="4" t="inlineStr"/>
      <c r="J17" s="4" t="inlineStr">
        <is>
          <t>TG</t>
        </is>
      </c>
    </row>
    <row r="18">
      <c r="A18" s="4" t="inlineStr">
        <is>
          <t>637</t>
        </is>
      </c>
      <c r="B18" s="4" t="inlineStr">
        <is>
          <t>Rémunérations de personnel extérieur</t>
        </is>
      </c>
      <c r="C18" s="4" t="inlineStr">
        <is>
          <t>63</t>
        </is>
      </c>
      <c r="D18" s="4" t="inlineStr">
        <is>
          <t>637</t>
        </is>
      </c>
      <c r="E18" s="4" t="inlineStr">
        <is>
          <t>637</t>
        </is>
      </c>
      <c r="F18" s="5" t="n">
        <v>700000</v>
      </c>
      <c r="G18" s="5" t="n">
        <v>0</v>
      </c>
      <c r="H18" s="4" t="inlineStr"/>
      <c r="I18" s="4" t="inlineStr"/>
      <c r="J18" s="4" t="inlineStr">
        <is>
          <t>TG</t>
        </is>
      </c>
    </row>
    <row r="19">
      <c r="A19" s="4" t="inlineStr">
        <is>
          <t>641</t>
        </is>
      </c>
      <c r="B19" s="4" t="inlineStr">
        <is>
          <t>Impôts et taxes directs</t>
        </is>
      </c>
      <c r="C19" s="4" t="inlineStr">
        <is>
          <t>64</t>
        </is>
      </c>
      <c r="D19" s="4" t="inlineStr">
        <is>
          <t>641</t>
        </is>
      </c>
      <c r="E19" s="4" t="inlineStr">
        <is>
          <t>641</t>
        </is>
      </c>
      <c r="F19" s="5" t="n">
        <v>200000</v>
      </c>
      <c r="G19" s="5" t="n">
        <v>0</v>
      </c>
      <c r="H19" s="4" t="inlineStr"/>
      <c r="I19" s="4" t="inlineStr"/>
      <c r="J19" s="4" t="inlineStr">
        <is>
          <t>TH</t>
        </is>
      </c>
    </row>
    <row r="20">
      <c r="A20" s="4" t="inlineStr">
        <is>
          <t>661</t>
        </is>
      </c>
      <c r="B20" s="4" t="inlineStr">
        <is>
          <t>Rémunérations directes personnel national</t>
        </is>
      </c>
      <c r="C20" s="4" t="inlineStr">
        <is>
          <t>66</t>
        </is>
      </c>
      <c r="D20" s="4" t="inlineStr">
        <is>
          <t>661</t>
        </is>
      </c>
      <c r="E20" s="4" t="inlineStr">
        <is>
          <t>661</t>
        </is>
      </c>
      <c r="F20" s="5" t="n">
        <v>3600000</v>
      </c>
      <c r="G20" s="5" t="n">
        <v>0</v>
      </c>
      <c r="H20" s="4" t="inlineStr"/>
      <c r="I20" s="4" t="inlineStr"/>
      <c r="J20" s="4" t="inlineStr">
        <is>
          <t>TJ</t>
        </is>
      </c>
    </row>
    <row r="21">
      <c r="A21" s="4" t="inlineStr">
        <is>
          <t>664</t>
        </is>
      </c>
      <c r="B21" s="4" t="inlineStr">
        <is>
          <t>Charges sociales</t>
        </is>
      </c>
      <c r="C21" s="4" t="inlineStr">
        <is>
          <t>66</t>
        </is>
      </c>
      <c r="D21" s="4" t="inlineStr">
        <is>
          <t>664</t>
        </is>
      </c>
      <c r="E21" s="4" t="inlineStr">
        <is>
          <t>664</t>
        </is>
      </c>
      <c r="F21" s="5" t="n">
        <v>650000</v>
      </c>
      <c r="G21" s="5" t="n">
        <v>0</v>
      </c>
      <c r="H21" s="4" t="inlineStr"/>
      <c r="I21" s="4" t="inlineStr"/>
      <c r="J21" s="4" t="inlineStr">
        <is>
          <t>TJ</t>
        </is>
      </c>
    </row>
    <row r="22">
      <c r="A22" s="4" t="inlineStr">
        <is>
          <t>702</t>
        </is>
      </c>
      <c r="B22" s="4" t="inlineStr">
        <is>
          <t>Quote-part de fonds d'administration transférés</t>
        </is>
      </c>
      <c r="C22" s="4" t="inlineStr">
        <is>
          <t>70</t>
        </is>
      </c>
      <c r="D22" s="4" t="inlineStr">
        <is>
          <t>702</t>
        </is>
      </c>
      <c r="E22" s="4" t="inlineStr">
        <is>
          <t>702</t>
        </is>
      </c>
      <c r="F22" s="5" t="n">
        <v>0</v>
      </c>
      <c r="G22" s="5" t="n">
        <v>10500000</v>
      </c>
      <c r="H22" s="4" t="inlineStr"/>
      <c r="I22" s="4" t="inlineStr"/>
      <c r="J22" s="4" t="inlineStr">
        <is>
          <t>RA</t>
        </is>
      </c>
    </row>
    <row r="23">
      <c r="A23" s="4" t="inlineStr">
        <is>
          <t>771</t>
        </is>
      </c>
      <c r="B23" s="4" t="inlineStr">
        <is>
          <t>Intérêts de prêts et créances diverses</t>
        </is>
      </c>
      <c r="C23" s="4" t="inlineStr">
        <is>
          <t>77</t>
        </is>
      </c>
      <c r="D23" s="4" t="inlineStr">
        <is>
          <t>771</t>
        </is>
      </c>
      <c r="E23" s="4" t="inlineStr">
        <is>
          <t>771</t>
        </is>
      </c>
      <c r="F23" s="5" t="n">
        <v>0</v>
      </c>
      <c r="G23" s="5" t="n">
        <v>50000</v>
      </c>
      <c r="H23" s="4" t="inlineStr"/>
      <c r="I23" s="4" t="inlineStr"/>
      <c r="J23" s="4" t="inlineStr">
        <is>
          <t>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9" customWidth="1" min="3" max="3"/>
    <col width="9" customWidth="1" min="4" max="4"/>
    <col width="9" customWidth="1" min="5" max="5"/>
    <col width="15" customWidth="1" min="6" max="6"/>
    <col width="15" customWidth="1" min="7" max="7"/>
    <col width="22" customWidth="1" min="10" max="10"/>
  </cols>
  <sheetData>
    <row r="1">
      <c r="A1" s="1" t="inlineStr">
        <is>
          <t>Compte</t>
        </is>
      </c>
      <c r="B1" s="2" t="inlineStr">
        <is>
          <t>Intitulé</t>
        </is>
      </c>
      <c r="C1" s="2" t="inlineStr">
        <is>
          <t>Préfixe 2</t>
        </is>
      </c>
      <c r="D1" s="2" t="inlineStr">
        <is>
          <t>Préfixe 3</t>
        </is>
      </c>
      <c r="E1" s="2" t="inlineStr">
        <is>
          <t>Préfixe 4</t>
        </is>
      </c>
      <c r="F1" s="2" t="inlineStr">
        <is>
          <t>Solde final débit</t>
        </is>
      </c>
      <c r="G1" s="2" t="inlineStr">
        <is>
          <t>Solde final crédit</t>
        </is>
      </c>
      <c r="H1" s="2" t="inlineStr"/>
      <c r="I1" s="2" t="inlineStr"/>
      <c r="J1" s="3" t="inlineStr">
        <is>
          <t>Poste(s) d'affectation</t>
        </is>
      </c>
    </row>
    <row r="2">
      <c r="A2" s="4" t="inlineStr">
        <is>
          <t>2441</t>
        </is>
      </c>
      <c r="B2" s="4" t="inlineStr">
        <is>
          <t>Matériel et mobilier de bureau</t>
        </is>
      </c>
      <c r="C2" s="4" t="inlineStr">
        <is>
          <t>24</t>
        </is>
      </c>
      <c r="D2" s="4" t="inlineStr">
        <is>
          <t>244</t>
        </is>
      </c>
      <c r="E2" s="4" t="inlineStr">
        <is>
          <t>2441</t>
        </is>
      </c>
      <c r="F2" s="5" t="n">
        <v>4000000</v>
      </c>
      <c r="G2" s="5" t="n">
        <v>0</v>
      </c>
      <c r="H2" s="4" t="inlineStr"/>
      <c r="I2" s="4" t="inlineStr"/>
      <c r="J2" s="4" t="inlineStr">
        <is>
          <t>AD</t>
        </is>
      </c>
    </row>
    <row r="3">
      <c r="A3" s="4" t="inlineStr">
        <is>
          <t>2451</t>
        </is>
      </c>
      <c r="B3" s="4" t="inlineStr">
        <is>
          <t>Matériel de transport automobile</t>
        </is>
      </c>
      <c r="C3" s="4" t="inlineStr">
        <is>
          <t>24</t>
        </is>
      </c>
      <c r="D3" s="4" t="inlineStr">
        <is>
          <t>245</t>
        </is>
      </c>
      <c r="E3" s="4" t="inlineStr">
        <is>
          <t>2451</t>
        </is>
      </c>
      <c r="F3" s="5" t="n">
        <v>5000000</v>
      </c>
      <c r="G3" s="5" t="n">
        <v>0</v>
      </c>
      <c r="H3" s="4" t="inlineStr"/>
      <c r="I3" s="4" t="inlineStr"/>
      <c r="J3" s="4" t="inlineStr">
        <is>
          <t>AE</t>
        </is>
      </c>
    </row>
    <row r="4">
      <c r="A4" s="4" t="inlineStr">
        <is>
          <t>2751</t>
        </is>
      </c>
      <c r="B4" s="4" t="inlineStr">
        <is>
          <t>Dépôts et cautionnements - loyers d'avance</t>
        </is>
      </c>
      <c r="C4" s="4" t="inlineStr">
        <is>
          <t>27</t>
        </is>
      </c>
      <c r="D4" s="4" t="inlineStr">
        <is>
          <t>275</t>
        </is>
      </c>
      <c r="E4" s="4" t="inlineStr">
        <is>
          <t>2751</t>
        </is>
      </c>
      <c r="F4" s="5" t="n">
        <v>500000</v>
      </c>
      <c r="G4" s="5" t="n">
        <v>0</v>
      </c>
      <c r="H4" s="4" t="inlineStr"/>
      <c r="I4" s="4" t="inlineStr"/>
      <c r="J4" s="4" t="inlineStr">
        <is>
          <t>AG</t>
        </is>
      </c>
    </row>
    <row r="5">
      <c r="A5" s="4" t="inlineStr">
        <is>
          <t>521</t>
        </is>
      </c>
      <c r="B5" s="4" t="inlineStr">
        <is>
          <t>Banques locales</t>
        </is>
      </c>
      <c r="C5" s="4" t="inlineStr">
        <is>
          <t>52</t>
        </is>
      </c>
      <c r="D5" s="4" t="inlineStr">
        <is>
          <t>521</t>
        </is>
      </c>
      <c r="E5" s="4" t="inlineStr">
        <is>
          <t>521</t>
        </is>
      </c>
      <c r="F5" s="5" t="n">
        <v>1800000</v>
      </c>
      <c r="G5" s="5" t="n">
        <v>0</v>
      </c>
      <c r="H5" s="4" t="inlineStr"/>
      <c r="I5" s="4" t="inlineStr"/>
      <c r="J5" s="4" t="inlineStr">
        <is>
          <t>BW, DW</t>
        </is>
      </c>
    </row>
    <row r="6">
      <c r="A6" s="4" t="inlineStr">
        <is>
          <t>571</t>
        </is>
      </c>
      <c r="B6" s="4" t="inlineStr">
        <is>
          <t>Caisse</t>
        </is>
      </c>
      <c r="C6" s="4" t="inlineStr">
        <is>
          <t>57</t>
        </is>
      </c>
      <c r="D6" s="4" t="inlineStr">
        <is>
          <t>571</t>
        </is>
      </c>
      <c r="E6" s="4" t="inlineStr">
        <is>
          <t>571</t>
        </is>
      </c>
      <c r="F6" s="5" t="n">
        <v>100000</v>
      </c>
      <c r="G6" s="5" t="n">
        <v>0</v>
      </c>
      <c r="H6" s="4" t="inlineStr"/>
      <c r="I6" s="4" t="inlineStr"/>
      <c r="J6" s="4" t="inlineStr">
        <is>
          <t>BW</t>
        </is>
      </c>
    </row>
    <row r="7">
      <c r="A7" s="4" t="inlineStr">
        <is>
          <t>162</t>
        </is>
      </c>
      <c r="B7" s="4" t="inlineStr">
        <is>
          <t>Fonds affectés aux investissements - bailleurs</t>
        </is>
      </c>
      <c r="C7" s="4" t="inlineStr">
        <is>
          <t>16</t>
        </is>
      </c>
      <c r="D7" s="4" t="inlineStr">
        <is>
          <t>162</t>
        </is>
      </c>
      <c r="E7" s="4" t="inlineStr">
        <is>
          <t>162</t>
        </is>
      </c>
      <c r="F7" s="5" t="n">
        <v>0</v>
      </c>
      <c r="G7" s="5" t="n">
        <v>10000000</v>
      </c>
      <c r="H7" s="4" t="inlineStr"/>
      <c r="I7" s="4" t="inlineStr"/>
      <c r="J7" s="4" t="inlineStr">
        <is>
          <t>CA</t>
        </is>
      </c>
    </row>
    <row r="8">
      <c r="A8" s="4" t="inlineStr">
        <is>
          <t>462</t>
        </is>
      </c>
      <c r="B8" s="4" t="inlineStr">
        <is>
          <t>Bailleurs - fonds d'administration</t>
        </is>
      </c>
      <c r="C8" s="4" t="inlineStr">
        <is>
          <t>46</t>
        </is>
      </c>
      <c r="D8" s="4" t="inlineStr">
        <is>
          <t>462</t>
        </is>
      </c>
      <c r="E8" s="4" t="inlineStr">
        <is>
          <t>462</t>
        </is>
      </c>
      <c r="F8" s="5" t="n">
        <v>0</v>
      </c>
      <c r="G8" s="5" t="n">
        <v>700000</v>
      </c>
      <c r="H8" s="4" t="inlineStr"/>
      <c r="I8" s="4" t="inlineStr"/>
      <c r="J8" s="4" t="inlineStr">
        <is>
          <t>DF</t>
        </is>
      </c>
    </row>
    <row r="9">
      <c r="A9" s="4" t="inlineStr">
        <is>
          <t>4011</t>
        </is>
      </c>
      <c r="B9" s="4" t="inlineStr">
        <is>
          <t>Fournisseurs</t>
        </is>
      </c>
      <c r="C9" s="4" t="inlineStr">
        <is>
          <t>40</t>
        </is>
      </c>
      <c r="D9" s="4" t="inlineStr">
        <is>
          <t>401</t>
        </is>
      </c>
      <c r="E9" s="4" t="inlineStr">
        <is>
          <t>4011</t>
        </is>
      </c>
      <c r="F9" s="5" t="n">
        <v>0</v>
      </c>
      <c r="G9" s="5" t="n">
        <v>500000</v>
      </c>
      <c r="H9" s="4" t="inlineStr"/>
      <c r="I9" s="4" t="inlineStr"/>
      <c r="J9" s="4" t="inlineStr">
        <is>
          <t>DG</t>
        </is>
      </c>
    </row>
    <row r="10">
      <c r="A10" s="4" t="inlineStr">
        <is>
          <t>422</t>
        </is>
      </c>
      <c r="B10" s="4" t="inlineStr">
        <is>
          <t>Personnel, rémunérations dues</t>
        </is>
      </c>
      <c r="C10" s="4" t="inlineStr">
        <is>
          <t>42</t>
        </is>
      </c>
      <c r="D10" s="4" t="inlineStr">
        <is>
          <t>422</t>
        </is>
      </c>
      <c r="E10" s="4" t="inlineStr">
        <is>
          <t>422</t>
        </is>
      </c>
      <c r="F10" s="5" t="n">
        <v>0</v>
      </c>
      <c r="G10" s="5" t="n">
        <v>150000</v>
      </c>
      <c r="H10" s="4" t="inlineStr"/>
      <c r="I10" s="4" t="inlineStr"/>
      <c r="J10" s="4" t="inlineStr">
        <is>
          <t>BE, DH</t>
        </is>
      </c>
    </row>
    <row r="11">
      <c r="A11" s="4" t="inlineStr">
        <is>
          <t>431</t>
        </is>
      </c>
      <c r="B11" s="4" t="inlineStr">
        <is>
          <t>Sécurité sociale</t>
        </is>
      </c>
      <c r="C11" s="4" t="inlineStr">
        <is>
          <t>43</t>
        </is>
      </c>
      <c r="D11" s="4" t="inlineStr">
        <is>
          <t>431</t>
        </is>
      </c>
      <c r="E11" s="4" t="inlineStr">
        <is>
          <t>431</t>
        </is>
      </c>
      <c r="F11" s="5" t="n">
        <v>0</v>
      </c>
      <c r="G11" s="5" t="n">
        <v>50000</v>
      </c>
      <c r="H11" s="4" t="inlineStr"/>
      <c r="I11" s="4" t="inlineStr"/>
      <c r="J11" s="4" t="inlineStr">
        <is>
          <t>BE, DH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0.7" customWidth="1" min="2" max="2"/>
    <col width="20.7" customWidth="1" min="3" max="3"/>
    <col width="20.7" customWidth="1" min="4" max="4"/>
    <col width="20.7" customWidth="1" min="5" max="5"/>
  </cols>
  <sheetData>
    <row r="1" ht="26" customHeight="1">
      <c r="A1" s="6" t="inlineStr">
        <is>
          <t>EQUILIBRE DE LA BALANCE</t>
        </is>
      </c>
      <c r="B1" s="7" t="n"/>
      <c r="C1" s="7" t="n"/>
      <c r="D1" s="7" t="n"/>
      <c r="E1" s="7" t="n"/>
    </row>
    <row r="2" ht="50" customHeight="1">
      <c r="A2" s="8" t="inlineStr">
        <is>
          <t>BALANCE N</t>
        </is>
      </c>
      <c r="B2" s="9" t="inlineStr">
        <is>
          <t>Mouvements Débit</t>
        </is>
      </c>
      <c r="C2" s="9" t="inlineStr">
        <is>
          <t>Mouvements Crédit</t>
        </is>
      </c>
      <c r="D2" s="10" t="inlineStr">
        <is>
          <t>Solde Final Débit</t>
        </is>
      </c>
      <c r="E2" s="11" t="inlineStr">
        <is>
          <t>Solde Final Crédit</t>
        </is>
      </c>
    </row>
    <row r="3" ht="21" customHeight="1">
      <c r="A3" s="12" t="n"/>
      <c r="B3" s="13">
        <f>SUM('BALANCE N'!H2:H23)</f>
        <v/>
      </c>
      <c r="C3" s="13">
        <f>SUM('BALANCE N'!I2:I23)</f>
        <v/>
      </c>
      <c r="D3" s="13">
        <f>SUM('BALANCE N'!F2:F23)</f>
        <v/>
      </c>
      <c r="E3" s="14">
        <f>SUM('BALANCE N'!G2:G23)</f>
        <v/>
      </c>
    </row>
    <row r="4" ht="54" customHeight="1">
      <c r="A4" s="15" t="n"/>
      <c r="B4" s="16">
        <f>IF(ROUND(B3-C3,0)=0,"Equilibre","Déséquilibre : écart de "&amp;TEXT(B3-C3,"#,##0"))</f>
        <v/>
      </c>
      <c r="C4" s="17" t="n"/>
      <c r="D4" s="16">
        <f>IF(ROUND(D3-E3,0)=0,"Equilibre","Déséquilibre : écart de "&amp;TEXT(D3-E3,"#,##0"))</f>
        <v/>
      </c>
      <c r="E4" s="18" t="n"/>
    </row>
    <row r="5" ht="50" customHeight="1">
      <c r="A5" s="8" t="inlineStr">
        <is>
          <t>BALANCE N-1</t>
        </is>
      </c>
      <c r="B5" s="9" t="inlineStr">
        <is>
          <t>Mouvements Débit</t>
        </is>
      </c>
      <c r="C5" s="9" t="inlineStr">
        <is>
          <t>Mouvements Crédit</t>
        </is>
      </c>
      <c r="D5" s="10" t="inlineStr">
        <is>
          <t>Solde Final Débit</t>
        </is>
      </c>
      <c r="E5" s="11" t="inlineStr">
        <is>
          <t>Solde Final Crédit</t>
        </is>
      </c>
    </row>
    <row r="6" ht="21" customHeight="1">
      <c r="A6" s="12" t="n"/>
      <c r="B6" s="13">
        <f>SUM('BALANCE N-1'!H2:H11)</f>
        <v/>
      </c>
      <c r="C6" s="13">
        <f>SUM('BALANCE N-1'!I2:I11)</f>
        <v/>
      </c>
      <c r="D6" s="13">
        <f>SUM('BALANCE N-1'!F2:F11)</f>
        <v/>
      </c>
      <c r="E6" s="14">
        <f>SUM('BALANCE N-1'!G2:G11)</f>
        <v/>
      </c>
    </row>
    <row r="7" ht="54" customHeight="1">
      <c r="A7" s="15" t="n"/>
      <c r="B7" s="16">
        <f>IF(ROUND(B6-C6,0)=0,"Equilibre","Déséquilibre : écart de "&amp;TEXT(B6-C6,"#,##0"))</f>
        <v/>
      </c>
      <c r="C7" s="17" t="n"/>
      <c r="D7" s="16">
        <f>IF(ROUND(D6-E6,0)=0,"Equilibre","Déséquilibre : écart de "&amp;TEXT(D6-E6,"#,##0"))</f>
        <v/>
      </c>
      <c r="E7" s="18" t="n"/>
    </row>
  </sheetData>
  <mergeCells count="7">
    <mergeCell ref="D7:E7"/>
    <mergeCell ref="B7:C7"/>
    <mergeCell ref="A2:A4"/>
    <mergeCell ref="A1:E1"/>
    <mergeCell ref="A5:A7"/>
    <mergeCell ref="D4:E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selection activeCell="A1" sqref="A1"/>
    </sheetView>
  </sheetViews>
  <sheetFormatPr baseColWidth="8" defaultRowHeight="15"/>
  <cols>
    <col width="1.3" customWidth="1" min="1" max="1"/>
    <col width="0.8" customWidth="1" min="2" max="2"/>
    <col width="1.3" customWidth="1" min="3" max="3"/>
    <col width="8.699999999999999" customWidth="1" min="4" max="4"/>
    <col width="10.5" customWidth="1" min="5" max="5"/>
    <col width="11.5" customWidth="1" min="6" max="6"/>
    <col width="11.5" customWidth="1" min="7" max="7"/>
    <col width="13.2" customWidth="1" min="8" max="8"/>
    <col width="11.5" customWidth="1" min="9" max="9"/>
    <col width="8.699999999999999" customWidth="1" min="10" max="10"/>
    <col width="11.5" customWidth="1" min="11" max="11"/>
    <col width="1.3" customWidth="1" min="12" max="12"/>
    <col width="0.8" customWidth="1" min="13" max="13"/>
  </cols>
  <sheetData>
    <row r="1" ht="4" customHeight="1"/>
    <row r="2" ht="4" customHeight="1">
      <c r="B2" s="19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1" t="n"/>
    </row>
    <row r="3" ht="13" customHeight="1">
      <c r="B3" s="12" t="n"/>
      <c r="C3" s="22" t="n"/>
      <c r="D3" s="22" t="n"/>
      <c r="M3" s="23" t="n"/>
    </row>
    <row r="4" ht="13" customHeight="1">
      <c r="B4" s="12" t="n"/>
      <c r="C4" s="22" t="n"/>
      <c r="D4" s="22" t="n"/>
      <c r="M4" s="23" t="n"/>
    </row>
    <row r="5" ht="13" customHeight="1">
      <c r="B5" s="12" t="n"/>
      <c r="C5" s="22" t="n"/>
      <c r="D5" s="22" t="n"/>
      <c r="M5" s="23" t="n"/>
    </row>
    <row r="6" ht="13" customHeight="1">
      <c r="B6" s="12" t="n"/>
      <c r="C6" s="22" t="n"/>
      <c r="D6" s="22" t="n"/>
      <c r="M6" s="23" t="n"/>
    </row>
    <row r="7" ht="13" customHeight="1">
      <c r="B7" s="12" t="n"/>
      <c r="C7" s="22" t="n"/>
      <c r="D7" s="22" t="n"/>
      <c r="M7" s="23" t="n"/>
    </row>
    <row r="8" ht="13" customHeight="1">
      <c r="B8" s="12" t="n"/>
      <c r="C8" s="22" t="n"/>
      <c r="D8" s="22" t="n"/>
      <c r="M8" s="23" t="n"/>
    </row>
    <row r="9" ht="13" customHeight="1">
      <c r="B9" s="12" t="n"/>
      <c r="C9" s="22" t="n"/>
      <c r="D9" s="22" t="n"/>
      <c r="M9" s="23" t="n"/>
    </row>
    <row r="10" ht="13" customHeight="1">
      <c r="B10" s="12" t="n"/>
      <c r="C10" s="22" t="n"/>
      <c r="D10" s="22" t="n"/>
      <c r="M10" s="23" t="n"/>
    </row>
    <row r="11" ht="13" customHeight="1">
      <c r="B11" s="12" t="n"/>
      <c r="C11" s="22" t="n"/>
      <c r="D11" s="22" t="n"/>
      <c r="M11" s="23" t="n"/>
    </row>
    <row r="12" ht="13" customHeight="1">
      <c r="B12" s="12" t="n"/>
      <c r="C12" s="22" t="n"/>
      <c r="D12" s="22" t="n"/>
      <c r="M12" s="23" t="n"/>
    </row>
    <row r="13" ht="13" customHeight="1">
      <c r="B13" s="12" t="n"/>
      <c r="C13" s="22" t="n"/>
      <c r="D13" s="22" t="n"/>
      <c r="M13" s="23" t="n"/>
    </row>
    <row r="14" ht="13" customHeight="1">
      <c r="B14" s="12" t="n"/>
      <c r="C14" s="22" t="n"/>
      <c r="D14" s="22" t="n"/>
      <c r="M14" s="23" t="n"/>
    </row>
    <row r="15" ht="13" customHeight="1">
      <c r="B15" s="12" t="n"/>
      <c r="C15" s="22" t="n"/>
      <c r="D15" s="22" t="n"/>
      <c r="M15" s="23" t="n"/>
    </row>
    <row r="16" ht="13" customHeight="1">
      <c r="B16" s="12" t="n"/>
      <c r="C16" s="22" t="n"/>
      <c r="D16" s="22" t="n"/>
      <c r="M16" s="23" t="n"/>
    </row>
    <row r="17" ht="13" customHeight="1">
      <c r="B17" s="12" t="n"/>
      <c r="C17" s="22" t="n"/>
      <c r="D17" s="22" t="n"/>
      <c r="M17" s="23" t="n"/>
    </row>
    <row r="18" ht="13" customHeight="1">
      <c r="B18" s="12" t="n"/>
      <c r="C18" s="22" t="n"/>
      <c r="D18" s="22" t="n"/>
      <c r="M18" s="23" t="n"/>
    </row>
    <row r="19" ht="13" customHeight="1">
      <c r="B19" s="12" t="n"/>
      <c r="M19" s="23" t="n"/>
    </row>
    <row r="20" ht="13" customHeight="1">
      <c r="B20" s="12" t="n"/>
      <c r="M20" s="23" t="n"/>
    </row>
    <row r="21" ht="13" customHeight="1">
      <c r="B21" s="12" t="n"/>
      <c r="M21" s="23" t="n"/>
    </row>
    <row r="22" ht="13" customHeight="1">
      <c r="B22" s="12" t="n"/>
      <c r="M22" s="23" t="n"/>
    </row>
    <row r="23" ht="13" customHeight="1">
      <c r="B23" s="12" t="n"/>
      <c r="M23" s="23" t="n"/>
    </row>
    <row r="24" ht="13" customHeight="1">
      <c r="B24" s="12" t="n"/>
      <c r="M24" s="23" t="n"/>
    </row>
    <row r="25" ht="13" customHeight="1">
      <c r="B25" s="12" t="n"/>
      <c r="M25" s="23" t="n"/>
    </row>
    <row r="26" ht="13" customHeight="1">
      <c r="B26" s="12" t="n"/>
      <c r="E26" s="24" t="inlineStr">
        <is>
          <t>PROJET EAU POTABLE RURALE</t>
        </is>
      </c>
      <c r="M26" s="23" t="n"/>
    </row>
    <row r="27" ht="13" customHeight="1">
      <c r="B27" s="12" t="n"/>
      <c r="M27" s="23" t="n"/>
    </row>
    <row r="28" ht="13" customHeight="1">
      <c r="B28" s="12" t="n"/>
      <c r="M28" s="23" t="n"/>
    </row>
    <row r="29" ht="13" customHeight="1">
      <c r="B29" s="12" t="n"/>
      <c r="M29" s="23" t="n"/>
    </row>
    <row r="30" ht="13" customHeight="1">
      <c r="B30" s="12" t="n"/>
      <c r="M30" s="23" t="n"/>
    </row>
    <row r="31" ht="33" customHeight="1">
      <c r="B31" s="12" t="n"/>
      <c r="E31" s="25" t="inlineStr">
        <is>
          <t>LIASSE PROJETS DE DEVELOPPEMENT</t>
        </is>
      </c>
      <c r="F31" s="26" t="n"/>
      <c r="G31" s="26" t="n"/>
      <c r="H31" s="26" t="n"/>
      <c r="I31" s="26" t="n"/>
      <c r="J31" s="26" t="n"/>
      <c r="K31" s="26" t="n"/>
      <c r="M31" s="23" t="n"/>
    </row>
    <row r="32" ht="13" customHeight="1">
      <c r="B32" s="12" t="n"/>
      <c r="M32" s="23" t="n"/>
    </row>
    <row r="33" ht="13" customHeight="1">
      <c r="B33" s="12" t="n"/>
      <c r="M33" s="23" t="n"/>
    </row>
    <row r="34" ht="13" customHeight="1">
      <c r="B34" s="12" t="n"/>
      <c r="E34" s="27" t="inlineStr">
        <is>
          <t>Exercice clos le 31-12-2025</t>
        </is>
      </c>
      <c r="M34" s="23" t="n"/>
    </row>
    <row r="35" ht="13" customHeight="1">
      <c r="B35" s="12" t="n"/>
      <c r="M35" s="23" t="n"/>
    </row>
    <row r="36" ht="13" customHeight="1">
      <c r="B36" s="12" t="n"/>
      <c r="M36" s="23" t="n"/>
    </row>
    <row r="37" ht="13" customHeight="1">
      <c r="B37" s="12" t="n"/>
      <c r="M37" s="23" t="n"/>
    </row>
    <row r="38" ht="13" customHeight="1">
      <c r="B38" s="12" t="n"/>
      <c r="M38" s="23" t="n"/>
    </row>
    <row r="39" ht="13" customHeight="1">
      <c r="B39" s="12" t="n"/>
      <c r="M39" s="23" t="n"/>
    </row>
    <row r="40" ht="13" customHeight="1">
      <c r="B40" s="12" t="n"/>
      <c r="M40" s="23" t="n"/>
    </row>
    <row r="41" ht="13" customHeight="1">
      <c r="B41" s="12" t="n"/>
      <c r="M41" s="23" t="n"/>
    </row>
    <row r="42" ht="13" customHeight="1">
      <c r="B42" s="12" t="n"/>
      <c r="M42" s="23" t="n"/>
    </row>
    <row r="43" ht="13" customHeight="1">
      <c r="B43" s="12" t="n"/>
      <c r="M43" s="23" t="n"/>
    </row>
    <row r="44" ht="13" customHeight="1">
      <c r="B44" s="12" t="n"/>
      <c r="M44" s="23" t="n"/>
    </row>
    <row r="45" ht="13" customHeight="1">
      <c r="B45" s="12" t="n"/>
      <c r="M45" s="23" t="n"/>
    </row>
    <row r="46" ht="13" customHeight="1">
      <c r="B46" s="12" t="n"/>
      <c r="M46" s="23" t="n"/>
    </row>
    <row r="47" ht="13" customHeight="1">
      <c r="B47" s="12" t="n"/>
      <c r="M47" s="23" t="n"/>
    </row>
    <row r="48" ht="13" customHeight="1">
      <c r="B48" s="12" t="n"/>
      <c r="M48" s="23" t="n"/>
    </row>
    <row r="49" ht="13" customHeight="1">
      <c r="B49" s="12" t="n"/>
      <c r="M49" s="23" t="n"/>
    </row>
    <row r="50" ht="13" customHeight="1">
      <c r="B50" s="12" t="n"/>
      <c r="M50" s="23" t="n"/>
    </row>
    <row r="51" ht="13" customHeight="1">
      <c r="B51" s="12" t="n"/>
      <c r="M51" s="23" t="n"/>
    </row>
    <row r="52" ht="13" customHeight="1">
      <c r="B52" s="15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9" t="n"/>
    </row>
    <row r="53" ht="5" customHeight="1"/>
  </sheetData>
  <mergeCells count="3">
    <mergeCell ref="E34:K34"/>
    <mergeCell ref="E31:K31"/>
    <mergeCell ref="E26:J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9.8" customWidth="1" min="2" max="2"/>
    <col width="11.3" customWidth="1" min="3" max="3"/>
    <col width="11" customWidth="1" min="4" max="4"/>
    <col width="3.2" customWidth="1" min="5" max="5"/>
    <col width="5.2" customWidth="1" min="6" max="6"/>
    <col width="5.2" customWidth="1" min="7" max="7"/>
    <col width="3.2" customWidth="1" min="8" max="8"/>
    <col width="11" customWidth="1" min="9" max="9"/>
    <col width="11.3" customWidth="1" min="10" max="10"/>
    <col width="19.8" customWidth="1" min="11" max="11"/>
    <col width="1" customWidth="1" min="12" max="12"/>
  </cols>
  <sheetData>
    <row r="1"/>
    <row r="2" ht="20" customHeight="1"/>
    <row r="3" ht="20" customHeight="1"/>
    <row r="4" ht="20" customHeight="1"/>
    <row r="5"/>
    <row r="6"/>
    <row r="7"/>
    <row r="8" ht="12" customHeight="1"/>
    <row r="9" ht="14" customHeight="1"/>
    <row r="10"/>
    <row r="11"/>
    <row r="12" ht="44" customHeight="1">
      <c r="B12" s="30" t="inlineStr">
        <is>
          <t>ETATS FINANCIERS NORMALISES
DU SYSTEME COMPTABLE DES ENTITES A BUT NON LUCRATIF (SYCEBNL)</t>
        </is>
      </c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</row>
    <row r="13" ht="22" customHeight="1">
      <c r="B13" s="32" t="inlineStr">
        <is>
          <t>Projets de développement et assimilés</t>
        </is>
      </c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</row>
    <row r="14"/>
    <row r="15"/>
    <row r="16" ht="18" customHeight="1">
      <c r="C16" s="34" t="inlineStr">
        <is>
          <t>Exercice clos le 31-12-2025   -   Durée (en mois) : 12</t>
        </is>
      </c>
    </row>
    <row r="17"/>
    <row r="18"/>
    <row r="19"/>
    <row r="20" ht="16" customHeight="1">
      <c r="B20" s="35" t="inlineStr">
        <is>
          <t>DESIGNATION DE L'ENTITE</t>
        </is>
      </c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</row>
    <row r="21"/>
    <row r="22" ht="18" customHeight="1">
      <c r="B22" s="37" t="inlineStr">
        <is>
          <t>DENOMINATION SOCIALE :</t>
        </is>
      </c>
      <c r="E22" s="38" t="inlineStr">
        <is>
          <t>PROJET EAU POTABLE RURALE</t>
        </is>
      </c>
      <c r="F22" s="39" t="n"/>
      <c r="G22" s="39" t="n"/>
      <c r="H22" s="39" t="n"/>
      <c r="I22" s="39" t="n"/>
      <c r="J22" s="39" t="n"/>
    </row>
    <row r="23"/>
    <row r="24">
      <c r="B24" s="37" t="inlineStr">
        <is>
          <t>SIGLE USUEL :</t>
        </is>
      </c>
      <c r="E24" s="38" t="inlineStr">
        <is>
          <t>PEPR</t>
        </is>
      </c>
      <c r="F24" s="39" t="n"/>
      <c r="G24" s="39" t="n"/>
      <c r="H24" s="39" t="n"/>
      <c r="I24" s="39" t="n"/>
      <c r="J24" s="39" t="n"/>
    </row>
    <row r="25"/>
    <row r="26" ht="18" customHeight="1">
      <c r="B26" s="37" t="inlineStr">
        <is>
          <t>ADRESSE COMPLETE :</t>
        </is>
      </c>
      <c r="E26" s="38" t="inlineStr"/>
      <c r="F26" s="39" t="n"/>
      <c r="G26" s="39" t="n"/>
      <c r="H26" s="39" t="n"/>
      <c r="I26" s="39" t="n"/>
      <c r="J26" s="39" t="n"/>
    </row>
    <row r="27"/>
    <row r="28" ht="18" customHeight="1">
      <c r="B28" s="40" t="inlineStr">
        <is>
          <t>N° de compte contribuable (NCC) :</t>
        </is>
      </c>
      <c r="E28" s="38" t="inlineStr">
        <is>
          <t>PD-2023-017</t>
        </is>
      </c>
      <c r="F28" s="39" t="n"/>
      <c r="G28" s="39" t="n"/>
      <c r="H28" s="39" t="n"/>
      <c r="I28" s="39" t="n"/>
      <c r="J28" s="39" t="n"/>
    </row>
    <row r="29"/>
    <row r="30" ht="14" customHeight="1">
      <c r="B30" s="40" t="inlineStr">
        <is>
          <t>N° de télédéclarant (NTD) :</t>
        </is>
      </c>
      <c r="E30" s="38" t="inlineStr"/>
      <c r="F30" s="39" t="n"/>
      <c r="G30" s="39" t="n"/>
      <c r="H30" s="39" t="n"/>
      <c r="I30" s="39" t="n"/>
      <c r="J30" s="39" t="n"/>
    </row>
    <row r="31" ht="17" customHeight="1"/>
    <row r="32" ht="30" customHeight="1">
      <c r="B32" s="41" t="inlineStr">
        <is>
          <t>PROJETS DE DEVELOPPEMENT</t>
        </is>
      </c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</row>
    <row r="33" ht="14" customHeight="1"/>
    <row r="34">
      <c r="B34" s="43" t="inlineStr">
        <is>
          <t>Documents déposés</t>
        </is>
      </c>
      <c r="H34" s="43" t="inlineStr">
        <is>
          <t>Réservé à l'administration</t>
        </is>
      </c>
    </row>
    <row r="35">
      <c r="B35" s="44" t="inlineStr">
        <is>
          <t>Fiche d'identification et renseignements divers</t>
        </is>
      </c>
      <c r="C35" s="45" t="n"/>
      <c r="D35" s="45" t="n"/>
      <c r="E35" s="45" t="n"/>
      <c r="F35" s="46" t="inlineStr">
        <is>
          <t>X</t>
        </is>
      </c>
      <c r="H35" s="47" t="inlineStr">
        <is>
          <t>Date de dépôt</t>
        </is>
      </c>
      <c r="I35" s="45" t="n"/>
      <c r="J35" s="45" t="n"/>
      <c r="K35" s="45" t="n"/>
    </row>
    <row r="36">
      <c r="B36" s="44" t="inlineStr">
        <is>
          <t>Tableau emplois-ressources</t>
        </is>
      </c>
      <c r="C36" s="45" t="n"/>
      <c r="D36" s="45" t="n"/>
      <c r="E36" s="45" t="n"/>
      <c r="F36" s="46" t="inlineStr">
        <is>
          <t>X</t>
        </is>
      </c>
      <c r="H36" s="45" t="n"/>
      <c r="I36" s="45" t="n"/>
      <c r="J36" s="45" t="n"/>
      <c r="K36" s="45" t="n"/>
    </row>
    <row r="37">
      <c r="B37" s="44" t="inlineStr">
        <is>
          <t>Tableau d'exécution budgétaire</t>
        </is>
      </c>
      <c r="C37" s="45" t="n"/>
      <c r="D37" s="45" t="n"/>
      <c r="E37" s="45" t="n"/>
      <c r="F37" s="46" t="inlineStr">
        <is>
          <t>X</t>
        </is>
      </c>
      <c r="H37" s="45" t="n"/>
      <c r="I37" s="45" t="n"/>
      <c r="J37" s="45" t="n"/>
      <c r="K37" s="45" t="n"/>
    </row>
    <row r="38">
      <c r="B38" s="44" t="inlineStr">
        <is>
          <t>Tableau de réconciliation de trésorerie</t>
        </is>
      </c>
      <c r="C38" s="45" t="n"/>
      <c r="D38" s="45" t="n"/>
      <c r="E38" s="45" t="n"/>
      <c r="F38" s="46" t="inlineStr">
        <is>
          <t>X</t>
        </is>
      </c>
      <c r="H38" s="45" t="n"/>
      <c r="I38" s="45" t="n"/>
      <c r="J38" s="45" t="n"/>
      <c r="K38" s="45" t="n"/>
    </row>
    <row r="39">
      <c r="B39" s="44" t="inlineStr">
        <is>
          <t>Bilan (actif et passif)</t>
        </is>
      </c>
      <c r="C39" s="45" t="n"/>
      <c r="D39" s="45" t="n"/>
      <c r="E39" s="45" t="n"/>
      <c r="F39" s="46" t="inlineStr">
        <is>
          <t>X</t>
        </is>
      </c>
      <c r="H39" s="47" t="inlineStr">
        <is>
          <t>Nom de l'agent ayant réceptionné le dépôt</t>
        </is>
      </c>
      <c r="I39" s="45" t="n"/>
      <c r="J39" s="45" t="n"/>
      <c r="K39" s="45" t="n"/>
    </row>
    <row r="40">
      <c r="B40" s="44" t="inlineStr">
        <is>
          <t>Compte d'exploitation</t>
        </is>
      </c>
      <c r="C40" s="45" t="n"/>
      <c r="D40" s="45" t="n"/>
      <c r="E40" s="45" t="n"/>
      <c r="F40" s="46" t="inlineStr">
        <is>
          <t>X</t>
        </is>
      </c>
      <c r="H40" s="45" t="n"/>
      <c r="I40" s="45" t="n"/>
      <c r="J40" s="45" t="n"/>
      <c r="K40" s="45" t="n"/>
    </row>
    <row r="41">
      <c r="B41" s="44" t="inlineStr">
        <is>
          <t>Notes annexes</t>
        </is>
      </c>
      <c r="C41" s="45" t="n"/>
      <c r="D41" s="45" t="n"/>
      <c r="E41" s="45" t="n"/>
      <c r="F41" s="46" t="inlineStr">
        <is>
          <t>X</t>
        </is>
      </c>
      <c r="H41" s="45" t="n"/>
      <c r="I41" s="45" t="n"/>
      <c r="J41" s="45" t="n"/>
      <c r="K41" s="45" t="n"/>
    </row>
    <row r="42">
      <c r="H42" s="45" t="n"/>
      <c r="I42" s="45" t="n"/>
      <c r="J42" s="45" t="n"/>
      <c r="K42" s="45" t="n"/>
    </row>
    <row r="43">
      <c r="H43" s="47" t="inlineStr">
        <is>
          <t>Signature de l'agent et cachet du service</t>
        </is>
      </c>
      <c r="I43" s="45" t="n"/>
      <c r="J43" s="45" t="n"/>
      <c r="K43" s="45" t="n"/>
    </row>
    <row r="44">
      <c r="H44" s="45" t="n"/>
      <c r="I44" s="45" t="n"/>
      <c r="J44" s="45" t="n"/>
      <c r="K44" s="45" t="n"/>
    </row>
    <row r="45">
      <c r="H45" s="45" t="n"/>
      <c r="I45" s="45" t="n"/>
      <c r="J45" s="45" t="n"/>
      <c r="K45" s="45" t="n"/>
    </row>
    <row r="46">
      <c r="H46" s="45" t="n"/>
      <c r="I46" s="45" t="n"/>
      <c r="J46" s="45" t="n"/>
      <c r="K46" s="45" t="n"/>
    </row>
    <row r="47"/>
    <row r="48">
      <c r="B48" s="44" t="inlineStr">
        <is>
          <t>Nombre de pages déposées par exemplaire :</t>
        </is>
      </c>
      <c r="C48" s="45" t="n"/>
      <c r="D48" s="45" t="n"/>
      <c r="E48" s="45" t="n"/>
      <c r="F48" s="45" t="n"/>
    </row>
    <row r="49">
      <c r="B49" s="44" t="inlineStr">
        <is>
          <t>Nombre d'exemplaires déposés :</t>
        </is>
      </c>
      <c r="C49" s="45" t="n"/>
      <c r="D49" s="45" t="n"/>
      <c r="E49" s="45" t="n"/>
      <c r="F49" s="45" t="n"/>
    </row>
  </sheetData>
  <mergeCells count="25">
    <mergeCell ref="B40:E40"/>
    <mergeCell ref="B49:E49"/>
    <mergeCell ref="E28:J28"/>
    <mergeCell ref="B20:K20"/>
    <mergeCell ref="E30:J30"/>
    <mergeCell ref="B36:E36"/>
    <mergeCell ref="B41:E41"/>
    <mergeCell ref="B35:E35"/>
    <mergeCell ref="B32:K32"/>
    <mergeCell ref="H35:K35"/>
    <mergeCell ref="C16:J16"/>
    <mergeCell ref="E26:J26"/>
    <mergeCell ref="H43:K43"/>
    <mergeCell ref="H44:K46"/>
    <mergeCell ref="E22:J22"/>
    <mergeCell ref="H39:K39"/>
    <mergeCell ref="B48:E48"/>
    <mergeCell ref="B12:K12"/>
    <mergeCell ref="B39:E39"/>
    <mergeCell ref="H40:K42"/>
    <mergeCell ref="E24:J24"/>
    <mergeCell ref="B13:K13"/>
    <mergeCell ref="B38:E38"/>
    <mergeCell ref="B37:E37"/>
    <mergeCell ref="H36:K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12" customHeight="1">
      <c r="A1" s="48" t="inlineStr">
        <is>
          <t>- 1 -</t>
        </is>
      </c>
    </row>
    <row r="2" ht="26" customHeight="1">
      <c r="I2" s="49" t="inlineStr">
        <is>
          <t>FICHE 1</t>
        </is>
      </c>
      <c r="J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G4" s="39" t="n"/>
      <c r="I4" s="52" t="inlineStr">
        <is>
          <t>Sigle usuel :</t>
        </is>
      </c>
      <c r="J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G5" s="37" t="inlineStr">
        <is>
          <t>Exercice clos le 31-12-2025</t>
        </is>
      </c>
      <c r="I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53" t="inlineStr">
        <is>
          <t>FICHE D'IDENTIFICATION ET RENSEIGNEMENTS DIVERS</t>
        </is>
      </c>
    </row>
    <row r="8">
      <c r="A8" s="54" t="inlineStr">
        <is>
          <t>SYCEBNL - Projets de développement et assimilés</t>
        </is>
      </c>
    </row>
    <row r="9"/>
    <row r="10" ht="24" customHeight="1">
      <c r="A10" s="55" t="inlineStr">
        <is>
          <t>ZA</t>
        </is>
      </c>
      <c r="B10" s="56" t="inlineStr">
        <is>
          <t>EXERCICE COMPTABLE</t>
        </is>
      </c>
      <c r="C10" s="57" t="n"/>
      <c r="D10" s="57" t="n"/>
      <c r="E10" s="57" t="n"/>
      <c r="F10" s="57" t="n"/>
      <c r="G10" s="58" t="inlineStr">
        <is>
          <t>DU : 01-01-2025    AU : 31-12-2025</t>
        </is>
      </c>
      <c r="H10" s="57" t="n"/>
      <c r="I10" s="57" t="n"/>
      <c r="J10" s="57" t="n"/>
    </row>
    <row r="11" ht="24" customHeight="1">
      <c r="A11" s="55" t="inlineStr">
        <is>
          <t>ZB</t>
        </is>
      </c>
      <c r="B11" s="56" t="inlineStr">
        <is>
          <t>DATE D'ARRETE EFFECTIF DES COMPTES</t>
        </is>
      </c>
      <c r="C11" s="57" t="n"/>
      <c r="D11" s="57" t="n"/>
      <c r="E11" s="57" t="n"/>
      <c r="F11" s="57" t="n"/>
      <c r="G11" s="58" t="inlineStr"/>
      <c r="H11" s="57" t="n"/>
      <c r="I11" s="57" t="n"/>
      <c r="J11" s="57" t="n"/>
    </row>
    <row r="12" ht="24" customHeight="1">
      <c r="A12" s="55" t="inlineStr">
        <is>
          <t>ZC</t>
        </is>
      </c>
      <c r="B12" s="56" t="inlineStr">
        <is>
          <t>EXERCICE PRECEDENT CLOS LE</t>
        </is>
      </c>
      <c r="C12" s="57" t="n"/>
      <c r="D12" s="57" t="n"/>
      <c r="E12" s="57" t="n"/>
      <c r="F12" s="57" t="n"/>
      <c r="G12" s="58" t="inlineStr"/>
      <c r="H12" s="57" t="n"/>
      <c r="I12" s="57" t="n"/>
      <c r="J12" s="57" t="n"/>
    </row>
    <row r="13" ht="24" customHeight="1">
      <c r="A13" s="55" t="inlineStr">
        <is>
          <t>ZD</t>
        </is>
      </c>
      <c r="B13" s="56" t="inlineStr">
        <is>
          <t>DUREE DE L'EXERCICE PRECEDENT (EN MOIS)</t>
        </is>
      </c>
      <c r="C13" s="57" t="n"/>
      <c r="D13" s="57" t="n"/>
      <c r="E13" s="57" t="n"/>
      <c r="F13" s="57" t="n"/>
      <c r="G13" s="58" t="inlineStr"/>
      <c r="H13" s="57" t="n"/>
      <c r="I13" s="57" t="n"/>
      <c r="J13" s="57" t="n"/>
    </row>
    <row r="14" ht="24" customHeight="1">
      <c r="A14" s="55" t="inlineStr">
        <is>
          <t>ZE</t>
        </is>
      </c>
      <c r="B14" s="56" t="inlineStr">
        <is>
          <t>N° REGISTRE (RCCM, F92, CONVENTION...) ET GREFFE</t>
        </is>
      </c>
      <c r="C14" s="57" t="n"/>
      <c r="D14" s="57" t="n"/>
      <c r="E14" s="57" t="n"/>
      <c r="F14" s="57" t="n"/>
      <c r="G14" s="58" t="inlineStr"/>
      <c r="H14" s="57" t="n"/>
      <c r="I14" s="57" t="n"/>
      <c r="J14" s="57" t="n"/>
    </row>
    <row r="15" ht="24" customHeight="1">
      <c r="A15" s="55" t="inlineStr">
        <is>
          <t>ZF</t>
        </is>
      </c>
      <c r="B15" s="56" t="inlineStr">
        <is>
          <t>N° REPERTOIRE DES ENTITES</t>
        </is>
      </c>
      <c r="C15" s="57" t="n"/>
      <c r="D15" s="57" t="n"/>
      <c r="E15" s="57" t="n"/>
      <c r="F15" s="57" t="n"/>
      <c r="G15" s="58" t="inlineStr"/>
      <c r="H15" s="57" t="n"/>
      <c r="I15" s="57" t="n"/>
      <c r="J15" s="57" t="n"/>
    </row>
    <row r="16" ht="24" customHeight="1">
      <c r="A16" s="55" t="inlineStr">
        <is>
          <t>ZG</t>
        </is>
      </c>
      <c r="B16" s="56" t="inlineStr">
        <is>
          <t>N° DE CAISSE SOCIALE</t>
        </is>
      </c>
      <c r="C16" s="57" t="n"/>
      <c r="D16" s="57" t="n"/>
      <c r="E16" s="57" t="n"/>
      <c r="F16" s="57" t="n"/>
      <c r="G16" s="58" t="inlineStr"/>
      <c r="H16" s="57" t="n"/>
      <c r="I16" s="57" t="n"/>
      <c r="J16" s="57" t="n"/>
    </row>
    <row r="17" ht="24" customHeight="1">
      <c r="A17" s="55" t="inlineStr">
        <is>
          <t>ZH</t>
        </is>
      </c>
      <c r="B17" s="56" t="inlineStr">
        <is>
          <t>N° CODE IMPORTATEUR</t>
        </is>
      </c>
      <c r="C17" s="57" t="n"/>
      <c r="D17" s="57" t="n"/>
      <c r="E17" s="57" t="n"/>
      <c r="F17" s="57" t="n"/>
      <c r="G17" s="58" t="inlineStr"/>
      <c r="H17" s="57" t="n"/>
      <c r="I17" s="57" t="n"/>
      <c r="J17" s="57" t="n"/>
    </row>
    <row r="18" ht="24" customHeight="1">
      <c r="A18" s="55" t="inlineStr">
        <is>
          <t>ZI</t>
        </is>
      </c>
      <c r="B18" s="56" t="inlineStr">
        <is>
          <t>CODE ACTIVITE PRINCIPALE</t>
        </is>
      </c>
      <c r="C18" s="57" t="n"/>
      <c r="D18" s="57" t="n"/>
      <c r="E18" s="57" t="n"/>
      <c r="F18" s="57" t="n"/>
      <c r="G18" s="58" t="inlineStr"/>
      <c r="H18" s="57" t="n"/>
      <c r="I18" s="57" t="n"/>
      <c r="J18" s="57" t="n"/>
    </row>
    <row r="19" ht="24" customHeight="1">
      <c r="A19" s="55" t="inlineStr">
        <is>
          <t>ZJ</t>
        </is>
      </c>
      <c r="B19" s="56" t="inlineStr">
        <is>
          <t>DESIGNATION DE L'ENTITE ET SIGLE</t>
        </is>
      </c>
      <c r="C19" s="57" t="n"/>
      <c r="D19" s="57" t="n"/>
      <c r="E19" s="57" t="n"/>
      <c r="F19" s="57" t="n"/>
      <c r="G19" s="58" t="inlineStr">
        <is>
          <t>PROJET EAU POTABLE RURALE  (PEPR)</t>
        </is>
      </c>
      <c r="H19" s="57" t="n"/>
      <c r="I19" s="57" t="n"/>
      <c r="J19" s="57" t="n"/>
    </row>
    <row r="20" ht="24" customHeight="1">
      <c r="A20" s="55" t="inlineStr">
        <is>
          <t>ZK</t>
        </is>
      </c>
      <c r="B20" s="56" t="inlineStr">
        <is>
          <t>N° DE TELEPHONE, ADRESSE E-MAIL, BOITE POSTALE, VILLE</t>
        </is>
      </c>
      <c r="C20" s="57" t="n"/>
      <c r="D20" s="57" t="n"/>
      <c r="E20" s="57" t="n"/>
      <c r="F20" s="57" t="n"/>
      <c r="G20" s="58" t="inlineStr"/>
      <c r="H20" s="57" t="n"/>
      <c r="I20" s="57" t="n"/>
      <c r="J20" s="57" t="n"/>
    </row>
    <row r="21" ht="24" customHeight="1">
      <c r="A21" s="55" t="inlineStr">
        <is>
          <t>ZL</t>
        </is>
      </c>
      <c r="B21" s="56" t="inlineStr">
        <is>
          <t>ADRESSE GEOGRAPHIQUE COMPLETE (IMMEUBLE, RUE, QUARTIER, VILLE, PAYS)</t>
        </is>
      </c>
      <c r="C21" s="57" t="n"/>
      <c r="D21" s="57" t="n"/>
      <c r="E21" s="57" t="n"/>
      <c r="F21" s="57" t="n"/>
      <c r="G21" s="58" t="inlineStr"/>
      <c r="H21" s="57" t="n"/>
      <c r="I21" s="57" t="n"/>
      <c r="J21" s="57" t="n"/>
    </row>
    <row r="22" ht="24" customHeight="1">
      <c r="A22" s="55" t="inlineStr">
        <is>
          <t>ZM</t>
        </is>
      </c>
      <c r="B22" s="56" t="inlineStr">
        <is>
          <t>DESIGNATION PRECISE DE L'ACTIVITE PRINCIPALE EXERCEE</t>
        </is>
      </c>
      <c r="C22" s="57" t="n"/>
      <c r="D22" s="57" t="n"/>
      <c r="E22" s="57" t="n"/>
      <c r="F22" s="57" t="n"/>
      <c r="G22" s="58" t="inlineStr"/>
      <c r="H22" s="57" t="n"/>
      <c r="I22" s="57" t="n"/>
      <c r="J22" s="57" t="n"/>
    </row>
    <row r="23" ht="24" customHeight="1">
      <c r="A23" s="55" t="inlineStr">
        <is>
          <t>ZN</t>
        </is>
      </c>
      <c r="B23" s="56" t="inlineStr">
        <is>
          <t>% DE CAPACITE DE PRODUCTION UTILE</t>
        </is>
      </c>
      <c r="C23" s="57" t="n"/>
      <c r="D23" s="57" t="n"/>
      <c r="E23" s="57" t="n"/>
      <c r="F23" s="57" t="n"/>
      <c r="G23" s="58" t="inlineStr"/>
      <c r="H23" s="57" t="n"/>
      <c r="I23" s="57" t="n"/>
      <c r="J23" s="57" t="n"/>
    </row>
    <row r="24" ht="24" customHeight="1">
      <c r="A24" s="55" t="inlineStr">
        <is>
          <t>ZO</t>
        </is>
      </c>
      <c r="B24" s="56" t="inlineStr">
        <is>
          <t>NOM, ADRESSE, TELEPHONE, E-MAIL ET QUALITE DE LA PERSONNE A CONTACTER EN CAS DE DEMANDE</t>
        </is>
      </c>
      <c r="C24" s="57" t="n"/>
      <c r="D24" s="57" t="n"/>
      <c r="E24" s="57" t="n"/>
      <c r="F24" s="57" t="n"/>
      <c r="G24" s="58" t="inlineStr"/>
      <c r="H24" s="57" t="n"/>
      <c r="I24" s="57" t="n"/>
      <c r="J24" s="57" t="n"/>
    </row>
    <row r="25" ht="24" customHeight="1">
      <c r="A25" s="55" t="inlineStr">
        <is>
          <t>ZP</t>
        </is>
      </c>
      <c r="B25" s="56" t="inlineStr">
        <is>
          <t>NOM, ADRESSE, TELEPHONE ET E-MAIL DU SALARIE OU DU PROFESSIONNEL COMPTABLE AYANT ETABLI LES ETATS FINANCIERS</t>
        </is>
      </c>
      <c r="C25" s="57" t="n"/>
      <c r="D25" s="57" t="n"/>
      <c r="E25" s="57" t="n"/>
      <c r="F25" s="57" t="n"/>
      <c r="G25" s="58" t="inlineStr"/>
      <c r="H25" s="57" t="n"/>
      <c r="I25" s="57" t="n"/>
      <c r="J25" s="57" t="n"/>
    </row>
    <row r="26" ht="24" customHeight="1">
      <c r="A26" s="55" t="inlineStr">
        <is>
          <t>ZQ</t>
        </is>
      </c>
      <c r="B26" s="56" t="inlineStr">
        <is>
          <t>NOM, ADRESSE, TELEPHONE, E-MAIL ET N° D'INSCRIPTION A L'ORDRE DE L'EXPERT-COMPTABLE AYANT DELIVRE L'ATTESTATION DE VISA</t>
        </is>
      </c>
      <c r="C26" s="57" t="n"/>
      <c r="D26" s="57" t="n"/>
      <c r="E26" s="57" t="n"/>
      <c r="F26" s="57" t="n"/>
      <c r="G26" s="58" t="inlineStr"/>
      <c r="H26" s="57" t="n"/>
      <c r="I26" s="57" t="n"/>
      <c r="J26" s="57" t="n"/>
    </row>
    <row r="27" ht="24" customHeight="1">
      <c r="A27" s="55" t="inlineStr">
        <is>
          <t>ZR</t>
        </is>
      </c>
      <c r="B27" s="56" t="inlineStr">
        <is>
          <t>NOM, ADRESSE, TELEPHONE, E-MAIL ET N° D'INSCRIPTION DU COMMISSAIRE AUX COMPTES, LE CAS ECHEANT</t>
        </is>
      </c>
      <c r="C27" s="57" t="n"/>
      <c r="D27" s="57" t="n"/>
      <c r="E27" s="57" t="n"/>
      <c r="F27" s="57" t="n"/>
      <c r="G27" s="58" t="inlineStr"/>
      <c r="H27" s="57" t="n"/>
      <c r="I27" s="57" t="n"/>
      <c r="J27" s="57" t="n"/>
    </row>
    <row r="28" ht="24" customHeight="1">
      <c r="A28" s="55" t="inlineStr">
        <is>
          <t>ZS</t>
        </is>
      </c>
      <c r="B28" s="56" t="inlineStr">
        <is>
          <t>ETATS FINANCIERS APPROUVES PAR L'ORGANE COMPETENT (OUI / NON)</t>
        </is>
      </c>
      <c r="C28" s="57" t="n"/>
      <c r="D28" s="57" t="n"/>
      <c r="E28" s="57" t="n"/>
      <c r="F28" s="57" t="n"/>
      <c r="G28" s="58" t="inlineStr"/>
      <c r="H28" s="57" t="n"/>
      <c r="I28" s="57" t="n"/>
      <c r="J28" s="57" t="n"/>
    </row>
    <row r="29" ht="24" customHeight="1">
      <c r="A29" s="55" t="inlineStr">
        <is>
          <t>ZT</t>
        </is>
      </c>
      <c r="B29" s="56" t="inlineStr">
        <is>
          <t>NOM DU SIGNATAIRE DES ETATS FINANCIERS</t>
        </is>
      </c>
      <c r="C29" s="57" t="n"/>
      <c r="D29" s="57" t="n"/>
      <c r="E29" s="57" t="n"/>
      <c r="F29" s="57" t="n"/>
      <c r="G29" s="58" t="inlineStr"/>
      <c r="H29" s="57" t="n"/>
      <c r="I29" s="57" t="n"/>
      <c r="J29" s="57" t="n"/>
    </row>
    <row r="30" ht="24" customHeight="1">
      <c r="A30" s="55" t="inlineStr">
        <is>
          <t>ZU</t>
        </is>
      </c>
      <c r="B30" s="56" t="inlineStr">
        <is>
          <t>QUALITE DU SIGNATAIRE DES ETATS FINANCIERS</t>
        </is>
      </c>
      <c r="C30" s="57" t="n"/>
      <c r="D30" s="57" t="n"/>
      <c r="E30" s="57" t="n"/>
      <c r="F30" s="57" t="n"/>
      <c r="G30" s="58" t="inlineStr"/>
      <c r="H30" s="57" t="n"/>
      <c r="I30" s="57" t="n"/>
      <c r="J30" s="57" t="n"/>
    </row>
    <row r="31" ht="24" customHeight="1">
      <c r="A31" s="55" t="inlineStr">
        <is>
          <t>ZV</t>
        </is>
      </c>
      <c r="B31" s="56" t="inlineStr">
        <is>
          <t>DATE DE SIGNATURE</t>
        </is>
      </c>
      <c r="C31" s="57" t="n"/>
      <c r="D31" s="57" t="n"/>
      <c r="E31" s="57" t="n"/>
      <c r="F31" s="57" t="n"/>
      <c r="G31" s="58" t="inlineStr"/>
      <c r="H31" s="57" t="n"/>
      <c r="I31" s="57" t="n"/>
      <c r="J31" s="57" t="n"/>
    </row>
    <row r="32" ht="24" customHeight="1">
      <c r="A32" s="55" t="inlineStr">
        <is>
          <t>ZW</t>
        </is>
      </c>
      <c r="B32" s="56" t="inlineStr">
        <is>
          <t>DOMICILIATIONS BANCAIRES (BANQUE ET NUMERO DE COMPTE)</t>
        </is>
      </c>
      <c r="C32" s="57" t="n"/>
      <c r="D32" s="57" t="n"/>
      <c r="E32" s="57" t="n"/>
      <c r="F32" s="57" t="n"/>
      <c r="G32" s="58" t="inlineStr"/>
      <c r="H32" s="57" t="n"/>
      <c r="I32" s="57" t="n"/>
      <c r="J32" s="57" t="n"/>
    </row>
    <row r="33"/>
    <row r="34">
      <c r="B34" s="59" t="inlineStr">
        <is>
          <t>Signature</t>
        </is>
      </c>
      <c r="C34" s="60" t="n"/>
      <c r="D34" s="60" t="n"/>
      <c r="E34" s="60" t="n"/>
    </row>
  </sheetData>
  <mergeCells count="51">
    <mergeCell ref="A8:J8"/>
    <mergeCell ref="G26:J26"/>
    <mergeCell ref="B16:F16"/>
    <mergeCell ref="I2:J2"/>
    <mergeCell ref="B25:F25"/>
    <mergeCell ref="G20:J20"/>
    <mergeCell ref="G29:J29"/>
    <mergeCell ref="B31:F31"/>
    <mergeCell ref="G16:J16"/>
    <mergeCell ref="B22:F22"/>
    <mergeCell ref="G25:J25"/>
    <mergeCell ref="B18:F18"/>
    <mergeCell ref="B27:F27"/>
    <mergeCell ref="G32:J32"/>
    <mergeCell ref="B21:F21"/>
    <mergeCell ref="G22:J22"/>
    <mergeCell ref="B12:F12"/>
    <mergeCell ref="G31:J31"/>
    <mergeCell ref="B11:F11"/>
    <mergeCell ref="G12:J12"/>
    <mergeCell ref="G21:J21"/>
    <mergeCell ref="B23:F23"/>
    <mergeCell ref="B14:F14"/>
    <mergeCell ref="G11:J11"/>
    <mergeCell ref="G27:J27"/>
    <mergeCell ref="B17:F17"/>
    <mergeCell ref="B13:F13"/>
    <mergeCell ref="B29:F29"/>
    <mergeCell ref="G17:J17"/>
    <mergeCell ref="G23:J23"/>
    <mergeCell ref="B10:F10"/>
    <mergeCell ref="B28:F28"/>
    <mergeCell ref="B19:F19"/>
    <mergeCell ref="B4:G4"/>
    <mergeCell ref="A7:J7"/>
    <mergeCell ref="G19:J19"/>
    <mergeCell ref="G10:J10"/>
    <mergeCell ref="G28:J28"/>
    <mergeCell ref="B30:F30"/>
    <mergeCell ref="G13:J13"/>
    <mergeCell ref="G18:J18"/>
    <mergeCell ref="B24:F24"/>
    <mergeCell ref="B20:F20"/>
    <mergeCell ref="B15:F15"/>
    <mergeCell ref="G24:J24"/>
    <mergeCell ref="G30:J30"/>
    <mergeCell ref="G15:J15"/>
    <mergeCell ref="B34:E34"/>
    <mergeCell ref="B32:F32"/>
    <mergeCell ref="B26:F26"/>
    <mergeCell ref="G14:J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3" customWidth="1" min="5" max="5"/>
    <col width="8" customWidth="1" min="6" max="6"/>
    <col width="8" customWidth="1" min="7" max="7"/>
    <col width="11" customWidth="1" min="8" max="8"/>
    <col width="11" customWidth="1" min="9" max="9"/>
    <col width="11" customWidth="1" min="10" max="10"/>
  </cols>
  <sheetData>
    <row r="1" ht="12" customHeight="1">
      <c r="A1" s="48" t="inlineStr">
        <is>
          <t>- 2 -</t>
        </is>
      </c>
    </row>
    <row r="2" ht="26" customHeight="1">
      <c r="I2" s="49" t="inlineStr">
        <is>
          <t>FICHE 2</t>
        </is>
      </c>
      <c r="J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G4" s="39" t="n"/>
      <c r="I4" s="52" t="inlineStr">
        <is>
          <t>Sigle usuel :</t>
        </is>
      </c>
      <c r="J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G5" s="37" t="inlineStr">
        <is>
          <t>Exercice clos le 31-12-2025</t>
        </is>
      </c>
      <c r="I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61" t="inlineStr">
        <is>
          <t>FICHE D'IDENTIFICATION ET RENSEIGNEMENTS DIVERS</t>
        </is>
      </c>
    </row>
    <row r="8">
      <c r="A8" s="62" t="inlineStr">
        <is>
          <t>EQUIPE DU PROJET</t>
        </is>
      </c>
    </row>
    <row r="9"/>
    <row r="10" ht="34" customHeight="1">
      <c r="A10" s="1" t="inlineStr">
        <is>
          <t>Nom et Prénoms</t>
        </is>
      </c>
      <c r="B10" s="2" t="n"/>
      <c r="C10" s="2" t="inlineStr">
        <is>
          <t>Nationalité</t>
        </is>
      </c>
      <c r="D10" s="2" t="inlineStr">
        <is>
          <t>Autres nationalités (à préciser) (2)</t>
        </is>
      </c>
      <c r="E10" s="2" t="inlineStr">
        <is>
          <t>Qualité</t>
        </is>
      </c>
      <c r="F10" s="2" t="inlineStr">
        <is>
          <t>N° d'identification fiscale</t>
        </is>
      </c>
      <c r="G10" s="2" t="n"/>
      <c r="H10" s="2" t="inlineStr">
        <is>
          <t>Adresse (BP, ville, pays, adresse géographique et adresse e-mail)</t>
        </is>
      </c>
      <c r="I10" s="2" t="n"/>
      <c r="J10" s="3" t="n"/>
    </row>
    <row r="11" ht="26" customHeight="1">
      <c r="A11" s="45" t="n"/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</row>
    <row r="12" ht="26" customHeight="1">
      <c r="A12" s="45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</row>
    <row r="13" ht="26" customHeight="1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</row>
    <row r="14" ht="26" customHeight="1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</row>
    <row r="15" ht="26" customHeight="1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</row>
    <row r="16" ht="26" customHeight="1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</row>
    <row r="17" ht="26" customHeight="1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</row>
    <row r="18" ht="26" customHeight="1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</row>
    <row r="19" ht="26" customHeight="1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</row>
    <row r="20" ht="26" customHeight="1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</row>
    <row r="21" ht="26" customHeight="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</row>
    <row r="22" ht="26" customHeight="1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</row>
    <row r="23" ht="26" customHeight="1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</row>
    <row r="24" ht="26" customHeight="1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</row>
    <row r="25" ht="26" customHeight="1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</row>
    <row r="26" ht="26" customHeight="1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</row>
    <row r="27" ht="26" customHeight="1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</row>
    <row r="28" ht="26" customHeight="1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</row>
    <row r="29" ht="26" customHeight="1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</row>
    <row r="30" ht="26" customHeight="1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</row>
    <row r="31"/>
    <row r="32">
      <c r="A32" s="63" t="inlineStr">
        <is>
          <t>(2) Mentionner les autres nationalités le cas échéant.</t>
        </is>
      </c>
    </row>
  </sheetData>
  <mergeCells count="67">
    <mergeCell ref="F11:G11"/>
    <mergeCell ref="A24:B24"/>
    <mergeCell ref="A30:B30"/>
    <mergeCell ref="A8:J8"/>
    <mergeCell ref="A15:B15"/>
    <mergeCell ref="F29:G29"/>
    <mergeCell ref="F10:G10"/>
    <mergeCell ref="F16:G16"/>
    <mergeCell ref="I2:J2"/>
    <mergeCell ref="A11:B11"/>
    <mergeCell ref="F19:G19"/>
    <mergeCell ref="F25:G25"/>
    <mergeCell ref="H17:J17"/>
    <mergeCell ref="H11:J11"/>
    <mergeCell ref="H16:J16"/>
    <mergeCell ref="F21:G21"/>
    <mergeCell ref="F12:G12"/>
    <mergeCell ref="A16:B16"/>
    <mergeCell ref="F24:G24"/>
    <mergeCell ref="F30:G30"/>
    <mergeCell ref="F15:G15"/>
    <mergeCell ref="H22:J22"/>
    <mergeCell ref="A25:B25"/>
    <mergeCell ref="H28:J28"/>
    <mergeCell ref="H13:J13"/>
    <mergeCell ref="H19:J19"/>
    <mergeCell ref="F20:G20"/>
    <mergeCell ref="F18:G18"/>
    <mergeCell ref="H27:J27"/>
    <mergeCell ref="H12:J12"/>
    <mergeCell ref="A18:B18"/>
    <mergeCell ref="F26:G26"/>
    <mergeCell ref="A27:B27"/>
    <mergeCell ref="F17:G17"/>
    <mergeCell ref="A12:B12"/>
    <mergeCell ref="H15:J15"/>
    <mergeCell ref="A26:B26"/>
    <mergeCell ref="A21:B21"/>
    <mergeCell ref="H24:J24"/>
    <mergeCell ref="H18:J18"/>
    <mergeCell ref="H14:J14"/>
    <mergeCell ref="H23:J23"/>
    <mergeCell ref="F23:G23"/>
    <mergeCell ref="H30:J30"/>
    <mergeCell ref="B4:G4"/>
    <mergeCell ref="A7:J7"/>
    <mergeCell ref="A14:B14"/>
    <mergeCell ref="F22:G22"/>
    <mergeCell ref="F28:G28"/>
    <mergeCell ref="F13:G13"/>
    <mergeCell ref="A17:B17"/>
    <mergeCell ref="A23:B23"/>
    <mergeCell ref="H26:J26"/>
    <mergeCell ref="F27:G27"/>
    <mergeCell ref="H29:J29"/>
    <mergeCell ref="A22:B22"/>
    <mergeCell ref="H20:J20"/>
    <mergeCell ref="A20:B20"/>
    <mergeCell ref="H10:J10"/>
    <mergeCell ref="A29:B29"/>
    <mergeCell ref="A19:B19"/>
    <mergeCell ref="A10:B10"/>
    <mergeCell ref="A28:B28"/>
    <mergeCell ref="A13:B13"/>
    <mergeCell ref="F14:G14"/>
    <mergeCell ref="H25:J25"/>
    <mergeCell ref="H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56" customWidth="1" min="2" max="2"/>
    <col width="19" customWidth="1" min="3" max="3"/>
    <col width="17" customWidth="1" min="4" max="4"/>
    <col width="19" customWidth="1" min="5" max="5"/>
  </cols>
  <sheetData>
    <row r="1" ht="12" customHeight="1">
      <c r="A1" s="48" t="inlineStr">
        <is>
          <t>- 3 -</t>
        </is>
      </c>
    </row>
    <row r="2" ht="26" customHeight="1">
      <c r="D2" s="49" t="inlineStr">
        <is>
          <t>EMPLOIS-RESSOURCES
PROJETS DE
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64" t="inlineStr">
        <is>
          <t>TABLEAU EMPLOIS-RESSOURCES</t>
        </is>
      </c>
      <c r="B7" s="65" t="n"/>
      <c r="C7" s="65" t="n"/>
      <c r="D7" s="65" t="n"/>
      <c r="E7" s="65" t="n"/>
    </row>
    <row r="8" ht="34" customHeight="1">
      <c r="A8" s="1" t="inlineStr">
        <is>
          <t>REF</t>
        </is>
      </c>
      <c r="B8" s="2" t="inlineStr">
        <is>
          <t>DESIGNATION</t>
        </is>
      </c>
      <c r="C8" s="2" t="inlineStr">
        <is>
          <t>SOLDE CUMULE DEBUT EXERCICE N</t>
        </is>
      </c>
      <c r="D8" s="2" t="inlineStr">
        <is>
          <t>EXERCICE N</t>
        </is>
      </c>
      <c r="E8" s="3" t="inlineStr">
        <is>
          <t>SOLDE CUMULE FIN EXERCICE N</t>
        </is>
      </c>
    </row>
    <row r="9" ht="22" customHeight="1">
      <c r="A9" s="66" t="inlineStr">
        <is>
          <t>FA</t>
        </is>
      </c>
      <c r="B9" s="67" t="inlineStr">
        <is>
          <t>Fonds reçus, Bailleurs</t>
        </is>
      </c>
      <c r="C9" s="68" t="n"/>
      <c r="D9" s="68">
        <f>(SUMIF('BALANCE N'!$A$2:$A$50,"162*",'BALANCE N'!$G$2:$G$50)-SUMIF('BALANCE N'!$A$2:$A$50,"162*",'BALANCE N'!$F$2:$F$50)+SUMIF('BALANCE N'!$A$2:$A$50,"462*",'BALANCE N'!$G$2:$G$50)-SUMIF('BALANCE N'!$A$2:$A$50,"462*",'BALANCE N'!$F$2:$F$50))-(SUMIF('BALANCE N-1'!$A$2:$A$50,"162*",'BALANCE N-1'!$G$2:$G$50)-SUMIF('BALANCE N-1'!$A$2:$A$50,"162*",'BALANCE N-1'!$F$2:$F$50)+SUMIF('BALANCE N-1'!$A$2:$A$50,"462*",'BALANCE N-1'!$G$2:$G$50)-SUMIF('BALANCE N-1'!$A$2:$A$50,"462*",'BALANCE N-1'!$F$2:$F$50))+(SUMIF('BALANCE N'!$A$2:$A$50,"702*",'BALANCE N'!$G$2:$G$50)-SUMIF('BALANCE N'!$A$2:$A$50,"702*",'BALANCE N'!$F$2:$F$50))</f>
        <v/>
      </c>
      <c r="E9" s="69">
        <f>C9+D9</f>
        <v/>
      </c>
    </row>
    <row r="10" ht="22" customHeight="1">
      <c r="A10" s="66" t="inlineStr">
        <is>
          <t>FB</t>
        </is>
      </c>
      <c r="B10" s="67" t="inlineStr">
        <is>
          <t>Fonds reçus, Bailleurs (autres)</t>
        </is>
      </c>
      <c r="C10" s="68" t="n"/>
      <c r="D10" s="68" t="n"/>
      <c r="E10" s="69" t="n"/>
    </row>
    <row r="11" ht="22" customHeight="1">
      <c r="A11" s="66" t="inlineStr">
        <is>
          <t>FC</t>
        </is>
      </c>
      <c r="B11" s="67" t="inlineStr">
        <is>
          <t>Fonds contrepartie État</t>
        </is>
      </c>
      <c r="C11" s="68" t="n"/>
      <c r="D11" s="68">
        <f>(SUMIF('BALANCE N'!$A$2:$A$50,"463*",'BALANCE N'!$G$2:$G$50)-SUMIF('BALANCE N'!$A$2:$A$50,"463*",'BALANCE N'!$F$2:$F$50)+SUMIF('BALANCE N'!$A$2:$A$50,"163*",'BALANCE N'!$G$2:$G$50)-SUMIF('BALANCE N'!$A$2:$A$50,"163*",'BALANCE N'!$F$2:$F$50))-(SUMIF('BALANCE N-1'!$A$2:$A$50,"463*",'BALANCE N-1'!$G$2:$G$50)-SUMIF('BALANCE N-1'!$A$2:$A$50,"463*",'BALANCE N-1'!$F$2:$F$50)+SUMIF('BALANCE N-1'!$A$2:$A$50,"163*",'BALANCE N-1'!$G$2:$G$50)-SUMIF('BALANCE N-1'!$A$2:$A$50,"163*",'BALANCE N-1'!$F$2:$F$50))</f>
        <v/>
      </c>
      <c r="E11" s="69">
        <f>C11+D11</f>
        <v/>
      </c>
    </row>
    <row r="12" ht="22" customHeight="1">
      <c r="A12" s="66" t="inlineStr">
        <is>
          <t>FD</t>
        </is>
      </c>
      <c r="B12" s="67" t="inlineStr">
        <is>
          <t>Autres fonds reçus</t>
        </is>
      </c>
      <c r="C12" s="68" t="n"/>
      <c r="D12" s="68">
        <f>(SUMIF('BALANCE N'!$A$2:$A$50,"168*",'BALANCE N'!$G$2:$G$50)-SUMIF('BALANCE N'!$A$2:$A$50,"168*",'BALANCE N'!$F$2:$F$50)+SUMIF('BALANCE N'!$A$2:$A$50,"161*",'BALANCE N'!$G$2:$G$50)-SUMIF('BALANCE N'!$A$2:$A$50,"161*",'BALANCE N'!$F$2:$F$50)+SUMIF('BALANCE N'!$A$2:$A$50,"165*",'BALANCE N'!$G$2:$G$50)-SUMIF('BALANCE N'!$A$2:$A$50,"165*",'BALANCE N'!$F$2:$F$50)+SUMIF('BALANCE N'!$A$2:$A$50,"164*",'BALANCE N'!$G$2:$G$50)-SUMIF('BALANCE N'!$A$2:$A$50,"164*",'BALANCE N'!$F$2:$F$50)+SUMIF('BALANCE N'!$A$2:$A$50,"464*",'BALANCE N'!$G$2:$G$50)-SUMIF('BALANCE N'!$A$2:$A$50,"464*",'BALANCE N'!$F$2:$F$50))-(SUMIF('BALANCE N-1'!$A$2:$A$50,"168*",'BALANCE N-1'!$G$2:$G$50)-SUMIF('BALANCE N-1'!$A$2:$A$50,"168*",'BALANCE N-1'!$F$2:$F$50)+SUMIF('BALANCE N-1'!$A$2:$A$50,"161*",'BALANCE N-1'!$G$2:$G$50)-SUMIF('BALANCE N-1'!$A$2:$A$50,"161*",'BALANCE N-1'!$F$2:$F$50)+SUMIF('BALANCE N-1'!$A$2:$A$50,"165*",'BALANCE N-1'!$G$2:$G$50)-SUMIF('BALANCE N-1'!$A$2:$A$50,"165*",'BALANCE N-1'!$F$2:$F$50)+SUMIF('BALANCE N-1'!$A$2:$A$50,"164*",'BALANCE N-1'!$G$2:$G$50)-SUMIF('BALANCE N-1'!$A$2:$A$50,"164*",'BALANCE N-1'!$F$2:$F$50)+SUMIF('BALANCE N-1'!$A$2:$A$50,"464*",'BALANCE N-1'!$G$2:$G$50)-SUMIF('BALANCE N-1'!$A$2:$A$50,"464*",'BALANCE N-1'!$F$2:$F$50))</f>
        <v/>
      </c>
      <c r="E12" s="69">
        <f>C12+D12</f>
        <v/>
      </c>
    </row>
    <row r="13" ht="22" customHeight="1">
      <c r="A13" s="70" t="inlineStr">
        <is>
          <t>GR</t>
        </is>
      </c>
      <c r="B13" s="71" t="inlineStr">
        <is>
          <t>I. RESSOURCES</t>
        </is>
      </c>
      <c r="C13" s="72">
        <f>C9+C10+C11+C12</f>
        <v/>
      </c>
      <c r="D13" s="72">
        <f>D9+D10+D11+D12</f>
        <v/>
      </c>
      <c r="E13" s="73">
        <f>E9+E10+E11+E12</f>
        <v/>
      </c>
    </row>
    <row r="14" ht="22" customHeight="1">
      <c r="A14" s="66" t="inlineStr">
        <is>
          <t>FE</t>
        </is>
      </c>
      <c r="B14" s="67" t="inlineStr">
        <is>
          <t>Immobilisations incorporelles</t>
        </is>
      </c>
      <c r="C14" s="68">
        <f>SUMIF('BALANCE N-1'!$A$2:$A$50,"21*",'BALANCE N-1'!$F$2:$F$50)-SUMIF('BALANCE N-1'!$A$2:$A$50,"21*",'BALANCE N-1'!$G$2:$G$50)+SUMIF('BALANCE N-1'!$A$2:$A$50,"251*",'BALANCE N-1'!$F$2:$F$50)-SUMIF('BALANCE N-1'!$A$2:$A$50,"251*",'BALANCE N-1'!$G$2:$G$50)</f>
        <v/>
      </c>
      <c r="D14" s="68">
        <f>E14-C14</f>
        <v/>
      </c>
      <c r="E14" s="69">
        <f>SUMIF('BALANCE N'!$A$2:$A$50,"21*",'BALANCE N'!$F$2:$F$50)-SUMIF('BALANCE N'!$A$2:$A$50,"21*",'BALANCE N'!$G$2:$G$50)+SUMIF('BALANCE N'!$A$2:$A$50,"251*",'BALANCE N'!$F$2:$F$50)-SUMIF('BALANCE N'!$A$2:$A$50,"251*",'BALANCE N'!$G$2:$G$50)</f>
        <v/>
      </c>
    </row>
    <row r="15" ht="22" customHeight="1">
      <c r="A15" s="66" t="inlineStr">
        <is>
          <t>FF</t>
        </is>
      </c>
      <c r="B15" s="67" t="inlineStr">
        <is>
          <t>Terrains</t>
        </is>
      </c>
      <c r="C15" s="68">
        <f>SUMIF('BALANCE N-1'!$A$2:$A$50,"22*",'BALANCE N-1'!$F$2:$F$50)-SUMIF('BALANCE N-1'!$A$2:$A$50,"22*",'BALANCE N-1'!$G$2:$G$50)</f>
        <v/>
      </c>
      <c r="D15" s="68">
        <f>E15-C15</f>
        <v/>
      </c>
      <c r="E15" s="69">
        <f>SUMIF('BALANCE N'!$A$2:$A$50,"22*",'BALANCE N'!$F$2:$F$50)-SUMIF('BALANCE N'!$A$2:$A$50,"22*",'BALANCE N'!$G$2:$G$50)</f>
        <v/>
      </c>
    </row>
    <row r="16" ht="22" customHeight="1">
      <c r="A16" s="66" t="inlineStr">
        <is>
          <t>FG</t>
        </is>
      </c>
      <c r="B16" s="67" t="inlineStr">
        <is>
          <t>Bâtiments</t>
        </is>
      </c>
      <c r="C16" s="68">
        <f>SUMIF('BALANCE N-1'!$A$2:$A$50,"231*",'BALANCE N-1'!$F$2:$F$50)-SUMIF('BALANCE N-1'!$A$2:$A$50,"231*",'BALANCE N-1'!$G$2:$G$50)+SUMIF('BALANCE N-1'!$A$2:$A$50,"232*",'BALANCE N-1'!$F$2:$F$50)-SUMIF('BALANCE N-1'!$A$2:$A$50,"232*",'BALANCE N-1'!$G$2:$G$50)+SUMIF('BALANCE N-1'!$A$2:$A$50,"233*",'BALANCE N-1'!$F$2:$F$50)-SUMIF('BALANCE N-1'!$A$2:$A$50,"233*",'BALANCE N-1'!$G$2:$G$50)+SUMIF('BALANCE N-1'!$A$2:$A$50,"2393*",'BALANCE N-1'!$F$2:$F$50)-SUMIF('BALANCE N-1'!$A$2:$A$50,"2393*",'BALANCE N-1'!$G$2:$G$50)+SUMIF('BALANCE N-1'!$A$2:$A$50,"2396*",'BALANCE N-1'!$F$2:$F$50)-SUMIF('BALANCE N-1'!$A$2:$A$50,"2396*",'BALANCE N-1'!$G$2:$G$50)+SUMIF('BALANCE N-1'!$A$2:$A$50,"2391*",'BALANCE N-1'!$F$2:$F$50)-SUMIF('BALANCE N-1'!$A$2:$A$50,"2391*",'BALANCE N-1'!$G$2:$G$50)+SUMIF('BALANCE N-1'!$A$2:$A$50,"2392*",'BALANCE N-1'!$F$2:$F$50)-SUMIF('BALANCE N-1'!$A$2:$A$50,"2392*",'BALANCE N-1'!$G$2:$G$50)</f>
        <v/>
      </c>
      <c r="D16" s="68">
        <f>E16-C16</f>
        <v/>
      </c>
      <c r="E16" s="69">
        <f>SUMIF('BALANCE N'!$A$2:$A$50,"231*",'BALANCE N'!$F$2:$F$50)-SUMIF('BALANCE N'!$A$2:$A$50,"231*",'BALANCE N'!$G$2:$G$50)+SUMIF('BALANCE N'!$A$2:$A$50,"232*",'BALANCE N'!$F$2:$F$50)-SUMIF('BALANCE N'!$A$2:$A$50,"232*",'BALANCE N'!$G$2:$G$50)+SUMIF('BALANCE N'!$A$2:$A$50,"233*",'BALANCE N'!$F$2:$F$50)-SUMIF('BALANCE N'!$A$2:$A$50,"233*",'BALANCE N'!$G$2:$G$50)+SUMIF('BALANCE N'!$A$2:$A$50,"2393*",'BALANCE N'!$F$2:$F$50)-SUMIF('BALANCE N'!$A$2:$A$50,"2393*",'BALANCE N'!$G$2:$G$50)+SUMIF('BALANCE N'!$A$2:$A$50,"2396*",'BALANCE N'!$F$2:$F$50)-SUMIF('BALANCE N'!$A$2:$A$50,"2396*",'BALANCE N'!$G$2:$G$50)+SUMIF('BALANCE N'!$A$2:$A$50,"2391*",'BALANCE N'!$F$2:$F$50)-SUMIF('BALANCE N'!$A$2:$A$50,"2391*",'BALANCE N'!$G$2:$G$50)+SUMIF('BALANCE N'!$A$2:$A$50,"2392*",'BALANCE N'!$F$2:$F$50)-SUMIF('BALANCE N'!$A$2:$A$50,"2392*",'BALANCE N'!$G$2:$G$50)</f>
        <v/>
      </c>
    </row>
    <row r="17" ht="22" customHeight="1">
      <c r="A17" s="66" t="inlineStr">
        <is>
          <t>FH</t>
        </is>
      </c>
      <c r="B17" s="67" t="inlineStr">
        <is>
          <t>Aménagements, agencements et installations</t>
        </is>
      </c>
      <c r="C17" s="68">
        <f>SUMIF('BALANCE N-1'!$A$2:$A$50,"238*",'BALANCE N-1'!$F$2:$F$50)-SUMIF('BALANCE N-1'!$A$2:$A$50,"238*",'BALANCE N-1'!$G$2:$G$50)+SUMIF('BALANCE N-1'!$A$2:$A$50,"234*",'BALANCE N-1'!$F$2:$F$50)-SUMIF('BALANCE N-1'!$A$2:$A$50,"234*",'BALANCE N-1'!$G$2:$G$50)+SUMIF('BALANCE N-1'!$A$2:$A$50,"235*",'BALANCE N-1'!$F$2:$F$50)-SUMIF('BALANCE N-1'!$A$2:$A$50,"235*",'BALANCE N-1'!$G$2:$G$50)+SUMIF('BALANCE N-1'!$A$2:$A$50,"2394*",'BALANCE N-1'!$F$2:$F$50)-SUMIF('BALANCE N-1'!$A$2:$A$50,"2394*",'BALANCE N-1'!$G$2:$G$50)+SUMIF('BALANCE N-1'!$A$2:$A$50,"2398*",'BALANCE N-1'!$F$2:$F$50)-SUMIF('BALANCE N-1'!$A$2:$A$50,"2398*",'BALANCE N-1'!$G$2:$G$50)+SUMIF('BALANCE N-1'!$A$2:$A$50,"2395*",'BALANCE N-1'!$F$2:$F$50)-SUMIF('BALANCE N-1'!$A$2:$A$50,"2395*",'BALANCE N-1'!$G$2:$G$50)</f>
        <v/>
      </c>
      <c r="D17" s="68">
        <f>E17-C17</f>
        <v/>
      </c>
      <c r="E17" s="69">
        <f>SUMIF('BALANCE N'!$A$2:$A$50,"238*",'BALANCE N'!$F$2:$F$50)-SUMIF('BALANCE N'!$A$2:$A$50,"238*",'BALANCE N'!$G$2:$G$50)+SUMIF('BALANCE N'!$A$2:$A$50,"234*",'BALANCE N'!$F$2:$F$50)-SUMIF('BALANCE N'!$A$2:$A$50,"234*",'BALANCE N'!$G$2:$G$50)+SUMIF('BALANCE N'!$A$2:$A$50,"235*",'BALANCE N'!$F$2:$F$50)-SUMIF('BALANCE N'!$A$2:$A$50,"235*",'BALANCE N'!$G$2:$G$50)+SUMIF('BALANCE N'!$A$2:$A$50,"2394*",'BALANCE N'!$F$2:$F$50)-SUMIF('BALANCE N'!$A$2:$A$50,"2394*",'BALANCE N'!$G$2:$G$50)+SUMIF('BALANCE N'!$A$2:$A$50,"2398*",'BALANCE N'!$F$2:$F$50)-SUMIF('BALANCE N'!$A$2:$A$50,"2398*",'BALANCE N'!$G$2:$G$50)+SUMIF('BALANCE N'!$A$2:$A$50,"2395*",'BALANCE N'!$F$2:$F$50)-SUMIF('BALANCE N'!$A$2:$A$50,"2395*",'BALANCE N'!$G$2:$G$50)</f>
        <v/>
      </c>
    </row>
    <row r="18" ht="22" customHeight="1">
      <c r="A18" s="66" t="inlineStr">
        <is>
          <t>FI</t>
        </is>
      </c>
      <c r="B18" s="67" t="inlineStr">
        <is>
          <t>Matériel, mobilier et actifs biologiques</t>
        </is>
      </c>
      <c r="C18" s="68">
        <f>SUMIF('BALANCE N-1'!$A$2:$A$50,"24*",'BALANCE N-1'!$F$2:$F$50)-SUMIF('BALANCE N-1'!$A$2:$A$50,"24*",'BALANCE N-1'!$G$2:$G$50)-SUMIF('BALANCE N-1'!$A$2:$A$50,"245*",'BALANCE N-1'!$F$2:$F$50)+SUMIF('BALANCE N-1'!$A$2:$A$50,"245*",'BALANCE N-1'!$G$2:$G$50)-SUMIF('BALANCE N-1'!$A$2:$A$50,"2495*",'BALANCE N-1'!$F$2:$F$50)+SUMIF('BALANCE N-1'!$A$2:$A$50,"2495*",'BALANCE N-1'!$G$2:$G$50)</f>
        <v/>
      </c>
      <c r="D18" s="68">
        <f>E18-C18</f>
        <v/>
      </c>
      <c r="E18" s="69">
        <f>SUMIF('BALANCE N'!$A$2:$A$50,"24*",'BALANCE N'!$F$2:$F$50)-SUMIF('BALANCE N'!$A$2:$A$50,"24*",'BALANCE N'!$G$2:$G$50)-SUMIF('BALANCE N'!$A$2:$A$50,"245*",'BALANCE N'!$F$2:$F$50)+SUMIF('BALANCE N'!$A$2:$A$50,"245*",'BALANCE N'!$G$2:$G$50)-SUMIF('BALANCE N'!$A$2:$A$50,"2495*",'BALANCE N'!$F$2:$F$50)+SUMIF('BALANCE N'!$A$2:$A$50,"2495*",'BALANCE N'!$G$2:$G$50)</f>
        <v/>
      </c>
    </row>
    <row r="19" ht="22" customHeight="1">
      <c r="A19" s="66" t="inlineStr">
        <is>
          <t>FJ</t>
        </is>
      </c>
      <c r="B19" s="67" t="inlineStr">
        <is>
          <t>Matériel de transport</t>
        </is>
      </c>
      <c r="C19" s="68">
        <f>SUMIF('BALANCE N-1'!$A$2:$A$50,"245*",'BALANCE N-1'!$F$2:$F$50)-SUMIF('BALANCE N-1'!$A$2:$A$50,"245*",'BALANCE N-1'!$G$2:$G$50)+SUMIF('BALANCE N-1'!$A$2:$A$50,"2495*",'BALANCE N-1'!$F$2:$F$50)-SUMIF('BALANCE N-1'!$A$2:$A$50,"2495*",'BALANCE N-1'!$G$2:$G$50)</f>
        <v/>
      </c>
      <c r="D19" s="68">
        <f>E19-C19</f>
        <v/>
      </c>
      <c r="E19" s="69">
        <f>SUMIF('BALANCE N'!$A$2:$A$50,"245*",'BALANCE N'!$F$2:$F$50)-SUMIF('BALANCE N'!$A$2:$A$50,"245*",'BALANCE N'!$G$2:$G$50)+SUMIF('BALANCE N'!$A$2:$A$50,"2495*",'BALANCE N'!$F$2:$F$50)-SUMIF('BALANCE N'!$A$2:$A$50,"2495*",'BALANCE N'!$G$2:$G$50)</f>
        <v/>
      </c>
    </row>
    <row r="20" ht="22" customHeight="1">
      <c r="A20" s="66" t="inlineStr">
        <is>
          <t>FK</t>
        </is>
      </c>
      <c r="B20" s="67" t="inlineStr">
        <is>
          <t>Avances et acomptes sur immobilisations</t>
        </is>
      </c>
      <c r="C20" s="68">
        <f>SUMIF('BALANCE N-1'!$A$2:$A$50,"252*",'BALANCE N-1'!$F$2:$F$50)-SUMIF('BALANCE N-1'!$A$2:$A$50,"252*",'BALANCE N-1'!$G$2:$G$50)</f>
        <v/>
      </c>
      <c r="D20" s="68">
        <f>E20-C20</f>
        <v/>
      </c>
      <c r="E20" s="69">
        <f>SUMIF('BALANCE N'!$A$2:$A$50,"252*",'BALANCE N'!$F$2:$F$50)-SUMIF('BALANCE N'!$A$2:$A$50,"252*",'BALANCE N'!$G$2:$G$50)</f>
        <v/>
      </c>
    </row>
    <row r="21" ht="22" customHeight="1">
      <c r="A21" s="66" t="inlineStr">
        <is>
          <t>FL</t>
        </is>
      </c>
      <c r="B21" s="67" t="inlineStr">
        <is>
          <t>Immobilisations financières</t>
        </is>
      </c>
      <c r="C21" s="68">
        <f>SUMIF('BALANCE N-1'!$A$2:$A$50,"26*",'BALANCE N-1'!$F$2:$F$50)-SUMIF('BALANCE N-1'!$A$2:$A$50,"26*",'BALANCE N-1'!$G$2:$G$50)+SUMIF('BALANCE N-1'!$A$2:$A$50,"27*",'BALANCE N-1'!$F$2:$F$50)-SUMIF('BALANCE N-1'!$A$2:$A$50,"27*",'BALANCE N-1'!$G$2:$G$50)</f>
        <v/>
      </c>
      <c r="D21" s="68">
        <f>E21-C21</f>
        <v/>
      </c>
      <c r="E21" s="69">
        <f>SUMIF('BALANCE N'!$A$2:$A$50,"26*",'BALANCE N'!$F$2:$F$50)-SUMIF('BALANCE N'!$A$2:$A$50,"26*",'BALANCE N'!$G$2:$G$50)+SUMIF('BALANCE N'!$A$2:$A$50,"27*",'BALANCE N'!$F$2:$F$50)-SUMIF('BALANCE N'!$A$2:$A$50,"27*",'BALANCE N'!$G$2:$G$50)</f>
        <v/>
      </c>
    </row>
    <row r="22" ht="22" customHeight="1">
      <c r="A22" s="70" t="inlineStr">
        <is>
          <t>GS</t>
        </is>
      </c>
      <c r="B22" s="74" t="inlineStr">
        <is>
          <t>A - TOTAL DES IMMOBILISATIONS</t>
        </is>
      </c>
      <c r="C22" s="75">
        <f>C14+C15+C16+C17+C18+C19+C20+C21</f>
        <v/>
      </c>
      <c r="D22" s="75">
        <f>D14+D15+D16+D17+D18+D19+D20+D21</f>
        <v/>
      </c>
      <c r="E22" s="76">
        <f>E14+E15+E16+E17+E18+E19+E20+E21</f>
        <v/>
      </c>
    </row>
    <row r="23" ht="22" customHeight="1">
      <c r="A23" s="66" t="inlineStr">
        <is>
          <t>FM</t>
        </is>
      </c>
      <c r="B23" s="67" t="inlineStr">
        <is>
          <t>Achats de biens et services</t>
        </is>
      </c>
      <c r="C23" s="68" t="n"/>
      <c r="D23" s="68">
        <f>SUMIF('BALANCE N'!$A$2:$A$50,"60*",'BALANCE N'!$F$2:$F$50)-SUMIF('BALANCE N'!$A$2:$A$50,"60*",'BALANCE N'!$G$2:$G$50)</f>
        <v/>
      </c>
      <c r="E23" s="69">
        <f>C23+D23</f>
        <v/>
      </c>
    </row>
    <row r="24" ht="22" customHeight="1">
      <c r="A24" s="66" t="inlineStr">
        <is>
          <t>FN</t>
        </is>
      </c>
      <c r="B24" s="67" t="inlineStr">
        <is>
          <t>Transports</t>
        </is>
      </c>
      <c r="C24" s="68" t="n"/>
      <c r="D24" s="68">
        <f>SUMIF('BALANCE N'!$A$2:$A$50,"61*",'BALANCE N'!$F$2:$F$50)-SUMIF('BALANCE N'!$A$2:$A$50,"61*",'BALANCE N'!$G$2:$G$50)</f>
        <v/>
      </c>
      <c r="E24" s="69">
        <f>C24+D24</f>
        <v/>
      </c>
    </row>
    <row r="25" ht="22" customHeight="1">
      <c r="A25" s="66" t="inlineStr">
        <is>
          <t>FO</t>
        </is>
      </c>
      <c r="B25" s="67" t="inlineStr">
        <is>
          <t>Services extérieurs</t>
        </is>
      </c>
      <c r="C25" s="68" t="n"/>
      <c r="D25" s="68">
        <f>SUMIF('BALANCE N'!$A$2:$A$50,"62*",'BALANCE N'!$F$2:$F$50)-SUMIF('BALANCE N'!$A$2:$A$50,"62*",'BALANCE N'!$G$2:$G$50)+SUMIF('BALANCE N'!$A$2:$A$50,"63*",'BALANCE N'!$F$2:$F$50)-SUMIF('BALANCE N'!$A$2:$A$50,"63*",'BALANCE N'!$G$2:$G$50)</f>
        <v/>
      </c>
      <c r="E25" s="69">
        <f>C25+D25</f>
        <v/>
      </c>
    </row>
    <row r="26" ht="22" customHeight="1">
      <c r="A26" s="66" t="inlineStr">
        <is>
          <t>FP</t>
        </is>
      </c>
      <c r="B26" s="67" t="inlineStr">
        <is>
          <t>Impôts et taxes</t>
        </is>
      </c>
      <c r="C26" s="68" t="n"/>
      <c r="D26" s="68">
        <f>SUMIF('BALANCE N'!$A$2:$A$50,"64*",'BALANCE N'!$F$2:$F$50)-SUMIF('BALANCE N'!$A$2:$A$50,"64*",'BALANCE N'!$G$2:$G$50)</f>
        <v/>
      </c>
      <c r="E26" s="69">
        <f>C26+D26</f>
        <v/>
      </c>
    </row>
    <row r="27" ht="22" customHeight="1">
      <c r="A27" s="66" t="inlineStr">
        <is>
          <t>FQ</t>
        </is>
      </c>
      <c r="B27" s="67" t="inlineStr">
        <is>
          <t>Autres charges</t>
        </is>
      </c>
      <c r="C27" s="68" t="n"/>
      <c r="D27" s="68">
        <f>SUMIF('BALANCE N'!$A$2:$A$50,"65*",'BALANCE N'!$F$2:$F$50)-SUMIF('BALANCE N'!$A$2:$A$50,"65*",'BALANCE N'!$G$2:$G$50)</f>
        <v/>
      </c>
      <c r="E27" s="69">
        <f>C27+D27</f>
        <v/>
      </c>
    </row>
    <row r="28" ht="22" customHeight="1">
      <c r="A28" s="66" t="inlineStr">
        <is>
          <t>FR</t>
        </is>
      </c>
      <c r="B28" s="67" t="inlineStr">
        <is>
          <t>Charges de personnel</t>
        </is>
      </c>
      <c r="C28" s="68" t="n"/>
      <c r="D28" s="68">
        <f>SUMIF('BALANCE N'!$A$2:$A$50,"66*",'BALANCE N'!$F$2:$F$50)-SUMIF('BALANCE N'!$A$2:$A$50,"66*",'BALANCE N'!$G$2:$G$50)</f>
        <v/>
      </c>
      <c r="E28" s="69">
        <f>C28+D28</f>
        <v/>
      </c>
    </row>
    <row r="29" ht="22" customHeight="1">
      <c r="A29" s="66" t="inlineStr">
        <is>
          <t>FS</t>
        </is>
      </c>
      <c r="B29" s="67" t="inlineStr">
        <is>
          <t>Charges financières</t>
        </is>
      </c>
      <c r="C29" s="68" t="n"/>
      <c r="D29" s="68">
        <f>SUMIF('BALANCE N'!$A$2:$A$50,"67*",'BALANCE N'!$F$2:$F$50)-SUMIF('BALANCE N'!$A$2:$A$50,"67*",'BALANCE N'!$G$2:$G$50)</f>
        <v/>
      </c>
      <c r="E29" s="69">
        <f>C29+D29</f>
        <v/>
      </c>
    </row>
    <row r="30" ht="22" customHeight="1">
      <c r="A30" s="66" t="inlineStr">
        <is>
          <t>FT</t>
        </is>
      </c>
      <c r="B30" s="67" t="inlineStr">
        <is>
          <t>Avances sur charges (à justifier)</t>
        </is>
      </c>
      <c r="C30" s="68" t="n"/>
      <c r="D30" s="68">
        <f>(SUMIF('BALANCE N'!$A$2:$A$50,"421*",'BALANCE N'!$F$2:$F$50))-(SUMIF('BALANCE N-1'!$A$2:$A$50,"421*",'BALANCE N-1'!$F$2:$F$50))</f>
        <v/>
      </c>
      <c r="E30" s="69">
        <f>C30+D30</f>
        <v/>
      </c>
    </row>
    <row r="31" ht="22" customHeight="1">
      <c r="A31" s="70" t="inlineStr">
        <is>
          <t>GT</t>
        </is>
      </c>
      <c r="B31" s="74" t="inlineStr">
        <is>
          <t>B - TOTAL DES CHARGES DE FONCTIONNEMENT</t>
        </is>
      </c>
      <c r="C31" s="75">
        <f>C23+C24+C25+C26+C27+C28+C29+C30</f>
        <v/>
      </c>
      <c r="D31" s="75">
        <f>D23+D24+D25+D26+D27+D28+D29+D30</f>
        <v/>
      </c>
      <c r="E31" s="76">
        <f>E23+E24+E25+E26+E27+E28+E29+E30</f>
        <v/>
      </c>
    </row>
    <row r="32" ht="22" customHeight="1">
      <c r="A32" s="70" t="inlineStr">
        <is>
          <t>GU</t>
        </is>
      </c>
      <c r="B32" s="71" t="inlineStr">
        <is>
          <t>II. EMPLOIS (A + B)</t>
        </is>
      </c>
      <c r="C32" s="72">
        <f>C22+C31</f>
        <v/>
      </c>
      <c r="D32" s="72">
        <f>D22+D31</f>
        <v/>
      </c>
      <c r="E32" s="73">
        <f>E22+E31</f>
        <v/>
      </c>
    </row>
    <row r="33" ht="22" customHeight="1">
      <c r="A33" s="70" t="inlineStr">
        <is>
          <t>GV</t>
        </is>
      </c>
      <c r="B33" s="77" t="inlineStr">
        <is>
          <t>III. EXCÉDENT / DÉFICIT DES FONDS REÇUS SUR LES EMPLOIS (I - II)</t>
        </is>
      </c>
      <c r="C33" s="78">
        <f>C13-C32</f>
        <v/>
      </c>
      <c r="D33" s="78">
        <f>D13-D32</f>
        <v/>
      </c>
      <c r="E33" s="79">
        <f>E13-E32</f>
        <v/>
      </c>
    </row>
    <row r="34" ht="22" customHeight="1">
      <c r="A34" s="66" t="inlineStr">
        <is>
          <t>FU</t>
        </is>
      </c>
      <c r="B34" s="67" t="inlineStr">
        <is>
          <t>Fonds Bailleur en début d'exercice N</t>
        </is>
      </c>
      <c r="C34" s="68" t="n"/>
      <c r="D34" s="68" t="n"/>
      <c r="E34" s="69" t="n"/>
    </row>
    <row r="35" ht="22" customHeight="1">
      <c r="A35" s="66" t="inlineStr">
        <is>
          <t>FV</t>
        </is>
      </c>
      <c r="B35" s="67" t="inlineStr">
        <is>
          <t>Fonds de contrepartie État en début d'exercice N</t>
        </is>
      </c>
      <c r="C35" s="68" t="n"/>
      <c r="D35" s="68" t="n"/>
      <c r="E35" s="69" t="n"/>
    </row>
    <row r="36" ht="22" customHeight="1">
      <c r="A36" s="66" t="inlineStr">
        <is>
          <t>FW</t>
        </is>
      </c>
      <c r="B36" s="67" t="inlineStr">
        <is>
          <t>Autres fonds en début d'exercice N</t>
        </is>
      </c>
      <c r="C36" s="68" t="n"/>
      <c r="D36" s="68" t="n"/>
      <c r="E36" s="69" t="n"/>
    </row>
    <row r="37" ht="22" customHeight="1">
      <c r="A37" s="70" t="inlineStr">
        <is>
          <t>GW</t>
        </is>
      </c>
      <c r="B37" s="71" t="inlineStr">
        <is>
          <t>IV. FONDS DISPONIBLE EN DÉBUT D'EXERCICE</t>
        </is>
      </c>
      <c r="C37" s="72">
        <f>C34+C35+C36</f>
        <v/>
      </c>
      <c r="D37" s="72">
        <f>D34+D35+D36</f>
        <v/>
      </c>
      <c r="E37" s="73">
        <f>E34+E35+E36</f>
        <v/>
      </c>
    </row>
    <row r="38" ht="22" customHeight="1">
      <c r="A38" s="70" t="inlineStr">
        <is>
          <t>GX</t>
        </is>
      </c>
      <c r="B38" s="77" t="inlineStr">
        <is>
          <t>V. MONTANT NET DE L'ENCAISSE DISPONIBLE (III + IV)</t>
        </is>
      </c>
      <c r="C38" s="78">
        <f>C33+C37</f>
        <v/>
      </c>
      <c r="D38" s="78">
        <f>D33+D37</f>
        <v/>
      </c>
      <c r="E38" s="79">
        <f>E33+E37</f>
        <v/>
      </c>
    </row>
    <row r="39" ht="22" customHeight="1">
      <c r="A39" s="66" t="inlineStr">
        <is>
          <t>FX</t>
        </is>
      </c>
      <c r="B39" s="67" t="inlineStr">
        <is>
          <t>Fonds Bailleur en fin d'exercice N</t>
        </is>
      </c>
      <c r="C39" s="68" t="n"/>
      <c r="D39" s="68" t="n"/>
      <c r="E39" s="69" t="n"/>
    </row>
    <row r="40" ht="22" customHeight="1">
      <c r="A40" s="66" t="inlineStr">
        <is>
          <t>FY</t>
        </is>
      </c>
      <c r="B40" s="67" t="inlineStr">
        <is>
          <t>Fonds de contrepartie État en fin d'exercice N</t>
        </is>
      </c>
      <c r="C40" s="68" t="n"/>
      <c r="D40" s="68" t="n"/>
      <c r="E40" s="69" t="n"/>
    </row>
    <row r="41" ht="22" customHeight="1">
      <c r="A41" s="66" t="inlineStr">
        <is>
          <t>FZ</t>
        </is>
      </c>
      <c r="B41" s="67" t="inlineStr">
        <is>
          <t>Autres fonds en fin d'exercice N</t>
        </is>
      </c>
      <c r="C41" s="68" t="n"/>
      <c r="D41" s="68" t="n"/>
      <c r="E41" s="69" t="n"/>
    </row>
    <row r="42" ht="22" customHeight="1">
      <c r="A42" s="70" t="inlineStr">
        <is>
          <t>GY</t>
        </is>
      </c>
      <c r="B42" s="71" t="inlineStr">
        <is>
          <t>VI. FONDS DISPONIBLE EN FIN D'EXERCICE</t>
        </is>
      </c>
      <c r="C42" s="72">
        <f>C39+C40+C41</f>
        <v/>
      </c>
      <c r="D42" s="72">
        <f>D39+D40+D41</f>
        <v/>
      </c>
      <c r="E42" s="73">
        <f>E39+E40+E41</f>
        <v/>
      </c>
    </row>
    <row r="43" ht="22" customHeight="1">
      <c r="A43" s="80" t="inlineStr">
        <is>
          <t>GZ</t>
        </is>
      </c>
      <c r="B43" s="81" t="inlineStr">
        <is>
          <t>VII. CONTRÔLE : TOTAL V = TOTAL VI (écart)</t>
        </is>
      </c>
      <c r="C43" s="82">
        <f>C38-C42</f>
        <v/>
      </c>
      <c r="D43" s="82">
        <f>D38-D42</f>
        <v/>
      </c>
      <c r="E43" s="83">
        <f>E38-E42</f>
        <v/>
      </c>
    </row>
    <row r="44"/>
    <row r="45">
      <c r="A45" s="84" t="inlineStr">
        <is>
          <t>Colonnes calculées depuis la balance : immobilisations (cumul = classe 2 brute), charges de l'exercice (classes 6), fonds reçus (variation des soldes 16x/46x + quote-part 702 consommée - approximation à ajuster depuis les avis de décaissement des bailleurs). Fonds disponibles début/fin (FU à FZ) : à ventiler par source ; rappel balance - trésorerie totale : voir CONTROLES.</t>
        </is>
      </c>
    </row>
    <row r="46"/>
    <row r="47"/>
  </sheetData>
  <mergeCells count="3">
    <mergeCell ref="A45:E47"/>
    <mergeCell ref="A7:E7"/>
    <mergeCell ref="D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5" customWidth="1" min="4" max="4"/>
    <col width="15" customWidth="1" min="5" max="5"/>
    <col width="16" customWidth="1" min="6" max="6"/>
    <col width="17" customWidth="1" min="7" max="7"/>
    <col width="14" customWidth="1" min="8" max="8"/>
  </cols>
  <sheetData>
    <row r="1" ht="12" customHeight="1">
      <c r="A1" s="48" t="inlineStr">
        <is>
          <t>- 4 -</t>
        </is>
      </c>
    </row>
    <row r="2" ht="26" customHeight="1">
      <c r="G2" s="49" t="inlineStr">
        <is>
          <t>EXECUTION BUDGETAIRE
PROJETS DE
DEVELOPPEMENT</t>
        </is>
      </c>
      <c r="H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G4" s="52" t="inlineStr">
        <is>
          <t>Sigle usuel :</t>
        </is>
      </c>
      <c r="H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E5" s="37" t="inlineStr">
        <is>
          <t>Exercice clos le 31-12-2025</t>
        </is>
      </c>
      <c r="G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64" t="inlineStr">
        <is>
          <t>TABLEAU DE SUIVI D'EXECUTION DU BUDGET</t>
        </is>
      </c>
      <c r="B7" s="65" t="n"/>
      <c r="C7" s="65" t="n"/>
      <c r="D7" s="65" t="n"/>
      <c r="E7" s="65" t="n"/>
      <c r="F7" s="65" t="n"/>
      <c r="G7" s="65" t="n"/>
      <c r="H7" s="65" t="n"/>
    </row>
    <row r="8">
      <c r="A8" s="1" t="inlineStr">
        <is>
          <t>Code</t>
        </is>
      </c>
      <c r="B8" s="2" t="inlineStr">
        <is>
          <t>Libellé</t>
        </is>
      </c>
      <c r="C8" s="2" t="inlineStr">
        <is>
          <t>Budget de l'exercice (1)</t>
        </is>
      </c>
      <c r="D8" s="2" t="inlineStr">
        <is>
          <t>Décaissement (2)</t>
        </is>
      </c>
      <c r="E8" s="2" t="inlineStr">
        <is>
          <t>Engagement (3)</t>
        </is>
      </c>
      <c r="F8" s="2" t="inlineStr">
        <is>
          <t>Réalisation (4 = 2 + 3)</t>
        </is>
      </c>
      <c r="G8" s="2" t="inlineStr">
        <is>
          <t>Crédit disponible (5 = 1 - 4)</t>
        </is>
      </c>
      <c r="H8" s="3" t="inlineStr">
        <is>
          <t>Exécution budget % (4/1)</t>
        </is>
      </c>
    </row>
    <row r="9">
      <c r="A9" s="85" t="n"/>
      <c r="B9" s="4" t="n"/>
      <c r="C9" s="5" t="n"/>
      <c r="D9" s="5" t="n"/>
      <c r="E9" s="5" t="n"/>
      <c r="F9" s="5">
        <f>D9+E9</f>
        <v/>
      </c>
      <c r="G9" s="5">
        <f>C9-F9</f>
        <v/>
      </c>
      <c r="H9" s="86">
        <f>IF(C9=0,"",F9/C9)</f>
        <v/>
      </c>
    </row>
    <row r="10">
      <c r="A10" s="85" t="n"/>
      <c r="B10" s="4" t="n"/>
      <c r="C10" s="5" t="n"/>
      <c r="D10" s="5" t="n"/>
      <c r="E10" s="5" t="n"/>
      <c r="F10" s="5">
        <f>D10+E10</f>
        <v/>
      </c>
      <c r="G10" s="5">
        <f>C10-F10</f>
        <v/>
      </c>
      <c r="H10" s="86">
        <f>IF(C10=0,"",F10/C10)</f>
        <v/>
      </c>
    </row>
    <row r="11">
      <c r="A11" s="85" t="n"/>
      <c r="B11" s="4" t="n"/>
      <c r="C11" s="5" t="n"/>
      <c r="D11" s="5" t="n"/>
      <c r="E11" s="5" t="n"/>
      <c r="F11" s="5">
        <f>D11+E11</f>
        <v/>
      </c>
      <c r="G11" s="5">
        <f>C11-F11</f>
        <v/>
      </c>
      <c r="H11" s="86">
        <f>IF(C11=0,"",F11/C11)</f>
        <v/>
      </c>
    </row>
    <row r="12">
      <c r="A12" s="85" t="n"/>
      <c r="B12" s="4" t="n"/>
      <c r="C12" s="5" t="n"/>
      <c r="D12" s="5" t="n"/>
      <c r="E12" s="5" t="n"/>
      <c r="F12" s="5">
        <f>D12+E12</f>
        <v/>
      </c>
      <c r="G12" s="5">
        <f>C12-F12</f>
        <v/>
      </c>
      <c r="H12" s="86">
        <f>IF(C12=0,"",F12/C12)</f>
        <v/>
      </c>
    </row>
    <row r="13">
      <c r="A13" s="85" t="n"/>
      <c r="B13" s="4" t="n"/>
      <c r="C13" s="5" t="n"/>
      <c r="D13" s="5" t="n"/>
      <c r="E13" s="5" t="n"/>
      <c r="F13" s="5">
        <f>D13+E13</f>
        <v/>
      </c>
      <c r="G13" s="5">
        <f>C13-F13</f>
        <v/>
      </c>
      <c r="H13" s="86">
        <f>IF(C13=0,"",F13/C13)</f>
        <v/>
      </c>
    </row>
    <row r="14">
      <c r="A14" s="85" t="n"/>
      <c r="B14" s="4" t="n"/>
      <c r="C14" s="5" t="n"/>
      <c r="D14" s="5" t="n"/>
      <c r="E14" s="5" t="n"/>
      <c r="F14" s="5">
        <f>D14+E14</f>
        <v/>
      </c>
      <c r="G14" s="5">
        <f>C14-F14</f>
        <v/>
      </c>
      <c r="H14" s="86">
        <f>IF(C14=0,"",F14/C14)</f>
        <v/>
      </c>
    </row>
    <row r="15">
      <c r="A15" s="85" t="n"/>
      <c r="B15" s="4" t="n"/>
      <c r="C15" s="5" t="n"/>
      <c r="D15" s="5" t="n"/>
      <c r="E15" s="5" t="n"/>
      <c r="F15" s="5">
        <f>D15+E15</f>
        <v/>
      </c>
      <c r="G15" s="5">
        <f>C15-F15</f>
        <v/>
      </c>
      <c r="H15" s="86">
        <f>IF(C15=0,"",F15/C15)</f>
        <v/>
      </c>
    </row>
    <row r="16">
      <c r="A16" s="85" t="n"/>
      <c r="B16" s="4" t="n"/>
      <c r="C16" s="5" t="n"/>
      <c r="D16" s="5" t="n"/>
      <c r="E16" s="5" t="n"/>
      <c r="F16" s="5">
        <f>D16+E16</f>
        <v/>
      </c>
      <c r="G16" s="5">
        <f>C16-F16</f>
        <v/>
      </c>
      <c r="H16" s="86">
        <f>IF(C16=0,"",F16/C16)</f>
        <v/>
      </c>
    </row>
    <row r="17">
      <c r="A17" s="85" t="n"/>
      <c r="B17" s="4" t="n"/>
      <c r="C17" s="5" t="n"/>
      <c r="D17" s="5" t="n"/>
      <c r="E17" s="5" t="n"/>
      <c r="F17" s="5">
        <f>D17+E17</f>
        <v/>
      </c>
      <c r="G17" s="5">
        <f>C17-F17</f>
        <v/>
      </c>
      <c r="H17" s="86">
        <f>IF(C17=0,"",F17/C17)</f>
        <v/>
      </c>
    </row>
    <row r="18">
      <c r="A18" s="85" t="n"/>
      <c r="B18" s="4" t="n"/>
      <c r="C18" s="5" t="n"/>
      <c r="D18" s="5" t="n"/>
      <c r="E18" s="5" t="n"/>
      <c r="F18" s="5">
        <f>D18+E18</f>
        <v/>
      </c>
      <c r="G18" s="5">
        <f>C18-F18</f>
        <v/>
      </c>
      <c r="H18" s="86">
        <f>IF(C18=0,"",F18/C18)</f>
        <v/>
      </c>
    </row>
    <row r="19">
      <c r="A19" s="85" t="n"/>
      <c r="B19" s="4" t="n"/>
      <c r="C19" s="5" t="n"/>
      <c r="D19" s="5" t="n"/>
      <c r="E19" s="5" t="n"/>
      <c r="F19" s="5">
        <f>D19+E19</f>
        <v/>
      </c>
      <c r="G19" s="5">
        <f>C19-F19</f>
        <v/>
      </c>
      <c r="H19" s="86">
        <f>IF(C19=0,"",F19/C19)</f>
        <v/>
      </c>
    </row>
    <row r="20">
      <c r="A20" s="85" t="n"/>
      <c r="B20" s="4" t="n"/>
      <c r="C20" s="5" t="n"/>
      <c r="D20" s="5" t="n"/>
      <c r="E20" s="5" t="n"/>
      <c r="F20" s="5">
        <f>D20+E20</f>
        <v/>
      </c>
      <c r="G20" s="5">
        <f>C20-F20</f>
        <v/>
      </c>
      <c r="H20" s="86">
        <f>IF(C20=0,"",F20/C20)</f>
        <v/>
      </c>
    </row>
    <row r="21">
      <c r="A21" s="85" t="n"/>
      <c r="B21" s="4" t="n"/>
      <c r="C21" s="5" t="n"/>
      <c r="D21" s="5" t="n"/>
      <c r="E21" s="5" t="n"/>
      <c r="F21" s="5">
        <f>D21+E21</f>
        <v/>
      </c>
      <c r="G21" s="5">
        <f>C21-F21</f>
        <v/>
      </c>
      <c r="H21" s="86">
        <f>IF(C21=0,"",F21/C21)</f>
        <v/>
      </c>
    </row>
    <row r="22">
      <c r="A22" s="85" t="n"/>
      <c r="B22" s="4" t="n"/>
      <c r="C22" s="5" t="n"/>
      <c r="D22" s="5" t="n"/>
      <c r="E22" s="5" t="n"/>
      <c r="F22" s="5">
        <f>D22+E22</f>
        <v/>
      </c>
      <c r="G22" s="5">
        <f>C22-F22</f>
        <v/>
      </c>
      <c r="H22" s="86">
        <f>IF(C22=0,"",F22/C22)</f>
        <v/>
      </c>
    </row>
    <row r="23">
      <c r="A23" s="87" t="n"/>
      <c r="B23" s="88" t="inlineStr">
        <is>
          <t>TOTAL</t>
        </is>
      </c>
      <c r="C23" s="89">
        <f>SUM(C9:C22)</f>
        <v/>
      </c>
      <c r="D23" s="89">
        <f>SUM(D9:D22)</f>
        <v/>
      </c>
      <c r="E23" s="89">
        <f>SUM(E9:E22)</f>
        <v/>
      </c>
      <c r="F23" s="89">
        <f>SUM(F9:F22)</f>
        <v/>
      </c>
      <c r="G23" s="89">
        <f>SUM(G9:G22)</f>
        <v/>
      </c>
      <c r="H23" s="90">
        <f>IF(C23=0,"",F23/C23)</f>
        <v/>
      </c>
    </row>
    <row r="24"/>
    <row r="25">
      <c r="A25" s="91" t="inlineStr">
        <is>
          <t>Remplir code et libellé suivant la nomenclature budgétaire du projet.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7" customWidth="1" min="2" max="2"/>
    <col width="20" customWidth="1" min="3" max="3"/>
  </cols>
  <sheetData>
    <row r="1" ht="12" customHeight="1">
      <c r="A1" s="48" t="inlineStr">
        <is>
          <t>- 5 -</t>
        </is>
      </c>
    </row>
    <row r="2" ht="26" customHeight="1">
      <c r="B2" s="49" t="inlineStr">
        <is>
          <t>RECONCILIATION
PROJETS DE
DEVELOPPEMENT</t>
        </is>
      </c>
      <c r="C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92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64" t="inlineStr">
        <is>
          <t>TABLEAU DE RECONCILIATION DE LA TRESORERIE</t>
        </is>
      </c>
      <c r="B7" s="65" t="n"/>
      <c r="C7" s="65" t="n"/>
    </row>
    <row r="8" ht="22" customHeight="1">
      <c r="A8" s="1" t="inlineStr">
        <is>
          <t>LIBELLE</t>
        </is>
      </c>
      <c r="B8" s="2" t="inlineStr">
        <is>
          <t>REP.</t>
        </is>
      </c>
      <c r="C8" s="3" t="inlineStr">
        <is>
          <t>MONTANT</t>
        </is>
      </c>
    </row>
    <row r="9" ht="22" customHeight="1">
      <c r="A9" s="93" t="inlineStr">
        <is>
          <t>TRÉSORERIE EN DÉBUT D'EXERCICE N</t>
        </is>
      </c>
      <c r="B9" s="67" t="inlineStr">
        <is>
          <t>A</t>
        </is>
      </c>
      <c r="C9" s="69">
        <f>SUMIF('BALANCE N-1'!$A$2:$A$50,"5*",'BALANCE N-1'!$F$2:$F$50)-SUMIF('BALANCE N-1'!$A$2:$A$50,"5*",'BALANCE N-1'!$G$2:$G$50)-SUMIF('BALANCE N-1'!$A$2:$A$50,"59*",'BALANCE N-1'!$F$2:$F$50)+SUMIF('BALANCE N-1'!$A$2:$A$50,"59*",'BALANCE N-1'!$G$2:$G$50)</f>
        <v/>
      </c>
    </row>
    <row r="10" ht="22" customHeight="1">
      <c r="A10" s="93" t="inlineStr">
        <is>
          <t>FONDS REÇUS DES BAILLEURS AU COURS DE L'EXERCICE N</t>
        </is>
      </c>
      <c r="B10" s="67" t="inlineStr">
        <is>
          <t>B</t>
        </is>
      </c>
      <c r="C10" s="69">
        <f>'Emplois-Ressources'!D9+'Emplois-Ressources'!D10+'Emplois-Ressources'!D11</f>
        <v/>
      </c>
    </row>
    <row r="11" ht="22" customHeight="1">
      <c r="A11" s="93" t="inlineStr">
        <is>
          <t>INTÉRÊTS REÇUS AU COURS DE L'EXERCICE N</t>
        </is>
      </c>
      <c r="B11" s="67" t="inlineStr">
        <is>
          <t>C</t>
        </is>
      </c>
      <c r="C11" s="69">
        <f>SUMIF('BALANCE N'!$A$2:$A$50,"77*",'BALANCE N'!$G$2:$G$50)-SUMIF('BALANCE N'!$A$2:$A$50,"77*",'BALANCE N'!$F$2:$F$50)</f>
        <v/>
      </c>
    </row>
    <row r="12" ht="22" customHeight="1">
      <c r="A12" s="93" t="inlineStr">
        <is>
          <t>AUTRES FONDS REÇUS AU COURS DE L'EXERCICE N</t>
        </is>
      </c>
      <c r="B12" s="67" t="inlineStr">
        <is>
          <t>D</t>
        </is>
      </c>
      <c r="C12" s="69">
        <f>'Emplois-Ressources'!D12</f>
        <v/>
      </c>
    </row>
    <row r="13" ht="22" customHeight="1">
      <c r="A13" s="93" t="inlineStr">
        <is>
          <t>VIREMENTS SUR COMPTES OPÉRATIONNELS</t>
        </is>
      </c>
      <c r="B13" s="67" t="inlineStr">
        <is>
          <t>E</t>
        </is>
      </c>
      <c r="C13" s="69" t="n"/>
    </row>
    <row r="14" ht="22" customHeight="1">
      <c r="A14" s="93" t="inlineStr">
        <is>
          <t>DÉPENSES DE L'EXERCICE N</t>
        </is>
      </c>
      <c r="B14" s="67" t="inlineStr">
        <is>
          <t>F</t>
        </is>
      </c>
      <c r="C14" s="69">
        <f>'Emplois-Ressources'!D32</f>
        <v/>
      </c>
    </row>
    <row r="15" ht="22" customHeight="1">
      <c r="A15" s="94" t="inlineStr">
        <is>
          <t>TRÉSORERIE EN FIN D'EXERCICE N (A+B+C+D-E-F)</t>
        </is>
      </c>
      <c r="B15" s="71" t="inlineStr">
        <is>
          <t>G</t>
        </is>
      </c>
      <c r="C15" s="73">
        <f>C9+C10+C11+C12-C13-C14</f>
        <v/>
      </c>
    </row>
    <row r="16" ht="22" customHeight="1">
      <c r="A16" s="93" t="inlineStr">
        <is>
          <t>PAIEMENTS EN INSTANCE</t>
        </is>
      </c>
      <c r="B16" s="67" t="inlineStr">
        <is>
          <t>H</t>
        </is>
      </c>
      <c r="C16" s="69" t="n"/>
    </row>
    <row r="17" ht="22" customHeight="1">
      <c r="A17" s="95" t="inlineStr">
        <is>
          <t>TRÉSORERIE NETTE DES PAIEMENTS EN INSTANCE (G-H)</t>
        </is>
      </c>
      <c r="B17" s="81" t="inlineStr">
        <is>
          <t>I</t>
        </is>
      </c>
      <c r="C17" s="83">
        <f>C15-C16</f>
        <v/>
      </c>
    </row>
    <row r="18"/>
    <row r="19">
      <c r="A19" s="91" t="inlineStr">
        <is>
          <t>Rappel balance - trésorerie de clôture (classe 5 nette) :</t>
        </is>
      </c>
      <c r="C19" s="96">
        <f>(SUMIF('BALANCE N'!$A$2:$A$50,"5*",'BALANCE N'!$F$2:$F$50)-SUMIF('BALANCE N'!$A$2:$A$50,"5*",'BALANCE N'!$G$2:$G$50)-SUMIF('BALANCE N'!$A$2:$A$50,"59*",'BALANCE N'!$F$2:$F$50)+SUMIF('BALANCE N'!$A$2:$A$50,"59*",'BALANCE N'!$G$2:$G$50))-(SUMIF('BALANCE N'!$A$2:$A$50,"59*",'BALANCE N'!$G$2:$G$50)-SUMIF('BALANCE N'!$A$2:$A$50,"599*",'BALANCE N'!$G$2:$G$50))</f>
        <v/>
      </c>
    </row>
    <row r="20">
      <c r="A20" s="91" t="inlineStr">
        <is>
          <t>Écart avec la ligne G (dépenses non décaissées, créances : à expliquer en NOTE 2) :</t>
        </is>
      </c>
      <c r="C20" s="96">
        <f>C15-C19</f>
        <v/>
      </c>
    </row>
  </sheetData>
  <mergeCells count="2">
    <mergeCell ref="A7:C7"/>
    <mergeCell ref="B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6" customWidth="1" min="3" max="3"/>
    <col width="13.5" customWidth="1" min="4" max="4"/>
    <col width="13.5" customWidth="1" min="5" max="5"/>
    <col width="5" customWidth="1" min="6" max="6"/>
    <col width="34" customWidth="1" min="7" max="7"/>
    <col width="6" customWidth="1" min="8" max="8"/>
    <col width="13.5" customWidth="1" min="9" max="9"/>
    <col width="13.5" customWidth="1" min="10" max="10"/>
  </cols>
  <sheetData>
    <row r="1" ht="12" customHeight="1">
      <c r="A1" s="48" t="inlineStr">
        <is>
          <t>- 6 -</t>
        </is>
      </c>
    </row>
    <row r="2" ht="26" customHeight="1">
      <c r="I2" s="49" t="inlineStr">
        <is>
          <t>BILAN PAGE 1/1
PROJETS DE
DEVELOPPEMENT</t>
        </is>
      </c>
      <c r="J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G4" s="39" t="n"/>
      <c r="I4" s="52" t="inlineStr">
        <is>
          <t>Sigle usuel :</t>
        </is>
      </c>
      <c r="J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G5" s="37" t="inlineStr">
        <is>
          <t>Exercice clos le 31-12-2025</t>
        </is>
      </c>
      <c r="I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C7" s="97" t="inlineStr">
        <is>
          <t>BILAN</t>
        </is>
      </c>
      <c r="D7" s="65" t="n"/>
      <c r="E7" s="65" t="n"/>
      <c r="F7" s="65" t="n"/>
      <c r="G7" s="65" t="n"/>
      <c r="H7" s="65" t="n"/>
    </row>
    <row r="8" ht="24" customHeight="1">
      <c r="A8" s="98" t="inlineStr">
        <is>
          <t>REF</t>
        </is>
      </c>
      <c r="B8" s="99" t="inlineStr">
        <is>
          <t>ACTIF</t>
        </is>
      </c>
      <c r="C8" s="99" t="inlineStr">
        <is>
          <t>NOTE</t>
        </is>
      </c>
      <c r="D8" s="99" t="inlineStr">
        <is>
          <t>NET</t>
        </is>
      </c>
      <c r="E8" s="100" t="inlineStr">
        <is>
          <t>NET N-1</t>
        </is>
      </c>
      <c r="F8" s="98" t="inlineStr">
        <is>
          <t>REF</t>
        </is>
      </c>
      <c r="G8" s="99" t="inlineStr">
        <is>
          <t>PASSIF</t>
        </is>
      </c>
      <c r="H8" s="99" t="inlineStr">
        <is>
          <t>NOTE</t>
        </is>
      </c>
      <c r="I8" s="99" t="inlineStr">
        <is>
          <t>NET</t>
        </is>
      </c>
      <c r="J8" s="100" t="inlineStr">
        <is>
          <t>NET N-1</t>
        </is>
      </c>
    </row>
    <row r="9" ht="24" customHeight="1">
      <c r="A9" s="101" t="n"/>
      <c r="B9" s="102" t="n"/>
      <c r="C9" s="102" t="n"/>
      <c r="D9" s="102" t="n"/>
      <c r="E9" s="103" t="n"/>
      <c r="F9" s="101" t="n"/>
      <c r="G9" s="102" t="n"/>
      <c r="H9" s="102" t="n"/>
      <c r="I9" s="102" t="n"/>
      <c r="J9" s="103" t="n"/>
    </row>
    <row r="10" ht="18" customHeight="1">
      <c r="A10" s="66" t="inlineStr">
        <is>
          <t>AA</t>
        </is>
      </c>
      <c r="B10" s="67" t="inlineStr">
        <is>
          <t>Immobilisations incorporelles</t>
        </is>
      </c>
      <c r="C10" s="67" t="inlineStr">
        <is>
          <t>3A</t>
        </is>
      </c>
      <c r="D10" s="68">
        <f>'Bilan-Actif'!D9</f>
        <v/>
      </c>
      <c r="E10" s="69">
        <f>'Bilan-Actif'!E9</f>
        <v/>
      </c>
      <c r="F10" s="66" t="inlineStr">
        <is>
          <t>CA</t>
        </is>
      </c>
      <c r="G10" s="67" t="inlineStr">
        <is>
          <t>Fonds affectes aux investissements</t>
        </is>
      </c>
      <c r="H10" s="67" t="inlineStr">
        <is>
          <t>9</t>
        </is>
      </c>
      <c r="I10" s="68">
        <f>'Bilan-Passif'!D9</f>
        <v/>
      </c>
      <c r="J10" s="69">
        <f>'Bilan-Passif'!E9</f>
        <v/>
      </c>
    </row>
    <row r="11" ht="18" customHeight="1">
      <c r="A11" s="66" t="inlineStr">
        <is>
          <t>AB</t>
        </is>
      </c>
      <c r="B11" s="67" t="inlineStr">
        <is>
          <t>Terrains et batiments</t>
        </is>
      </c>
      <c r="C11" s="67" t="inlineStr">
        <is>
          <t>3A</t>
        </is>
      </c>
      <c r="D11" s="68">
        <f>'Bilan-Actif'!D10</f>
        <v/>
      </c>
      <c r="E11" s="69">
        <f>'Bilan-Actif'!E10</f>
        <v/>
      </c>
      <c r="F11" s="66" t="inlineStr">
        <is>
          <t>CB</t>
        </is>
      </c>
      <c r="G11" s="67" t="inlineStr">
        <is>
          <t>Report a nouveau (+ ou -)</t>
        </is>
      </c>
      <c r="H11" s="67" t="inlineStr"/>
      <c r="I11" s="68">
        <f>'Bilan-Passif'!D10</f>
        <v/>
      </c>
      <c r="J11" s="69">
        <f>'Bilan-Passif'!E10</f>
        <v/>
      </c>
    </row>
    <row r="12" ht="18" customHeight="1">
      <c r="A12" s="66" t="inlineStr">
        <is>
          <t>AC</t>
        </is>
      </c>
      <c r="B12" s="67" t="inlineStr">
        <is>
          <t>Amenagements, agencements et installations</t>
        </is>
      </c>
      <c r="C12" s="67" t="inlineStr">
        <is>
          <t>3A</t>
        </is>
      </c>
      <c r="D12" s="68">
        <f>'Bilan-Actif'!D11</f>
        <v/>
      </c>
      <c r="E12" s="69">
        <f>'Bilan-Actif'!E11</f>
        <v/>
      </c>
      <c r="F12" s="66" t="inlineStr">
        <is>
          <t>CC</t>
        </is>
      </c>
      <c r="G12" s="67" t="inlineStr">
        <is>
          <t>Solde des operations de l'exercice</t>
        </is>
      </c>
      <c r="H12" s="67" t="inlineStr"/>
      <c r="I12" s="68">
        <f>'Bilan-Passif'!D11</f>
        <v/>
      </c>
      <c r="J12" s="69">
        <f>'Bilan-Passif'!E11</f>
        <v/>
      </c>
    </row>
    <row r="13" ht="18" customHeight="1">
      <c r="A13" s="66" t="inlineStr">
        <is>
          <t>AD</t>
        </is>
      </c>
      <c r="B13" s="67" t="inlineStr">
        <is>
          <t>Materiel, mobilier et actifs biologiques</t>
        </is>
      </c>
      <c r="C13" s="67" t="inlineStr">
        <is>
          <t>3A</t>
        </is>
      </c>
      <c r="D13" s="68">
        <f>'Bilan-Actif'!D12</f>
        <v/>
      </c>
      <c r="E13" s="69">
        <f>'Bilan-Actif'!E12</f>
        <v/>
      </c>
      <c r="F13" s="66" t="inlineStr">
        <is>
          <t>CD</t>
        </is>
      </c>
      <c r="G13" s="67" t="inlineStr">
        <is>
          <t>Subventions d'investissement</t>
        </is>
      </c>
      <c r="H13" s="67" t="inlineStr">
        <is>
          <t>10</t>
        </is>
      </c>
      <c r="I13" s="68">
        <f>'Bilan-Passif'!D12</f>
        <v/>
      </c>
      <c r="J13" s="69">
        <f>'Bilan-Passif'!E12</f>
        <v/>
      </c>
    </row>
    <row r="14" ht="18" customHeight="1">
      <c r="A14" s="66" t="inlineStr">
        <is>
          <t>AE</t>
        </is>
      </c>
      <c r="B14" s="67" t="inlineStr">
        <is>
          <t>Materiel de transport</t>
        </is>
      </c>
      <c r="C14" s="67" t="inlineStr">
        <is>
          <t>3A</t>
        </is>
      </c>
      <c r="D14" s="68">
        <f>'Bilan-Actif'!D13</f>
        <v/>
      </c>
      <c r="E14" s="69">
        <f>'Bilan-Actif'!E13</f>
        <v/>
      </c>
      <c r="F14" s="70" t="inlineStr">
        <is>
          <t>CZ</t>
        </is>
      </c>
      <c r="G14" s="74" t="inlineStr">
        <is>
          <t>TOTAL RESSOURCES PROPRES ET ASSIMILEES</t>
        </is>
      </c>
      <c r="H14" s="74" t="inlineStr"/>
      <c r="I14" s="75">
        <f>'Bilan-Passif'!D13</f>
        <v/>
      </c>
      <c r="J14" s="76">
        <f>'Bilan-Passif'!E13</f>
        <v/>
      </c>
    </row>
    <row r="15" ht="18" customHeight="1">
      <c r="A15" s="66" t="inlineStr">
        <is>
          <t>AF</t>
        </is>
      </c>
      <c r="B15" s="67" t="inlineStr">
        <is>
          <t>Avances et acomptes verses sur immobilisations</t>
        </is>
      </c>
      <c r="C15" s="67" t="inlineStr">
        <is>
          <t>3A</t>
        </is>
      </c>
      <c r="D15" s="68">
        <f>'Bilan-Actif'!D14</f>
        <v/>
      </c>
      <c r="E15" s="69">
        <f>'Bilan-Actif'!E14</f>
        <v/>
      </c>
      <c r="F15" s="66" t="inlineStr">
        <is>
          <t>DA</t>
        </is>
      </c>
      <c r="G15" s="67" t="inlineStr">
        <is>
          <t>Emprunts et dettes assimilees</t>
        </is>
      </c>
      <c r="H15" s="67" t="inlineStr">
        <is>
          <t>11</t>
        </is>
      </c>
      <c r="I15" s="68">
        <f>'Bilan-Passif'!D14</f>
        <v/>
      </c>
      <c r="J15" s="69">
        <f>'Bilan-Passif'!E14</f>
        <v/>
      </c>
    </row>
    <row r="16" ht="18" customHeight="1">
      <c r="A16" s="66" t="inlineStr">
        <is>
          <t>AG</t>
        </is>
      </c>
      <c r="B16" s="67" t="inlineStr">
        <is>
          <t>Depots et cautionnements</t>
        </is>
      </c>
      <c r="C16" s="67" t="inlineStr">
        <is>
          <t>3A</t>
        </is>
      </c>
      <c r="D16" s="68">
        <f>'Bilan-Actif'!D15</f>
        <v/>
      </c>
      <c r="E16" s="69">
        <f>'Bilan-Actif'!E15</f>
        <v/>
      </c>
      <c r="F16" s="66" t="inlineStr">
        <is>
          <t>DB</t>
        </is>
      </c>
      <c r="G16" s="67" t="inlineStr">
        <is>
          <t>Provisions pour risques et charges</t>
        </is>
      </c>
      <c r="H16" s="67" t="inlineStr">
        <is>
          <t>11</t>
        </is>
      </c>
      <c r="I16" s="68">
        <f>'Bilan-Passif'!D15</f>
        <v/>
      </c>
      <c r="J16" s="69">
        <f>'Bilan-Passif'!E15</f>
        <v/>
      </c>
    </row>
    <row r="17" ht="18" customHeight="1">
      <c r="A17" s="66" t="inlineStr">
        <is>
          <t>AH</t>
        </is>
      </c>
      <c r="B17" s="67" t="inlineStr">
        <is>
          <t>Autres immobilisations corporelles et financieres</t>
        </is>
      </c>
      <c r="C17" s="67" t="inlineStr">
        <is>
          <t>3A</t>
        </is>
      </c>
      <c r="D17" s="68">
        <f>'Bilan-Actif'!D16</f>
        <v/>
      </c>
      <c r="E17" s="69">
        <f>'Bilan-Actif'!E16</f>
        <v/>
      </c>
      <c r="F17" s="70" t="inlineStr">
        <is>
          <t>DC</t>
        </is>
      </c>
      <c r="G17" s="74" t="inlineStr">
        <is>
          <t>TOTAL DETTES FINANCIERES ET RESSOURCES ASSIMILEES</t>
        </is>
      </c>
      <c r="H17" s="74" t="inlineStr"/>
      <c r="I17" s="75">
        <f>'Bilan-Passif'!D16</f>
        <v/>
      </c>
      <c r="J17" s="76">
        <f>'Bilan-Passif'!E16</f>
        <v/>
      </c>
    </row>
    <row r="18" ht="18" customHeight="1">
      <c r="A18" s="70" t="inlineStr">
        <is>
          <t>AZ</t>
        </is>
      </c>
      <c r="B18" s="71" t="inlineStr">
        <is>
          <t>TOTAL ACTIF IMMOBILISE</t>
        </is>
      </c>
      <c r="C18" s="71" t="inlineStr"/>
      <c r="D18" s="72">
        <f>'Bilan-Actif'!D17</f>
        <v/>
      </c>
      <c r="E18" s="73">
        <f>'Bilan-Actif'!E17</f>
        <v/>
      </c>
      <c r="F18" s="70" t="inlineStr">
        <is>
          <t>DD</t>
        </is>
      </c>
      <c r="G18" s="71" t="inlineStr">
        <is>
          <t>TOTAL RESSOURCES STABLES</t>
        </is>
      </c>
      <c r="H18" s="71" t="inlineStr"/>
      <c r="I18" s="72">
        <f>'Bilan-Passif'!D17</f>
        <v/>
      </c>
      <c r="J18" s="73">
        <f>'Bilan-Passif'!E17</f>
        <v/>
      </c>
    </row>
    <row r="19" ht="18" customHeight="1">
      <c r="A19" s="66" t="inlineStr">
        <is>
          <t>BA</t>
        </is>
      </c>
      <c r="B19" s="67" t="inlineStr">
        <is>
          <t>Actif circulant HAO</t>
        </is>
      </c>
      <c r="C19" s="67" t="inlineStr">
        <is>
          <t>4</t>
        </is>
      </c>
      <c r="D19" s="68">
        <f>'Bilan-Actif'!D18</f>
        <v/>
      </c>
      <c r="E19" s="69">
        <f>'Bilan-Actif'!E18</f>
        <v/>
      </c>
      <c r="F19" s="66" t="inlineStr">
        <is>
          <t>DE</t>
        </is>
      </c>
      <c r="G19" s="67" t="inlineStr">
        <is>
          <t>Dettes circulantes HAO</t>
        </is>
      </c>
      <c r="H19" s="67" t="inlineStr">
        <is>
          <t>4</t>
        </is>
      </c>
      <c r="I19" s="68">
        <f>'Bilan-Passif'!D18</f>
        <v/>
      </c>
      <c r="J19" s="69">
        <f>'Bilan-Passif'!E18</f>
        <v/>
      </c>
    </row>
    <row r="20" ht="18" customHeight="1">
      <c r="A20" s="66" t="inlineStr">
        <is>
          <t>BB</t>
        </is>
      </c>
      <c r="B20" s="67" t="inlineStr">
        <is>
          <t>Stocks et encours</t>
        </is>
      </c>
      <c r="C20" s="67" t="inlineStr">
        <is>
          <t>5</t>
        </is>
      </c>
      <c r="D20" s="68">
        <f>'Bilan-Actif'!D19</f>
        <v/>
      </c>
      <c r="E20" s="69">
        <f>'Bilan-Actif'!E19</f>
        <v/>
      </c>
      <c r="F20" s="66" t="inlineStr">
        <is>
          <t>DF</t>
        </is>
      </c>
      <c r="G20" s="67" t="inlineStr">
        <is>
          <t>Fonds d'administration</t>
        </is>
      </c>
      <c r="H20" s="67" t="inlineStr">
        <is>
          <t>9</t>
        </is>
      </c>
      <c r="I20" s="68">
        <f>'Bilan-Passif'!D19</f>
        <v/>
      </c>
      <c r="J20" s="69">
        <f>'Bilan-Passif'!E19</f>
        <v/>
      </c>
    </row>
    <row r="21" ht="18" customHeight="1">
      <c r="A21" s="66" t="inlineStr">
        <is>
          <t>BC</t>
        </is>
      </c>
      <c r="B21" s="67" t="inlineStr">
        <is>
          <t>Fournisseurs debiteurs</t>
        </is>
      </c>
      <c r="C21" s="67" t="inlineStr">
        <is>
          <t>6</t>
        </is>
      </c>
      <c r="D21" s="68">
        <f>'Bilan-Actif'!D20</f>
        <v/>
      </c>
      <c r="E21" s="69">
        <f>'Bilan-Actif'!E20</f>
        <v/>
      </c>
      <c r="F21" s="66" t="inlineStr">
        <is>
          <t>DG</t>
        </is>
      </c>
      <c r="G21" s="67" t="inlineStr">
        <is>
          <t>Fournisseurs</t>
        </is>
      </c>
      <c r="H21" s="67" t="inlineStr">
        <is>
          <t>12</t>
        </is>
      </c>
      <c r="I21" s="68">
        <f>'Bilan-Passif'!D20</f>
        <v/>
      </c>
      <c r="J21" s="69">
        <f>'Bilan-Passif'!E20</f>
        <v/>
      </c>
    </row>
    <row r="22" ht="18" customHeight="1">
      <c r="A22" s="66" t="inlineStr">
        <is>
          <t>BD</t>
        </is>
      </c>
      <c r="B22" s="67" t="inlineStr">
        <is>
          <t>Clients-usagers</t>
        </is>
      </c>
      <c r="C22" s="67" t="inlineStr">
        <is>
          <t>6</t>
        </is>
      </c>
      <c r="D22" s="68">
        <f>'Bilan-Actif'!D21</f>
        <v/>
      </c>
      <c r="E22" s="69">
        <f>'Bilan-Actif'!E21</f>
        <v/>
      </c>
      <c r="F22" s="66" t="inlineStr">
        <is>
          <t>DH</t>
        </is>
      </c>
      <c r="G22" s="67" t="inlineStr">
        <is>
          <t>Autres dettes</t>
        </is>
      </c>
      <c r="H22" s="67" t="inlineStr">
        <is>
          <t>12</t>
        </is>
      </c>
      <c r="I22" s="68">
        <f>'Bilan-Passif'!D21</f>
        <v/>
      </c>
      <c r="J22" s="69">
        <f>'Bilan-Passif'!E21</f>
        <v/>
      </c>
    </row>
    <row r="23" ht="18" customHeight="1">
      <c r="A23" s="66" t="inlineStr">
        <is>
          <t>BE</t>
        </is>
      </c>
      <c r="B23" s="67" t="inlineStr">
        <is>
          <t>Autres creances</t>
        </is>
      </c>
      <c r="C23" s="67" t="inlineStr">
        <is>
          <t>6</t>
        </is>
      </c>
      <c r="D23" s="68">
        <f>'Bilan-Actif'!D22</f>
        <v/>
      </c>
      <c r="E23" s="69">
        <f>'Bilan-Actif'!E22</f>
        <v/>
      </c>
      <c r="F23" s="66" t="inlineStr">
        <is>
          <t>DI</t>
        </is>
      </c>
      <c r="G23" s="67" t="inlineStr">
        <is>
          <t>Provisions pour risques et charges a court terme</t>
        </is>
      </c>
      <c r="H23" s="67" t="inlineStr"/>
      <c r="I23" s="68">
        <f>'Bilan-Passif'!D22</f>
        <v/>
      </c>
      <c r="J23" s="69">
        <f>'Bilan-Passif'!E22</f>
        <v/>
      </c>
    </row>
    <row r="24" ht="18" customHeight="1">
      <c r="A24" s="70" t="inlineStr">
        <is>
          <t>BF</t>
        </is>
      </c>
      <c r="B24" s="71" t="inlineStr">
        <is>
          <t>TOTAL ACTIF CIRCULANT</t>
        </is>
      </c>
      <c r="C24" s="71" t="inlineStr"/>
      <c r="D24" s="72">
        <f>'Bilan-Actif'!D23</f>
        <v/>
      </c>
      <c r="E24" s="73">
        <f>'Bilan-Actif'!E23</f>
        <v/>
      </c>
      <c r="F24" s="70" t="inlineStr">
        <is>
          <t>DJ</t>
        </is>
      </c>
      <c r="G24" s="71" t="inlineStr">
        <is>
          <t>TOTAL PASSIF CIRCULANT</t>
        </is>
      </c>
      <c r="H24" s="71" t="inlineStr"/>
      <c r="I24" s="72">
        <f>'Bilan-Passif'!D23</f>
        <v/>
      </c>
      <c r="J24" s="73">
        <f>'Bilan-Passif'!E23</f>
        <v/>
      </c>
    </row>
    <row r="25" ht="18" customHeight="1">
      <c r="A25" s="66" t="inlineStr">
        <is>
          <t>BV</t>
        </is>
      </c>
      <c r="B25" s="67" t="inlineStr">
        <is>
          <t>Valeurs a encaisser</t>
        </is>
      </c>
      <c r="C25" s="67" t="inlineStr">
        <is>
          <t>7</t>
        </is>
      </c>
      <c r="D25" s="68">
        <f>'Bilan-Actif'!D24</f>
        <v/>
      </c>
      <c r="E25" s="69">
        <f>'Bilan-Actif'!E24</f>
        <v/>
      </c>
      <c r="F25" s="66" t="inlineStr">
        <is>
          <t>DW</t>
        </is>
      </c>
      <c r="G25" s="67" t="inlineStr">
        <is>
          <t>Banques, etablissements financiers et credits de tresorerie</t>
        </is>
      </c>
      <c r="H25" s="67" t="inlineStr">
        <is>
          <t>13</t>
        </is>
      </c>
      <c r="I25" s="68">
        <f>'Bilan-Passif'!D24</f>
        <v/>
      </c>
      <c r="J25" s="69">
        <f>'Bilan-Passif'!E24</f>
        <v/>
      </c>
    </row>
    <row r="26" ht="18" customHeight="1">
      <c r="A26" s="66" t="inlineStr">
        <is>
          <t>BW</t>
        </is>
      </c>
      <c r="B26" s="67" t="inlineStr">
        <is>
          <t>Banques, etablissements financiers, caisses et assimiles</t>
        </is>
      </c>
      <c r="C26" s="67" t="inlineStr">
        <is>
          <t>7</t>
        </is>
      </c>
      <c r="D26" s="68">
        <f>'Bilan-Actif'!D25</f>
        <v/>
      </c>
      <c r="E26" s="69">
        <f>'Bilan-Actif'!E25</f>
        <v/>
      </c>
      <c r="F26" s="70" t="inlineStr">
        <is>
          <t>DX</t>
        </is>
      </c>
      <c r="G26" s="71" t="inlineStr">
        <is>
          <t>TOTAL TRESORERIE PASSIF</t>
        </is>
      </c>
      <c r="H26" s="71" t="inlineStr"/>
      <c r="I26" s="72">
        <f>'Bilan-Passif'!D25</f>
        <v/>
      </c>
      <c r="J26" s="73">
        <f>'Bilan-Passif'!E25</f>
        <v/>
      </c>
    </row>
    <row r="27" ht="18" customHeight="1">
      <c r="A27" s="70" t="inlineStr">
        <is>
          <t>BX</t>
        </is>
      </c>
      <c r="B27" s="71" t="inlineStr">
        <is>
          <t>TOTAL TRESORERIE ACTIF</t>
        </is>
      </c>
      <c r="C27" s="71" t="inlineStr"/>
      <c r="D27" s="72">
        <f>'Bilan-Actif'!D26</f>
        <v/>
      </c>
      <c r="E27" s="73">
        <f>'Bilan-Actif'!E26</f>
        <v/>
      </c>
      <c r="F27" s="66" t="inlineStr">
        <is>
          <t>DY</t>
        </is>
      </c>
      <c r="G27" s="67" t="inlineStr">
        <is>
          <t>Ecart de conversion-Passif</t>
        </is>
      </c>
      <c r="H27" s="67" t="inlineStr">
        <is>
          <t>8</t>
        </is>
      </c>
      <c r="I27" s="68">
        <f>'Bilan-Passif'!D26</f>
        <v/>
      </c>
      <c r="J27" s="69">
        <f>'Bilan-Passif'!E26</f>
        <v/>
      </c>
    </row>
    <row r="28" ht="18" customHeight="1">
      <c r="A28" s="66" t="inlineStr">
        <is>
          <t>BY</t>
        </is>
      </c>
      <c r="B28" s="67" t="inlineStr">
        <is>
          <t>Ecart de conversion-Actif</t>
        </is>
      </c>
      <c r="C28" s="67" t="inlineStr">
        <is>
          <t>8</t>
        </is>
      </c>
      <c r="D28" s="68">
        <f>'Bilan-Actif'!D27</f>
        <v/>
      </c>
      <c r="E28" s="69">
        <f>'Bilan-Actif'!E27</f>
        <v/>
      </c>
      <c r="F28" s="80" t="inlineStr">
        <is>
          <t>DZ</t>
        </is>
      </c>
      <c r="G28" s="81" t="inlineStr">
        <is>
          <t>TOTAL GENERAL</t>
        </is>
      </c>
      <c r="H28" s="81" t="inlineStr"/>
      <c r="I28" s="82">
        <f>'Bilan-Passif'!D27</f>
        <v/>
      </c>
      <c r="J28" s="83">
        <f>'Bilan-Passif'!E27</f>
        <v/>
      </c>
    </row>
    <row r="29" ht="18" customHeight="1">
      <c r="A29" s="80" t="inlineStr">
        <is>
          <t>BZ</t>
        </is>
      </c>
      <c r="B29" s="81" t="inlineStr">
        <is>
          <t>TOTAL GENERAL</t>
        </is>
      </c>
      <c r="C29" s="81" t="inlineStr"/>
      <c r="D29" s="82">
        <f>'Bilan-Actif'!D28</f>
        <v/>
      </c>
      <c r="E29" s="83">
        <f>'Bilan-Actif'!E28</f>
        <v/>
      </c>
      <c r="F29" s="15" t="n"/>
      <c r="G29" s="28" t="n"/>
      <c r="H29" s="28" t="n"/>
      <c r="I29" s="28" t="n"/>
      <c r="J29" s="29" t="n"/>
    </row>
  </sheetData>
  <mergeCells count="13">
    <mergeCell ref="A8:A9"/>
    <mergeCell ref="E8:E9"/>
    <mergeCell ref="C8:C9"/>
    <mergeCell ref="H8:H9"/>
    <mergeCell ref="F8:F9"/>
    <mergeCell ref="G8:G9"/>
    <mergeCell ref="I8:I9"/>
    <mergeCell ref="I2:J2"/>
    <mergeCell ref="J8:J9"/>
    <mergeCell ref="D8:D9"/>
    <mergeCell ref="B4:G4"/>
    <mergeCell ref="B8:B9"/>
    <mergeCell ref="C7:H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.5" customWidth="1" min="1" max="1"/>
    <col width="56" customWidth="1" min="2" max="2"/>
    <col width="6.5" customWidth="1" min="3" max="3"/>
    <col width="15.7" customWidth="1" min="4" max="4"/>
    <col width="15.7" customWidth="1" min="5" max="5"/>
  </cols>
  <sheetData>
    <row r="1" ht="12" customHeight="1">
      <c r="A1" s="48" t="inlineStr">
        <is>
          <t>- 7 -</t>
        </is>
      </c>
    </row>
    <row r="2" ht="26" customHeight="1">
      <c r="D2" s="49" t="inlineStr">
        <is>
          <t>BILAN PAGE 1/2
PROJETS DE
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97" t="inlineStr">
        <is>
          <t>BILAN (EN NET)</t>
        </is>
      </c>
      <c r="B7" s="65" t="n"/>
      <c r="C7" s="65" t="n"/>
      <c r="D7" s="65" t="n"/>
      <c r="E7" s="65" t="n"/>
    </row>
    <row r="8" ht="30" customHeight="1">
      <c r="A8" s="1" t="inlineStr">
        <is>
          <t>REF</t>
        </is>
      </c>
      <c r="B8" s="2" t="inlineStr">
        <is>
          <t>ACTIF</t>
        </is>
      </c>
      <c r="C8" s="2" t="inlineStr">
        <is>
          <t>NOTE</t>
        </is>
      </c>
      <c r="D8" s="2" t="inlineStr">
        <is>
          <t>EXERCICE AU 31/12/N</t>
        </is>
      </c>
      <c r="E8" s="3" t="inlineStr">
        <is>
          <t>EXERCICE AU 31/12/N-1</t>
        </is>
      </c>
    </row>
    <row r="9" ht="22" customHeight="1">
      <c r="A9" s="66" t="inlineStr">
        <is>
          <t>AA</t>
        </is>
      </c>
      <c r="B9" s="67" t="inlineStr">
        <is>
          <t>Immobilisations incorporelles</t>
        </is>
      </c>
      <c r="C9" s="104" t="inlineStr">
        <is>
          <t>3A</t>
        </is>
      </c>
      <c r="D9" s="68">
        <f>((SUMIF('BALANCE N'!$A$2:$A$50,"21*",'BALANCE N'!$F$2:$F$50)-SUMIF('BALANCE N'!$A$2:$A$50,"21*",'BALANCE N'!$G$2:$G$50)))-((SUMIF('BALANCE N'!$A$2:$A$50,"291*",'BALANCE N'!$G$2:$G$50)-SUMIF('BALANCE N'!$A$2:$A$50,"291*",'BALANCE N'!$F$2:$F$50)+SUMIF('BALANCE N'!$A$2:$A$50,"281*",'BALANCE N'!$G$2:$G$50)-SUMIF('BALANCE N'!$A$2:$A$50,"281*",'BALANCE N'!$F$2:$F$50)))</f>
        <v/>
      </c>
      <c r="E9" s="69">
        <f>((SUMIF('BALANCE N-1'!$A$2:$A$50,"21*",'BALANCE N-1'!$F$2:$F$50)-SUMIF('BALANCE N-1'!$A$2:$A$50,"21*",'BALANCE N-1'!$G$2:$G$50)))-((SUMIF('BALANCE N-1'!$A$2:$A$50,"291*",'BALANCE N-1'!$G$2:$G$50)-SUMIF('BALANCE N-1'!$A$2:$A$50,"291*",'BALANCE N-1'!$F$2:$F$50)+SUMIF('BALANCE N-1'!$A$2:$A$50,"281*",'BALANCE N-1'!$G$2:$G$50)-SUMIF('BALANCE N-1'!$A$2:$A$50,"281*",'BALANCE N-1'!$F$2:$F$50)))</f>
        <v/>
      </c>
    </row>
    <row r="10" ht="22" customHeight="1">
      <c r="A10" s="66" t="inlineStr">
        <is>
          <t>AB</t>
        </is>
      </c>
      <c r="B10" s="67" t="inlineStr">
        <is>
          <t>Terrains et batiments</t>
        </is>
      </c>
      <c r="C10" s="104" t="inlineStr">
        <is>
          <t>3A</t>
        </is>
      </c>
      <c r="D10" s="68">
        <f>((SUMIF('BALANCE N'!$A$2:$A$50,"22*",'BALANCE N'!$F$2:$F$50)-SUMIF('BALANCE N'!$A$2:$A$50,"22*",'BALANCE N'!$G$2:$G$50)+SUMIF('BALANCE N'!$A$2:$A$50,"231*",'BALANCE N'!$F$2:$F$50)-SUMIF('BALANCE N'!$A$2:$A$50,"231*",'BALANCE N'!$G$2:$G$50)+SUMIF('BALANCE N'!$A$2:$A$50,"232*",'BALANCE N'!$F$2:$F$50)-SUMIF('BALANCE N'!$A$2:$A$50,"232*",'BALANCE N'!$G$2:$G$50)+SUMIF('BALANCE N'!$A$2:$A$50,"233*",'BALANCE N'!$F$2:$F$50)-SUMIF('BALANCE N'!$A$2:$A$50,"233*",'BALANCE N'!$G$2:$G$50)+SUMIF('BALANCE N'!$A$2:$A$50,"2393*",'BALANCE N'!$F$2:$F$50)-SUMIF('BALANCE N'!$A$2:$A$50,"2393*",'BALANCE N'!$G$2:$G$50)+SUMIF('BALANCE N'!$A$2:$A$50,"2396*",'BALANCE N'!$F$2:$F$50)-SUMIF('BALANCE N'!$A$2:$A$50,"2396*",'BALANCE N'!$G$2:$G$50)+SUMIF('BALANCE N'!$A$2:$A$50,"2391*",'BALANCE N'!$F$2:$F$50)-SUMIF('BALANCE N'!$A$2:$A$50,"2391*",'BALANCE N'!$G$2:$G$50)+SUMIF('BALANCE N'!$A$2:$A$50,"2392*",'BALANCE N'!$F$2:$F$50)-SUMIF('BALANCE N'!$A$2:$A$50,"2392*",'BALANCE N'!$G$2:$G$50)))-((SUMIF('BALANCE N'!$A$2:$A$50,"282*",'BALANCE N'!$G$2:$G$50)-SUMIF('BALANCE N'!$A$2:$A$50,"282*",'BALANCE N'!$F$2:$F$50)+SUMIF('BALANCE N'!$A$2:$A$50,"292*",'BALANCE N'!$G$2:$G$50)-SUMIF('BALANCE N'!$A$2:$A$50,"292*",'BALANCE N'!$F$2:$F$50)+SUMIF('BALANCE N'!$A$2:$A$50,"2933*",'BALANCE N'!$G$2:$G$50)-SUMIF('BALANCE N'!$A$2:$A$50,"2933*",'BALANCE N'!$F$2:$F$50)+SUMIF('BALANCE N'!$A$2:$A$50,"2932*",'BALANCE N'!$G$2:$G$50)-SUMIF('BALANCE N'!$A$2:$A$50,"2932*",'BALANCE N'!$F$2:$F$50)+SUMIF('BALANCE N'!$A$2:$A$50,"2832*",'BALANCE N'!$G$2:$G$50)-SUMIF('BALANCE N'!$A$2:$A$50,"2832*",'BALANCE N'!$F$2:$F$50)+SUMIF('BALANCE N'!$A$2:$A$50,"2831*",'BALANCE N'!$G$2:$G$50)-SUMIF('BALANCE N'!$A$2:$A$50,"2831*",'BALANCE N'!$F$2:$F$50)+SUMIF('BALANCE N'!$A$2:$A$50,"2833*",'BALANCE N'!$G$2:$G$50)-SUMIF('BALANCE N'!$A$2:$A$50,"2833*",'BALANCE N'!$F$2:$F$50)+SUMIF('BALANCE N'!$A$2:$A$50,"2931*",'BALANCE N'!$G$2:$G$50)-SUMIF('BALANCE N'!$A$2:$A$50,"2931*",'BALANCE N'!$F$2:$F$50)+SUMIF('BALANCE N'!$A$2:$A$50,"2939*",'BALANCE N'!$G$2:$G$50)-SUMIF('BALANCE N'!$A$2:$A$50,"2939*",'BALANCE N'!$F$2:$F$50)))</f>
        <v/>
      </c>
      <c r="E10" s="69">
        <f>((SUMIF('BALANCE N-1'!$A$2:$A$50,"22*",'BALANCE N-1'!$F$2:$F$50)-SUMIF('BALANCE N-1'!$A$2:$A$50,"22*",'BALANCE N-1'!$G$2:$G$50)+SUMIF('BALANCE N-1'!$A$2:$A$50,"231*",'BALANCE N-1'!$F$2:$F$50)-SUMIF('BALANCE N-1'!$A$2:$A$50,"231*",'BALANCE N-1'!$G$2:$G$50)+SUMIF('BALANCE N-1'!$A$2:$A$50,"232*",'BALANCE N-1'!$F$2:$F$50)-SUMIF('BALANCE N-1'!$A$2:$A$50,"232*",'BALANCE N-1'!$G$2:$G$50)+SUMIF('BALANCE N-1'!$A$2:$A$50,"233*",'BALANCE N-1'!$F$2:$F$50)-SUMIF('BALANCE N-1'!$A$2:$A$50,"233*",'BALANCE N-1'!$G$2:$G$50)+SUMIF('BALANCE N-1'!$A$2:$A$50,"2393*",'BALANCE N-1'!$F$2:$F$50)-SUMIF('BALANCE N-1'!$A$2:$A$50,"2393*",'BALANCE N-1'!$G$2:$G$50)+SUMIF('BALANCE N-1'!$A$2:$A$50,"2396*",'BALANCE N-1'!$F$2:$F$50)-SUMIF('BALANCE N-1'!$A$2:$A$50,"2396*",'BALANCE N-1'!$G$2:$G$50)+SUMIF('BALANCE N-1'!$A$2:$A$50,"2391*",'BALANCE N-1'!$F$2:$F$50)-SUMIF('BALANCE N-1'!$A$2:$A$50,"2391*",'BALANCE N-1'!$G$2:$G$50)+SUMIF('BALANCE N-1'!$A$2:$A$50,"2392*",'BALANCE N-1'!$F$2:$F$50)-SUMIF('BALANCE N-1'!$A$2:$A$50,"2392*",'BALANCE N-1'!$G$2:$G$50)))-((SUMIF('BALANCE N-1'!$A$2:$A$50,"282*",'BALANCE N-1'!$G$2:$G$50)-SUMIF('BALANCE N-1'!$A$2:$A$50,"282*",'BALANCE N-1'!$F$2:$F$50)+SUMIF('BALANCE N-1'!$A$2:$A$50,"292*",'BALANCE N-1'!$G$2:$G$50)-SUMIF('BALANCE N-1'!$A$2:$A$50,"292*",'BALANCE N-1'!$F$2:$F$50)+SUMIF('BALANCE N-1'!$A$2:$A$50,"2933*",'BALANCE N-1'!$G$2:$G$50)-SUMIF('BALANCE N-1'!$A$2:$A$50,"2933*",'BALANCE N-1'!$F$2:$F$50)+SUMIF('BALANCE N-1'!$A$2:$A$50,"2932*",'BALANCE N-1'!$G$2:$G$50)-SUMIF('BALANCE N-1'!$A$2:$A$50,"2932*",'BALANCE N-1'!$F$2:$F$50)+SUMIF('BALANCE N-1'!$A$2:$A$50,"2832*",'BALANCE N-1'!$G$2:$G$50)-SUMIF('BALANCE N-1'!$A$2:$A$50,"2832*",'BALANCE N-1'!$F$2:$F$50)+SUMIF('BALANCE N-1'!$A$2:$A$50,"2831*",'BALANCE N-1'!$G$2:$G$50)-SUMIF('BALANCE N-1'!$A$2:$A$50,"2831*",'BALANCE N-1'!$F$2:$F$50)+SUMIF('BALANCE N-1'!$A$2:$A$50,"2833*",'BALANCE N-1'!$G$2:$G$50)-SUMIF('BALANCE N-1'!$A$2:$A$50,"2833*",'BALANCE N-1'!$F$2:$F$50)+SUMIF('BALANCE N-1'!$A$2:$A$50,"2931*",'BALANCE N-1'!$G$2:$G$50)-SUMIF('BALANCE N-1'!$A$2:$A$50,"2931*",'BALANCE N-1'!$F$2:$F$50)+SUMIF('BALANCE N-1'!$A$2:$A$50,"2939*",'BALANCE N-1'!$G$2:$G$50)-SUMIF('BALANCE N-1'!$A$2:$A$50,"2939*",'BALANCE N-1'!$F$2:$F$50)))</f>
        <v/>
      </c>
    </row>
    <row r="11" ht="22" customHeight="1">
      <c r="A11" s="66" t="inlineStr">
        <is>
          <t>AC</t>
        </is>
      </c>
      <c r="B11" s="67" t="inlineStr">
        <is>
          <t>Amenagements, agencements et installations</t>
        </is>
      </c>
      <c r="C11" s="104" t="inlineStr">
        <is>
          <t>3A</t>
        </is>
      </c>
      <c r="D11" s="68">
        <f>((SUMIF('BALANCE N'!$A$2:$A$50,"238*",'BALANCE N'!$F$2:$F$50)-SUMIF('BALANCE N'!$A$2:$A$50,"238*",'BALANCE N'!$G$2:$G$50)+SUMIF('BALANCE N'!$A$2:$A$50,"234*",'BALANCE N'!$F$2:$F$50)-SUMIF('BALANCE N'!$A$2:$A$50,"234*",'BALANCE N'!$G$2:$G$50)+SUMIF('BALANCE N'!$A$2:$A$50,"235*",'BALANCE N'!$F$2:$F$50)-SUMIF('BALANCE N'!$A$2:$A$50,"235*",'BALANCE N'!$G$2:$G$50)+SUMIF('BALANCE N'!$A$2:$A$50,"2394*",'BALANCE N'!$F$2:$F$50)-SUMIF('BALANCE N'!$A$2:$A$50,"2394*",'BALANCE N'!$G$2:$G$50)+SUMIF('BALANCE N'!$A$2:$A$50,"2398*",'BALANCE N'!$F$2:$F$50)-SUMIF('BALANCE N'!$A$2:$A$50,"2398*",'BALANCE N'!$G$2:$G$50)+SUMIF('BALANCE N'!$A$2:$A$50,"2395*",'BALANCE N'!$F$2:$F$50)-SUMIF('BALANCE N'!$A$2:$A$50,"2395*",'BALANCE N'!$G$2:$G$50)))-((SUMIF('BALANCE N'!$A$2:$A$50,"2834*",'BALANCE N'!$G$2:$G$50)-SUMIF('BALANCE N'!$A$2:$A$50,"2834*",'BALANCE N'!$F$2:$F$50)+SUMIF('BALANCE N'!$A$2:$A$50,"2838*",'BALANCE N'!$G$2:$G$50)-SUMIF('BALANCE N'!$A$2:$A$50,"2838*",'BALANCE N'!$F$2:$F$50)+SUMIF('BALANCE N'!$A$2:$A$50,"2935*",'BALANCE N'!$G$2:$G$50)-SUMIF('BALANCE N'!$A$2:$A$50,"2935*",'BALANCE N'!$F$2:$F$50)+SUMIF('BALANCE N'!$A$2:$A$50,"2934*",'BALANCE N'!$G$2:$G$50)-SUMIF('BALANCE N'!$A$2:$A$50,"2934*",'BALANCE N'!$F$2:$F$50)+SUMIF('BALANCE N'!$A$2:$A$50,"2938*",'BALANCE N'!$G$2:$G$50)-SUMIF('BALANCE N'!$A$2:$A$50,"2938*",'BALANCE N'!$F$2:$F$50)+SUMIF('BALANCE N'!$A$2:$A$50,"2835*",'BALANCE N'!$G$2:$G$50)-SUMIF('BALANCE N'!$A$2:$A$50,"2835*",'BALANCE N'!$F$2:$F$50)))</f>
        <v/>
      </c>
      <c r="E11" s="69">
        <f>((SUMIF('BALANCE N-1'!$A$2:$A$50,"238*",'BALANCE N-1'!$F$2:$F$50)-SUMIF('BALANCE N-1'!$A$2:$A$50,"238*",'BALANCE N-1'!$G$2:$G$50)+SUMIF('BALANCE N-1'!$A$2:$A$50,"234*",'BALANCE N-1'!$F$2:$F$50)-SUMIF('BALANCE N-1'!$A$2:$A$50,"234*",'BALANCE N-1'!$G$2:$G$50)+SUMIF('BALANCE N-1'!$A$2:$A$50,"235*",'BALANCE N-1'!$F$2:$F$50)-SUMIF('BALANCE N-1'!$A$2:$A$50,"235*",'BALANCE N-1'!$G$2:$G$50)+SUMIF('BALANCE N-1'!$A$2:$A$50,"2394*",'BALANCE N-1'!$F$2:$F$50)-SUMIF('BALANCE N-1'!$A$2:$A$50,"2394*",'BALANCE N-1'!$G$2:$G$50)+SUMIF('BALANCE N-1'!$A$2:$A$50,"2398*",'BALANCE N-1'!$F$2:$F$50)-SUMIF('BALANCE N-1'!$A$2:$A$50,"2398*",'BALANCE N-1'!$G$2:$G$50)+SUMIF('BALANCE N-1'!$A$2:$A$50,"2395*",'BALANCE N-1'!$F$2:$F$50)-SUMIF('BALANCE N-1'!$A$2:$A$50,"2395*",'BALANCE N-1'!$G$2:$G$50)))-((SUMIF('BALANCE N-1'!$A$2:$A$50,"2834*",'BALANCE N-1'!$G$2:$G$50)-SUMIF('BALANCE N-1'!$A$2:$A$50,"2834*",'BALANCE N-1'!$F$2:$F$50)+SUMIF('BALANCE N-1'!$A$2:$A$50,"2838*",'BALANCE N-1'!$G$2:$G$50)-SUMIF('BALANCE N-1'!$A$2:$A$50,"2838*",'BALANCE N-1'!$F$2:$F$50)+SUMIF('BALANCE N-1'!$A$2:$A$50,"2935*",'BALANCE N-1'!$G$2:$G$50)-SUMIF('BALANCE N-1'!$A$2:$A$50,"2935*",'BALANCE N-1'!$F$2:$F$50)+SUMIF('BALANCE N-1'!$A$2:$A$50,"2934*",'BALANCE N-1'!$G$2:$G$50)-SUMIF('BALANCE N-1'!$A$2:$A$50,"2934*",'BALANCE N-1'!$F$2:$F$50)+SUMIF('BALANCE N-1'!$A$2:$A$50,"2938*",'BALANCE N-1'!$G$2:$G$50)-SUMIF('BALANCE N-1'!$A$2:$A$50,"2938*",'BALANCE N-1'!$F$2:$F$50)+SUMIF('BALANCE N-1'!$A$2:$A$50,"2835*",'BALANCE N-1'!$G$2:$G$50)-SUMIF('BALANCE N-1'!$A$2:$A$50,"2835*",'BALANCE N-1'!$F$2:$F$50)))</f>
        <v/>
      </c>
    </row>
    <row r="12" ht="22" customHeight="1">
      <c r="A12" s="66" t="inlineStr">
        <is>
          <t>AD</t>
        </is>
      </c>
      <c r="B12" s="67" t="inlineStr">
        <is>
          <t>Materiel, mobilier et actifs biologiques</t>
        </is>
      </c>
      <c r="C12" s="104" t="inlineStr">
        <is>
          <t>3A</t>
        </is>
      </c>
      <c r="D12" s="68">
        <f>((SUMIF('BALANCE N'!$A$2:$A$50,"24*",'BALANCE N'!$F$2:$F$50)-SUMIF('BALANCE N'!$A$2:$A$50,"24*",'BALANCE N'!$G$2:$G$50)-SUMIF('BALANCE N'!$A$2:$A$50,"245*",'BALANCE N'!$F$2:$F$50)+SUMIF('BALANCE N'!$A$2:$A$50,"245*",'BALANCE N'!$G$2:$G$50)-SUMIF('BALANCE N'!$A$2:$A$50,"2495*",'BALANCE N'!$F$2:$F$50)+SUMIF('BALANCE N'!$A$2:$A$50,"2495*",'BALANCE N'!$G$2:$G$50)))-((SUMIF('BALANCE N'!$A$2:$A$50,"284*",'BALANCE N'!$G$2:$G$50)-SUMIF('BALANCE N'!$A$2:$A$50,"284*",'BALANCE N'!$F$2:$F$50)+SUMIF('BALANCE N'!$A$2:$A$50,"294*",'BALANCE N'!$G$2:$G$50)-SUMIF('BALANCE N'!$A$2:$A$50,"294*",'BALANCE N'!$F$2:$F$50)-SUMIF('BALANCE N'!$A$2:$A$50,"2945*",'BALANCE N'!$G$2:$G$50)+SUMIF('BALANCE N'!$A$2:$A$50,"2945*",'BALANCE N'!$F$2:$F$50)-SUMIF('BALANCE N'!$A$2:$A$50,"2845*",'BALANCE N'!$G$2:$G$50)+SUMIF('BALANCE N'!$A$2:$A$50,"2845*",'BALANCE N'!$F$2:$F$50)))</f>
        <v/>
      </c>
      <c r="E12" s="69">
        <f>((SUMIF('BALANCE N-1'!$A$2:$A$50,"24*",'BALANCE N-1'!$F$2:$F$50)-SUMIF('BALANCE N-1'!$A$2:$A$50,"24*",'BALANCE N-1'!$G$2:$G$50)-SUMIF('BALANCE N-1'!$A$2:$A$50,"245*",'BALANCE N-1'!$F$2:$F$50)+SUMIF('BALANCE N-1'!$A$2:$A$50,"245*",'BALANCE N-1'!$G$2:$G$50)-SUMIF('BALANCE N-1'!$A$2:$A$50,"2495*",'BALANCE N-1'!$F$2:$F$50)+SUMIF('BALANCE N-1'!$A$2:$A$50,"2495*",'BALANCE N-1'!$G$2:$G$50)))-((SUMIF('BALANCE N-1'!$A$2:$A$50,"284*",'BALANCE N-1'!$G$2:$G$50)-SUMIF('BALANCE N-1'!$A$2:$A$50,"284*",'BALANCE N-1'!$F$2:$F$50)+SUMIF('BALANCE N-1'!$A$2:$A$50,"294*",'BALANCE N-1'!$G$2:$G$50)-SUMIF('BALANCE N-1'!$A$2:$A$50,"294*",'BALANCE N-1'!$F$2:$F$50)-SUMIF('BALANCE N-1'!$A$2:$A$50,"2945*",'BALANCE N-1'!$G$2:$G$50)+SUMIF('BALANCE N-1'!$A$2:$A$50,"2945*",'BALANCE N-1'!$F$2:$F$50)-SUMIF('BALANCE N-1'!$A$2:$A$50,"2845*",'BALANCE N-1'!$G$2:$G$50)+SUMIF('BALANCE N-1'!$A$2:$A$50,"2845*",'BALANCE N-1'!$F$2:$F$50)))</f>
        <v/>
      </c>
    </row>
    <row r="13" ht="22" customHeight="1">
      <c r="A13" s="66" t="inlineStr">
        <is>
          <t>AE</t>
        </is>
      </c>
      <c r="B13" s="67" t="inlineStr">
        <is>
          <t>Materiel de transport</t>
        </is>
      </c>
      <c r="C13" s="104" t="inlineStr">
        <is>
          <t>3A</t>
        </is>
      </c>
      <c r="D13" s="68">
        <f>((SUMIF('BALANCE N'!$A$2:$A$50,"245*",'BALANCE N'!$F$2:$F$50)-SUMIF('BALANCE N'!$A$2:$A$50,"245*",'BALANCE N'!$G$2:$G$50)+SUMIF('BALANCE N'!$A$2:$A$50,"2495*",'BALANCE N'!$F$2:$F$50)-SUMIF('BALANCE N'!$A$2:$A$50,"2495*",'BALANCE N'!$G$2:$G$50)))-((SUMIF('BALANCE N'!$A$2:$A$50,"2945*",'BALANCE N'!$G$2:$G$50)-SUMIF('BALANCE N'!$A$2:$A$50,"2945*",'BALANCE N'!$F$2:$F$50)+SUMIF('BALANCE N'!$A$2:$A$50,"2845*",'BALANCE N'!$G$2:$G$50)-SUMIF('BALANCE N'!$A$2:$A$50,"2845*",'BALANCE N'!$F$2:$F$50)))</f>
        <v/>
      </c>
      <c r="E13" s="69">
        <f>((SUMIF('BALANCE N-1'!$A$2:$A$50,"245*",'BALANCE N-1'!$F$2:$F$50)-SUMIF('BALANCE N-1'!$A$2:$A$50,"245*",'BALANCE N-1'!$G$2:$G$50)+SUMIF('BALANCE N-1'!$A$2:$A$50,"2495*",'BALANCE N-1'!$F$2:$F$50)-SUMIF('BALANCE N-1'!$A$2:$A$50,"2495*",'BALANCE N-1'!$G$2:$G$50)))-((SUMIF('BALANCE N-1'!$A$2:$A$50,"2945*",'BALANCE N-1'!$G$2:$G$50)-SUMIF('BALANCE N-1'!$A$2:$A$50,"2945*",'BALANCE N-1'!$F$2:$F$50)+SUMIF('BALANCE N-1'!$A$2:$A$50,"2845*",'BALANCE N-1'!$G$2:$G$50)-SUMIF('BALANCE N-1'!$A$2:$A$50,"2845*",'BALANCE N-1'!$F$2:$F$50)))</f>
        <v/>
      </c>
    </row>
    <row r="14" ht="22" customHeight="1">
      <c r="A14" s="66" t="inlineStr">
        <is>
          <t>AF</t>
        </is>
      </c>
      <c r="B14" s="67" t="inlineStr">
        <is>
          <t>Avances et acomptes verses sur immobilisations</t>
        </is>
      </c>
      <c r="C14" s="104" t="inlineStr">
        <is>
          <t>3A</t>
        </is>
      </c>
      <c r="D14" s="68">
        <f>((SUMIF('BALANCE N'!$A$2:$A$50,"25*",'BALANCE N'!$F$2:$F$50)-SUMIF('BALANCE N'!$A$2:$A$50,"25*",'BALANCE N'!$G$2:$G$50)))-((SUMIF('BALANCE N'!$A$2:$A$50,"295*",'BALANCE N'!$G$2:$G$50)-SUMIF('BALANCE N'!$A$2:$A$50,"295*",'BALANCE N'!$F$2:$F$50)))</f>
        <v/>
      </c>
      <c r="E14" s="69">
        <f>((SUMIF('BALANCE N-1'!$A$2:$A$50,"25*",'BALANCE N-1'!$F$2:$F$50)-SUMIF('BALANCE N-1'!$A$2:$A$50,"25*",'BALANCE N-1'!$G$2:$G$50)))-((SUMIF('BALANCE N-1'!$A$2:$A$50,"295*",'BALANCE N-1'!$G$2:$G$50)-SUMIF('BALANCE N-1'!$A$2:$A$50,"295*",'BALANCE N-1'!$F$2:$F$50)))</f>
        <v/>
      </c>
    </row>
    <row r="15" ht="22" customHeight="1">
      <c r="A15" s="66" t="inlineStr">
        <is>
          <t>AG</t>
        </is>
      </c>
      <c r="B15" s="67" t="inlineStr">
        <is>
          <t>Depots et cautionnements</t>
        </is>
      </c>
      <c r="C15" s="104" t="inlineStr">
        <is>
          <t>3A</t>
        </is>
      </c>
      <c r="D15" s="68">
        <f>((SUMIF('BALANCE N'!$A$2:$A$50,"275*",'BALANCE N'!$F$2:$F$50)-SUMIF('BALANCE N'!$A$2:$A$50,"275*",'BALANCE N'!$G$2:$G$50)))-((SUMIF('BALANCE N'!$A$2:$A$50,"2975*",'BALANCE N'!$G$2:$G$50)-SUMIF('BALANCE N'!$A$2:$A$50,"2975*",'BALANCE N'!$F$2:$F$50)))</f>
        <v/>
      </c>
      <c r="E15" s="69">
        <f>((SUMIF('BALANCE N-1'!$A$2:$A$50,"275*",'BALANCE N-1'!$F$2:$F$50)-SUMIF('BALANCE N-1'!$A$2:$A$50,"275*",'BALANCE N-1'!$G$2:$G$50)))-((SUMIF('BALANCE N-1'!$A$2:$A$50,"2975*",'BALANCE N-1'!$G$2:$G$50)-SUMIF('BALANCE N-1'!$A$2:$A$50,"2975*",'BALANCE N-1'!$F$2:$F$50)))</f>
        <v/>
      </c>
    </row>
    <row r="16" ht="22" customHeight="1">
      <c r="A16" s="66" t="inlineStr">
        <is>
          <t>AH</t>
        </is>
      </c>
      <c r="B16" s="67" t="inlineStr">
        <is>
          <t>Autres immobilisations corporelles et financieres</t>
        </is>
      </c>
      <c r="C16" s="104" t="inlineStr">
        <is>
          <t>3A</t>
        </is>
      </c>
      <c r="D16" s="68">
        <f>((SUMIF('BALANCE N'!$A$2:$A$50,"26*",'BALANCE N'!$F$2:$F$50)-SUMIF('BALANCE N'!$A$2:$A$50,"26*",'BALANCE N'!$G$2:$G$50)+SUMIF('BALANCE N'!$A$2:$A$50,"27*",'BALANCE N'!$F$2:$F$50)-SUMIF('BALANCE N'!$A$2:$A$50,"27*",'BALANCE N'!$G$2:$G$50)-SUMIF('BALANCE N'!$A$2:$A$50,"275*",'BALANCE N'!$F$2:$F$50)+SUMIF('BALANCE N'!$A$2:$A$50,"275*",'BALANCE N'!$G$2:$G$50)))-((SUMIF('BALANCE N'!$A$2:$A$50,"296*",'BALANCE N'!$G$2:$G$50)-SUMIF('BALANCE N'!$A$2:$A$50,"296*",'BALANCE N'!$F$2:$F$50)+SUMIF('BALANCE N'!$A$2:$A$50,"297*",'BALANCE N'!$G$2:$G$50)-SUMIF('BALANCE N'!$A$2:$A$50,"297*",'BALANCE N'!$F$2:$F$50)-SUMIF('BALANCE N'!$A$2:$A$50,"2975*",'BALANCE N'!$G$2:$G$50)+SUMIF('BALANCE N'!$A$2:$A$50,"2975*",'BALANCE N'!$F$2:$F$50)))</f>
        <v/>
      </c>
      <c r="E16" s="69">
        <f>((SUMIF('BALANCE N-1'!$A$2:$A$50,"26*",'BALANCE N-1'!$F$2:$F$50)-SUMIF('BALANCE N-1'!$A$2:$A$50,"26*",'BALANCE N-1'!$G$2:$G$50)+SUMIF('BALANCE N-1'!$A$2:$A$50,"27*",'BALANCE N-1'!$F$2:$F$50)-SUMIF('BALANCE N-1'!$A$2:$A$50,"27*",'BALANCE N-1'!$G$2:$G$50)-SUMIF('BALANCE N-1'!$A$2:$A$50,"275*",'BALANCE N-1'!$F$2:$F$50)+SUMIF('BALANCE N-1'!$A$2:$A$50,"275*",'BALANCE N-1'!$G$2:$G$50)))-((SUMIF('BALANCE N-1'!$A$2:$A$50,"296*",'BALANCE N-1'!$G$2:$G$50)-SUMIF('BALANCE N-1'!$A$2:$A$50,"296*",'BALANCE N-1'!$F$2:$F$50)+SUMIF('BALANCE N-1'!$A$2:$A$50,"297*",'BALANCE N-1'!$G$2:$G$50)-SUMIF('BALANCE N-1'!$A$2:$A$50,"297*",'BALANCE N-1'!$F$2:$F$50)-SUMIF('BALANCE N-1'!$A$2:$A$50,"2975*",'BALANCE N-1'!$G$2:$G$50)+SUMIF('BALANCE N-1'!$A$2:$A$50,"2975*",'BALANCE N-1'!$F$2:$F$50)))</f>
        <v/>
      </c>
    </row>
    <row r="17" ht="22" customHeight="1">
      <c r="A17" s="70" t="inlineStr">
        <is>
          <t>AZ</t>
        </is>
      </c>
      <c r="B17" s="71" t="inlineStr">
        <is>
          <t>TOTAL ACTIF IMMOBILISE</t>
        </is>
      </c>
      <c r="C17" s="105" t="inlineStr"/>
      <c r="D17" s="72">
        <f>D9+D10+D11+D12+D13+D14+D15+D16</f>
        <v/>
      </c>
      <c r="E17" s="73">
        <f>E9+E10+E11+E12+E13+E14+E15+E16</f>
        <v/>
      </c>
    </row>
    <row r="18" ht="22" customHeight="1">
      <c r="A18" s="66" t="inlineStr">
        <is>
          <t>BA</t>
        </is>
      </c>
      <c r="B18" s="67" t="inlineStr">
        <is>
          <t>Actif circulant HAO</t>
        </is>
      </c>
      <c r="C18" s="104" t="inlineStr">
        <is>
          <t>4</t>
        </is>
      </c>
      <c r="D18" s="68">
        <f>((SUMIF('BALANCE N'!$A$2:$A$50,"485*",'BALANCE N'!$F$2:$F$50)-SUMIF('BALANCE N'!$A$2:$A$50,"485*",'BALANCE N'!$G$2:$G$50)))-((SUMIF('BALANCE N'!$A$2:$A$50,"498*",'BALANCE N'!$G$2:$G$50)-SUMIF('BALANCE N'!$A$2:$A$50,"498*",'BALANCE N'!$F$2:$F$50)))</f>
        <v/>
      </c>
      <c r="E18" s="69">
        <f>((SUMIF('BALANCE N-1'!$A$2:$A$50,"485*",'BALANCE N-1'!$F$2:$F$50)-SUMIF('BALANCE N-1'!$A$2:$A$50,"485*",'BALANCE N-1'!$G$2:$G$50)))-((SUMIF('BALANCE N-1'!$A$2:$A$50,"498*",'BALANCE N-1'!$G$2:$G$50)-SUMIF('BALANCE N-1'!$A$2:$A$50,"498*",'BALANCE N-1'!$F$2:$F$50)))</f>
        <v/>
      </c>
    </row>
    <row r="19" ht="22" customHeight="1">
      <c r="A19" s="66" t="inlineStr">
        <is>
          <t>BB</t>
        </is>
      </c>
      <c r="B19" s="67" t="inlineStr">
        <is>
          <t>Stocks et encours</t>
        </is>
      </c>
      <c r="C19" s="104" t="inlineStr">
        <is>
          <t>5</t>
        </is>
      </c>
      <c r="D19" s="68">
        <f>((SUMIF('BALANCE N'!$A$2:$A$50,"36*",'BALANCE N'!$F$2:$F$50)-SUMIF('BALANCE N'!$A$2:$A$50,"36*",'BALANCE N'!$G$2:$G$50)+SUMIF('BALANCE N'!$A$2:$A$50,"31*",'BALANCE N'!$F$2:$F$50)-SUMIF('BALANCE N'!$A$2:$A$50,"31*",'BALANCE N'!$G$2:$G$50)+SUMIF('BALANCE N'!$A$2:$A$50,"38*",'BALANCE N'!$F$2:$F$50)-SUMIF('BALANCE N'!$A$2:$A$50,"38*",'BALANCE N'!$G$2:$G$50)+SUMIF('BALANCE N'!$A$2:$A$50,"34*",'BALANCE N'!$F$2:$F$50)-SUMIF('BALANCE N'!$A$2:$A$50,"34*",'BALANCE N'!$G$2:$G$50)+SUMIF('BALANCE N'!$A$2:$A$50,"33*",'BALANCE N'!$F$2:$F$50)-SUMIF('BALANCE N'!$A$2:$A$50,"33*",'BALANCE N'!$G$2:$G$50)+SUMIF('BALANCE N'!$A$2:$A$50,"37*",'BALANCE N'!$F$2:$F$50)-SUMIF('BALANCE N'!$A$2:$A$50,"37*",'BALANCE N'!$G$2:$G$50)+SUMIF('BALANCE N'!$A$2:$A$50,"32*",'BALANCE N'!$F$2:$F$50)-SUMIF('BALANCE N'!$A$2:$A$50,"32*",'BALANCE N'!$G$2:$G$50)))-((SUMIF('BALANCE N'!$A$2:$A$50,"39*",'BALANCE N'!$G$2:$G$50)-SUMIF('BALANCE N'!$A$2:$A$50,"39*",'BALANCE N'!$F$2:$F$50)))</f>
        <v/>
      </c>
      <c r="E19" s="69">
        <f>((SUMIF('BALANCE N-1'!$A$2:$A$50,"36*",'BALANCE N-1'!$F$2:$F$50)-SUMIF('BALANCE N-1'!$A$2:$A$50,"36*",'BALANCE N-1'!$G$2:$G$50)+SUMIF('BALANCE N-1'!$A$2:$A$50,"31*",'BALANCE N-1'!$F$2:$F$50)-SUMIF('BALANCE N-1'!$A$2:$A$50,"31*",'BALANCE N-1'!$G$2:$G$50)+SUMIF('BALANCE N-1'!$A$2:$A$50,"38*",'BALANCE N-1'!$F$2:$F$50)-SUMIF('BALANCE N-1'!$A$2:$A$50,"38*",'BALANCE N-1'!$G$2:$G$50)+SUMIF('BALANCE N-1'!$A$2:$A$50,"34*",'BALANCE N-1'!$F$2:$F$50)-SUMIF('BALANCE N-1'!$A$2:$A$50,"34*",'BALANCE N-1'!$G$2:$G$50)+SUMIF('BALANCE N-1'!$A$2:$A$50,"33*",'BALANCE N-1'!$F$2:$F$50)-SUMIF('BALANCE N-1'!$A$2:$A$50,"33*",'BALANCE N-1'!$G$2:$G$50)+SUMIF('BALANCE N-1'!$A$2:$A$50,"37*",'BALANCE N-1'!$F$2:$F$50)-SUMIF('BALANCE N-1'!$A$2:$A$50,"37*",'BALANCE N-1'!$G$2:$G$50)+SUMIF('BALANCE N-1'!$A$2:$A$50,"32*",'BALANCE N-1'!$F$2:$F$50)-SUMIF('BALANCE N-1'!$A$2:$A$50,"32*",'BALANCE N-1'!$G$2:$G$50)))-((SUMIF('BALANCE N-1'!$A$2:$A$50,"39*",'BALANCE N-1'!$G$2:$G$50)-SUMIF('BALANCE N-1'!$A$2:$A$50,"39*",'BALANCE N-1'!$F$2:$F$50)))</f>
        <v/>
      </c>
    </row>
    <row r="20" ht="22" customHeight="1">
      <c r="A20" s="66" t="inlineStr">
        <is>
          <t>BC</t>
        </is>
      </c>
      <c r="B20" s="67" t="inlineStr">
        <is>
          <t>Fournisseurs debiteurs</t>
        </is>
      </c>
      <c r="C20" s="104" t="inlineStr">
        <is>
          <t>6</t>
        </is>
      </c>
      <c r="D20" s="68">
        <f>((SUMIF('BALANCE N'!$A$2:$A$50,"409*",'BALANCE N'!$F$2:$F$50)-SUMIF('BALANCE N'!$A$2:$A$50,"409*",'BALANCE N'!$G$2:$G$50)))-((SUMIF('BALANCE N'!$A$2:$A$50,"490*",'BALANCE N'!$G$2:$G$50)-SUMIF('BALANCE N'!$A$2:$A$50,"490*",'BALANCE N'!$F$2:$F$50)))</f>
        <v/>
      </c>
      <c r="E20" s="69">
        <f>((SUMIF('BALANCE N-1'!$A$2:$A$50,"409*",'BALANCE N-1'!$F$2:$F$50)-SUMIF('BALANCE N-1'!$A$2:$A$50,"409*",'BALANCE N-1'!$G$2:$G$50)))-((SUMIF('BALANCE N-1'!$A$2:$A$50,"490*",'BALANCE N-1'!$G$2:$G$50)-SUMIF('BALANCE N-1'!$A$2:$A$50,"490*",'BALANCE N-1'!$F$2:$F$50)))</f>
        <v/>
      </c>
    </row>
    <row r="21" ht="22" customHeight="1">
      <c r="A21" s="66" t="inlineStr">
        <is>
          <t>BD</t>
        </is>
      </c>
      <c r="B21" s="67" t="inlineStr">
        <is>
          <t>Clients-usagers</t>
        </is>
      </c>
      <c r="C21" s="104" t="inlineStr">
        <is>
          <t>6</t>
        </is>
      </c>
      <c r="D21" s="68">
        <f>((SUMIF('BALANCE N'!$A$2:$A$50,"41*",'BALANCE N'!$F$2:$F$50)-SUMIF('BALANCE N'!$A$2:$A$50,"41*",'BALANCE N'!$G$2:$G$50)-SUMIF('BALANCE N'!$A$2:$A$50,"411*",'BALANCE N'!$F$2:$F$50)+SUMIF('BALANCE N'!$A$2:$A$50,"411*",'BALANCE N'!$G$2:$G$50)-SUMIF('BALANCE N'!$A$2:$A$50,"419*",'BALANCE N'!$F$2:$F$50)+SUMIF('BALANCE N'!$A$2:$A$50,"419*",'BALANCE N'!$G$2:$G$50)))-((SUMIF('BALANCE N'!$A$2:$A$50,"491*",'BALANCE N'!$G$2:$G$50)-SUMIF('BALANCE N'!$A$2:$A$50,"491*",'BALANCE N'!$F$2:$F$50)))</f>
        <v/>
      </c>
      <c r="E21" s="69">
        <f>((SUMIF('BALANCE N-1'!$A$2:$A$50,"41*",'BALANCE N-1'!$F$2:$F$50)-SUMIF('BALANCE N-1'!$A$2:$A$50,"41*",'BALANCE N-1'!$G$2:$G$50)-SUMIF('BALANCE N-1'!$A$2:$A$50,"411*",'BALANCE N-1'!$F$2:$F$50)+SUMIF('BALANCE N-1'!$A$2:$A$50,"411*",'BALANCE N-1'!$G$2:$G$50)-SUMIF('BALANCE N-1'!$A$2:$A$50,"419*",'BALANCE N-1'!$F$2:$F$50)+SUMIF('BALANCE N-1'!$A$2:$A$50,"419*",'BALANCE N-1'!$G$2:$G$50)))-((SUMIF('BALANCE N-1'!$A$2:$A$50,"491*",'BALANCE N-1'!$G$2:$G$50)-SUMIF('BALANCE N-1'!$A$2:$A$50,"491*",'BALANCE N-1'!$F$2:$F$50)))</f>
        <v/>
      </c>
    </row>
    <row r="22" ht="22" customHeight="1">
      <c r="A22" s="66" t="inlineStr">
        <is>
          <t>BE</t>
        </is>
      </c>
      <c r="B22" s="67" t="inlineStr">
        <is>
          <t>Autres creances</t>
        </is>
      </c>
      <c r="C22" s="104" t="inlineStr">
        <is>
          <t>6</t>
        </is>
      </c>
      <c r="D22" s="68">
        <f>((SUMIF('BALANCE N'!$A$2:$A$50,"43*",'BALANCE N'!$F$2:$F$50)+SUMIF('BALANCE N'!$A$2:$A$50,"47*",'BALANCE N'!$F$2:$F$50)+SUMIF('BALANCE N'!$A$2:$A$50,"44*",'BALANCE N'!$F$2:$F$50)+SUMIF('BALANCE N'!$A$2:$A$50,"42*",'BALANCE N'!$F$2:$F$50)-SUMIF('BALANCE N'!$A$2:$A$50,"478*",'BALANCE N'!$F$2:$F$50)))-((SUMIF('BALANCE N'!$A$2:$A$50,"493*",'BALANCE N'!$G$2:$G$50)-SUMIF('BALANCE N'!$A$2:$A$50,"493*",'BALANCE N'!$F$2:$F$50)+SUMIF('BALANCE N'!$A$2:$A$50,"492*",'BALANCE N'!$G$2:$G$50)-SUMIF('BALANCE N'!$A$2:$A$50,"492*",'BALANCE N'!$F$2:$F$50)+SUMIF('BALANCE N'!$A$2:$A$50,"497*",'BALANCE N'!$G$2:$G$50)-SUMIF('BALANCE N'!$A$2:$A$50,"497*",'BALANCE N'!$F$2:$F$50)+SUMIF('BALANCE N'!$A$2:$A$50,"494*",'BALANCE N'!$G$2:$G$50)-SUMIF('BALANCE N'!$A$2:$A$50,"494*",'BALANCE N'!$F$2:$F$50)))</f>
        <v/>
      </c>
      <c r="E22" s="69">
        <f>((SUMIF('BALANCE N-1'!$A$2:$A$50,"43*",'BALANCE N-1'!$F$2:$F$50)+SUMIF('BALANCE N-1'!$A$2:$A$50,"47*",'BALANCE N-1'!$F$2:$F$50)+SUMIF('BALANCE N-1'!$A$2:$A$50,"44*",'BALANCE N-1'!$F$2:$F$50)+SUMIF('BALANCE N-1'!$A$2:$A$50,"42*",'BALANCE N-1'!$F$2:$F$50)-SUMIF('BALANCE N-1'!$A$2:$A$50,"478*",'BALANCE N-1'!$F$2:$F$50)))-((SUMIF('BALANCE N-1'!$A$2:$A$50,"493*",'BALANCE N-1'!$G$2:$G$50)-SUMIF('BALANCE N-1'!$A$2:$A$50,"493*",'BALANCE N-1'!$F$2:$F$50)+SUMIF('BALANCE N-1'!$A$2:$A$50,"492*",'BALANCE N-1'!$G$2:$G$50)-SUMIF('BALANCE N-1'!$A$2:$A$50,"492*",'BALANCE N-1'!$F$2:$F$50)+SUMIF('BALANCE N-1'!$A$2:$A$50,"497*",'BALANCE N-1'!$G$2:$G$50)-SUMIF('BALANCE N-1'!$A$2:$A$50,"497*",'BALANCE N-1'!$F$2:$F$50)+SUMIF('BALANCE N-1'!$A$2:$A$50,"494*",'BALANCE N-1'!$G$2:$G$50)-SUMIF('BALANCE N-1'!$A$2:$A$50,"494*",'BALANCE N-1'!$F$2:$F$50)))</f>
        <v/>
      </c>
    </row>
    <row r="23" ht="22" customHeight="1">
      <c r="A23" s="70" t="inlineStr">
        <is>
          <t>BF</t>
        </is>
      </c>
      <c r="B23" s="71" t="inlineStr">
        <is>
          <t>TOTAL ACTIF CIRCULANT</t>
        </is>
      </c>
      <c r="C23" s="105" t="inlineStr"/>
      <c r="D23" s="72">
        <f>D18+D19+D20+D21+D22</f>
        <v/>
      </c>
      <c r="E23" s="73">
        <f>E18+E19+E20+E21+E22</f>
        <v/>
      </c>
    </row>
    <row r="24" ht="22" customHeight="1">
      <c r="A24" s="66" t="inlineStr">
        <is>
          <t>BV</t>
        </is>
      </c>
      <c r="B24" s="67" t="inlineStr">
        <is>
          <t>Valeurs a encaisser</t>
        </is>
      </c>
      <c r="C24" s="104" t="inlineStr">
        <is>
          <t>7</t>
        </is>
      </c>
      <c r="D24" s="68">
        <f>((SUMIF('BALANCE N'!$A$2:$A$50,"51*",'BALANCE N'!$F$2:$F$50)-SUMIF('BALANCE N'!$A$2:$A$50,"51*",'BALANCE N'!$G$2:$G$50)))-((SUMIF('BALANCE N'!$A$2:$A$50,"591*",'BALANCE N'!$G$2:$G$50)-SUMIF('BALANCE N'!$A$2:$A$50,"591*",'BALANCE N'!$F$2:$F$50)))</f>
        <v/>
      </c>
      <c r="E24" s="69">
        <f>((SUMIF('BALANCE N-1'!$A$2:$A$50,"51*",'BALANCE N-1'!$F$2:$F$50)-SUMIF('BALANCE N-1'!$A$2:$A$50,"51*",'BALANCE N-1'!$G$2:$G$50)))-((SUMIF('BALANCE N-1'!$A$2:$A$50,"591*",'BALANCE N-1'!$G$2:$G$50)-SUMIF('BALANCE N-1'!$A$2:$A$50,"591*",'BALANCE N-1'!$F$2:$F$50)))</f>
        <v/>
      </c>
    </row>
    <row r="25" ht="22" customHeight="1">
      <c r="A25" s="66" t="inlineStr">
        <is>
          <t>BW</t>
        </is>
      </c>
      <c r="B25" s="67" t="inlineStr">
        <is>
          <t>Banques, etablissements financiers, caisses et assimiles</t>
        </is>
      </c>
      <c r="C25" s="104" t="inlineStr">
        <is>
          <t>7</t>
        </is>
      </c>
      <c r="D25" s="68">
        <f>((SUMIF('BALANCE N'!$A$2:$A$50,"57*",'BALANCE N'!$F$2:$F$50)-SUMIF('BALANCE N'!$A$2:$A$50,"57*",'BALANCE N'!$G$2:$G$50)+SUMIF('BALANCE N'!$A$2:$A$50,"55*",'BALANCE N'!$F$2:$F$50)-SUMIF('BALANCE N'!$A$2:$A$50,"55*",'BALANCE N'!$G$2:$G$50)+SUMIF('BALANCE N'!$A$2:$A$50,"53*",'BALANCE N'!$F$2:$F$50)-SUMIF('BALANCE N'!$A$2:$A$50,"53*",'BALANCE N'!$G$2:$G$50)+SUMIF('BALANCE N'!$A$2:$A$50,"52*",'BALANCE N'!$F$2:$F$50)-SUMIF('BALANCE N'!$A$2:$A$50,"52*",'BALANCE N'!$G$2:$G$50)))-((SUMIF('BALANCE N'!$A$2:$A$50,"592*",'BALANCE N'!$G$2:$G$50)-SUMIF('BALANCE N'!$A$2:$A$50,"592*",'BALANCE N'!$F$2:$F$50)+SUMIF('BALANCE N'!$A$2:$A$50,"595*",'BALANCE N'!$G$2:$G$50)-SUMIF('BALANCE N'!$A$2:$A$50,"595*",'BALANCE N'!$F$2:$F$50)+SUMIF('BALANCE N'!$A$2:$A$50,"593*",'BALANCE N'!$G$2:$G$50)-SUMIF('BALANCE N'!$A$2:$A$50,"593*",'BALANCE N'!$F$2:$F$50)))</f>
        <v/>
      </c>
      <c r="E25" s="69">
        <f>((SUMIF('BALANCE N-1'!$A$2:$A$50,"57*",'BALANCE N-1'!$F$2:$F$50)-SUMIF('BALANCE N-1'!$A$2:$A$50,"57*",'BALANCE N-1'!$G$2:$G$50)+SUMIF('BALANCE N-1'!$A$2:$A$50,"55*",'BALANCE N-1'!$F$2:$F$50)-SUMIF('BALANCE N-1'!$A$2:$A$50,"55*",'BALANCE N-1'!$G$2:$G$50)+SUMIF('BALANCE N-1'!$A$2:$A$50,"53*",'BALANCE N-1'!$F$2:$F$50)-SUMIF('BALANCE N-1'!$A$2:$A$50,"53*",'BALANCE N-1'!$G$2:$G$50)+SUMIF('BALANCE N-1'!$A$2:$A$50,"52*",'BALANCE N-1'!$F$2:$F$50)-SUMIF('BALANCE N-1'!$A$2:$A$50,"52*",'BALANCE N-1'!$G$2:$G$50)))-((SUMIF('BALANCE N-1'!$A$2:$A$50,"592*",'BALANCE N-1'!$G$2:$G$50)-SUMIF('BALANCE N-1'!$A$2:$A$50,"592*",'BALANCE N-1'!$F$2:$F$50)+SUMIF('BALANCE N-1'!$A$2:$A$50,"595*",'BALANCE N-1'!$G$2:$G$50)-SUMIF('BALANCE N-1'!$A$2:$A$50,"595*",'BALANCE N-1'!$F$2:$F$50)+SUMIF('BALANCE N-1'!$A$2:$A$50,"593*",'BALANCE N-1'!$G$2:$G$50)-SUMIF('BALANCE N-1'!$A$2:$A$50,"593*",'BALANCE N-1'!$F$2:$F$50)))</f>
        <v/>
      </c>
    </row>
    <row r="26" ht="22" customHeight="1">
      <c r="A26" s="70" t="inlineStr">
        <is>
          <t>BX</t>
        </is>
      </c>
      <c r="B26" s="71" t="inlineStr">
        <is>
          <t>TOTAL TRESORERIE ACTIF</t>
        </is>
      </c>
      <c r="C26" s="105" t="inlineStr"/>
      <c r="D26" s="72">
        <f>D24+D25</f>
        <v/>
      </c>
      <c r="E26" s="73">
        <f>E24+E25</f>
        <v/>
      </c>
    </row>
    <row r="27" ht="22" customHeight="1">
      <c r="A27" s="66" t="inlineStr">
        <is>
          <t>BY</t>
        </is>
      </c>
      <c r="B27" s="67" t="inlineStr">
        <is>
          <t>Ecart de conversion-Actif</t>
        </is>
      </c>
      <c r="C27" s="104" t="inlineStr">
        <is>
          <t>8</t>
        </is>
      </c>
      <c r="D27" s="68">
        <f>(SUMIF('BALANCE N'!$A$2:$A$50,"478*",'BALANCE N'!$F$2:$F$50)-SUMIF('BALANCE N'!$A$2:$A$50,"478*",'BALANCE N'!$G$2:$G$50))</f>
        <v/>
      </c>
      <c r="E27" s="69">
        <f>(SUMIF('BALANCE N-1'!$A$2:$A$50,"478*",'BALANCE N-1'!$F$2:$F$50)-SUMIF('BALANCE N-1'!$A$2:$A$50,"478*",'BALANCE N-1'!$G$2:$G$50))</f>
        <v/>
      </c>
    </row>
    <row r="28" ht="22" customHeight="1">
      <c r="A28" s="80" t="inlineStr">
        <is>
          <t>BZ</t>
        </is>
      </c>
      <c r="B28" s="81" t="inlineStr">
        <is>
          <t>TOTAL GENERAL</t>
        </is>
      </c>
      <c r="C28" s="106" t="inlineStr"/>
      <c r="D28" s="82">
        <f>D17+D23+D26+D27</f>
        <v/>
      </c>
      <c r="E28" s="83">
        <f>E17+E23+E26+E27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.5" customWidth="1" min="1" max="1"/>
    <col width="56" customWidth="1" min="2" max="2"/>
    <col width="6.5" customWidth="1" min="3" max="3"/>
    <col width="15.7" customWidth="1" min="4" max="4"/>
    <col width="15.7" customWidth="1" min="5" max="5"/>
  </cols>
  <sheetData>
    <row r="1" ht="12" customHeight="1">
      <c r="A1" s="48" t="inlineStr">
        <is>
          <t>- 8 -</t>
        </is>
      </c>
    </row>
    <row r="2" ht="26" customHeight="1">
      <c r="D2" s="49" t="inlineStr">
        <is>
          <t>BILAN PAGE 2/2
PROJETS DE
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97" t="inlineStr">
        <is>
          <t>BILAN (EN NET)</t>
        </is>
      </c>
      <c r="B7" s="65" t="n"/>
      <c r="C7" s="65" t="n"/>
      <c r="D7" s="65" t="n"/>
      <c r="E7" s="65" t="n"/>
    </row>
    <row r="8" ht="30" customHeight="1">
      <c r="A8" s="1" t="inlineStr">
        <is>
          <t>REF</t>
        </is>
      </c>
      <c r="B8" s="2" t="inlineStr">
        <is>
          <t>PASSIF</t>
        </is>
      </c>
      <c r="C8" s="2" t="inlineStr">
        <is>
          <t>NOTE</t>
        </is>
      </c>
      <c r="D8" s="2" t="inlineStr">
        <is>
          <t>EXERCICE AU 31/12/N</t>
        </is>
      </c>
      <c r="E8" s="3" t="inlineStr">
        <is>
          <t>EXERCICE AU 31/12/N-1</t>
        </is>
      </c>
    </row>
    <row r="9" ht="22" customHeight="1">
      <c r="A9" s="66" t="inlineStr">
        <is>
          <t>CA</t>
        </is>
      </c>
      <c r="B9" s="67" t="inlineStr">
        <is>
          <t>Fonds affectes aux investissements</t>
        </is>
      </c>
      <c r="C9" s="104" t="inlineStr">
        <is>
          <t>9</t>
        </is>
      </c>
      <c r="D9" s="68">
        <f>(SUMIF('BALANCE N'!$A$2:$A$50,"16*",'BALANCE N'!$G$2:$G$50)-SUMIF('BALANCE N'!$A$2:$A$50,"16*",'BALANCE N'!$F$2:$F$50))</f>
        <v/>
      </c>
      <c r="E9" s="69">
        <f>(SUMIF('BALANCE N-1'!$A$2:$A$50,"16*",'BALANCE N-1'!$G$2:$G$50)-SUMIF('BALANCE N-1'!$A$2:$A$50,"16*",'BALANCE N-1'!$F$2:$F$50))</f>
        <v/>
      </c>
    </row>
    <row r="10" ht="22" customHeight="1">
      <c r="A10" s="66" t="inlineStr">
        <is>
          <t>CB</t>
        </is>
      </c>
      <c r="B10" s="67" t="inlineStr">
        <is>
          <t>Report a nouveau (+ ou -)</t>
        </is>
      </c>
      <c r="C10" s="104" t="inlineStr"/>
      <c r="D10" s="68">
        <f>(SUMIF('BALANCE N'!$A$2:$A$50,"12*",'BALANCE N'!$G$2:$G$50)-SUMIF('BALANCE N'!$A$2:$A$50,"12*",'BALANCE N'!$F$2:$F$50))</f>
        <v/>
      </c>
      <c r="E10" s="69">
        <f>(SUMIF('BALANCE N-1'!$A$2:$A$50,"12*",'BALANCE N-1'!$G$2:$G$50)-SUMIF('BALANCE N-1'!$A$2:$A$50,"12*",'BALANCE N-1'!$F$2:$F$50))</f>
        <v/>
      </c>
    </row>
    <row r="11" ht="22" customHeight="1">
      <c r="A11" s="66" t="inlineStr">
        <is>
          <t>CC</t>
        </is>
      </c>
      <c r="B11" s="67" t="inlineStr">
        <is>
          <t>Solde des operations de l'exercice</t>
        </is>
      </c>
      <c r="C11" s="104" t="inlineStr"/>
      <c r="D11" s="68">
        <f>'Compte Exploitation'!D28+(SUMIF('BALANCE N'!$A$2:$A$50,"13*",'BALANCE N'!$G$2:$G$50)-SUMIF('BALANCE N'!$A$2:$A$50,"13*",'BALANCE N'!$F$2:$F$50))</f>
        <v/>
      </c>
      <c r="E11" s="69">
        <f>'Compte Exploitation'!E28+(SUMIF('BALANCE N-1'!$A$2:$A$50,"13*",'BALANCE N-1'!$G$2:$G$50)-SUMIF('BALANCE N-1'!$A$2:$A$50,"13*",'BALANCE N-1'!$F$2:$F$50))</f>
        <v/>
      </c>
    </row>
    <row r="12" ht="22" customHeight="1">
      <c r="A12" s="66" t="inlineStr">
        <is>
          <t>CD</t>
        </is>
      </c>
      <c r="B12" s="67" t="inlineStr">
        <is>
          <t>Subventions d'investissement</t>
        </is>
      </c>
      <c r="C12" s="104" t="inlineStr">
        <is>
          <t>10</t>
        </is>
      </c>
      <c r="D12" s="68">
        <f>(SUMIF('BALANCE N'!$A$2:$A$50,"14*",'BALANCE N'!$G$2:$G$50)-SUMIF('BALANCE N'!$A$2:$A$50,"14*",'BALANCE N'!$F$2:$F$50))</f>
        <v/>
      </c>
      <c r="E12" s="69">
        <f>(SUMIF('BALANCE N-1'!$A$2:$A$50,"14*",'BALANCE N-1'!$G$2:$G$50)-SUMIF('BALANCE N-1'!$A$2:$A$50,"14*",'BALANCE N-1'!$F$2:$F$50))</f>
        <v/>
      </c>
    </row>
    <row r="13" ht="22" customHeight="1">
      <c r="A13" s="70" t="inlineStr">
        <is>
          <t>CZ</t>
        </is>
      </c>
      <c r="B13" s="74" t="inlineStr">
        <is>
          <t>TOTAL RESSOURCES PROPRES ET ASSIMILEES</t>
        </is>
      </c>
      <c r="C13" s="107" t="inlineStr"/>
      <c r="D13" s="75">
        <f>D9+D10+D11+D12</f>
        <v/>
      </c>
      <c r="E13" s="76">
        <f>E9+E10+E11+E12</f>
        <v/>
      </c>
    </row>
    <row r="14" ht="22" customHeight="1">
      <c r="A14" s="66" t="inlineStr">
        <is>
          <t>DA</t>
        </is>
      </c>
      <c r="B14" s="67" t="inlineStr">
        <is>
          <t>Emprunts et dettes assimilees</t>
        </is>
      </c>
      <c r="C14" s="104" t="inlineStr">
        <is>
          <t>11</t>
        </is>
      </c>
      <c r="D14" s="68">
        <f>(SUMIF('BALANCE N'!$A$2:$A$50,"18*",'BALANCE N'!$G$2:$G$50)-SUMIF('BALANCE N'!$A$2:$A$50,"18*",'BALANCE N'!$F$2:$F$50))</f>
        <v/>
      </c>
      <c r="E14" s="69">
        <f>(SUMIF('BALANCE N-1'!$A$2:$A$50,"18*",'BALANCE N-1'!$G$2:$G$50)-SUMIF('BALANCE N-1'!$A$2:$A$50,"18*",'BALANCE N-1'!$F$2:$F$50))</f>
        <v/>
      </c>
    </row>
    <row r="15" ht="22" customHeight="1">
      <c r="A15" s="66" t="inlineStr">
        <is>
          <t>DB</t>
        </is>
      </c>
      <c r="B15" s="67" t="inlineStr">
        <is>
          <t>Provisions pour risques et charges</t>
        </is>
      </c>
      <c r="C15" s="104" t="inlineStr">
        <is>
          <t>11</t>
        </is>
      </c>
      <c r="D15" s="68">
        <f>(SUMIF('BALANCE N'!$A$2:$A$50,"19*",'BALANCE N'!$G$2:$G$50)-SUMIF('BALANCE N'!$A$2:$A$50,"19*",'BALANCE N'!$F$2:$F$50))</f>
        <v/>
      </c>
      <c r="E15" s="69">
        <f>(SUMIF('BALANCE N-1'!$A$2:$A$50,"19*",'BALANCE N-1'!$G$2:$G$50)-SUMIF('BALANCE N-1'!$A$2:$A$50,"19*",'BALANCE N-1'!$F$2:$F$50))</f>
        <v/>
      </c>
    </row>
    <row r="16" ht="22" customHeight="1">
      <c r="A16" s="70" t="inlineStr">
        <is>
          <t>DC</t>
        </is>
      </c>
      <c r="B16" s="74" t="inlineStr">
        <is>
          <t>TOTAL DETTES FINANCIERES ET RESSOURCES ASSIMILEES</t>
        </is>
      </c>
      <c r="C16" s="107" t="inlineStr"/>
      <c r="D16" s="75">
        <f>D14+D15</f>
        <v/>
      </c>
      <c r="E16" s="76">
        <f>E14+E15</f>
        <v/>
      </c>
    </row>
    <row r="17" ht="22" customHeight="1">
      <c r="A17" s="70" t="inlineStr">
        <is>
          <t>DD</t>
        </is>
      </c>
      <c r="B17" s="71" t="inlineStr">
        <is>
          <t>TOTAL RESSOURCES STABLES</t>
        </is>
      </c>
      <c r="C17" s="105" t="inlineStr"/>
      <c r="D17" s="72">
        <f>D13+D16</f>
        <v/>
      </c>
      <c r="E17" s="73">
        <f>E13+E16</f>
        <v/>
      </c>
    </row>
    <row r="18" ht="22" customHeight="1">
      <c r="A18" s="66" t="inlineStr">
        <is>
          <t>DE</t>
        </is>
      </c>
      <c r="B18" s="67" t="inlineStr">
        <is>
          <t>Dettes circulantes HAO</t>
        </is>
      </c>
      <c r="C18" s="104" t="inlineStr">
        <is>
          <t>4</t>
        </is>
      </c>
      <c r="D18" s="68">
        <f>(SUMIF('BALANCE N'!$A$2:$A$50,"484*",'BALANCE N'!$G$2:$G$50)-SUMIF('BALANCE N'!$A$2:$A$50,"484*",'BALANCE N'!$F$2:$F$50)+SUMIF('BALANCE N'!$A$2:$A$50,"481*",'BALANCE N'!$G$2:$G$50)-SUMIF('BALANCE N'!$A$2:$A$50,"481*",'BALANCE N'!$F$2:$F$50)+SUMIF('BALANCE N'!$A$2:$A$50,"4998*",'BALANCE N'!$G$2:$G$50)-SUMIF('BALANCE N'!$A$2:$A$50,"4998*",'BALANCE N'!$F$2:$F$50))</f>
        <v/>
      </c>
      <c r="E18" s="69">
        <f>(SUMIF('BALANCE N-1'!$A$2:$A$50,"484*",'BALANCE N-1'!$G$2:$G$50)-SUMIF('BALANCE N-1'!$A$2:$A$50,"484*",'BALANCE N-1'!$F$2:$F$50)+SUMIF('BALANCE N-1'!$A$2:$A$50,"481*",'BALANCE N-1'!$G$2:$G$50)-SUMIF('BALANCE N-1'!$A$2:$A$50,"481*",'BALANCE N-1'!$F$2:$F$50)+SUMIF('BALANCE N-1'!$A$2:$A$50,"4998*",'BALANCE N-1'!$G$2:$G$50)-SUMIF('BALANCE N-1'!$A$2:$A$50,"4998*",'BALANCE N-1'!$F$2:$F$50))</f>
        <v/>
      </c>
    </row>
    <row r="19" ht="22" customHeight="1">
      <c r="A19" s="66" t="inlineStr">
        <is>
          <t>DF</t>
        </is>
      </c>
      <c r="B19" s="67" t="inlineStr">
        <is>
          <t>Fonds d'administration</t>
        </is>
      </c>
      <c r="C19" s="104" t="inlineStr">
        <is>
          <t>9</t>
        </is>
      </c>
      <c r="D19" s="68">
        <f>(SUMIF('BALANCE N'!$A$2:$A$50,"46*",'BALANCE N'!$G$2:$G$50)-SUMIF('BALANCE N'!$A$2:$A$50,"46*",'BALANCE N'!$F$2:$F$50))</f>
        <v/>
      </c>
      <c r="E19" s="69">
        <f>(SUMIF('BALANCE N-1'!$A$2:$A$50,"46*",'BALANCE N-1'!$G$2:$G$50)-SUMIF('BALANCE N-1'!$A$2:$A$50,"46*",'BALANCE N-1'!$F$2:$F$50))</f>
        <v/>
      </c>
    </row>
    <row r="20" ht="22" customHeight="1">
      <c r="A20" s="66" t="inlineStr">
        <is>
          <t>DG</t>
        </is>
      </c>
      <c r="B20" s="67" t="inlineStr">
        <is>
          <t>Fournisseurs</t>
        </is>
      </c>
      <c r="C20" s="104" t="inlineStr">
        <is>
          <t>12</t>
        </is>
      </c>
      <c r="D20" s="68">
        <f>(SUMIF('BALANCE N'!$A$2:$A$50,"40*",'BALANCE N'!$G$2:$G$50)-SUMIF('BALANCE N'!$A$2:$A$50,"40*",'BALANCE N'!$F$2:$F$50)-SUMIF('BALANCE N'!$A$2:$A$50,"409*",'BALANCE N'!$G$2:$G$50)+SUMIF('BALANCE N'!$A$2:$A$50,"409*",'BALANCE N'!$F$2:$F$50))</f>
        <v/>
      </c>
      <c r="E20" s="69">
        <f>(SUMIF('BALANCE N-1'!$A$2:$A$50,"40*",'BALANCE N-1'!$G$2:$G$50)-SUMIF('BALANCE N-1'!$A$2:$A$50,"40*",'BALANCE N-1'!$F$2:$F$50)-SUMIF('BALANCE N-1'!$A$2:$A$50,"409*",'BALANCE N-1'!$G$2:$G$50)+SUMIF('BALANCE N-1'!$A$2:$A$50,"409*",'BALANCE N-1'!$F$2:$F$50))</f>
        <v/>
      </c>
    </row>
    <row r="21" ht="22" customHeight="1">
      <c r="A21" s="66" t="inlineStr">
        <is>
          <t>DH</t>
        </is>
      </c>
      <c r="B21" s="67" t="inlineStr">
        <is>
          <t>Autres dettes</t>
        </is>
      </c>
      <c r="C21" s="104" t="inlineStr">
        <is>
          <t>12</t>
        </is>
      </c>
      <c r="D21" s="68">
        <f>(SUMIF('BALANCE N'!$A$2:$A$50,"419*",'BALANCE N'!$G$2:$G$50)-SUMIF('BALANCE N'!$A$2:$A$50,"419*",'BALANCE N'!$F$2:$F$50)-SUMIF('BALANCE N'!$A$2:$A$50,"479*",'BALANCE N'!$G$2:$G$50)+SUMIF('BALANCE N'!$A$2:$A$50,"479*",'BALANCE N'!$F$2:$F$50))+(SUMIF('BALANCE N'!$A$2:$A$50,"43*",'BALANCE N'!$G$2:$G$50)+SUMIF('BALANCE N'!$A$2:$A$50,"47*",'BALANCE N'!$G$2:$G$50)+SUMIF('BALANCE N'!$A$2:$A$50,"44*",'BALANCE N'!$G$2:$G$50)+SUMIF('BALANCE N'!$A$2:$A$50,"42*",'BALANCE N'!$G$2:$G$50)-SUMIF('BALANCE N'!$A$2:$A$50,"479*",'BALANCE N'!$G$2:$G$50))</f>
        <v/>
      </c>
      <c r="E21" s="69">
        <f>(SUMIF('BALANCE N-1'!$A$2:$A$50,"419*",'BALANCE N-1'!$G$2:$G$50)-SUMIF('BALANCE N-1'!$A$2:$A$50,"419*",'BALANCE N-1'!$F$2:$F$50)-SUMIF('BALANCE N-1'!$A$2:$A$50,"479*",'BALANCE N-1'!$G$2:$G$50)+SUMIF('BALANCE N-1'!$A$2:$A$50,"479*",'BALANCE N-1'!$F$2:$F$50))+(SUMIF('BALANCE N-1'!$A$2:$A$50,"43*",'BALANCE N-1'!$G$2:$G$50)+SUMIF('BALANCE N-1'!$A$2:$A$50,"47*",'BALANCE N-1'!$G$2:$G$50)+SUMIF('BALANCE N-1'!$A$2:$A$50,"44*",'BALANCE N-1'!$G$2:$G$50)+SUMIF('BALANCE N-1'!$A$2:$A$50,"42*",'BALANCE N-1'!$G$2:$G$50)-SUMIF('BALANCE N-1'!$A$2:$A$50,"479*",'BALANCE N-1'!$G$2:$G$50))</f>
        <v/>
      </c>
    </row>
    <row r="22" ht="22" customHeight="1">
      <c r="A22" s="66" t="inlineStr">
        <is>
          <t>DI</t>
        </is>
      </c>
      <c r="B22" s="67" t="inlineStr">
        <is>
          <t>Provisions pour risques et charges a court terme</t>
        </is>
      </c>
      <c r="C22" s="104" t="inlineStr"/>
      <c r="D22" s="68">
        <f>(SUMIF('BALANCE N'!$A$2:$A$50,"499*",'BALANCE N'!$G$2:$G$50)-SUMIF('BALANCE N'!$A$2:$A$50,"499*",'BALANCE N'!$F$2:$F$50)+SUMIF('BALANCE N'!$A$2:$A$50,"599*",'BALANCE N'!$G$2:$G$50)-SUMIF('BALANCE N'!$A$2:$A$50,"599*",'BALANCE N'!$F$2:$F$50)-SUMIF('BALANCE N'!$A$2:$A$50,"4998*",'BALANCE N'!$G$2:$G$50)+SUMIF('BALANCE N'!$A$2:$A$50,"4998*",'BALANCE N'!$F$2:$F$50))</f>
        <v/>
      </c>
      <c r="E22" s="69">
        <f>(SUMIF('BALANCE N-1'!$A$2:$A$50,"499*",'BALANCE N-1'!$G$2:$G$50)-SUMIF('BALANCE N-1'!$A$2:$A$50,"499*",'BALANCE N-1'!$F$2:$F$50)+SUMIF('BALANCE N-1'!$A$2:$A$50,"599*",'BALANCE N-1'!$G$2:$G$50)-SUMIF('BALANCE N-1'!$A$2:$A$50,"599*",'BALANCE N-1'!$F$2:$F$50)-SUMIF('BALANCE N-1'!$A$2:$A$50,"4998*",'BALANCE N-1'!$G$2:$G$50)+SUMIF('BALANCE N-1'!$A$2:$A$50,"4998*",'BALANCE N-1'!$F$2:$F$50))</f>
        <v/>
      </c>
    </row>
    <row r="23" ht="22" customHeight="1">
      <c r="A23" s="70" t="inlineStr">
        <is>
          <t>DJ</t>
        </is>
      </c>
      <c r="B23" s="71" t="inlineStr">
        <is>
          <t>TOTAL PASSIF CIRCULANT</t>
        </is>
      </c>
      <c r="C23" s="105" t="inlineStr"/>
      <c r="D23" s="72">
        <f>D18+D19+D20+D21+D22</f>
        <v/>
      </c>
      <c r="E23" s="73">
        <f>E18+E19+E20+E21+E22</f>
        <v/>
      </c>
    </row>
    <row r="24" ht="22" customHeight="1">
      <c r="A24" s="66" t="inlineStr">
        <is>
          <t>DW</t>
        </is>
      </c>
      <c r="B24" s="67" t="inlineStr">
        <is>
          <t>Banques, etablissements financiers et credits de tresorerie</t>
        </is>
      </c>
      <c r="C24" s="104" t="inlineStr">
        <is>
          <t>13</t>
        </is>
      </c>
      <c r="D24" s="68">
        <f>(SUMIF('BALANCE N'!$A$2:$A$50,"56*",'BALANCE N'!$G$2:$G$50)-SUMIF('BALANCE N'!$A$2:$A$50,"56*",'BALANCE N'!$F$2:$F$50))+(SUMIF('BALANCE N'!$A$2:$A$50,"53*",'BALANCE N'!$G$2:$G$50)+SUMIF('BALANCE N'!$A$2:$A$50,"52*",'BALANCE N'!$G$2:$G$50))</f>
        <v/>
      </c>
      <c r="E24" s="69">
        <f>(SUMIF('BALANCE N-1'!$A$2:$A$50,"56*",'BALANCE N-1'!$G$2:$G$50)-SUMIF('BALANCE N-1'!$A$2:$A$50,"56*",'BALANCE N-1'!$F$2:$F$50))+(SUMIF('BALANCE N-1'!$A$2:$A$50,"53*",'BALANCE N-1'!$G$2:$G$50)+SUMIF('BALANCE N-1'!$A$2:$A$50,"52*",'BALANCE N-1'!$G$2:$G$50))</f>
        <v/>
      </c>
    </row>
    <row r="25" ht="22" customHeight="1">
      <c r="A25" s="70" t="inlineStr">
        <is>
          <t>DX</t>
        </is>
      </c>
      <c r="B25" s="71" t="inlineStr">
        <is>
          <t>TOTAL TRESORERIE PASSIF</t>
        </is>
      </c>
      <c r="C25" s="105" t="inlineStr"/>
      <c r="D25" s="72">
        <f>D24</f>
        <v/>
      </c>
      <c r="E25" s="73">
        <f>E24</f>
        <v/>
      </c>
    </row>
    <row r="26" ht="22" customHeight="1">
      <c r="A26" s="66" t="inlineStr">
        <is>
          <t>DY</t>
        </is>
      </c>
      <c r="B26" s="67" t="inlineStr">
        <is>
          <t>Ecart de conversion-Passif</t>
        </is>
      </c>
      <c r="C26" s="104" t="inlineStr">
        <is>
          <t>8</t>
        </is>
      </c>
      <c r="D26" s="68">
        <f>(SUMIF('BALANCE N'!$A$2:$A$50,"479*",'BALANCE N'!$G$2:$G$50)-SUMIF('BALANCE N'!$A$2:$A$50,"479*",'BALANCE N'!$F$2:$F$50))</f>
        <v/>
      </c>
      <c r="E26" s="69">
        <f>(SUMIF('BALANCE N-1'!$A$2:$A$50,"479*",'BALANCE N-1'!$G$2:$G$50)-SUMIF('BALANCE N-1'!$A$2:$A$50,"479*",'BALANCE N-1'!$F$2:$F$50))</f>
        <v/>
      </c>
    </row>
    <row r="27" ht="22" customHeight="1">
      <c r="A27" s="80" t="inlineStr">
        <is>
          <t>DZ</t>
        </is>
      </c>
      <c r="B27" s="81" t="inlineStr">
        <is>
          <t>TOTAL GENERAL</t>
        </is>
      </c>
      <c r="C27" s="106" t="inlineStr"/>
      <c r="D27" s="82">
        <f>D17+D23+D25+D26</f>
        <v/>
      </c>
      <c r="E27" s="83">
        <f>E17+E23+E25+E26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.5" customWidth="1" min="1" max="1"/>
    <col width="56" customWidth="1" min="2" max="2"/>
    <col width="6.5" customWidth="1" min="3" max="3"/>
    <col width="15.7" customWidth="1" min="4" max="4"/>
    <col width="15.7" customWidth="1" min="5" max="5"/>
  </cols>
  <sheetData>
    <row r="1" ht="12" customHeight="1">
      <c r="A1" s="48" t="inlineStr">
        <is>
          <t>- 9 -</t>
        </is>
      </c>
    </row>
    <row r="2" ht="26" customHeight="1">
      <c r="D2" s="49" t="inlineStr">
        <is>
          <t>COMPTE D'EXPLOITATION
PROJETS DE
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64" t="inlineStr">
        <is>
          <t>COMPTE D'EXPLOITATION</t>
        </is>
      </c>
      <c r="B7" s="65" t="n"/>
      <c r="C7" s="65" t="n"/>
      <c r="D7" s="65" t="n"/>
      <c r="E7" s="65" t="n"/>
    </row>
    <row r="8" ht="30" customHeight="1">
      <c r="A8" s="1" t="inlineStr">
        <is>
          <t>REF</t>
        </is>
      </c>
      <c r="B8" s="2" t="inlineStr">
        <is>
          <t>LIBELLES</t>
        </is>
      </c>
      <c r="C8" s="2" t="inlineStr">
        <is>
          <t>NOTE</t>
        </is>
      </c>
      <c r="D8" s="2" t="inlineStr">
        <is>
          <t>EXERCICE AU 31/12/N</t>
        </is>
      </c>
      <c r="E8" s="3" t="inlineStr">
        <is>
          <t>EXERCICE AU 31/12/N-1</t>
        </is>
      </c>
    </row>
    <row r="9" ht="22" customHeight="1">
      <c r="A9" s="66" t="inlineStr">
        <is>
          <t>RA</t>
        </is>
      </c>
      <c r="B9" s="67" t="inlineStr">
        <is>
          <t>Fonds d'administration consommes</t>
        </is>
      </c>
      <c r="C9" s="104" t="inlineStr">
        <is>
          <t>9 et 14</t>
        </is>
      </c>
      <c r="D9" s="68">
        <f>(SUMIF('BALANCE N'!$A$2:$A$50,"702*",'BALANCE N'!$G$2:$G$50)-SUMIF('BALANCE N'!$A$2:$A$50,"702*",'BALANCE N'!$F$2:$F$50))</f>
        <v/>
      </c>
      <c r="E9" s="69">
        <f>(SUMIF('BALANCE N-1'!$A$2:$A$50,"702*",'BALANCE N-1'!$G$2:$G$50)-SUMIF('BALANCE N-1'!$A$2:$A$50,"702*",'BALANCE N-1'!$F$2:$F$50))</f>
        <v/>
      </c>
    </row>
    <row r="10" ht="22" customHeight="1">
      <c r="A10" s="66" t="inlineStr">
        <is>
          <t>RB</t>
        </is>
      </c>
      <c r="B10" s="67" t="inlineStr">
        <is>
          <t>Ventes de marchandises, produits finis et prestations de services</t>
        </is>
      </c>
      <c r="C10" s="104" t="inlineStr">
        <is>
          <t>14</t>
        </is>
      </c>
      <c r="D10" s="68">
        <f>(SUMIF('BALANCE N'!$A$2:$A$50,"705*",'BALANCE N'!$G$2:$G$50)-SUMIF('BALANCE N'!$A$2:$A$50,"705*",'BALANCE N'!$F$2:$F$50))</f>
        <v/>
      </c>
      <c r="E10" s="69">
        <f>(SUMIF('BALANCE N-1'!$A$2:$A$50,"705*",'BALANCE N-1'!$G$2:$G$50)-SUMIF('BALANCE N-1'!$A$2:$A$50,"705*",'BALANCE N-1'!$F$2:$F$50))</f>
        <v/>
      </c>
    </row>
    <row r="11" ht="22" customHeight="1">
      <c r="A11" s="66" t="inlineStr">
        <is>
          <t>RC</t>
        </is>
      </c>
      <c r="B11" s="67" t="inlineStr">
        <is>
          <t>Subventions d'exploitation</t>
        </is>
      </c>
      <c r="C11" s="104" t="inlineStr">
        <is>
          <t>14</t>
        </is>
      </c>
      <c r="D11" s="68">
        <f>(SUMIF('BALANCE N'!$A$2:$A$50,"71*",'BALANCE N'!$G$2:$G$50)-SUMIF('BALANCE N'!$A$2:$A$50,"71*",'BALANCE N'!$F$2:$F$50))</f>
        <v/>
      </c>
      <c r="E11" s="69">
        <f>(SUMIF('BALANCE N-1'!$A$2:$A$50,"71*",'BALANCE N-1'!$G$2:$G$50)-SUMIF('BALANCE N-1'!$A$2:$A$50,"71*",'BALANCE N-1'!$F$2:$F$50))</f>
        <v/>
      </c>
    </row>
    <row r="12" ht="22" customHeight="1">
      <c r="A12" s="66" t="inlineStr">
        <is>
          <t>RD</t>
        </is>
      </c>
      <c r="B12" s="67" t="inlineStr">
        <is>
          <t>Autres produits et transferts de charges</t>
        </is>
      </c>
      <c r="C12" s="104" t="inlineStr">
        <is>
          <t>14</t>
        </is>
      </c>
      <c r="D12" s="68">
        <f>(SUMIF('BALANCE N'!$A$2:$A$50,"75*",'BALANCE N'!$G$2:$G$50)-SUMIF('BALANCE N'!$A$2:$A$50,"75*",'BALANCE N'!$F$2:$F$50)+SUMIF('BALANCE N'!$A$2:$A$50,"72*",'BALANCE N'!$G$2:$G$50)-SUMIF('BALANCE N'!$A$2:$A$50,"72*",'BALANCE N'!$F$2:$F$50)+SUMIF('BALANCE N'!$A$2:$A$50,"78*",'BALANCE N'!$G$2:$G$50)-SUMIF('BALANCE N'!$A$2:$A$50,"78*",'BALANCE N'!$F$2:$F$50)+SUMIF('BALANCE N'!$A$2:$A$50,"73*",'BALANCE N'!$G$2:$G$50)-SUMIF('BALANCE N'!$A$2:$A$50,"73*",'BALANCE N'!$F$2:$F$50)+SUMIF('BALANCE N'!$A$2:$A$50,"77*",'BALANCE N'!$G$2:$G$50)-SUMIF('BALANCE N'!$A$2:$A$50,"77*",'BALANCE N'!$F$2:$F$50)+SUMIF('BALANCE N'!$A$2:$A$50,"706*",'BALANCE N'!$G$2:$G$50)-SUMIF('BALANCE N'!$A$2:$A$50,"706*",'BALANCE N'!$F$2:$F$50)+SUMIF('BALANCE N'!$A$2:$A$50,"707*",'BALANCE N'!$G$2:$G$50)-SUMIF('BALANCE N'!$A$2:$A$50,"707*",'BALANCE N'!$F$2:$F$50)+SUMIF('BALANCE N'!$A$2:$A$50,"708*",'BALANCE N'!$G$2:$G$50)-SUMIF('BALANCE N'!$A$2:$A$50,"708*",'BALANCE N'!$F$2:$F$50))</f>
        <v/>
      </c>
      <c r="E12" s="69">
        <f>(SUMIF('BALANCE N-1'!$A$2:$A$50,"75*",'BALANCE N-1'!$G$2:$G$50)-SUMIF('BALANCE N-1'!$A$2:$A$50,"75*",'BALANCE N-1'!$F$2:$F$50)+SUMIF('BALANCE N-1'!$A$2:$A$50,"72*",'BALANCE N-1'!$G$2:$G$50)-SUMIF('BALANCE N-1'!$A$2:$A$50,"72*",'BALANCE N-1'!$F$2:$F$50)+SUMIF('BALANCE N-1'!$A$2:$A$50,"78*",'BALANCE N-1'!$G$2:$G$50)-SUMIF('BALANCE N-1'!$A$2:$A$50,"78*",'BALANCE N-1'!$F$2:$F$50)+SUMIF('BALANCE N-1'!$A$2:$A$50,"73*",'BALANCE N-1'!$G$2:$G$50)-SUMIF('BALANCE N-1'!$A$2:$A$50,"73*",'BALANCE N-1'!$F$2:$F$50)+SUMIF('BALANCE N-1'!$A$2:$A$50,"77*",'BALANCE N-1'!$G$2:$G$50)-SUMIF('BALANCE N-1'!$A$2:$A$50,"77*",'BALANCE N-1'!$F$2:$F$50)+SUMIF('BALANCE N-1'!$A$2:$A$50,"706*",'BALANCE N-1'!$G$2:$G$50)-SUMIF('BALANCE N-1'!$A$2:$A$50,"706*",'BALANCE N-1'!$F$2:$F$50)+SUMIF('BALANCE N-1'!$A$2:$A$50,"707*",'BALANCE N-1'!$G$2:$G$50)-SUMIF('BALANCE N-1'!$A$2:$A$50,"707*",'BALANCE N-1'!$F$2:$F$50)+SUMIF('BALANCE N-1'!$A$2:$A$50,"708*",'BALANCE N-1'!$G$2:$G$50)-SUMIF('BALANCE N-1'!$A$2:$A$50,"708*",'BALANCE N-1'!$F$2:$F$50))</f>
        <v/>
      </c>
    </row>
    <row r="13" ht="22" customHeight="1">
      <c r="A13" s="66" t="inlineStr">
        <is>
          <t>RE</t>
        </is>
      </c>
      <c r="B13" s="67" t="inlineStr">
        <is>
          <t>Reprises de provisions</t>
        </is>
      </c>
      <c r="C13" s="104" t="inlineStr">
        <is>
          <t>22</t>
        </is>
      </c>
      <c r="D13" s="68">
        <f>(SUMIF('BALANCE N'!$A$2:$A$50,"79*",'BALANCE N'!$G$2:$G$50)-SUMIF('BALANCE N'!$A$2:$A$50,"79*",'BALANCE N'!$F$2:$F$50))</f>
        <v/>
      </c>
      <c r="E13" s="69">
        <f>(SUMIF('BALANCE N-1'!$A$2:$A$50,"79*",'BALANCE N-1'!$G$2:$G$50)-SUMIF('BALANCE N-1'!$A$2:$A$50,"79*",'BALANCE N-1'!$F$2:$F$50))</f>
        <v/>
      </c>
    </row>
    <row r="14" ht="22" customHeight="1">
      <c r="A14" s="70" t="inlineStr">
        <is>
          <t>XA</t>
        </is>
      </c>
      <c r="B14" s="71" t="inlineStr">
        <is>
          <t>REVENUS</t>
        </is>
      </c>
      <c r="C14" s="105" t="inlineStr"/>
      <c r="D14" s="72">
        <f>D9+D10+D11+D12+D13</f>
        <v/>
      </c>
      <c r="E14" s="73">
        <f>E9+E10+E11+E12+E13</f>
        <v/>
      </c>
    </row>
    <row r="15" ht="22" customHeight="1">
      <c r="A15" s="66" t="inlineStr">
        <is>
          <t>TA</t>
        </is>
      </c>
      <c r="B15" s="67" t="inlineStr">
        <is>
          <t>Achats de biens, marchandises, matieres premieres et fournitures liees</t>
        </is>
      </c>
      <c r="C15" s="104" t="inlineStr">
        <is>
          <t>15</t>
        </is>
      </c>
      <c r="D15" s="68">
        <f>(SUMIF('BALANCE N'!$A$2:$A$50,"602*",'BALANCE N'!$G$2:$G$50)-SUMIF('BALANCE N'!$A$2:$A$50,"602*",'BALANCE N'!$F$2:$F$50)+SUMIF('BALANCE N'!$A$2:$A$50,"601*",'BALANCE N'!$G$2:$G$50)-SUMIF('BALANCE N'!$A$2:$A$50,"601*",'BALANCE N'!$F$2:$F$50))</f>
        <v/>
      </c>
      <c r="E15" s="69">
        <f>(SUMIF('BALANCE N-1'!$A$2:$A$50,"602*",'BALANCE N-1'!$G$2:$G$50)-SUMIF('BALANCE N-1'!$A$2:$A$50,"602*",'BALANCE N-1'!$F$2:$F$50)+SUMIF('BALANCE N-1'!$A$2:$A$50,"601*",'BALANCE N-1'!$G$2:$G$50)-SUMIF('BALANCE N-1'!$A$2:$A$50,"601*",'BALANCE N-1'!$F$2:$F$50))</f>
        <v/>
      </c>
    </row>
    <row r="16" ht="22" customHeight="1">
      <c r="A16" s="66" t="inlineStr">
        <is>
          <t>TB</t>
        </is>
      </c>
      <c r="B16" s="67" t="inlineStr">
        <is>
          <t>Autres achats</t>
        </is>
      </c>
      <c r="C16" s="104" t="inlineStr">
        <is>
          <t>15</t>
        </is>
      </c>
      <c r="D16" s="68">
        <f>(SUMIF('BALANCE N'!$A$2:$A$50,"604*",'BALANCE N'!$G$2:$G$50)-SUMIF('BALANCE N'!$A$2:$A$50,"604*",'BALANCE N'!$F$2:$F$50)+SUMIF('BALANCE N'!$A$2:$A$50,"608*",'BALANCE N'!$G$2:$G$50)-SUMIF('BALANCE N'!$A$2:$A$50,"608*",'BALANCE N'!$F$2:$F$50)+SUMIF('BALANCE N'!$A$2:$A$50,"605*",'BALANCE N'!$G$2:$G$50)-SUMIF('BALANCE N'!$A$2:$A$50,"605*",'BALANCE N'!$F$2:$F$50)+SUMIF('BALANCE N'!$A$2:$A$50,"606*",'BALANCE N'!$G$2:$G$50)-SUMIF('BALANCE N'!$A$2:$A$50,"606*",'BALANCE N'!$F$2:$F$50))</f>
        <v/>
      </c>
      <c r="E16" s="69">
        <f>(SUMIF('BALANCE N-1'!$A$2:$A$50,"604*",'BALANCE N-1'!$G$2:$G$50)-SUMIF('BALANCE N-1'!$A$2:$A$50,"604*",'BALANCE N-1'!$F$2:$F$50)+SUMIF('BALANCE N-1'!$A$2:$A$50,"608*",'BALANCE N-1'!$G$2:$G$50)-SUMIF('BALANCE N-1'!$A$2:$A$50,"608*",'BALANCE N-1'!$F$2:$F$50)+SUMIF('BALANCE N-1'!$A$2:$A$50,"605*",'BALANCE N-1'!$G$2:$G$50)-SUMIF('BALANCE N-1'!$A$2:$A$50,"605*",'BALANCE N-1'!$F$2:$F$50)+SUMIF('BALANCE N-1'!$A$2:$A$50,"606*",'BALANCE N-1'!$G$2:$G$50)-SUMIF('BALANCE N-1'!$A$2:$A$50,"606*",'BALANCE N-1'!$F$2:$F$50))</f>
        <v/>
      </c>
    </row>
    <row r="17" ht="22" customHeight="1">
      <c r="A17" s="66" t="inlineStr">
        <is>
          <t>TC</t>
        </is>
      </c>
      <c r="B17" s="67" t="inlineStr">
        <is>
          <t>Variation de stocks de biens, marchandises, matieres et fournitures</t>
        </is>
      </c>
      <c r="C17" s="104" t="inlineStr">
        <is>
          <t>5</t>
        </is>
      </c>
      <c r="D17" s="68">
        <f>(SUMIF('BALANCE N'!$A$2:$A$50,"603*",'BALANCE N'!$G$2:$G$50)-SUMIF('BALANCE N'!$A$2:$A$50,"603*",'BALANCE N'!$F$2:$F$50))</f>
        <v/>
      </c>
      <c r="E17" s="69">
        <f>(SUMIF('BALANCE N-1'!$A$2:$A$50,"603*",'BALANCE N-1'!$G$2:$G$50)-SUMIF('BALANCE N-1'!$A$2:$A$50,"603*",'BALANCE N-1'!$F$2:$F$50))</f>
        <v/>
      </c>
    </row>
    <row r="18" ht="22" customHeight="1">
      <c r="A18" s="66" t="inlineStr">
        <is>
          <t>TD</t>
        </is>
      </c>
      <c r="B18" s="67" t="inlineStr">
        <is>
          <t>Transports</t>
        </is>
      </c>
      <c r="C18" s="104" t="inlineStr">
        <is>
          <t>16</t>
        </is>
      </c>
      <c r="D18" s="68">
        <f>(SUMIF('BALANCE N'!$A$2:$A$50,"61*",'BALANCE N'!$G$2:$G$50)-SUMIF('BALANCE N'!$A$2:$A$50,"61*",'BALANCE N'!$F$2:$F$50))</f>
        <v/>
      </c>
      <c r="E18" s="69">
        <f>(SUMIF('BALANCE N-1'!$A$2:$A$50,"61*",'BALANCE N-1'!$G$2:$G$50)-SUMIF('BALANCE N-1'!$A$2:$A$50,"61*",'BALANCE N-1'!$F$2:$F$50))</f>
        <v/>
      </c>
    </row>
    <row r="19" ht="22" customHeight="1">
      <c r="A19" s="66" t="inlineStr">
        <is>
          <t>TG</t>
        </is>
      </c>
      <c r="B19" s="67" t="inlineStr">
        <is>
          <t>Services exterieurs</t>
        </is>
      </c>
      <c r="C19" s="104" t="inlineStr">
        <is>
          <t>17</t>
        </is>
      </c>
      <c r="D19" s="68">
        <f>(SUMIF('BALANCE N'!$A$2:$A$50,"62*",'BALANCE N'!$G$2:$G$50)-SUMIF('BALANCE N'!$A$2:$A$50,"62*",'BALANCE N'!$F$2:$F$50)+SUMIF('BALANCE N'!$A$2:$A$50,"63*",'BALANCE N'!$G$2:$G$50)-SUMIF('BALANCE N'!$A$2:$A$50,"63*",'BALANCE N'!$F$2:$F$50))</f>
        <v/>
      </c>
      <c r="E19" s="69">
        <f>(SUMIF('BALANCE N-1'!$A$2:$A$50,"62*",'BALANCE N-1'!$G$2:$G$50)-SUMIF('BALANCE N-1'!$A$2:$A$50,"62*",'BALANCE N-1'!$F$2:$F$50)+SUMIF('BALANCE N-1'!$A$2:$A$50,"63*",'BALANCE N-1'!$G$2:$G$50)-SUMIF('BALANCE N-1'!$A$2:$A$50,"63*",'BALANCE N-1'!$F$2:$F$50))</f>
        <v/>
      </c>
    </row>
    <row r="20" ht="22" customHeight="1">
      <c r="A20" s="66" t="inlineStr">
        <is>
          <t>TH</t>
        </is>
      </c>
      <c r="B20" s="67" t="inlineStr">
        <is>
          <t>Impots et taxes</t>
        </is>
      </c>
      <c r="C20" s="104" t="inlineStr">
        <is>
          <t>18</t>
        </is>
      </c>
      <c r="D20" s="68">
        <f>(SUMIF('BALANCE N'!$A$2:$A$50,"64*",'BALANCE N'!$G$2:$G$50)-SUMIF('BALANCE N'!$A$2:$A$50,"64*",'BALANCE N'!$F$2:$F$50))</f>
        <v/>
      </c>
      <c r="E20" s="69">
        <f>(SUMIF('BALANCE N-1'!$A$2:$A$50,"64*",'BALANCE N-1'!$G$2:$G$50)-SUMIF('BALANCE N-1'!$A$2:$A$50,"64*",'BALANCE N-1'!$F$2:$F$50))</f>
        <v/>
      </c>
    </row>
    <row r="21" ht="22" customHeight="1">
      <c r="A21" s="66" t="inlineStr">
        <is>
          <t>TI</t>
        </is>
      </c>
      <c r="B21" s="67" t="inlineStr">
        <is>
          <t>Autres charges</t>
        </is>
      </c>
      <c r="C21" s="104" t="inlineStr">
        <is>
          <t>19</t>
        </is>
      </c>
      <c r="D21" s="68">
        <f>(SUMIF('BALANCE N'!$A$2:$A$50,"65*",'BALANCE N'!$G$2:$G$50)-SUMIF('BALANCE N'!$A$2:$A$50,"65*",'BALANCE N'!$F$2:$F$50))</f>
        <v/>
      </c>
      <c r="E21" s="69">
        <f>(SUMIF('BALANCE N-1'!$A$2:$A$50,"65*",'BALANCE N-1'!$G$2:$G$50)-SUMIF('BALANCE N-1'!$A$2:$A$50,"65*",'BALANCE N-1'!$F$2:$F$50))</f>
        <v/>
      </c>
    </row>
    <row r="22" ht="22" customHeight="1">
      <c r="A22" s="66" t="inlineStr">
        <is>
          <t>TJ</t>
        </is>
      </c>
      <c r="B22" s="67" t="inlineStr">
        <is>
          <t>Charges de personnel</t>
        </is>
      </c>
      <c r="C22" s="104" t="inlineStr">
        <is>
          <t>20A</t>
        </is>
      </c>
      <c r="D22" s="68">
        <f>(SUMIF('BALANCE N'!$A$2:$A$50,"66*",'BALANCE N'!$G$2:$G$50)-SUMIF('BALANCE N'!$A$2:$A$50,"66*",'BALANCE N'!$F$2:$F$50))</f>
        <v/>
      </c>
      <c r="E22" s="69">
        <f>(SUMIF('BALANCE N-1'!$A$2:$A$50,"66*",'BALANCE N-1'!$G$2:$G$50)-SUMIF('BALANCE N-1'!$A$2:$A$50,"66*",'BALANCE N-1'!$F$2:$F$50))</f>
        <v/>
      </c>
    </row>
    <row r="23" ht="22" customHeight="1">
      <c r="A23" s="66" t="inlineStr">
        <is>
          <t>TK</t>
        </is>
      </c>
      <c r="B23" s="67" t="inlineStr">
        <is>
          <t>Frais financiers et charges assimilees</t>
        </is>
      </c>
      <c r="C23" s="104" t="inlineStr">
        <is>
          <t>21</t>
        </is>
      </c>
      <c r="D23" s="68">
        <f>(SUMIF('BALANCE N'!$A$2:$A$50,"67*",'BALANCE N'!$G$2:$G$50)-SUMIF('BALANCE N'!$A$2:$A$50,"67*",'BALANCE N'!$F$2:$F$50))</f>
        <v/>
      </c>
      <c r="E23" s="69">
        <f>(SUMIF('BALANCE N-1'!$A$2:$A$50,"67*",'BALANCE N-1'!$G$2:$G$50)-SUMIF('BALANCE N-1'!$A$2:$A$50,"67*",'BALANCE N-1'!$F$2:$F$50))</f>
        <v/>
      </c>
    </row>
    <row r="24" ht="22" customHeight="1">
      <c r="A24" s="66" t="inlineStr">
        <is>
          <t>TJ</t>
        </is>
      </c>
      <c r="B24" s="67" t="inlineStr">
        <is>
          <t>Dotations aux amortissements et aux provisions</t>
        </is>
      </c>
      <c r="C24" s="104" t="inlineStr">
        <is>
          <t>22</t>
        </is>
      </c>
      <c r="D24" s="68">
        <f>(SUMIF('BALANCE N'!$A$2:$A$50,"68*",'BALANCE N'!$G$2:$G$50)-SUMIF('BALANCE N'!$A$2:$A$50,"68*",'BALANCE N'!$F$2:$F$50)+SUMIF('BALANCE N'!$A$2:$A$50,"69*",'BALANCE N'!$G$2:$G$50)-SUMIF('BALANCE N'!$A$2:$A$50,"69*",'BALANCE N'!$F$2:$F$50))</f>
        <v/>
      </c>
      <c r="E24" s="69">
        <f>(SUMIF('BALANCE N-1'!$A$2:$A$50,"68*",'BALANCE N-1'!$G$2:$G$50)-SUMIF('BALANCE N-1'!$A$2:$A$50,"68*",'BALANCE N-1'!$F$2:$F$50)+SUMIF('BALANCE N-1'!$A$2:$A$50,"69*",'BALANCE N-1'!$G$2:$G$50)-SUMIF('BALANCE N-1'!$A$2:$A$50,"69*",'BALANCE N-1'!$F$2:$F$50))</f>
        <v/>
      </c>
    </row>
    <row r="25" ht="22" customHeight="1">
      <c r="A25" s="66" t="inlineStr">
        <is>
          <t>TK</t>
        </is>
      </c>
      <c r="B25" s="67" t="inlineStr">
        <is>
          <t>Produits H.A.O.</t>
        </is>
      </c>
      <c r="C25" s="104" t="inlineStr">
        <is>
          <t>23</t>
        </is>
      </c>
      <c r="D25" s="68">
        <f>(SUMIF('BALANCE N'!$A$2:$A$50,"84*",'BALANCE N'!$G$2:$G$50)-SUMIF('BALANCE N'!$A$2:$A$50,"84*",'BALANCE N'!$F$2:$F$50)+SUMIF('BALANCE N'!$A$2:$A$50,"86*",'BALANCE N'!$G$2:$G$50)-SUMIF('BALANCE N'!$A$2:$A$50,"86*",'BALANCE N'!$F$2:$F$50)+SUMIF('BALANCE N'!$A$2:$A$50,"88*",'BALANCE N'!$G$2:$G$50)-SUMIF('BALANCE N'!$A$2:$A$50,"88*",'BALANCE N'!$F$2:$F$50)+SUMIF('BALANCE N'!$A$2:$A$50,"82*",'BALANCE N'!$G$2:$G$50)-SUMIF('BALANCE N'!$A$2:$A$50,"82*",'BALANCE N'!$F$2:$F$50))</f>
        <v/>
      </c>
      <c r="E25" s="69">
        <f>(SUMIF('BALANCE N-1'!$A$2:$A$50,"84*",'BALANCE N-1'!$G$2:$G$50)-SUMIF('BALANCE N-1'!$A$2:$A$50,"84*",'BALANCE N-1'!$F$2:$F$50)+SUMIF('BALANCE N-1'!$A$2:$A$50,"86*",'BALANCE N-1'!$G$2:$G$50)-SUMIF('BALANCE N-1'!$A$2:$A$50,"86*",'BALANCE N-1'!$F$2:$F$50)+SUMIF('BALANCE N-1'!$A$2:$A$50,"88*",'BALANCE N-1'!$G$2:$G$50)-SUMIF('BALANCE N-1'!$A$2:$A$50,"88*",'BALANCE N-1'!$F$2:$F$50)+SUMIF('BALANCE N-1'!$A$2:$A$50,"82*",'BALANCE N-1'!$G$2:$G$50)-SUMIF('BALANCE N-1'!$A$2:$A$50,"82*",'BALANCE N-1'!$F$2:$F$50))</f>
        <v/>
      </c>
    </row>
    <row r="26" ht="22" customHeight="1">
      <c r="A26" s="66" t="inlineStr">
        <is>
          <t>TL</t>
        </is>
      </c>
      <c r="B26" s="67" t="inlineStr">
        <is>
          <t>Charges H.A.O.</t>
        </is>
      </c>
      <c r="C26" s="104" t="inlineStr">
        <is>
          <t>23</t>
        </is>
      </c>
      <c r="D26" s="68">
        <f>(SUMIF('BALANCE N'!$A$2:$A$50,"81*",'BALANCE N'!$G$2:$G$50)-SUMIF('BALANCE N'!$A$2:$A$50,"81*",'BALANCE N'!$F$2:$F$50)+SUMIF('BALANCE N'!$A$2:$A$50,"87*",'BALANCE N'!$G$2:$G$50)-SUMIF('BALANCE N'!$A$2:$A$50,"87*",'BALANCE N'!$F$2:$F$50)+SUMIF('BALANCE N'!$A$2:$A$50,"85*",'BALANCE N'!$G$2:$G$50)-SUMIF('BALANCE N'!$A$2:$A$50,"85*",'BALANCE N'!$F$2:$F$50)+SUMIF('BALANCE N'!$A$2:$A$50,"83*",'BALANCE N'!$G$2:$G$50)-SUMIF('BALANCE N'!$A$2:$A$50,"83*",'BALANCE N'!$F$2:$F$50))</f>
        <v/>
      </c>
      <c r="E26" s="69">
        <f>(SUMIF('BALANCE N-1'!$A$2:$A$50,"81*",'BALANCE N-1'!$G$2:$G$50)-SUMIF('BALANCE N-1'!$A$2:$A$50,"81*",'BALANCE N-1'!$F$2:$F$50)+SUMIF('BALANCE N-1'!$A$2:$A$50,"87*",'BALANCE N-1'!$G$2:$G$50)-SUMIF('BALANCE N-1'!$A$2:$A$50,"87*",'BALANCE N-1'!$F$2:$F$50)+SUMIF('BALANCE N-1'!$A$2:$A$50,"85*",'BALANCE N-1'!$G$2:$G$50)-SUMIF('BALANCE N-1'!$A$2:$A$50,"85*",'BALANCE N-1'!$F$2:$F$50)+SUMIF('BALANCE N-1'!$A$2:$A$50,"83*",'BALANCE N-1'!$G$2:$G$50)-SUMIF('BALANCE N-1'!$A$2:$A$50,"83*",'BALANCE N-1'!$F$2:$F$50))</f>
        <v/>
      </c>
    </row>
    <row r="27" ht="22" customHeight="1">
      <c r="A27" s="70" t="inlineStr">
        <is>
          <t>XB</t>
        </is>
      </c>
      <c r="B27" s="71" t="inlineStr">
        <is>
          <t>CHARGES DE FONCTIONNEMENT</t>
        </is>
      </c>
      <c r="C27" s="105" t="inlineStr"/>
      <c r="D27" s="72">
        <f>D15+D16+D17+D18+D19+D20+D21+D22+D23+D24+D25+D26</f>
        <v/>
      </c>
      <c r="E27" s="73">
        <f>E15+E16+E17+E18+E19+E20+E21+E22+E23+E24+E25+E26</f>
        <v/>
      </c>
    </row>
    <row r="28" ht="22" customHeight="1">
      <c r="A28" s="80" t="inlineStr">
        <is>
          <t>XC</t>
        </is>
      </c>
      <c r="B28" s="108" t="inlineStr">
        <is>
          <t>SOLDE DES OPERATIONS DE L'EXERCICE</t>
        </is>
      </c>
      <c r="C28" s="109" t="inlineStr"/>
      <c r="D28" s="110">
        <f>D14+D27</f>
        <v/>
      </c>
      <c r="E28" s="111">
        <f>E14+E27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9" customWidth="1" min="2" max="2"/>
    <col width="10" customWidth="1" min="3" max="3"/>
    <col width="8" customWidth="1" min="4" max="4"/>
    <col width="17" customWidth="1" min="5" max="5"/>
    <col width="9.5" customWidth="1" min="6" max="6"/>
    <col width="8" customWidth="1" min="7" max="7"/>
    <col width="21.5" customWidth="1" min="8" max="8"/>
    <col width="6.3" customWidth="1" min="9" max="9"/>
    <col width="6.3" customWidth="1" min="10" max="10"/>
  </cols>
  <sheetData>
    <row r="1" ht="12" customHeight="1">
      <c r="A1" s="48" t="inlineStr">
        <is>
          <t>- 10 -</t>
        </is>
      </c>
    </row>
    <row r="2" ht="26" customHeight="1">
      <c r="I2" s="49" t="inlineStr">
        <is>
          <t>NOTES ANNEXES</t>
        </is>
      </c>
      <c r="J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G4" s="39" t="n"/>
      <c r="I4" s="52" t="inlineStr">
        <is>
          <t>Sigle usuel :</t>
        </is>
      </c>
      <c r="J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G5" s="37" t="inlineStr">
        <is>
          <t>Exercice clos le 31-12-2025</t>
        </is>
      </c>
      <c r="I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2" customHeight="1">
      <c r="A7" s="112" t="inlineStr">
        <is>
          <t>FICHE RECAPITULATIVE NOTES ANNEXES PRESENTEES (1)</t>
        </is>
      </c>
    </row>
    <row r="8" ht="19" customHeight="1">
      <c r="A8" s="1" t="inlineStr">
        <is>
          <t>NOTES</t>
        </is>
      </c>
      <c r="B8" s="2" t="inlineStr">
        <is>
          <t>INTITULES</t>
        </is>
      </c>
      <c r="C8" s="2" t="n"/>
      <c r="D8" s="2" t="n"/>
      <c r="E8" s="2" t="n"/>
      <c r="F8" s="2" t="n"/>
      <c r="G8" s="2" t="n"/>
      <c r="H8" s="2" t="n"/>
      <c r="I8" s="2" t="inlineStr">
        <is>
          <t>A (2)</t>
        </is>
      </c>
      <c r="J8" s="3" t="inlineStr">
        <is>
          <t>N/A (2)</t>
        </is>
      </c>
    </row>
    <row r="9" ht="16" customHeight="1">
      <c r="A9" s="113" t="inlineStr">
        <is>
          <t>Partie 1 : Informations générales</t>
        </is>
      </c>
      <c r="B9" s="114" t="n"/>
      <c r="C9" s="114" t="n"/>
      <c r="D9" s="114" t="n"/>
      <c r="E9" s="114" t="n"/>
      <c r="F9" s="114" t="n"/>
      <c r="G9" s="114" t="n"/>
      <c r="H9" s="114" t="n"/>
      <c r="I9" s="114" t="n"/>
      <c r="J9" s="114" t="n"/>
    </row>
    <row r="10">
      <c r="A10" s="115" t="inlineStr">
        <is>
          <t>Note 1</t>
        </is>
      </c>
      <c r="B10" s="116" t="inlineStr">
        <is>
          <t>INFORMATIONS OBLIGATOIRES</t>
        </is>
      </c>
      <c r="C10" s="45" t="n"/>
      <c r="D10" s="45" t="n"/>
      <c r="E10" s="45" t="n"/>
      <c r="F10" s="45" t="n"/>
      <c r="G10" s="45" t="n"/>
      <c r="H10" s="45" t="n"/>
      <c r="I10" s="45" t="n"/>
      <c r="J10" s="45" t="n"/>
    </row>
    <row r="11" ht="16" customHeight="1">
      <c r="A11" s="113" t="inlineStr">
        <is>
          <t>Partie 2 : Notes sur le tableau emplois-ressources, le tableau d'exécution budgétaire et la réconciliation de trésorerie</t>
        </is>
      </c>
      <c r="B11" s="114" t="n"/>
      <c r="C11" s="114" t="n"/>
      <c r="D11" s="114" t="n"/>
      <c r="E11" s="114" t="n"/>
      <c r="F11" s="114" t="n"/>
      <c r="G11" s="114" t="n"/>
      <c r="H11" s="114" t="n"/>
      <c r="I11" s="114" t="n"/>
      <c r="J11" s="114" t="n"/>
    </row>
    <row r="12">
      <c r="A12" s="115" t="inlineStr">
        <is>
          <t>Note 2</t>
        </is>
      </c>
      <c r="B12" s="116" t="inlineStr">
        <is>
          <t>INFORMATIONS SPÉCIFIQUES</t>
        </is>
      </c>
      <c r="C12" s="45" t="n"/>
      <c r="D12" s="45" t="n"/>
      <c r="E12" s="45" t="n"/>
      <c r="F12" s="45" t="n"/>
      <c r="G12" s="45" t="n"/>
      <c r="H12" s="45" t="n"/>
      <c r="I12" s="45" t="n"/>
      <c r="J12" s="45" t="n"/>
    </row>
    <row r="13" ht="16" customHeight="1">
      <c r="A13" s="113" t="inlineStr">
        <is>
          <t>Partie 3 : Notes sur le bilan</t>
        </is>
      </c>
      <c r="B13" s="114" t="n"/>
      <c r="C13" s="114" t="n"/>
      <c r="D13" s="114" t="n"/>
      <c r="E13" s="114" t="n"/>
      <c r="F13" s="114" t="n"/>
      <c r="G13" s="114" t="n"/>
      <c r="H13" s="114" t="n"/>
      <c r="I13" s="114" t="n"/>
      <c r="J13" s="114" t="n"/>
    </row>
    <row r="14">
      <c r="A14" s="115" t="inlineStr">
        <is>
          <t>Note 3A</t>
        </is>
      </c>
      <c r="B14" s="116" t="inlineStr">
        <is>
          <t>IMMOBILISATIONS BRUTES</t>
        </is>
      </c>
      <c r="C14" s="45" t="n"/>
      <c r="D14" s="45" t="n"/>
      <c r="E14" s="45" t="n"/>
      <c r="F14" s="45" t="n"/>
      <c r="G14" s="45" t="n"/>
      <c r="H14" s="45" t="n"/>
      <c r="I14" s="45" t="n"/>
      <c r="J14" s="45" t="n"/>
    </row>
    <row r="15">
      <c r="A15" s="115" t="inlineStr">
        <is>
          <t>Note 3B</t>
        </is>
      </c>
      <c r="B15" s="116" t="inlineStr">
        <is>
          <t>BIENS PRIS EN LOCATION-ACQUISITION</t>
        </is>
      </c>
      <c r="C15" s="45" t="n"/>
      <c r="D15" s="45" t="n"/>
      <c r="E15" s="45" t="n"/>
      <c r="F15" s="45" t="n"/>
      <c r="G15" s="45" t="n"/>
      <c r="H15" s="45" t="n"/>
      <c r="I15" s="45" t="n"/>
      <c r="J15" s="45" t="n"/>
    </row>
    <row r="16">
      <c r="A16" s="115" t="inlineStr">
        <is>
          <t>Note 4</t>
        </is>
      </c>
      <c r="B16" s="116" t="inlineStr">
        <is>
          <t>ACTIF CIRCULANT ET DETTES CIRCULANTES HAO</t>
        </is>
      </c>
      <c r="C16" s="45" t="n"/>
      <c r="D16" s="45" t="n"/>
      <c r="E16" s="45" t="n"/>
      <c r="F16" s="45" t="n"/>
      <c r="G16" s="45" t="n"/>
      <c r="H16" s="45" t="n"/>
      <c r="I16" s="45" t="n"/>
      <c r="J16" s="45" t="n"/>
    </row>
    <row r="17">
      <c r="A17" s="115" t="inlineStr">
        <is>
          <t>Note 5</t>
        </is>
      </c>
      <c r="B17" s="116" t="inlineStr">
        <is>
          <t>STOCKS ET ENCOURS</t>
        </is>
      </c>
      <c r="C17" s="45" t="n"/>
      <c r="D17" s="45" t="n"/>
      <c r="E17" s="45" t="n"/>
      <c r="F17" s="45" t="n"/>
      <c r="G17" s="45" t="n"/>
      <c r="H17" s="45" t="n"/>
      <c r="I17" s="45" t="n"/>
      <c r="J17" s="45" t="n"/>
    </row>
    <row r="18">
      <c r="A18" s="115" t="inlineStr">
        <is>
          <t>Note 6</t>
        </is>
      </c>
      <c r="B18" s="116" t="inlineStr">
        <is>
          <t>CLIENTS-USAGERS ET AUTRES CRÉANCES</t>
        </is>
      </c>
      <c r="C18" s="45" t="n"/>
      <c r="D18" s="45" t="n"/>
      <c r="E18" s="45" t="n"/>
      <c r="F18" s="45" t="n"/>
      <c r="G18" s="45" t="n"/>
      <c r="H18" s="45" t="n"/>
      <c r="I18" s="45" t="n"/>
      <c r="J18" s="45" t="n"/>
    </row>
    <row r="19">
      <c r="A19" s="115" t="inlineStr">
        <is>
          <t>Note 7</t>
        </is>
      </c>
      <c r="B19" s="116" t="inlineStr">
        <is>
          <t>DISPONIBILITÉS</t>
        </is>
      </c>
      <c r="C19" s="45" t="n"/>
      <c r="D19" s="45" t="n"/>
      <c r="E19" s="45" t="n"/>
      <c r="F19" s="45" t="n"/>
      <c r="G19" s="45" t="n"/>
      <c r="H19" s="45" t="n"/>
      <c r="I19" s="45" t="n"/>
      <c r="J19" s="45" t="n"/>
    </row>
    <row r="20">
      <c r="A20" s="115" t="inlineStr">
        <is>
          <t>Note 8</t>
        </is>
      </c>
      <c r="B20" s="116" t="inlineStr">
        <is>
          <t>ÉCARTS DE CONVERSION</t>
        </is>
      </c>
      <c r="C20" s="45" t="n"/>
      <c r="D20" s="45" t="n"/>
      <c r="E20" s="45" t="n"/>
      <c r="F20" s="45" t="n"/>
      <c r="G20" s="45" t="n"/>
      <c r="H20" s="45" t="n"/>
      <c r="I20" s="45" t="n"/>
      <c r="J20" s="45" t="n"/>
    </row>
    <row r="21">
      <c r="A21" s="115" t="inlineStr">
        <is>
          <t>Note 9</t>
        </is>
      </c>
      <c r="B21" s="116" t="inlineStr">
        <is>
          <t>FONDS DU BAILLEUR</t>
        </is>
      </c>
      <c r="C21" s="45" t="n"/>
      <c r="D21" s="45" t="n"/>
      <c r="E21" s="45" t="n"/>
      <c r="F21" s="45" t="n"/>
      <c r="G21" s="45" t="n"/>
      <c r="H21" s="45" t="n"/>
      <c r="I21" s="45" t="n"/>
      <c r="J21" s="45" t="n"/>
    </row>
    <row r="22">
      <c r="A22" s="115" t="inlineStr">
        <is>
          <t>Note 10</t>
        </is>
      </c>
      <c r="B22" s="116" t="inlineStr">
        <is>
          <t>SUBVENTIONS</t>
        </is>
      </c>
      <c r="C22" s="45" t="n"/>
      <c r="D22" s="45" t="n"/>
      <c r="E22" s="45" t="n"/>
      <c r="F22" s="45" t="n"/>
      <c r="G22" s="45" t="n"/>
      <c r="H22" s="45" t="n"/>
      <c r="I22" s="45" t="n"/>
      <c r="J22" s="45" t="n"/>
    </row>
    <row r="23">
      <c r="A23" s="115" t="inlineStr">
        <is>
          <t>Note 11</t>
        </is>
      </c>
      <c r="B23" s="116" t="inlineStr">
        <is>
          <t>DETTES FINANCIÈRES ET RESSOURCES ASSIMILÉES</t>
        </is>
      </c>
      <c r="C23" s="45" t="n"/>
      <c r="D23" s="45" t="n"/>
      <c r="E23" s="45" t="n"/>
      <c r="F23" s="45" t="n"/>
      <c r="G23" s="45" t="n"/>
      <c r="H23" s="45" t="n"/>
      <c r="I23" s="45" t="n"/>
      <c r="J23" s="45" t="n"/>
    </row>
    <row r="24">
      <c r="A24" s="115" t="inlineStr">
        <is>
          <t>Note 12</t>
        </is>
      </c>
      <c r="B24" s="116" t="inlineStr">
        <is>
          <t>DETTES FOURNISSEURS ET ASSIMILÉES, FISCALES ET SOCIALES</t>
        </is>
      </c>
      <c r="C24" s="45" t="n"/>
      <c r="D24" s="45" t="n"/>
      <c r="E24" s="45" t="n"/>
      <c r="F24" s="45" t="n"/>
      <c r="G24" s="45" t="n"/>
      <c r="H24" s="45" t="n"/>
      <c r="I24" s="45" t="n"/>
      <c r="J24" s="45" t="n"/>
    </row>
    <row r="25">
      <c r="A25" s="115" t="inlineStr">
        <is>
          <t>Note 13</t>
        </is>
      </c>
      <c r="B25" s="116" t="inlineStr">
        <is>
          <t>BANQUES, CRÉDIT D'ESCOMPTE ET DE TRÉSORERIE</t>
        </is>
      </c>
      <c r="C25" s="45" t="n"/>
      <c r="D25" s="45" t="n"/>
      <c r="E25" s="45" t="n"/>
      <c r="F25" s="45" t="n"/>
      <c r="G25" s="45" t="n"/>
      <c r="H25" s="45" t="n"/>
      <c r="I25" s="45" t="n"/>
      <c r="J25" s="45" t="n"/>
    </row>
    <row r="26" ht="16" customHeight="1">
      <c r="A26" s="113" t="inlineStr">
        <is>
          <t>Partie 4 : Notes sur le compte d'exploitation</t>
        </is>
      </c>
      <c r="B26" s="114" t="n"/>
      <c r="C26" s="114" t="n"/>
      <c r="D26" s="114" t="n"/>
      <c r="E26" s="114" t="n"/>
      <c r="F26" s="114" t="n"/>
      <c r="G26" s="114" t="n"/>
      <c r="H26" s="114" t="n"/>
      <c r="I26" s="114" t="n"/>
      <c r="J26" s="114" t="n"/>
    </row>
    <row r="27">
      <c r="A27" s="115" t="inlineStr">
        <is>
          <t>Note 14</t>
        </is>
      </c>
      <c r="B27" s="116" t="inlineStr">
        <is>
          <t>REVENUS ET AUTRES PRODUITS</t>
        </is>
      </c>
      <c r="C27" s="45" t="n"/>
      <c r="D27" s="45" t="n"/>
      <c r="E27" s="45" t="n"/>
      <c r="F27" s="45" t="n"/>
      <c r="G27" s="45" t="n"/>
      <c r="H27" s="45" t="n"/>
      <c r="I27" s="45" t="n"/>
      <c r="J27" s="45" t="n"/>
    </row>
    <row r="28">
      <c r="A28" s="115" t="inlineStr">
        <is>
          <t>Note 15</t>
        </is>
      </c>
      <c r="B28" s="116" t="inlineStr">
        <is>
          <t>ACHATS</t>
        </is>
      </c>
      <c r="C28" s="45" t="n"/>
      <c r="D28" s="45" t="n"/>
      <c r="E28" s="45" t="n"/>
      <c r="F28" s="45" t="n"/>
      <c r="G28" s="45" t="n"/>
      <c r="H28" s="45" t="n"/>
      <c r="I28" s="45" t="n"/>
      <c r="J28" s="45" t="n"/>
    </row>
    <row r="29">
      <c r="A29" s="115" t="inlineStr">
        <is>
          <t>Note 16</t>
        </is>
      </c>
      <c r="B29" s="116" t="inlineStr">
        <is>
          <t>TRANSPORTS</t>
        </is>
      </c>
      <c r="C29" s="45" t="n"/>
      <c r="D29" s="45" t="n"/>
      <c r="E29" s="45" t="n"/>
      <c r="F29" s="45" t="n"/>
      <c r="G29" s="45" t="n"/>
      <c r="H29" s="45" t="n"/>
      <c r="I29" s="45" t="n"/>
      <c r="J29" s="45" t="n"/>
    </row>
    <row r="30">
      <c r="A30" s="115" t="inlineStr">
        <is>
          <t>Note 17</t>
        </is>
      </c>
      <c r="B30" s="116" t="inlineStr">
        <is>
          <t>SERVICES EXTÉRIEURS</t>
        </is>
      </c>
      <c r="C30" s="45" t="n"/>
      <c r="D30" s="45" t="n"/>
      <c r="E30" s="45" t="n"/>
      <c r="F30" s="45" t="n"/>
      <c r="G30" s="45" t="n"/>
      <c r="H30" s="45" t="n"/>
      <c r="I30" s="45" t="n"/>
      <c r="J30" s="45" t="n"/>
    </row>
    <row r="31">
      <c r="A31" s="115" t="inlineStr">
        <is>
          <t>Note 18</t>
        </is>
      </c>
      <c r="B31" s="116" t="inlineStr">
        <is>
          <t>IMPÔTS ET TAXES</t>
        </is>
      </c>
      <c r="C31" s="45" t="n"/>
      <c r="D31" s="45" t="n"/>
      <c r="E31" s="45" t="n"/>
      <c r="F31" s="45" t="n"/>
      <c r="G31" s="45" t="n"/>
      <c r="H31" s="45" t="n"/>
      <c r="I31" s="45" t="n"/>
      <c r="J31" s="45" t="n"/>
    </row>
    <row r="32">
      <c r="A32" s="115" t="inlineStr">
        <is>
          <t>Note 19</t>
        </is>
      </c>
      <c r="B32" s="116" t="inlineStr">
        <is>
          <t>AUTRES CHARGES</t>
        </is>
      </c>
      <c r="C32" s="45" t="n"/>
      <c r="D32" s="45" t="n"/>
      <c r="E32" s="45" t="n"/>
      <c r="F32" s="45" t="n"/>
      <c r="G32" s="45" t="n"/>
      <c r="H32" s="45" t="n"/>
      <c r="I32" s="45" t="n"/>
      <c r="J32" s="45" t="n"/>
    </row>
    <row r="33">
      <c r="A33" s="115" t="inlineStr">
        <is>
          <t>Note 20A</t>
        </is>
      </c>
      <c r="B33" s="116" t="inlineStr">
        <is>
          <t>CHARGES DE PERSONNEL</t>
        </is>
      </c>
      <c r="C33" s="45" t="n"/>
      <c r="D33" s="45" t="n"/>
      <c r="E33" s="45" t="n"/>
      <c r="F33" s="45" t="n"/>
      <c r="G33" s="45" t="n"/>
      <c r="H33" s="45" t="n"/>
      <c r="I33" s="45" t="n"/>
      <c r="J33" s="45" t="n"/>
    </row>
    <row r="34">
      <c r="A34" s="115" t="inlineStr">
        <is>
          <t>Note 20B</t>
        </is>
      </c>
      <c r="B34" s="116" t="inlineStr">
        <is>
          <t>EFFECTIFS, MASSE SALARIALE ET PERSONNEL EXTÉRIEUR</t>
        </is>
      </c>
      <c r="C34" s="45" t="n"/>
      <c r="D34" s="45" t="n"/>
      <c r="E34" s="45" t="n"/>
      <c r="F34" s="45" t="n"/>
      <c r="G34" s="45" t="n"/>
      <c r="H34" s="45" t="n"/>
      <c r="I34" s="45" t="n"/>
      <c r="J34" s="45" t="n"/>
    </row>
    <row r="35">
      <c r="A35" s="115" t="inlineStr">
        <is>
          <t>Note 21</t>
        </is>
      </c>
      <c r="B35" s="116" t="inlineStr">
        <is>
          <t>CHARGES ET REVENUS FINANCIERS</t>
        </is>
      </c>
      <c r="C35" s="45" t="n"/>
      <c r="D35" s="45" t="n"/>
      <c r="E35" s="45" t="n"/>
      <c r="F35" s="45" t="n"/>
      <c r="G35" s="45" t="n"/>
      <c r="H35" s="45" t="n"/>
      <c r="I35" s="45" t="n"/>
      <c r="J35" s="45" t="n"/>
    </row>
    <row r="36">
      <c r="A36" s="115" t="inlineStr">
        <is>
          <t>Note 22</t>
        </is>
      </c>
      <c r="B36" s="116" t="inlineStr">
        <is>
          <t>DOTATIONS ET CHARGES POUR PROVISIONS</t>
        </is>
      </c>
      <c r="C36" s="45" t="n"/>
      <c r="D36" s="45" t="n"/>
      <c r="E36" s="45" t="n"/>
      <c r="F36" s="45" t="n"/>
      <c r="G36" s="45" t="n"/>
      <c r="H36" s="45" t="n"/>
      <c r="I36" s="45" t="n"/>
      <c r="J36" s="45" t="n"/>
    </row>
    <row r="37">
      <c r="A37" s="115" t="inlineStr">
        <is>
          <t>Note 23</t>
        </is>
      </c>
      <c r="B37" s="116" t="inlineStr">
        <is>
          <t>AUTRES CHARGES ET PRODUITS HAO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</row>
    <row r="38">
      <c r="A38" s="115" t="inlineStr">
        <is>
          <t>Note 24</t>
        </is>
      </c>
      <c r="B38" s="116" t="inlineStr">
        <is>
          <t>TABLEAU D'EXÉCUTION BUDGÉTAIRE</t>
        </is>
      </c>
      <c r="C38" s="45" t="n"/>
      <c r="D38" s="45" t="n"/>
      <c r="E38" s="45" t="n"/>
      <c r="F38" s="45" t="n"/>
      <c r="G38" s="45" t="n"/>
      <c r="H38" s="45" t="n"/>
      <c r="I38" s="45" t="n"/>
      <c r="J38" s="45" t="n"/>
    </row>
    <row r="39"/>
    <row r="40" ht="30" customHeight="1">
      <c r="A40" s="117" t="inlineStr">
        <is>
          <t>(1) Les notes non documentées ne doivent pas être jointes aux états financiers ; dans une note, les lignes non chiffrées doivent être supprimées.</t>
        </is>
      </c>
    </row>
    <row r="41">
      <c r="A41" s="117" t="inlineStr">
        <is>
          <t>(2) A : applicable ; N/A : non applicable. Cocher la colonne correspondante pour chaque note.</t>
        </is>
      </c>
    </row>
  </sheetData>
  <mergeCells count="36">
    <mergeCell ref="I2:J2"/>
    <mergeCell ref="B24:H24"/>
    <mergeCell ref="B30:H30"/>
    <mergeCell ref="B15:H15"/>
    <mergeCell ref="B33:H33"/>
    <mergeCell ref="B20:H20"/>
    <mergeCell ref="B37:H37"/>
    <mergeCell ref="A13:J13"/>
    <mergeCell ref="B36:H36"/>
    <mergeCell ref="B32:H32"/>
    <mergeCell ref="B35:H35"/>
    <mergeCell ref="A9:J9"/>
    <mergeCell ref="A40:J40"/>
    <mergeCell ref="B16:H16"/>
    <mergeCell ref="B25:H25"/>
    <mergeCell ref="B31:H31"/>
    <mergeCell ref="A11:J11"/>
    <mergeCell ref="B22:H22"/>
    <mergeCell ref="B18:H18"/>
    <mergeCell ref="B27:H27"/>
    <mergeCell ref="B21:H21"/>
    <mergeCell ref="B12:H12"/>
    <mergeCell ref="B4:G4"/>
    <mergeCell ref="A7:J7"/>
    <mergeCell ref="A41:J41"/>
    <mergeCell ref="B23:H23"/>
    <mergeCell ref="B8:H8"/>
    <mergeCell ref="B14:H14"/>
    <mergeCell ref="B17:H17"/>
    <mergeCell ref="B38:H38"/>
    <mergeCell ref="A26:J26"/>
    <mergeCell ref="B10:H10"/>
    <mergeCell ref="B29:H29"/>
    <mergeCell ref="B19:H19"/>
    <mergeCell ref="B34:H34"/>
    <mergeCell ref="B28:H2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48" t="inlineStr">
        <is>
          <t>- 11 -</t>
        </is>
      </c>
    </row>
    <row r="2" ht="26" customHeight="1">
      <c r="E2" s="49" t="inlineStr">
        <is>
          <t>NOTE 1
PROJETS DE DEVELOPPEMENT</t>
        </is>
      </c>
      <c r="F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E4" s="52" t="inlineStr">
        <is>
          <t>Sigle usuel :</t>
        </is>
      </c>
      <c r="F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E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 : INFORMATIONS OBLIGATOIRES</t>
        </is>
      </c>
    </row>
    <row r="8"/>
    <row r="9">
      <c r="A9" s="84" t="inlineStr">
        <is>
          <t>A - IDENTITÉ, ORGANISATION : date de début du projet, nature du projet de développement, activité ou mission réalisée, données chiffrées (effectifs, total des ressources affectées, moyens utilisés).</t>
        </is>
      </c>
    </row>
    <row r="10"/>
    <row r="11"/>
    <row r="12">
      <c r="A12" s="84" t="inlineStr">
        <is>
          <t>B - DÉCLARATION DE CONFORMITÉ AU SYSTÈME COMPTABLE DES ENTITÉS À BUT NON LUCRATIF ET FAITS MARQUANTS DE L'EXERCICE.</t>
        </is>
      </c>
    </row>
    <row r="13"/>
    <row r="14"/>
    <row r="15">
      <c r="A15" s="84" t="inlineStr">
        <is>
          <t>C - RÈGLES, MÉTHODES COMPTABLES ET DÉROGATION AUX PRINCIPES COMPTABLES.</t>
        </is>
      </c>
    </row>
    <row r="16"/>
    <row r="17"/>
    <row r="18">
      <c r="A18" s="84" t="inlineStr">
        <is>
          <t>D - INFORMATIONS COMPLÉMENTAIRES RELATIVES AU BILAN ET AU COMPTE D'EXPLOITATION.</t>
        </is>
      </c>
    </row>
    <row r="19"/>
  </sheetData>
  <mergeCells count="7">
    <mergeCell ref="A18:F19"/>
    <mergeCell ref="E2:F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48" t="inlineStr">
        <is>
          <t>- 12 -</t>
        </is>
      </c>
    </row>
    <row r="2" ht="26" customHeight="1">
      <c r="E2" s="49" t="inlineStr">
        <is>
          <t>NOTE 2
PROJETS DE DEVELOPPEMENT</t>
        </is>
      </c>
      <c r="F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E4" s="52" t="inlineStr">
        <is>
          <t>Sigle usuel :</t>
        </is>
      </c>
      <c r="F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E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2 : INFORMATIONS SPÉCIFIQUES</t>
        </is>
      </c>
    </row>
    <row r="8"/>
    <row r="9">
      <c r="A9" s="84" t="inlineStr">
        <is>
          <t>A - TABLEAU EMPLOIS RESSOURCES : faits marquants.</t>
        </is>
      </c>
    </row>
    <row r="10"/>
    <row r="11"/>
    <row r="12">
      <c r="A12" s="84" t="inlineStr">
        <is>
          <t>B - TABLEAU D'EXÉCUTION BUDGÉTAIRE : expliquer les écarts significatifs entre budget et réalisation.</t>
        </is>
      </c>
    </row>
    <row r="13"/>
    <row r="14"/>
    <row r="15">
      <c r="A15" s="84" t="inlineStr">
        <is>
          <t>C - TABLEAU DE RÉCONCILIATION DE TRÉSORERIE : faits marquants.</t>
        </is>
      </c>
    </row>
    <row r="16"/>
  </sheetData>
  <mergeCells count="6">
    <mergeCell ref="E2:F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48" t="inlineStr">
        <is>
          <t>- 13 -</t>
        </is>
      </c>
    </row>
    <row r="2" ht="26" customHeight="1">
      <c r="D2" s="49" t="inlineStr">
        <is>
          <t>NOTE 3A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3A : IMMOBILISATIONS BRUTES</t>
        </is>
      </c>
    </row>
    <row r="8">
      <c r="A8" s="1" t="inlineStr">
        <is>
          <t>RUBRIQUES</t>
        </is>
      </c>
      <c r="B8" s="2" t="inlineStr">
        <is>
          <t>Montant brut à l'ouverture (A)</t>
        </is>
      </c>
      <c r="C8" s="2" t="inlineStr">
        <is>
          <t>Augmentations (B)</t>
        </is>
      </c>
      <c r="D8" s="2" t="inlineStr">
        <is>
          <t>Diminutions (C)</t>
        </is>
      </c>
      <c r="E8" s="3" t="inlineStr">
        <is>
          <t>Montant brut à la clôture (D = A + B - C)</t>
        </is>
      </c>
    </row>
    <row r="9">
      <c r="A9" s="118" t="inlineStr">
        <is>
          <t>IMMOBILISATIONS INCORPORELLES</t>
        </is>
      </c>
      <c r="B9" s="119" t="n"/>
      <c r="C9" s="119" t="n"/>
      <c r="D9" s="119" t="n"/>
      <c r="E9" s="119" t="n"/>
    </row>
    <row r="10">
      <c r="A10" s="4" t="inlineStr">
        <is>
          <t>Brevets, licences, logiciels et droits similaires</t>
        </is>
      </c>
      <c r="B10" s="5">
        <f>SUMIF('BALANCE N-1'!$A$2:$A$50,"212*",'BALANCE N-1'!$F$2:$F$50)-SUMIF('BALANCE N-1'!$A$2:$A$50,"212*",'BALANCE N-1'!$G$2:$G$50)+SUMIF('BALANCE N-1'!$A$2:$A$50,"214*",'BALANCE N-1'!$F$2:$F$50)-SUMIF('BALANCE N-1'!$A$2:$A$50,"214*",'BALANCE N-1'!$G$2:$G$50)+SUMIF('BALANCE N-1'!$A$2:$A$50,"213*",'BALANCE N-1'!$F$2:$F$50)-SUMIF('BALANCE N-1'!$A$2:$A$50,"213*",'BALANCE N-1'!$G$2:$G$50)</f>
        <v/>
      </c>
      <c r="C10" s="5">
        <f>MAX(0,(SUMIF('BALANCE N'!$A$2:$A$50,"212*",'BALANCE N'!$F$2:$F$50)-SUMIF('BALANCE N'!$A$2:$A$50,"212*",'BALANCE N'!$G$2:$G$50)+SUMIF('BALANCE N'!$A$2:$A$50,"214*",'BALANCE N'!$F$2:$F$50)-SUMIF('BALANCE N'!$A$2:$A$50,"214*",'BALANCE N'!$G$2:$G$50)+SUMIF('BALANCE N'!$A$2:$A$50,"213*",'BALANCE N'!$F$2:$F$50)-SUMIF('BALANCE N'!$A$2:$A$50,"213*",'BALANCE N'!$G$2:$G$50))-(SUMIF('BALANCE N-1'!$A$2:$A$50,"212*",'BALANCE N-1'!$F$2:$F$50)-SUMIF('BALANCE N-1'!$A$2:$A$50,"212*",'BALANCE N-1'!$G$2:$G$50)+SUMIF('BALANCE N-1'!$A$2:$A$50,"214*",'BALANCE N-1'!$F$2:$F$50)-SUMIF('BALANCE N-1'!$A$2:$A$50,"214*",'BALANCE N-1'!$G$2:$G$50)+SUMIF('BALANCE N-1'!$A$2:$A$50,"213*",'BALANCE N-1'!$F$2:$F$50)-SUMIF('BALANCE N-1'!$A$2:$A$50,"213*",'BALANCE N-1'!$G$2:$G$50)))</f>
        <v/>
      </c>
      <c r="D10" s="5">
        <f>MAX(0,(SUMIF('BALANCE N-1'!$A$2:$A$50,"212*",'BALANCE N-1'!$F$2:$F$50)-SUMIF('BALANCE N-1'!$A$2:$A$50,"212*",'BALANCE N-1'!$G$2:$G$50)+SUMIF('BALANCE N-1'!$A$2:$A$50,"214*",'BALANCE N-1'!$F$2:$F$50)-SUMIF('BALANCE N-1'!$A$2:$A$50,"214*",'BALANCE N-1'!$G$2:$G$50)+SUMIF('BALANCE N-1'!$A$2:$A$50,"213*",'BALANCE N-1'!$F$2:$F$50)-SUMIF('BALANCE N-1'!$A$2:$A$50,"213*",'BALANCE N-1'!$G$2:$G$50))-(SUMIF('BALANCE N'!$A$2:$A$50,"212*",'BALANCE N'!$F$2:$F$50)-SUMIF('BALANCE N'!$A$2:$A$50,"212*",'BALANCE N'!$G$2:$G$50)+SUMIF('BALANCE N'!$A$2:$A$50,"214*",'BALANCE N'!$F$2:$F$50)-SUMIF('BALANCE N'!$A$2:$A$50,"214*",'BALANCE N'!$G$2:$G$50)+SUMIF('BALANCE N'!$A$2:$A$50,"213*",'BALANCE N'!$F$2:$F$50)-SUMIF('BALANCE N'!$A$2:$A$50,"213*",'BALANCE N'!$G$2:$G$50)))</f>
        <v/>
      </c>
      <c r="E10" s="5">
        <f>B10+C10-D10</f>
        <v/>
      </c>
    </row>
    <row r="11">
      <c r="A11" s="4" t="inlineStr">
        <is>
          <t>Avances et acomptes sur immobilisations incorporelles</t>
        </is>
      </c>
      <c r="B11" s="5">
        <f>SUMIF('BALANCE N-1'!$A$2:$A$50,"251*",'BALANCE N-1'!$F$2:$F$50)-SUMIF('BALANCE N-1'!$A$2:$A$50,"251*",'BALANCE N-1'!$G$2:$G$50)</f>
        <v/>
      </c>
      <c r="C11" s="5">
        <f>MAX(0,(SUMIF('BALANCE N'!$A$2:$A$50,"251*",'BALANCE N'!$F$2:$F$50)-SUMIF('BALANCE N'!$A$2:$A$50,"251*",'BALANCE N'!$G$2:$G$50))-(SUMIF('BALANCE N-1'!$A$2:$A$50,"251*",'BALANCE N-1'!$F$2:$F$50)-SUMIF('BALANCE N-1'!$A$2:$A$50,"251*",'BALANCE N-1'!$G$2:$G$50)))</f>
        <v/>
      </c>
      <c r="D11" s="5">
        <f>MAX(0,(SUMIF('BALANCE N-1'!$A$2:$A$50,"251*",'BALANCE N-1'!$F$2:$F$50)-SUMIF('BALANCE N-1'!$A$2:$A$50,"251*",'BALANCE N-1'!$G$2:$G$50))-(SUMIF('BALANCE N'!$A$2:$A$50,"251*",'BALANCE N'!$F$2:$F$50)-SUMIF('BALANCE N'!$A$2:$A$50,"251*",'BALANCE N'!$G$2:$G$50)))</f>
        <v/>
      </c>
      <c r="E11" s="5">
        <f>B11+C11-D11</f>
        <v/>
      </c>
    </row>
    <row r="12">
      <c r="A12" s="4" t="inlineStr">
        <is>
          <t>Autres immobilisations incorporelles</t>
        </is>
      </c>
      <c r="B12" s="5">
        <f>SUMIF('BALANCE N-1'!$A$2:$A$50,"219*",'BALANCE N-1'!$F$2:$F$50)-SUMIF('BALANCE N-1'!$A$2:$A$50,"219*",'BALANCE N-1'!$G$2:$G$50)+SUMIF('BALANCE N-1'!$A$2:$A$50,"218*",'BALANCE N-1'!$F$2:$F$50)-SUMIF('BALANCE N-1'!$A$2:$A$50,"218*",'BALANCE N-1'!$G$2:$G$50)</f>
        <v/>
      </c>
      <c r="C12" s="5">
        <f>MAX(0,(SUMIF('BALANCE N'!$A$2:$A$50,"219*",'BALANCE N'!$F$2:$F$50)-SUMIF('BALANCE N'!$A$2:$A$50,"219*",'BALANCE N'!$G$2:$G$50)+SUMIF('BALANCE N'!$A$2:$A$50,"218*",'BALANCE N'!$F$2:$F$50)-SUMIF('BALANCE N'!$A$2:$A$50,"218*",'BALANCE N'!$G$2:$G$50))-(SUMIF('BALANCE N-1'!$A$2:$A$50,"219*",'BALANCE N-1'!$F$2:$F$50)-SUMIF('BALANCE N-1'!$A$2:$A$50,"219*",'BALANCE N-1'!$G$2:$G$50)+SUMIF('BALANCE N-1'!$A$2:$A$50,"218*",'BALANCE N-1'!$F$2:$F$50)-SUMIF('BALANCE N-1'!$A$2:$A$50,"218*",'BALANCE N-1'!$G$2:$G$50)))</f>
        <v/>
      </c>
      <c r="D12" s="5">
        <f>MAX(0,(SUMIF('BALANCE N-1'!$A$2:$A$50,"219*",'BALANCE N-1'!$F$2:$F$50)-SUMIF('BALANCE N-1'!$A$2:$A$50,"219*",'BALANCE N-1'!$G$2:$G$50)+SUMIF('BALANCE N-1'!$A$2:$A$50,"218*",'BALANCE N-1'!$F$2:$F$50)-SUMIF('BALANCE N-1'!$A$2:$A$50,"218*",'BALANCE N-1'!$G$2:$G$50))-(SUMIF('BALANCE N'!$A$2:$A$50,"219*",'BALANCE N'!$F$2:$F$50)-SUMIF('BALANCE N'!$A$2:$A$50,"219*",'BALANCE N'!$G$2:$G$50)+SUMIF('BALANCE N'!$A$2:$A$50,"218*",'BALANCE N'!$F$2:$F$50)-SUMIF('BALANCE N'!$A$2:$A$50,"218*",'BALANCE N'!$G$2:$G$50)))</f>
        <v/>
      </c>
      <c r="E12" s="5">
        <f>B12+C12-D12</f>
        <v/>
      </c>
    </row>
    <row r="13">
      <c r="A13" s="118" t="inlineStr">
        <is>
          <t>IMMOBILISATIONS CORPORELLES</t>
        </is>
      </c>
      <c r="B13" s="119" t="n"/>
      <c r="C13" s="119" t="n"/>
      <c r="D13" s="119" t="n"/>
      <c r="E13" s="119" t="n"/>
    </row>
    <row r="14">
      <c r="A14" s="4" t="inlineStr">
        <is>
          <t>Terrains hors immeuble de placement</t>
        </is>
      </c>
      <c r="B14" s="5">
        <f>SUMIF('BALANCE N-1'!$A$2:$A$50,"22*",'BALANCE N-1'!$F$2:$F$50)-SUMIF('BALANCE N-1'!$A$2:$A$50,"22*",'BALANCE N-1'!$G$2:$G$50)-SUMIF('BALANCE N-1'!$A$2:$A$50,"2281*",'BALANCE N-1'!$F$2:$F$50)+SUMIF('BALANCE N-1'!$A$2:$A$50,"2281*",'BALANCE N-1'!$G$2:$G$50)</f>
        <v/>
      </c>
      <c r="C14" s="5">
        <f>MAX(0,(SUMIF('BALANCE N'!$A$2:$A$50,"22*",'BALANCE N'!$F$2:$F$50)-SUMIF('BALANCE N'!$A$2:$A$50,"22*",'BALANCE N'!$G$2:$G$50)-SUMIF('BALANCE N'!$A$2:$A$50,"2281*",'BALANCE N'!$F$2:$F$50)+SUMIF('BALANCE N'!$A$2:$A$50,"2281*",'BALANCE N'!$G$2:$G$50))-(SUMIF('BALANCE N-1'!$A$2:$A$50,"22*",'BALANCE N-1'!$F$2:$F$50)-SUMIF('BALANCE N-1'!$A$2:$A$50,"22*",'BALANCE N-1'!$G$2:$G$50)-SUMIF('BALANCE N-1'!$A$2:$A$50,"2281*",'BALANCE N-1'!$F$2:$F$50)+SUMIF('BALANCE N-1'!$A$2:$A$50,"2281*",'BALANCE N-1'!$G$2:$G$50)))</f>
        <v/>
      </c>
      <c r="D14" s="5">
        <f>MAX(0,(SUMIF('BALANCE N-1'!$A$2:$A$50,"22*",'BALANCE N-1'!$F$2:$F$50)-SUMIF('BALANCE N-1'!$A$2:$A$50,"22*",'BALANCE N-1'!$G$2:$G$50)-SUMIF('BALANCE N-1'!$A$2:$A$50,"2281*",'BALANCE N-1'!$F$2:$F$50)+SUMIF('BALANCE N-1'!$A$2:$A$50,"2281*",'BALANCE N-1'!$G$2:$G$50))-(SUMIF('BALANCE N'!$A$2:$A$50,"22*",'BALANCE N'!$F$2:$F$50)-SUMIF('BALANCE N'!$A$2:$A$50,"22*",'BALANCE N'!$G$2:$G$50)-SUMIF('BALANCE N'!$A$2:$A$50,"2281*",'BALANCE N'!$F$2:$F$50)+SUMIF('BALANCE N'!$A$2:$A$50,"2281*",'BALANCE N'!$G$2:$G$50)))</f>
        <v/>
      </c>
      <c r="E14" s="5">
        <f>B14+C14-D14</f>
        <v/>
      </c>
    </row>
    <row r="15">
      <c r="A15" s="4" t="inlineStr">
        <is>
          <t>Terrains - immeuble de placement</t>
        </is>
      </c>
      <c r="B15" s="5">
        <f>SUMIF('BALANCE N-1'!$A$2:$A$50,"2281*",'BALANCE N-1'!$F$2:$F$50)-SUMIF('BALANCE N-1'!$A$2:$A$50,"2281*",'BALANCE N-1'!$G$2:$G$50)</f>
        <v/>
      </c>
      <c r="C15" s="5">
        <f>MAX(0,(SUMIF('BALANCE N'!$A$2:$A$50,"2281*",'BALANCE N'!$F$2:$F$50)-SUMIF('BALANCE N'!$A$2:$A$50,"2281*",'BALANCE N'!$G$2:$G$50))-(SUMIF('BALANCE N-1'!$A$2:$A$50,"2281*",'BALANCE N-1'!$F$2:$F$50)-SUMIF('BALANCE N-1'!$A$2:$A$50,"2281*",'BALANCE N-1'!$G$2:$G$50)))</f>
        <v/>
      </c>
      <c r="D15" s="5">
        <f>MAX(0,(SUMIF('BALANCE N-1'!$A$2:$A$50,"2281*",'BALANCE N-1'!$F$2:$F$50)-SUMIF('BALANCE N-1'!$A$2:$A$50,"2281*",'BALANCE N-1'!$G$2:$G$50))-(SUMIF('BALANCE N'!$A$2:$A$50,"2281*",'BALANCE N'!$F$2:$F$50)-SUMIF('BALANCE N'!$A$2:$A$50,"2281*",'BALANCE N'!$G$2:$G$50)))</f>
        <v/>
      </c>
      <c r="E15" s="5">
        <f>B15+C15-D15</f>
        <v/>
      </c>
    </row>
    <row r="16">
      <c r="A16" s="4" t="inlineStr">
        <is>
          <t>Bâtiments hors immeuble de placement</t>
        </is>
      </c>
      <c r="B16" s="5">
        <f>SUMIF('BALANCE N-1'!$A$2:$A$50,"231*",'BALANCE N-1'!$F$2:$F$50)-SUMIF('BALANCE N-1'!$A$2:$A$50,"231*",'BALANCE N-1'!$G$2:$G$50)+SUMIF('BALANCE N-1'!$A$2:$A$50,"232*",'BALANCE N-1'!$F$2:$F$50)-SUMIF('BALANCE N-1'!$A$2:$A$50,"232*",'BALANCE N-1'!$G$2:$G$50)+SUMIF('BALANCE N-1'!$A$2:$A$50,"233*",'BALANCE N-1'!$F$2:$F$50)-SUMIF('BALANCE N-1'!$A$2:$A$50,"233*",'BALANCE N-1'!$G$2:$G$50)+SUMIF('BALANCE N-1'!$A$2:$A$50,"2393*",'BALANCE N-1'!$F$2:$F$50)-SUMIF('BALANCE N-1'!$A$2:$A$50,"2393*",'BALANCE N-1'!$G$2:$G$50)+SUMIF('BALANCE N-1'!$A$2:$A$50,"2391*",'BALANCE N-1'!$F$2:$F$50)-SUMIF('BALANCE N-1'!$A$2:$A$50,"2391*",'BALANCE N-1'!$G$2:$G$50)+SUMIF('BALANCE N-1'!$A$2:$A$50,"2392*",'BALANCE N-1'!$F$2:$F$50)-SUMIF('BALANCE N-1'!$A$2:$A$50,"2392*",'BALANCE N-1'!$G$2:$G$50)-SUMIF('BALANCE N-1'!$A$2:$A$50,"2325*",'BALANCE N-1'!$F$2:$F$50)+SUMIF('BALANCE N-1'!$A$2:$A$50,"2325*",'BALANCE N-1'!$G$2:$G$50)-SUMIF('BALANCE N-1'!$A$2:$A$50,"2315*",'BALANCE N-1'!$F$2:$F$50)+SUMIF('BALANCE N-1'!$A$2:$A$50,"2315*",'BALANCE N-1'!$G$2:$G$50)</f>
        <v/>
      </c>
      <c r="C16" s="5">
        <f>MAX(0,(SUMIF('BALANCE N'!$A$2:$A$50,"231*",'BALANCE N'!$F$2:$F$50)-SUMIF('BALANCE N'!$A$2:$A$50,"231*",'BALANCE N'!$G$2:$G$50)+SUMIF('BALANCE N'!$A$2:$A$50,"232*",'BALANCE N'!$F$2:$F$50)-SUMIF('BALANCE N'!$A$2:$A$50,"232*",'BALANCE N'!$G$2:$G$50)+SUMIF('BALANCE N'!$A$2:$A$50,"233*",'BALANCE N'!$F$2:$F$50)-SUMIF('BALANCE N'!$A$2:$A$50,"233*",'BALANCE N'!$G$2:$G$50)+SUMIF('BALANCE N'!$A$2:$A$50,"2393*",'BALANCE N'!$F$2:$F$50)-SUMIF('BALANCE N'!$A$2:$A$50,"2393*",'BALANCE N'!$G$2:$G$50)+SUMIF('BALANCE N'!$A$2:$A$50,"2391*",'BALANCE N'!$F$2:$F$50)-SUMIF('BALANCE N'!$A$2:$A$50,"2391*",'BALANCE N'!$G$2:$G$50)+SUMIF('BALANCE N'!$A$2:$A$50,"2392*",'BALANCE N'!$F$2:$F$50)-SUMIF('BALANCE N'!$A$2:$A$50,"2392*",'BALANCE N'!$G$2:$G$50)-SUMIF('BALANCE N'!$A$2:$A$50,"2325*",'BALANCE N'!$F$2:$F$50)+SUMIF('BALANCE N'!$A$2:$A$50,"2325*",'BALANCE N'!$G$2:$G$50)-SUMIF('BALANCE N'!$A$2:$A$50,"2315*",'BALANCE N'!$F$2:$F$50)+SUMIF('BALANCE N'!$A$2:$A$50,"2315*",'BALANCE N'!$G$2:$G$50))-(SUMIF('BALANCE N-1'!$A$2:$A$50,"231*",'BALANCE N-1'!$F$2:$F$50)-SUMIF('BALANCE N-1'!$A$2:$A$50,"231*",'BALANCE N-1'!$G$2:$G$50)+SUMIF('BALANCE N-1'!$A$2:$A$50,"232*",'BALANCE N-1'!$F$2:$F$50)-SUMIF('BALANCE N-1'!$A$2:$A$50,"232*",'BALANCE N-1'!$G$2:$G$50)+SUMIF('BALANCE N-1'!$A$2:$A$50,"233*",'BALANCE N-1'!$F$2:$F$50)-SUMIF('BALANCE N-1'!$A$2:$A$50,"233*",'BALANCE N-1'!$G$2:$G$50)+SUMIF('BALANCE N-1'!$A$2:$A$50,"2393*",'BALANCE N-1'!$F$2:$F$50)-SUMIF('BALANCE N-1'!$A$2:$A$50,"2393*",'BALANCE N-1'!$G$2:$G$50)+SUMIF('BALANCE N-1'!$A$2:$A$50,"2391*",'BALANCE N-1'!$F$2:$F$50)-SUMIF('BALANCE N-1'!$A$2:$A$50,"2391*",'BALANCE N-1'!$G$2:$G$50)+SUMIF('BALANCE N-1'!$A$2:$A$50,"2392*",'BALANCE N-1'!$F$2:$F$50)-SUMIF('BALANCE N-1'!$A$2:$A$50,"2392*",'BALANCE N-1'!$G$2:$G$50)-SUMIF('BALANCE N-1'!$A$2:$A$50,"2325*",'BALANCE N-1'!$F$2:$F$50)+SUMIF('BALANCE N-1'!$A$2:$A$50,"2325*",'BALANCE N-1'!$G$2:$G$50)-SUMIF('BALANCE N-1'!$A$2:$A$50,"2315*",'BALANCE N-1'!$F$2:$F$50)+SUMIF('BALANCE N-1'!$A$2:$A$50,"2315*",'BALANCE N-1'!$G$2:$G$50)))</f>
        <v/>
      </c>
      <c r="D16" s="5">
        <f>MAX(0,(SUMIF('BALANCE N-1'!$A$2:$A$50,"231*",'BALANCE N-1'!$F$2:$F$50)-SUMIF('BALANCE N-1'!$A$2:$A$50,"231*",'BALANCE N-1'!$G$2:$G$50)+SUMIF('BALANCE N-1'!$A$2:$A$50,"232*",'BALANCE N-1'!$F$2:$F$50)-SUMIF('BALANCE N-1'!$A$2:$A$50,"232*",'BALANCE N-1'!$G$2:$G$50)+SUMIF('BALANCE N-1'!$A$2:$A$50,"233*",'BALANCE N-1'!$F$2:$F$50)-SUMIF('BALANCE N-1'!$A$2:$A$50,"233*",'BALANCE N-1'!$G$2:$G$50)+SUMIF('BALANCE N-1'!$A$2:$A$50,"2393*",'BALANCE N-1'!$F$2:$F$50)-SUMIF('BALANCE N-1'!$A$2:$A$50,"2393*",'BALANCE N-1'!$G$2:$G$50)+SUMIF('BALANCE N-1'!$A$2:$A$50,"2391*",'BALANCE N-1'!$F$2:$F$50)-SUMIF('BALANCE N-1'!$A$2:$A$50,"2391*",'BALANCE N-1'!$G$2:$G$50)+SUMIF('BALANCE N-1'!$A$2:$A$50,"2392*",'BALANCE N-1'!$F$2:$F$50)-SUMIF('BALANCE N-1'!$A$2:$A$50,"2392*",'BALANCE N-1'!$G$2:$G$50)-SUMIF('BALANCE N-1'!$A$2:$A$50,"2325*",'BALANCE N-1'!$F$2:$F$50)+SUMIF('BALANCE N-1'!$A$2:$A$50,"2325*",'BALANCE N-1'!$G$2:$G$50)-SUMIF('BALANCE N-1'!$A$2:$A$50,"2315*",'BALANCE N-1'!$F$2:$F$50)+SUMIF('BALANCE N-1'!$A$2:$A$50,"2315*",'BALANCE N-1'!$G$2:$G$50))-(SUMIF('BALANCE N'!$A$2:$A$50,"231*",'BALANCE N'!$F$2:$F$50)-SUMIF('BALANCE N'!$A$2:$A$50,"231*",'BALANCE N'!$G$2:$G$50)+SUMIF('BALANCE N'!$A$2:$A$50,"232*",'BALANCE N'!$F$2:$F$50)-SUMIF('BALANCE N'!$A$2:$A$50,"232*",'BALANCE N'!$G$2:$G$50)+SUMIF('BALANCE N'!$A$2:$A$50,"233*",'BALANCE N'!$F$2:$F$50)-SUMIF('BALANCE N'!$A$2:$A$50,"233*",'BALANCE N'!$G$2:$G$50)+SUMIF('BALANCE N'!$A$2:$A$50,"2393*",'BALANCE N'!$F$2:$F$50)-SUMIF('BALANCE N'!$A$2:$A$50,"2393*",'BALANCE N'!$G$2:$G$50)+SUMIF('BALANCE N'!$A$2:$A$50,"2391*",'BALANCE N'!$F$2:$F$50)-SUMIF('BALANCE N'!$A$2:$A$50,"2391*",'BALANCE N'!$G$2:$G$50)+SUMIF('BALANCE N'!$A$2:$A$50,"2392*",'BALANCE N'!$F$2:$F$50)-SUMIF('BALANCE N'!$A$2:$A$50,"2392*",'BALANCE N'!$G$2:$G$50)-SUMIF('BALANCE N'!$A$2:$A$50,"2325*",'BALANCE N'!$F$2:$F$50)+SUMIF('BALANCE N'!$A$2:$A$50,"2325*",'BALANCE N'!$G$2:$G$50)-SUMIF('BALANCE N'!$A$2:$A$50,"2315*",'BALANCE N'!$F$2:$F$50)+SUMIF('BALANCE N'!$A$2:$A$50,"2315*",'BALANCE N'!$G$2:$G$50)))</f>
        <v/>
      </c>
      <c r="E16" s="5">
        <f>B16+C16-D16</f>
        <v/>
      </c>
    </row>
    <row r="17">
      <c r="A17" s="4" t="inlineStr">
        <is>
          <t>Bâtiments - immeuble de placement</t>
        </is>
      </c>
      <c r="B17" s="5">
        <f>SUMIF('BALANCE N-1'!$A$2:$A$50,"2325*",'BALANCE N-1'!$F$2:$F$50)-SUMIF('BALANCE N-1'!$A$2:$A$50,"2325*",'BALANCE N-1'!$G$2:$G$50)+SUMIF('BALANCE N-1'!$A$2:$A$50,"2396*",'BALANCE N-1'!$F$2:$F$50)-SUMIF('BALANCE N-1'!$A$2:$A$50,"2396*",'BALANCE N-1'!$G$2:$G$50)+SUMIF('BALANCE N-1'!$A$2:$A$50,"2315*",'BALANCE N-1'!$F$2:$F$50)-SUMIF('BALANCE N-1'!$A$2:$A$50,"2315*",'BALANCE N-1'!$G$2:$G$50)</f>
        <v/>
      </c>
      <c r="C17" s="5">
        <f>MAX(0,(SUMIF('BALANCE N'!$A$2:$A$50,"2325*",'BALANCE N'!$F$2:$F$50)-SUMIF('BALANCE N'!$A$2:$A$50,"2325*",'BALANCE N'!$G$2:$G$50)+SUMIF('BALANCE N'!$A$2:$A$50,"2396*",'BALANCE N'!$F$2:$F$50)-SUMIF('BALANCE N'!$A$2:$A$50,"2396*",'BALANCE N'!$G$2:$G$50)+SUMIF('BALANCE N'!$A$2:$A$50,"2315*",'BALANCE N'!$F$2:$F$50)-SUMIF('BALANCE N'!$A$2:$A$50,"2315*",'BALANCE N'!$G$2:$G$50))-(SUMIF('BALANCE N-1'!$A$2:$A$50,"2325*",'BALANCE N-1'!$F$2:$F$50)-SUMIF('BALANCE N-1'!$A$2:$A$50,"2325*",'BALANCE N-1'!$G$2:$G$50)+SUMIF('BALANCE N-1'!$A$2:$A$50,"2396*",'BALANCE N-1'!$F$2:$F$50)-SUMIF('BALANCE N-1'!$A$2:$A$50,"2396*",'BALANCE N-1'!$G$2:$G$50)+SUMIF('BALANCE N-1'!$A$2:$A$50,"2315*",'BALANCE N-1'!$F$2:$F$50)-SUMIF('BALANCE N-1'!$A$2:$A$50,"2315*",'BALANCE N-1'!$G$2:$G$50)))</f>
        <v/>
      </c>
      <c r="D17" s="5">
        <f>MAX(0,(SUMIF('BALANCE N-1'!$A$2:$A$50,"2325*",'BALANCE N-1'!$F$2:$F$50)-SUMIF('BALANCE N-1'!$A$2:$A$50,"2325*",'BALANCE N-1'!$G$2:$G$50)+SUMIF('BALANCE N-1'!$A$2:$A$50,"2396*",'BALANCE N-1'!$F$2:$F$50)-SUMIF('BALANCE N-1'!$A$2:$A$50,"2396*",'BALANCE N-1'!$G$2:$G$50)+SUMIF('BALANCE N-1'!$A$2:$A$50,"2315*",'BALANCE N-1'!$F$2:$F$50)-SUMIF('BALANCE N-1'!$A$2:$A$50,"2315*",'BALANCE N-1'!$G$2:$G$50))-(SUMIF('BALANCE N'!$A$2:$A$50,"2325*",'BALANCE N'!$F$2:$F$50)-SUMIF('BALANCE N'!$A$2:$A$50,"2325*",'BALANCE N'!$G$2:$G$50)+SUMIF('BALANCE N'!$A$2:$A$50,"2396*",'BALANCE N'!$F$2:$F$50)-SUMIF('BALANCE N'!$A$2:$A$50,"2396*",'BALANCE N'!$G$2:$G$50)+SUMIF('BALANCE N'!$A$2:$A$50,"2315*",'BALANCE N'!$F$2:$F$50)-SUMIF('BALANCE N'!$A$2:$A$50,"2315*",'BALANCE N'!$G$2:$G$50)))</f>
        <v/>
      </c>
      <c r="E17" s="5">
        <f>B17+C17-D17</f>
        <v/>
      </c>
    </row>
    <row r="18">
      <c r="A18" s="4" t="inlineStr">
        <is>
          <t>Aménagements, agencements et installations</t>
        </is>
      </c>
      <c r="B18" s="5">
        <f>SUMIF('BALANCE N-1'!$A$2:$A$50,"238*",'BALANCE N-1'!$F$2:$F$50)-SUMIF('BALANCE N-1'!$A$2:$A$50,"238*",'BALANCE N-1'!$G$2:$G$50)+SUMIF('BALANCE N-1'!$A$2:$A$50,"234*",'BALANCE N-1'!$F$2:$F$50)-SUMIF('BALANCE N-1'!$A$2:$A$50,"234*",'BALANCE N-1'!$G$2:$G$50)+SUMIF('BALANCE N-1'!$A$2:$A$50,"235*",'BALANCE N-1'!$F$2:$F$50)-SUMIF('BALANCE N-1'!$A$2:$A$50,"235*",'BALANCE N-1'!$G$2:$G$50)+SUMIF('BALANCE N-1'!$A$2:$A$50,"2394*",'BALANCE N-1'!$F$2:$F$50)-SUMIF('BALANCE N-1'!$A$2:$A$50,"2394*",'BALANCE N-1'!$G$2:$G$50)+SUMIF('BALANCE N-1'!$A$2:$A$50,"2398*",'BALANCE N-1'!$F$2:$F$50)-SUMIF('BALANCE N-1'!$A$2:$A$50,"2398*",'BALANCE N-1'!$G$2:$G$50)+SUMIF('BALANCE N-1'!$A$2:$A$50,"2395*",'BALANCE N-1'!$F$2:$F$50)-SUMIF('BALANCE N-1'!$A$2:$A$50,"2395*",'BALANCE N-1'!$G$2:$G$50)</f>
        <v/>
      </c>
      <c r="C18" s="5">
        <f>MAX(0,(SUMIF('BALANCE N'!$A$2:$A$50,"238*",'BALANCE N'!$F$2:$F$50)-SUMIF('BALANCE N'!$A$2:$A$50,"238*",'BALANCE N'!$G$2:$G$50)+SUMIF('BALANCE N'!$A$2:$A$50,"234*",'BALANCE N'!$F$2:$F$50)-SUMIF('BALANCE N'!$A$2:$A$50,"234*",'BALANCE N'!$G$2:$G$50)+SUMIF('BALANCE N'!$A$2:$A$50,"235*",'BALANCE N'!$F$2:$F$50)-SUMIF('BALANCE N'!$A$2:$A$50,"235*",'BALANCE N'!$G$2:$G$50)+SUMIF('BALANCE N'!$A$2:$A$50,"2394*",'BALANCE N'!$F$2:$F$50)-SUMIF('BALANCE N'!$A$2:$A$50,"2394*",'BALANCE N'!$G$2:$G$50)+SUMIF('BALANCE N'!$A$2:$A$50,"2398*",'BALANCE N'!$F$2:$F$50)-SUMIF('BALANCE N'!$A$2:$A$50,"2398*",'BALANCE N'!$G$2:$G$50)+SUMIF('BALANCE N'!$A$2:$A$50,"2395*",'BALANCE N'!$F$2:$F$50)-SUMIF('BALANCE N'!$A$2:$A$50,"2395*",'BALANCE N'!$G$2:$G$50))-(SUMIF('BALANCE N-1'!$A$2:$A$50,"238*",'BALANCE N-1'!$F$2:$F$50)-SUMIF('BALANCE N-1'!$A$2:$A$50,"238*",'BALANCE N-1'!$G$2:$G$50)+SUMIF('BALANCE N-1'!$A$2:$A$50,"234*",'BALANCE N-1'!$F$2:$F$50)-SUMIF('BALANCE N-1'!$A$2:$A$50,"234*",'BALANCE N-1'!$G$2:$G$50)+SUMIF('BALANCE N-1'!$A$2:$A$50,"235*",'BALANCE N-1'!$F$2:$F$50)-SUMIF('BALANCE N-1'!$A$2:$A$50,"235*",'BALANCE N-1'!$G$2:$G$50)+SUMIF('BALANCE N-1'!$A$2:$A$50,"2394*",'BALANCE N-1'!$F$2:$F$50)-SUMIF('BALANCE N-1'!$A$2:$A$50,"2394*",'BALANCE N-1'!$G$2:$G$50)+SUMIF('BALANCE N-1'!$A$2:$A$50,"2398*",'BALANCE N-1'!$F$2:$F$50)-SUMIF('BALANCE N-1'!$A$2:$A$50,"2398*",'BALANCE N-1'!$G$2:$G$50)+SUMIF('BALANCE N-1'!$A$2:$A$50,"2395*",'BALANCE N-1'!$F$2:$F$50)-SUMIF('BALANCE N-1'!$A$2:$A$50,"2395*",'BALANCE N-1'!$G$2:$G$50)))</f>
        <v/>
      </c>
      <c r="D18" s="5">
        <f>MAX(0,(SUMIF('BALANCE N-1'!$A$2:$A$50,"238*",'BALANCE N-1'!$F$2:$F$50)-SUMIF('BALANCE N-1'!$A$2:$A$50,"238*",'BALANCE N-1'!$G$2:$G$50)+SUMIF('BALANCE N-1'!$A$2:$A$50,"234*",'BALANCE N-1'!$F$2:$F$50)-SUMIF('BALANCE N-1'!$A$2:$A$50,"234*",'BALANCE N-1'!$G$2:$G$50)+SUMIF('BALANCE N-1'!$A$2:$A$50,"235*",'BALANCE N-1'!$F$2:$F$50)-SUMIF('BALANCE N-1'!$A$2:$A$50,"235*",'BALANCE N-1'!$G$2:$G$50)+SUMIF('BALANCE N-1'!$A$2:$A$50,"2394*",'BALANCE N-1'!$F$2:$F$50)-SUMIF('BALANCE N-1'!$A$2:$A$50,"2394*",'BALANCE N-1'!$G$2:$G$50)+SUMIF('BALANCE N-1'!$A$2:$A$50,"2398*",'BALANCE N-1'!$F$2:$F$50)-SUMIF('BALANCE N-1'!$A$2:$A$50,"2398*",'BALANCE N-1'!$G$2:$G$50)+SUMIF('BALANCE N-1'!$A$2:$A$50,"2395*",'BALANCE N-1'!$F$2:$F$50)-SUMIF('BALANCE N-1'!$A$2:$A$50,"2395*",'BALANCE N-1'!$G$2:$G$50))-(SUMIF('BALANCE N'!$A$2:$A$50,"238*",'BALANCE N'!$F$2:$F$50)-SUMIF('BALANCE N'!$A$2:$A$50,"238*",'BALANCE N'!$G$2:$G$50)+SUMIF('BALANCE N'!$A$2:$A$50,"234*",'BALANCE N'!$F$2:$F$50)-SUMIF('BALANCE N'!$A$2:$A$50,"234*",'BALANCE N'!$G$2:$G$50)+SUMIF('BALANCE N'!$A$2:$A$50,"235*",'BALANCE N'!$F$2:$F$50)-SUMIF('BALANCE N'!$A$2:$A$50,"235*",'BALANCE N'!$G$2:$G$50)+SUMIF('BALANCE N'!$A$2:$A$50,"2394*",'BALANCE N'!$F$2:$F$50)-SUMIF('BALANCE N'!$A$2:$A$50,"2394*",'BALANCE N'!$G$2:$G$50)+SUMIF('BALANCE N'!$A$2:$A$50,"2398*",'BALANCE N'!$F$2:$F$50)-SUMIF('BALANCE N'!$A$2:$A$50,"2398*",'BALANCE N'!$G$2:$G$50)+SUMIF('BALANCE N'!$A$2:$A$50,"2395*",'BALANCE N'!$F$2:$F$50)-SUMIF('BALANCE N'!$A$2:$A$50,"2395*",'BALANCE N'!$G$2:$G$50)))</f>
        <v/>
      </c>
      <c r="E18" s="5">
        <f>B18+C18-D18</f>
        <v/>
      </c>
    </row>
    <row r="19">
      <c r="A19" s="4" t="inlineStr">
        <is>
          <t>Matériel, mobilier et actifs biologiques</t>
        </is>
      </c>
      <c r="B19" s="5">
        <f>SUMIF('BALANCE N-1'!$A$2:$A$50,"24*",'BALANCE N-1'!$F$2:$F$50)-SUMIF('BALANCE N-1'!$A$2:$A$50,"24*",'BALANCE N-1'!$G$2:$G$50)-SUMIF('BALANCE N-1'!$A$2:$A$50,"245*",'BALANCE N-1'!$F$2:$F$50)+SUMIF('BALANCE N-1'!$A$2:$A$50,"245*",'BALANCE N-1'!$G$2:$G$50)-SUMIF('BALANCE N-1'!$A$2:$A$50,"2495*",'BALANCE N-1'!$F$2:$F$50)+SUMIF('BALANCE N-1'!$A$2:$A$50,"2495*",'BALANCE N-1'!$G$2:$G$50)</f>
        <v/>
      </c>
      <c r="C19" s="5">
        <f>MAX(0,(SUMIF('BALANCE N'!$A$2:$A$50,"24*",'BALANCE N'!$F$2:$F$50)-SUMIF('BALANCE N'!$A$2:$A$50,"24*",'BALANCE N'!$G$2:$G$50)-SUMIF('BALANCE N'!$A$2:$A$50,"245*",'BALANCE N'!$F$2:$F$50)+SUMIF('BALANCE N'!$A$2:$A$50,"245*",'BALANCE N'!$G$2:$G$50)-SUMIF('BALANCE N'!$A$2:$A$50,"2495*",'BALANCE N'!$F$2:$F$50)+SUMIF('BALANCE N'!$A$2:$A$50,"2495*",'BALANCE N'!$G$2:$G$50))-(SUMIF('BALANCE N-1'!$A$2:$A$50,"24*",'BALANCE N-1'!$F$2:$F$50)-SUMIF('BALANCE N-1'!$A$2:$A$50,"24*",'BALANCE N-1'!$G$2:$G$50)-SUMIF('BALANCE N-1'!$A$2:$A$50,"245*",'BALANCE N-1'!$F$2:$F$50)+SUMIF('BALANCE N-1'!$A$2:$A$50,"245*",'BALANCE N-1'!$G$2:$G$50)-SUMIF('BALANCE N-1'!$A$2:$A$50,"2495*",'BALANCE N-1'!$F$2:$F$50)+SUMIF('BALANCE N-1'!$A$2:$A$50,"2495*",'BALANCE N-1'!$G$2:$G$50)))</f>
        <v/>
      </c>
      <c r="D19" s="5">
        <f>MAX(0,(SUMIF('BALANCE N-1'!$A$2:$A$50,"24*",'BALANCE N-1'!$F$2:$F$50)-SUMIF('BALANCE N-1'!$A$2:$A$50,"24*",'BALANCE N-1'!$G$2:$G$50)-SUMIF('BALANCE N-1'!$A$2:$A$50,"245*",'BALANCE N-1'!$F$2:$F$50)+SUMIF('BALANCE N-1'!$A$2:$A$50,"245*",'BALANCE N-1'!$G$2:$G$50)-SUMIF('BALANCE N-1'!$A$2:$A$50,"2495*",'BALANCE N-1'!$F$2:$F$50)+SUMIF('BALANCE N-1'!$A$2:$A$50,"2495*",'BALANCE N-1'!$G$2:$G$50))-(SUMIF('BALANCE N'!$A$2:$A$50,"24*",'BALANCE N'!$F$2:$F$50)-SUMIF('BALANCE N'!$A$2:$A$50,"24*",'BALANCE N'!$G$2:$G$50)-SUMIF('BALANCE N'!$A$2:$A$50,"245*",'BALANCE N'!$F$2:$F$50)+SUMIF('BALANCE N'!$A$2:$A$50,"245*",'BALANCE N'!$G$2:$G$50)-SUMIF('BALANCE N'!$A$2:$A$50,"2495*",'BALANCE N'!$F$2:$F$50)+SUMIF('BALANCE N'!$A$2:$A$50,"2495*",'BALANCE N'!$G$2:$G$50)))</f>
        <v/>
      </c>
      <c r="E19" s="5">
        <f>B19+C19-D19</f>
        <v/>
      </c>
    </row>
    <row r="20">
      <c r="A20" s="4" t="inlineStr">
        <is>
          <t>Matériel de transport</t>
        </is>
      </c>
      <c r="B20" s="5">
        <f>SUMIF('BALANCE N-1'!$A$2:$A$50,"245*",'BALANCE N-1'!$F$2:$F$50)-SUMIF('BALANCE N-1'!$A$2:$A$50,"245*",'BALANCE N-1'!$G$2:$G$50)+SUMIF('BALANCE N-1'!$A$2:$A$50,"2495*",'BALANCE N-1'!$F$2:$F$50)-SUMIF('BALANCE N-1'!$A$2:$A$50,"2495*",'BALANCE N-1'!$G$2:$G$50)</f>
        <v/>
      </c>
      <c r="C20" s="5">
        <f>MAX(0,(SUMIF('BALANCE N'!$A$2:$A$50,"245*",'BALANCE N'!$F$2:$F$50)-SUMIF('BALANCE N'!$A$2:$A$50,"245*",'BALANCE N'!$G$2:$G$50)+SUMIF('BALANCE N'!$A$2:$A$50,"2495*",'BALANCE N'!$F$2:$F$50)-SUMIF('BALANCE N'!$A$2:$A$50,"2495*",'BALANCE N'!$G$2:$G$50))-(SUMIF('BALANCE N-1'!$A$2:$A$50,"245*",'BALANCE N-1'!$F$2:$F$50)-SUMIF('BALANCE N-1'!$A$2:$A$50,"245*",'BALANCE N-1'!$G$2:$G$50)+SUMIF('BALANCE N-1'!$A$2:$A$50,"2495*",'BALANCE N-1'!$F$2:$F$50)-SUMIF('BALANCE N-1'!$A$2:$A$50,"2495*",'BALANCE N-1'!$G$2:$G$50)))</f>
        <v/>
      </c>
      <c r="D20" s="5">
        <f>MAX(0,(SUMIF('BALANCE N-1'!$A$2:$A$50,"245*",'BALANCE N-1'!$F$2:$F$50)-SUMIF('BALANCE N-1'!$A$2:$A$50,"245*",'BALANCE N-1'!$G$2:$G$50)+SUMIF('BALANCE N-1'!$A$2:$A$50,"2495*",'BALANCE N-1'!$F$2:$F$50)-SUMIF('BALANCE N-1'!$A$2:$A$50,"2495*",'BALANCE N-1'!$G$2:$G$50))-(SUMIF('BALANCE N'!$A$2:$A$50,"245*",'BALANCE N'!$F$2:$F$50)-SUMIF('BALANCE N'!$A$2:$A$50,"245*",'BALANCE N'!$G$2:$G$50)+SUMIF('BALANCE N'!$A$2:$A$50,"2495*",'BALANCE N'!$F$2:$F$50)-SUMIF('BALANCE N'!$A$2:$A$50,"2495*",'BALANCE N'!$G$2:$G$50)))</f>
        <v/>
      </c>
      <c r="E20" s="5">
        <f>B20+C20-D20</f>
        <v/>
      </c>
    </row>
    <row r="21">
      <c r="A21" s="4" t="inlineStr">
        <is>
          <t>Avances et acomptes sur immobilisations corporelles</t>
        </is>
      </c>
      <c r="B21" s="5">
        <f>SUMIF('BALANCE N-1'!$A$2:$A$50,"252*",'BALANCE N-1'!$F$2:$F$50)-SUMIF('BALANCE N-1'!$A$2:$A$50,"252*",'BALANCE N-1'!$G$2:$G$50)</f>
        <v/>
      </c>
      <c r="C21" s="5">
        <f>MAX(0,(SUMIF('BALANCE N'!$A$2:$A$50,"252*",'BALANCE N'!$F$2:$F$50)-SUMIF('BALANCE N'!$A$2:$A$50,"252*",'BALANCE N'!$G$2:$G$50))-(SUMIF('BALANCE N-1'!$A$2:$A$50,"252*",'BALANCE N-1'!$F$2:$F$50)-SUMIF('BALANCE N-1'!$A$2:$A$50,"252*",'BALANCE N-1'!$G$2:$G$50)))</f>
        <v/>
      </c>
      <c r="D21" s="5">
        <f>MAX(0,(SUMIF('BALANCE N-1'!$A$2:$A$50,"252*",'BALANCE N-1'!$F$2:$F$50)-SUMIF('BALANCE N-1'!$A$2:$A$50,"252*",'BALANCE N-1'!$G$2:$G$50))-(SUMIF('BALANCE N'!$A$2:$A$50,"252*",'BALANCE N'!$F$2:$F$50)-SUMIF('BALANCE N'!$A$2:$A$50,"252*",'BALANCE N'!$G$2:$G$50)))</f>
        <v/>
      </c>
      <c r="E21" s="5">
        <f>B21+C21-D21</f>
        <v/>
      </c>
    </row>
    <row r="22">
      <c r="A22" s="118" t="inlineStr">
        <is>
          <t>IMMOBILISATIONS FINANCIÈRES</t>
        </is>
      </c>
      <c r="B22" s="119" t="n"/>
      <c r="C22" s="119" t="n"/>
      <c r="D22" s="119" t="n"/>
      <c r="E22" s="119" t="n"/>
    </row>
    <row r="23">
      <c r="A23" s="4" t="inlineStr">
        <is>
          <t>Dépôts et cautionnements</t>
        </is>
      </c>
      <c r="B23" s="5">
        <f>SUMIF('BALANCE N-1'!$A$2:$A$50,"275*",'BALANCE N-1'!$F$2:$F$50)-SUMIF('BALANCE N-1'!$A$2:$A$50,"275*",'BALANCE N-1'!$G$2:$G$50)</f>
        <v/>
      </c>
      <c r="C23" s="5">
        <f>MAX(0,(SUMIF('BALANCE N'!$A$2:$A$50,"275*",'BALANCE N'!$F$2:$F$50)-SUMIF('BALANCE N'!$A$2:$A$50,"275*",'BALANCE N'!$G$2:$G$50))-(SUMIF('BALANCE N-1'!$A$2:$A$50,"275*",'BALANCE N-1'!$F$2:$F$50)-SUMIF('BALANCE N-1'!$A$2:$A$50,"275*",'BALANCE N-1'!$G$2:$G$50)))</f>
        <v/>
      </c>
      <c r="D23" s="5">
        <f>MAX(0,(SUMIF('BALANCE N-1'!$A$2:$A$50,"275*",'BALANCE N-1'!$F$2:$F$50)-SUMIF('BALANCE N-1'!$A$2:$A$50,"275*",'BALANCE N-1'!$G$2:$G$50))-(SUMIF('BALANCE N'!$A$2:$A$50,"275*",'BALANCE N'!$F$2:$F$50)-SUMIF('BALANCE N'!$A$2:$A$50,"275*",'BALANCE N'!$G$2:$G$50)))</f>
        <v/>
      </c>
      <c r="E23" s="5">
        <f>B23+C23-D23</f>
        <v/>
      </c>
    </row>
    <row r="24">
      <c r="A24" s="4" t="inlineStr">
        <is>
          <t>Autres immobilisations financières</t>
        </is>
      </c>
      <c r="B24" s="5">
        <f>SUMIF('BALANCE N-1'!$A$2:$A$50,"26*",'BALANCE N-1'!$F$2:$F$50)-SUMIF('BALANCE N-1'!$A$2:$A$50,"26*",'BALANCE N-1'!$G$2:$G$50)+SUMIF('BALANCE N-1'!$A$2:$A$50,"27*",'BALANCE N-1'!$F$2:$F$50)-SUMIF('BALANCE N-1'!$A$2:$A$50,"27*",'BALANCE N-1'!$G$2:$G$50)-SUMIF('BALANCE N-1'!$A$2:$A$50,"275*",'BALANCE N-1'!$F$2:$F$50)+SUMIF('BALANCE N-1'!$A$2:$A$50,"275*",'BALANCE N-1'!$G$2:$G$50)</f>
        <v/>
      </c>
      <c r="C24" s="5">
        <f>MAX(0,(SUMIF('BALANCE N'!$A$2:$A$50,"26*",'BALANCE N'!$F$2:$F$50)-SUMIF('BALANCE N'!$A$2:$A$50,"26*",'BALANCE N'!$G$2:$G$50)+SUMIF('BALANCE N'!$A$2:$A$50,"27*",'BALANCE N'!$F$2:$F$50)-SUMIF('BALANCE N'!$A$2:$A$50,"27*",'BALANCE N'!$G$2:$G$50)-SUMIF('BALANCE N'!$A$2:$A$50,"275*",'BALANCE N'!$F$2:$F$50)+SUMIF('BALANCE N'!$A$2:$A$50,"275*",'BALANCE N'!$G$2:$G$50))-(SUMIF('BALANCE N-1'!$A$2:$A$50,"26*",'BALANCE N-1'!$F$2:$F$50)-SUMIF('BALANCE N-1'!$A$2:$A$50,"26*",'BALANCE N-1'!$G$2:$G$50)+SUMIF('BALANCE N-1'!$A$2:$A$50,"27*",'BALANCE N-1'!$F$2:$F$50)-SUMIF('BALANCE N-1'!$A$2:$A$50,"27*",'BALANCE N-1'!$G$2:$G$50)-SUMIF('BALANCE N-1'!$A$2:$A$50,"275*",'BALANCE N-1'!$F$2:$F$50)+SUMIF('BALANCE N-1'!$A$2:$A$50,"275*",'BALANCE N-1'!$G$2:$G$50)))</f>
        <v/>
      </c>
      <c r="D24" s="5">
        <f>MAX(0,(SUMIF('BALANCE N-1'!$A$2:$A$50,"26*",'BALANCE N-1'!$F$2:$F$50)-SUMIF('BALANCE N-1'!$A$2:$A$50,"26*",'BALANCE N-1'!$G$2:$G$50)+SUMIF('BALANCE N-1'!$A$2:$A$50,"27*",'BALANCE N-1'!$F$2:$F$50)-SUMIF('BALANCE N-1'!$A$2:$A$50,"27*",'BALANCE N-1'!$G$2:$G$50)-SUMIF('BALANCE N-1'!$A$2:$A$50,"275*",'BALANCE N-1'!$F$2:$F$50)+SUMIF('BALANCE N-1'!$A$2:$A$50,"275*",'BALANCE N-1'!$G$2:$G$50))-(SUMIF('BALANCE N'!$A$2:$A$50,"26*",'BALANCE N'!$F$2:$F$50)-SUMIF('BALANCE N'!$A$2:$A$50,"26*",'BALANCE N'!$G$2:$G$50)+SUMIF('BALANCE N'!$A$2:$A$50,"27*",'BALANCE N'!$F$2:$F$50)-SUMIF('BALANCE N'!$A$2:$A$50,"27*",'BALANCE N'!$G$2:$G$50)-SUMIF('BALANCE N'!$A$2:$A$50,"275*",'BALANCE N'!$F$2:$F$50)+SUMIF('BALANCE N'!$A$2:$A$50,"275*",'BALANCE N'!$G$2:$G$50)))</f>
        <v/>
      </c>
      <c r="E24" s="5">
        <f>B24+C24-D24</f>
        <v/>
      </c>
    </row>
    <row r="25">
      <c r="A25" s="74" t="inlineStr">
        <is>
          <t>TOTAL GÉNÉRAL</t>
        </is>
      </c>
      <c r="B25" s="75">
        <f>B10+B11+B12+B14+B15+B16+B17+B18+B19+B20+B21+B23+B24</f>
        <v/>
      </c>
      <c r="C25" s="75">
        <f>C10+C11+C12+C14+C15+C16+C17+C18+C19+C20+C21+C23+C24</f>
        <v/>
      </c>
      <c r="D25" s="75">
        <f>D10+D11+D12+D14+D15+D16+D17+D18+D19+D20+D21+D23+D24</f>
        <v/>
      </c>
      <c r="E25" s="75">
        <f>E10+E11+E12+E14+E15+E16+E17+E18+E19+E20+E21+E23+E24</f>
        <v/>
      </c>
    </row>
    <row r="26"/>
    <row r="27">
      <c r="A27" s="91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  <row r="28"/>
    <row r="29">
      <c r="A29" s="40" t="inlineStr">
        <is>
          <t>Commentaires :</t>
        </is>
      </c>
    </row>
    <row r="30">
      <c r="A30" s="84" t="inlineStr">
        <is>
          <t>• Toute variation significative doit être commentée ; joindre l'inventaire physique des immobilisations.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48" t="inlineStr">
        <is>
          <t>- 14 -</t>
        </is>
      </c>
    </row>
    <row r="2" ht="26" customHeight="1">
      <c r="D2" s="49" t="inlineStr">
        <is>
          <t>NOTE 3B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3B : BIENS PRIS EN LOCATION-ACQUISITION</t>
        </is>
      </c>
    </row>
    <row r="8">
      <c r="A8" s="120" t="inlineStr">
        <is>
          <t>I : crédit-bail immobilier ; M : crédit-bail mobilier ; A : autres contrats</t>
        </is>
      </c>
    </row>
    <row r="9">
      <c r="A9" s="1" t="inlineStr">
        <is>
          <t>RUBRIQUES</t>
        </is>
      </c>
      <c r="B9" s="2" t="inlineStr">
        <is>
          <t>Montant brut à l'ouverture (A)</t>
        </is>
      </c>
      <c r="C9" s="2" t="inlineStr">
        <is>
          <t>Augmentations (B)</t>
        </is>
      </c>
      <c r="D9" s="2" t="inlineStr">
        <is>
          <t>Diminutions (C)</t>
        </is>
      </c>
      <c r="E9" s="3" t="inlineStr">
        <is>
          <t>Montant brut à la clôture (D = A + B - C)</t>
        </is>
      </c>
    </row>
    <row r="10">
      <c r="A10" s="4" t="inlineStr">
        <is>
          <t>Terrains</t>
        </is>
      </c>
      <c r="B10" s="5">
        <f>SUMIF('BALANCE N-1'!$A$2:$A$50,"2286*",'BALANCE N-1'!$F$2:$F$50)-SUMIF('BALANCE N-1'!$A$2:$A$50,"2286*",'BALANCE N-1'!$G$2:$G$50)</f>
        <v/>
      </c>
      <c r="C10" s="5">
        <f>MAX(0,(SUMIF('BALANCE N'!$A$2:$A$50,"2286*",'BALANCE N'!$F$2:$F$50)-SUMIF('BALANCE N'!$A$2:$A$50,"2286*",'BALANCE N'!$G$2:$G$50))-(SUMIF('BALANCE N-1'!$A$2:$A$50,"2286*",'BALANCE N-1'!$F$2:$F$50)-SUMIF('BALANCE N-1'!$A$2:$A$50,"2286*",'BALANCE N-1'!$G$2:$G$50)))</f>
        <v/>
      </c>
      <c r="D10" s="5">
        <f>MAX(0,(SUMIF('BALANCE N-1'!$A$2:$A$50,"2286*",'BALANCE N-1'!$F$2:$F$50)-SUMIF('BALANCE N-1'!$A$2:$A$50,"2286*",'BALANCE N-1'!$G$2:$G$50))-(SUMIF('BALANCE N'!$A$2:$A$50,"2286*",'BALANCE N'!$F$2:$F$50)-SUMIF('BALANCE N'!$A$2:$A$50,"2286*",'BALANCE N'!$G$2:$G$50)))</f>
        <v/>
      </c>
      <c r="E10" s="5">
        <f>B10+C10-D10</f>
        <v/>
      </c>
    </row>
    <row r="11">
      <c r="A11" s="4" t="inlineStr">
        <is>
          <t>Bâtiments</t>
        </is>
      </c>
      <c r="B11" s="5">
        <f>SUMIF('BALANCE N-1'!$A$2:$A$50,"2316*",'BALANCE N-1'!$F$2:$F$50)-SUMIF('BALANCE N-1'!$A$2:$A$50,"2316*",'BALANCE N-1'!$G$2:$G$50)</f>
        <v/>
      </c>
      <c r="C11" s="5">
        <f>MAX(0,(SUMIF('BALANCE N'!$A$2:$A$50,"2316*",'BALANCE N'!$F$2:$F$50)-SUMIF('BALANCE N'!$A$2:$A$50,"2316*",'BALANCE N'!$G$2:$G$50))-(SUMIF('BALANCE N-1'!$A$2:$A$50,"2316*",'BALANCE N-1'!$F$2:$F$50)-SUMIF('BALANCE N-1'!$A$2:$A$50,"2316*",'BALANCE N-1'!$G$2:$G$50)))</f>
        <v/>
      </c>
      <c r="D11" s="5">
        <f>MAX(0,(SUMIF('BALANCE N-1'!$A$2:$A$50,"2316*",'BALANCE N-1'!$F$2:$F$50)-SUMIF('BALANCE N-1'!$A$2:$A$50,"2316*",'BALANCE N-1'!$G$2:$G$50))-(SUMIF('BALANCE N'!$A$2:$A$50,"2316*",'BALANCE N'!$F$2:$F$50)-SUMIF('BALANCE N'!$A$2:$A$50,"2316*",'BALANCE N'!$G$2:$G$50)))</f>
        <v/>
      </c>
      <c r="E11" s="5">
        <f>B11+C11-D11</f>
        <v/>
      </c>
    </row>
    <row r="12">
      <c r="A12" s="4" t="inlineStr">
        <is>
          <t>Matériel, mobilier</t>
        </is>
      </c>
      <c r="B12" s="5">
        <f>SUMIF('BALANCE N-1'!$A$2:$A$50,"2416*",'BALANCE N-1'!$F$2:$F$50)-SUMIF('BALANCE N-1'!$A$2:$A$50,"2416*",'BALANCE N-1'!$G$2:$G$50)+SUMIF('BALANCE N-1'!$A$2:$A$50,"2446*",'BALANCE N-1'!$F$2:$F$50)-SUMIF('BALANCE N-1'!$A$2:$A$50,"2446*",'BALANCE N-1'!$G$2:$G$50)+SUMIF('BALANCE N-1'!$A$2:$A$50,"2426*",'BALANCE N-1'!$F$2:$F$50)-SUMIF('BALANCE N-1'!$A$2:$A$50,"2426*",'BALANCE N-1'!$G$2:$G$50)</f>
        <v/>
      </c>
      <c r="C12" s="5">
        <f>MAX(0,(SUMIF('BALANCE N'!$A$2:$A$50,"2416*",'BALANCE N'!$F$2:$F$50)-SUMIF('BALANCE N'!$A$2:$A$50,"2416*",'BALANCE N'!$G$2:$G$50)+SUMIF('BALANCE N'!$A$2:$A$50,"2446*",'BALANCE N'!$F$2:$F$50)-SUMIF('BALANCE N'!$A$2:$A$50,"2446*",'BALANCE N'!$G$2:$G$50)+SUMIF('BALANCE N'!$A$2:$A$50,"2426*",'BALANCE N'!$F$2:$F$50)-SUMIF('BALANCE N'!$A$2:$A$50,"2426*",'BALANCE N'!$G$2:$G$50))-(SUMIF('BALANCE N-1'!$A$2:$A$50,"2416*",'BALANCE N-1'!$F$2:$F$50)-SUMIF('BALANCE N-1'!$A$2:$A$50,"2416*",'BALANCE N-1'!$G$2:$G$50)+SUMIF('BALANCE N-1'!$A$2:$A$50,"2446*",'BALANCE N-1'!$F$2:$F$50)-SUMIF('BALANCE N-1'!$A$2:$A$50,"2446*",'BALANCE N-1'!$G$2:$G$50)+SUMIF('BALANCE N-1'!$A$2:$A$50,"2426*",'BALANCE N-1'!$F$2:$F$50)-SUMIF('BALANCE N-1'!$A$2:$A$50,"2426*",'BALANCE N-1'!$G$2:$G$50)))</f>
        <v/>
      </c>
      <c r="D12" s="5">
        <f>MAX(0,(SUMIF('BALANCE N-1'!$A$2:$A$50,"2416*",'BALANCE N-1'!$F$2:$F$50)-SUMIF('BALANCE N-1'!$A$2:$A$50,"2416*",'BALANCE N-1'!$G$2:$G$50)+SUMIF('BALANCE N-1'!$A$2:$A$50,"2446*",'BALANCE N-1'!$F$2:$F$50)-SUMIF('BALANCE N-1'!$A$2:$A$50,"2446*",'BALANCE N-1'!$G$2:$G$50)+SUMIF('BALANCE N-1'!$A$2:$A$50,"2426*",'BALANCE N-1'!$F$2:$F$50)-SUMIF('BALANCE N-1'!$A$2:$A$50,"2426*",'BALANCE N-1'!$G$2:$G$50))-(SUMIF('BALANCE N'!$A$2:$A$50,"2416*",'BALANCE N'!$F$2:$F$50)-SUMIF('BALANCE N'!$A$2:$A$50,"2416*",'BALANCE N'!$G$2:$G$50)+SUMIF('BALANCE N'!$A$2:$A$50,"2446*",'BALANCE N'!$F$2:$F$50)-SUMIF('BALANCE N'!$A$2:$A$50,"2446*",'BALANCE N'!$G$2:$G$50)+SUMIF('BALANCE N'!$A$2:$A$50,"2426*",'BALANCE N'!$F$2:$F$50)-SUMIF('BALANCE N'!$A$2:$A$50,"2426*",'BALANCE N'!$G$2:$G$50)))</f>
        <v/>
      </c>
      <c r="E12" s="5">
        <f>B12+C12-D12</f>
        <v/>
      </c>
    </row>
    <row r="13">
      <c r="A13" s="4" t="inlineStr">
        <is>
          <t>Matériel de transport</t>
        </is>
      </c>
      <c r="B13" s="5">
        <f>SUMIF('BALANCE N-1'!$A$2:$A$50,"2456*",'BALANCE N-1'!$F$2:$F$50)-SUMIF('BALANCE N-1'!$A$2:$A$50,"2456*",'BALANCE N-1'!$G$2:$G$50)</f>
        <v/>
      </c>
      <c r="C13" s="5">
        <f>MAX(0,(SUMIF('BALANCE N'!$A$2:$A$50,"2456*",'BALANCE N'!$F$2:$F$50)-SUMIF('BALANCE N'!$A$2:$A$50,"2456*",'BALANCE N'!$G$2:$G$50))-(SUMIF('BALANCE N-1'!$A$2:$A$50,"2456*",'BALANCE N-1'!$F$2:$F$50)-SUMIF('BALANCE N-1'!$A$2:$A$50,"2456*",'BALANCE N-1'!$G$2:$G$50)))</f>
        <v/>
      </c>
      <c r="D13" s="5">
        <f>MAX(0,(SUMIF('BALANCE N-1'!$A$2:$A$50,"2456*",'BALANCE N-1'!$F$2:$F$50)-SUMIF('BALANCE N-1'!$A$2:$A$50,"2456*",'BALANCE N-1'!$G$2:$G$50))-(SUMIF('BALANCE N'!$A$2:$A$50,"2456*",'BALANCE N'!$F$2:$F$50)-SUMIF('BALANCE N'!$A$2:$A$50,"2456*",'BALANCE N'!$G$2:$G$50)))</f>
        <v/>
      </c>
      <c r="E13" s="5">
        <f>B13+C13-D13</f>
        <v/>
      </c>
    </row>
    <row r="14">
      <c r="A14" s="74" t="inlineStr">
        <is>
          <t>TOTAL GÉNÉRAL</t>
        </is>
      </c>
      <c r="B14" s="75">
        <f>B10+B11+B12+B13</f>
        <v/>
      </c>
      <c r="C14" s="75">
        <f>C10+C11+C12+C13</f>
        <v/>
      </c>
      <c r="D14" s="75">
        <f>D10+D11+D12+D13</f>
        <v/>
      </c>
      <c r="E14" s="75">
        <f>E10+E11+E12+E13</f>
        <v/>
      </c>
    </row>
    <row r="15"/>
    <row r="16">
      <c r="A16" s="91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  <row r="17"/>
    <row r="18">
      <c r="A18" s="40" t="inlineStr">
        <is>
          <t>Commentaires :</t>
        </is>
      </c>
    </row>
    <row r="19">
      <c r="A19" s="84" t="inlineStr">
        <is>
          <t>• Indiquer la nature du bien, le nom du bailleur et la durée du bail.</t>
        </is>
      </c>
    </row>
  </sheetData>
  <mergeCells count="3">
    <mergeCell ref="A8:E8"/>
    <mergeCell ref="A7:E7"/>
    <mergeCell ref="D2:E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- 15 -</t>
        </is>
      </c>
    </row>
    <row r="2" ht="26" customHeight="1">
      <c r="D2" s="49" t="inlineStr">
        <is>
          <t>NOTE 4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4 : ACTIF CIRCULANT ET DETTES CIRCULANTES HAO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8" t="inlineStr">
        <is>
          <t>ACTIF CIRCULANT HAO</t>
        </is>
      </c>
      <c r="B9" s="119" t="n"/>
      <c r="C9" s="119" t="n"/>
      <c r="D9" s="119" t="n"/>
      <c r="E9" s="121" t="n"/>
    </row>
    <row r="10">
      <c r="A10" s="4" t="inlineStr">
        <is>
          <t>Créances sur cessions d'immobilisations</t>
        </is>
      </c>
      <c r="B10" s="5">
        <f>SUMIF('BALANCE N'!$A$2:$A$50,"485*",'BALANCE N'!$F$2:$F$50)-SUMIF('BALANCE N'!$A$2:$A$50,"485*",'BALANCE N'!$G$2:$G$50)</f>
        <v/>
      </c>
      <c r="C10" s="5">
        <f>SUMIF('BALANCE N-1'!$A$2:$A$50,"485*",'BALANCE N-1'!$F$2:$F$50)-SUMIF('BALANCE N-1'!$A$2:$A$50,"485*",'BALANCE N-1'!$G$2:$G$50)</f>
        <v/>
      </c>
      <c r="D10" s="5">
        <f>B10-C10</f>
        <v/>
      </c>
      <c r="E10" s="122">
        <f>IF(C10=0,"",(B10-C10)/C10)</f>
        <v/>
      </c>
    </row>
    <row r="11">
      <c r="A11" s="74" t="inlineStr">
        <is>
          <t>TOTAL BRUT</t>
        </is>
      </c>
      <c r="B11" s="75">
        <f>SUM(B10:B10)</f>
        <v/>
      </c>
      <c r="C11" s="75">
        <f>SUM(C10:C10)</f>
        <v/>
      </c>
      <c r="D11" s="75">
        <f>B11-C11</f>
        <v/>
      </c>
      <c r="E11" s="123">
        <f>IF(C11=0,"",(B11-C11)/C11)</f>
        <v/>
      </c>
    </row>
    <row r="12">
      <c r="A12" s="4" t="inlineStr">
        <is>
          <t>Dépréciations des créances HAO</t>
        </is>
      </c>
      <c r="B12" s="5">
        <f>SUMIF('BALANCE N'!$A$2:$A$50,"498*",'BALANCE N'!$G$2:$G$50)-SUMIF('BALANCE N'!$A$2:$A$50,"498*",'BALANCE N'!$F$2:$F$50)</f>
        <v/>
      </c>
      <c r="C12" s="5">
        <f>SUMIF('BALANCE N-1'!$A$2:$A$50,"498*",'BALANCE N-1'!$G$2:$G$50)-SUMIF('BALANCE N-1'!$A$2:$A$50,"498*",'BALANCE N-1'!$F$2:$F$50)</f>
        <v/>
      </c>
      <c r="D12" s="5">
        <f>B12-C12</f>
        <v/>
      </c>
      <c r="E12" s="122">
        <f>IF(C12=0,"",(B12-C12)/C12)</f>
        <v/>
      </c>
    </row>
    <row r="13">
      <c r="A13" s="74" t="inlineStr"/>
      <c r="B13" s="75">
        <f>SUM(B12:B12)</f>
        <v/>
      </c>
      <c r="C13" s="75">
        <f>SUM(C12:C12)</f>
        <v/>
      </c>
      <c r="D13" s="75">
        <f>B13-C13</f>
        <v/>
      </c>
      <c r="E13" s="123">
        <f>IF(C13=0,"",(B13-C13)/C13)</f>
        <v/>
      </c>
    </row>
    <row r="14">
      <c r="A14" s="74" t="inlineStr">
        <is>
          <t>TOTAL NET DE DÉPRÉCIATIONS</t>
        </is>
      </c>
      <c r="B14" s="75">
        <f>B11-B13</f>
        <v/>
      </c>
      <c r="C14" s="75">
        <f>C11-C13</f>
        <v/>
      </c>
      <c r="D14" s="75">
        <f>B14-C14</f>
        <v/>
      </c>
      <c r="E14" s="123">
        <f>IF(C14=0,"",(B14-C14)/C14)</f>
        <v/>
      </c>
    </row>
    <row r="15">
      <c r="A15" s="4" t="n"/>
      <c r="B15" s="5" t="n"/>
      <c r="C15" s="5" t="n"/>
      <c r="D15" s="5" t="n"/>
      <c r="E15" s="4" t="n"/>
    </row>
    <row r="16">
      <c r="A16" s="118" t="inlineStr">
        <is>
          <t>DETTES CIRCULANTES HAO</t>
        </is>
      </c>
      <c r="B16" s="119" t="n"/>
      <c r="C16" s="119" t="n"/>
      <c r="D16" s="119" t="n"/>
      <c r="E16" s="121" t="n"/>
    </row>
    <row r="17">
      <c r="A17" s="4" t="inlineStr">
        <is>
          <t>Fournisseurs d'investissements</t>
        </is>
      </c>
      <c r="B17" s="5">
        <f>SUMIF('BALANCE N'!$A$2:$A$50,"481*",'BALANCE N'!$G$2:$G$50)-SUMIF('BALANCE N'!$A$2:$A$50,"481*",'BALANCE N'!$F$2:$F$50)</f>
        <v/>
      </c>
      <c r="C17" s="5">
        <f>SUMIF('BALANCE N-1'!$A$2:$A$50,"481*",'BALANCE N-1'!$G$2:$G$50)-SUMIF('BALANCE N-1'!$A$2:$A$50,"481*",'BALANCE N-1'!$F$2:$F$50)</f>
        <v/>
      </c>
      <c r="D17" s="5">
        <f>B17-C17</f>
        <v/>
      </c>
      <c r="E17" s="122">
        <f>IF(C17=0,"",(B17-C17)/C17)</f>
        <v/>
      </c>
    </row>
    <row r="18">
      <c r="A18" s="4" t="inlineStr">
        <is>
          <t>Autres dettes hors activités ordinaires</t>
        </is>
      </c>
      <c r="B18" s="5">
        <f>SUMIF('BALANCE N'!$A$2:$A$50,"484*",'BALANCE N'!$G$2:$G$50)-SUMIF('BALANCE N'!$A$2:$A$50,"484*",'BALANCE N'!$F$2:$F$50)+SUMIF('BALANCE N'!$A$2:$A$50,"4998*",'BALANCE N'!$G$2:$G$50)-SUMIF('BALANCE N'!$A$2:$A$50,"4998*",'BALANCE N'!$F$2:$F$50)</f>
        <v/>
      </c>
      <c r="C18" s="5">
        <f>SUMIF('BALANCE N-1'!$A$2:$A$50,"484*",'BALANCE N-1'!$G$2:$G$50)-SUMIF('BALANCE N-1'!$A$2:$A$50,"484*",'BALANCE N-1'!$F$2:$F$50)+SUMIF('BALANCE N-1'!$A$2:$A$50,"4998*",'BALANCE N-1'!$G$2:$G$50)-SUMIF('BALANCE N-1'!$A$2:$A$50,"4998*",'BALANCE N-1'!$F$2:$F$50)</f>
        <v/>
      </c>
      <c r="D18" s="5">
        <f>B18-C18</f>
        <v/>
      </c>
      <c r="E18" s="122">
        <f>IF(C18=0,"",(B18-C18)/C18)</f>
        <v/>
      </c>
    </row>
    <row r="19">
      <c r="A19" s="74" t="inlineStr">
        <is>
          <t>TOTAL</t>
        </is>
      </c>
      <c r="B19" s="75">
        <f>SUM(B17:B18)</f>
        <v/>
      </c>
      <c r="C19" s="75">
        <f>SUM(C17:C18)</f>
        <v/>
      </c>
      <c r="D19" s="75">
        <f>B19-C19</f>
        <v/>
      </c>
      <c r="E19" s="123">
        <f>IF(C19=0,"",(B19-C19)/C19)</f>
        <v/>
      </c>
    </row>
    <row r="20"/>
    <row r="21">
      <c r="A21" s="40" t="inlineStr">
        <is>
          <t>Commentaires :</t>
        </is>
      </c>
    </row>
    <row r="22">
      <c r="A22" s="84" t="inlineStr">
        <is>
          <t>• Indiquer la date et la nature de l'immobilisation achetée et/ou cédée.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- 16 -</t>
        </is>
      </c>
    </row>
    <row r="2" ht="26" customHeight="1">
      <c r="D2" s="49" t="inlineStr">
        <is>
          <t>NOTE 5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5 : STOCKS ET ENCOURS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Biens liés à l'activité</t>
        </is>
      </c>
      <c r="B9" s="5">
        <f>SUMIF('BALANCE N'!$A$2:$A$50,"31*",'BALANCE N'!$F$2:$F$50)-SUMIF('BALANCE N'!$A$2:$A$50,"31*",'BALANCE N'!$G$2:$G$50)</f>
        <v/>
      </c>
      <c r="C9" s="5">
        <f>SUMIF('BALANCE N-1'!$A$2:$A$50,"31*",'BALANCE N-1'!$F$2:$F$50)-SUMIF('BALANCE N-1'!$A$2:$A$50,"31*",'BALANCE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Marchandises, matières premières et fournitures liées</t>
        </is>
      </c>
      <c r="B10" s="5">
        <f>SUMIF('BALANCE N'!$A$2:$A$50,"32*",'BALANCE N'!$F$2:$F$50)-SUMIF('BALANCE N'!$A$2:$A$50,"32*",'BALANCE N'!$G$2:$G$50)</f>
        <v/>
      </c>
      <c r="C10" s="5">
        <f>SUMIF('BALANCE N-1'!$A$2:$A$50,"32*",'BALANCE N-1'!$F$2:$F$50)-SUMIF('BALANCE N-1'!$A$2:$A$50,"32*",'BALANCE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Autres approvisionnements</t>
        </is>
      </c>
      <c r="B11" s="5">
        <f>SUMIF('BALANCE N'!$A$2:$A$50,"33*",'BALANCE N'!$F$2:$F$50)-SUMIF('BALANCE N'!$A$2:$A$50,"33*",'BALANCE N'!$G$2:$G$50)</f>
        <v/>
      </c>
      <c r="C11" s="5">
        <f>SUMIF('BALANCE N-1'!$A$2:$A$50,"33*",'BALANCE N-1'!$F$2:$F$50)-SUMIF('BALANCE N-1'!$A$2:$A$50,"33*",'BALANCE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Dons en nature</t>
        </is>
      </c>
      <c r="B12" s="5">
        <f>SUMIF('BALANCE N'!$A$2:$A$50,"34*",'BALANCE N'!$F$2:$F$50)-SUMIF('BALANCE N'!$A$2:$A$50,"34*",'BALANCE N'!$G$2:$G$50)</f>
        <v/>
      </c>
      <c r="C12" s="5">
        <f>SUMIF('BALANCE N-1'!$A$2:$A$50,"34*",'BALANCE N-1'!$F$2:$F$50)-SUMIF('BALANCE N-1'!$A$2:$A$50,"34*",'BALANCE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Produits finis et intermédiaires</t>
        </is>
      </c>
      <c r="B13" s="5">
        <f>SUMIF('BALANCE N'!$A$2:$A$50,"36*",'BALANCE N'!$F$2:$F$50)-SUMIF('BALANCE N'!$A$2:$A$50,"36*",'BALANCE N'!$G$2:$G$50)</f>
        <v/>
      </c>
      <c r="C13" s="5">
        <f>SUMIF('BALANCE N-1'!$A$2:$A$50,"36*",'BALANCE N-1'!$F$2:$F$50)-SUMIF('BALANCE N-1'!$A$2:$A$50,"36*",'BALANCE N-1'!$G$2:$G$50)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Stocks HAO</t>
        </is>
      </c>
      <c r="B14" s="5">
        <f>SUMIF('BALANCE N'!$A$2:$A$50,"38*",'BALANCE N'!$F$2:$F$50)-SUMIF('BALANCE N'!$A$2:$A$50,"38*",'BALANCE N'!$G$2:$G$50)</f>
        <v/>
      </c>
      <c r="C14" s="5">
        <f>SUMIF('BALANCE N-1'!$A$2:$A$50,"38*",'BALANCE N-1'!$F$2:$F$50)-SUMIF('BALANCE N-1'!$A$2:$A$50,"38*",'BALANCE N-1'!$G$2:$G$50)</f>
        <v/>
      </c>
      <c r="D14" s="5">
        <f>B14-C14</f>
        <v/>
      </c>
      <c r="E14" s="122">
        <f>IF(C14=0,"",(B14-C14)/C14)</f>
        <v/>
      </c>
    </row>
    <row r="15">
      <c r="A15" s="4" t="inlineStr">
        <is>
          <t>Stocks en cours de route, en consignation ou en dépôt</t>
        </is>
      </c>
      <c r="B15" s="5">
        <f>SUMIF('BALANCE N'!$A$2:$A$50,"37*",'BALANCE N'!$F$2:$F$50)-SUMIF('BALANCE N'!$A$2:$A$50,"37*",'BALANCE N'!$G$2:$G$50)</f>
        <v/>
      </c>
      <c r="C15" s="5">
        <f>SUMIF('BALANCE N-1'!$A$2:$A$50,"37*",'BALANCE N-1'!$F$2:$F$50)-SUMIF('BALANCE N-1'!$A$2:$A$50,"37*",'BALANCE N-1'!$G$2:$G$50)</f>
        <v/>
      </c>
      <c r="D15" s="5">
        <f>B15-C15</f>
        <v/>
      </c>
      <c r="E15" s="122">
        <f>IF(C15=0,"",(B15-C15)/C15)</f>
        <v/>
      </c>
    </row>
    <row r="16">
      <c r="A16" s="74" t="inlineStr">
        <is>
          <t>TOTAL STOCKS ET ENCOURS</t>
        </is>
      </c>
      <c r="B16" s="75">
        <f>SUM(B9:B15)</f>
        <v/>
      </c>
      <c r="C16" s="75">
        <f>SUM(C9:C15)</f>
        <v/>
      </c>
      <c r="D16" s="75">
        <f>B16-C16</f>
        <v/>
      </c>
      <c r="E16" s="123">
        <f>IF(C16=0,"",(B16-C16)/C16)</f>
        <v/>
      </c>
    </row>
    <row r="17">
      <c r="A17" s="4" t="inlineStr">
        <is>
          <t>Dépréciations des stocks</t>
        </is>
      </c>
      <c r="B17" s="5">
        <f>SUMIF('BALANCE N'!$A$2:$A$50,"39*",'BALANCE N'!$G$2:$G$50)-SUMIF('BALANCE N'!$A$2:$A$50,"39*",'BALANCE N'!$F$2:$F$50)</f>
        <v/>
      </c>
      <c r="C17" s="5">
        <f>SUMIF('BALANCE N-1'!$A$2:$A$50,"39*",'BALANCE N-1'!$G$2:$G$50)-SUMIF('BALANCE N-1'!$A$2:$A$50,"39*",'BALANCE N-1'!$F$2:$F$50)</f>
        <v/>
      </c>
      <c r="D17" s="5">
        <f>B17-C17</f>
        <v/>
      </c>
      <c r="E17" s="122">
        <f>IF(C17=0,"",(B17-C17)/C17)</f>
        <v/>
      </c>
    </row>
    <row r="18">
      <c r="A18" s="74" t="inlineStr"/>
      <c r="B18" s="75">
        <f>SUM(B17:B17)</f>
        <v/>
      </c>
      <c r="C18" s="75">
        <f>SUM(C17:C17)</f>
        <v/>
      </c>
      <c r="D18" s="75">
        <f>B18-C18</f>
        <v/>
      </c>
      <c r="E18" s="123">
        <f>IF(C18=0,"",(B18-C18)/C18)</f>
        <v/>
      </c>
    </row>
    <row r="19">
      <c r="A19" s="74" t="inlineStr">
        <is>
          <t>TOTAL NET DE DÉPRÉCIATIONS</t>
        </is>
      </c>
      <c r="B19" s="75">
        <f>B16-B18</f>
        <v/>
      </c>
      <c r="C19" s="75">
        <f>C16-C18</f>
        <v/>
      </c>
      <c r="D19" s="75">
        <f>B19-C19</f>
        <v/>
      </c>
      <c r="E19" s="123">
        <f>IF(C19=0,"",(B19-C19)/C19)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- 17 -</t>
        </is>
      </c>
    </row>
    <row r="2" ht="26" customHeight="1">
      <c r="G2" s="49" t="inlineStr">
        <is>
          <t>NOTE 6
PROJETS DE DEVELOPPEMENT</t>
        </is>
      </c>
      <c r="H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G4" s="52" t="inlineStr">
        <is>
          <t>Sigle usuel :</t>
        </is>
      </c>
      <c r="H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E5" s="37" t="inlineStr">
        <is>
          <t>Exercice clos le 31-12-2025</t>
        </is>
      </c>
      <c r="G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6 : CLIENTS-USAGERS ET AUTRES CRÉANCES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4" t="inlineStr">
        <is>
          <t>Fournisseurs, débiteurs</t>
        </is>
      </c>
      <c r="B9" s="5">
        <f>SUMIF('BALANCE N'!$A$2:$A$50,"409*",'BALANCE N'!$F$2:$F$50)-SUMIF('BALANCE N'!$A$2:$A$50,"409*",'BALANCE N'!$G$2:$G$50)</f>
        <v/>
      </c>
      <c r="C9" s="5">
        <f>SUMIF('BALANCE N-1'!$A$2:$A$50,"409*",'BALANCE N-1'!$F$2:$F$50)-SUMIF('BALANCE N-1'!$A$2:$A$50,"409*",'BALANCE N-1'!$G$2:$G$50)</f>
        <v/>
      </c>
      <c r="D9" s="5">
        <f>B9-C9</f>
        <v/>
      </c>
      <c r="E9" s="122">
        <f>IF(C9=0,"",(B9-C9)/C9)</f>
        <v/>
      </c>
      <c r="F9" s="4" t="n"/>
      <c r="G9" s="4" t="n"/>
      <c r="H9" s="4" t="n"/>
    </row>
    <row r="10">
      <c r="A10" s="4" t="inlineStr">
        <is>
          <t>Clients-usagers</t>
        </is>
      </c>
      <c r="B10" s="5">
        <f>SUMIF('BALANCE N'!$A$2:$A$50,"41*",'BALANCE N'!$F$2:$F$50)-SUMIF('BALANCE N'!$A$2:$A$50,"41*",'BALANCE N'!$G$2:$G$50)-SUMIF('BALANCE N'!$A$2:$A$50,"411*",'BALANCE N'!$F$2:$F$50)+SUMIF('BALANCE N'!$A$2:$A$50,"411*",'BALANCE N'!$G$2:$G$50)-SUMIF('BALANCE N'!$A$2:$A$50,"419*",'BALANCE N'!$F$2:$F$50)+SUMIF('BALANCE N'!$A$2:$A$50,"419*",'BALANCE N'!$G$2:$G$50)</f>
        <v/>
      </c>
      <c r="C10" s="5">
        <f>SUMIF('BALANCE N-1'!$A$2:$A$50,"41*",'BALANCE N-1'!$F$2:$F$50)-SUMIF('BALANCE N-1'!$A$2:$A$50,"41*",'BALANCE N-1'!$G$2:$G$50)-SUMIF('BALANCE N-1'!$A$2:$A$50,"411*",'BALANCE N-1'!$F$2:$F$50)+SUMIF('BALANCE N-1'!$A$2:$A$50,"411*",'BALANCE N-1'!$G$2:$G$50)-SUMIF('BALANCE N-1'!$A$2:$A$50,"419*",'BALANCE N-1'!$F$2:$F$50)+SUMIF('BALANCE N-1'!$A$2:$A$50,"419*",'BALANCE N-1'!$G$2:$G$50)</f>
        <v/>
      </c>
      <c r="D10" s="5">
        <f>B10-C10</f>
        <v/>
      </c>
      <c r="E10" s="122">
        <f>IF(C10=0,"",(B10-C10)/C10)</f>
        <v/>
      </c>
      <c r="F10" s="4" t="n"/>
      <c r="G10" s="4" t="n"/>
      <c r="H10" s="4" t="n"/>
    </row>
    <row r="11">
      <c r="A11" s="4" t="inlineStr">
        <is>
          <t>Personnel</t>
        </is>
      </c>
      <c r="B11" s="5">
        <f>SUMIF('BALANCE N'!$A$2:$A$50,"42*",'BALANCE N'!$F$2:$F$50)</f>
        <v/>
      </c>
      <c r="C11" s="5">
        <f>SUMIF('BALANCE N-1'!$A$2:$A$50,"42*",'BALANCE N-1'!$F$2:$F$50)</f>
        <v/>
      </c>
      <c r="D11" s="5">
        <f>B11-C11</f>
        <v/>
      </c>
      <c r="E11" s="122">
        <f>IF(C11=0,"",(B11-C11)/C11)</f>
        <v/>
      </c>
      <c r="F11" s="4" t="n"/>
      <c r="G11" s="4" t="n"/>
      <c r="H11" s="4" t="n"/>
    </row>
    <row r="12">
      <c r="A12" s="4" t="inlineStr">
        <is>
          <t>Organismes sociaux</t>
        </is>
      </c>
      <c r="B12" s="5">
        <f>SUMIF('BALANCE N'!$A$2:$A$50,"43*",'BALANCE N'!$F$2:$F$50)</f>
        <v/>
      </c>
      <c r="C12" s="5">
        <f>SUMIF('BALANCE N-1'!$A$2:$A$50,"43*",'BALANCE N-1'!$F$2:$F$50)</f>
        <v/>
      </c>
      <c r="D12" s="5">
        <f>B12-C12</f>
        <v/>
      </c>
      <c r="E12" s="122">
        <f>IF(C12=0,"",(B12-C12)/C12)</f>
        <v/>
      </c>
      <c r="F12" s="4" t="n"/>
      <c r="G12" s="4" t="n"/>
      <c r="H12" s="4" t="n"/>
    </row>
    <row r="13">
      <c r="A13" s="4" t="inlineStr">
        <is>
          <t>État et collectivités publiques</t>
        </is>
      </c>
      <c r="B13" s="5">
        <f>SUMIF('BALANCE N'!$A$2:$A$50,"44*",'BALANCE N'!$F$2:$F$50)</f>
        <v/>
      </c>
      <c r="C13" s="5">
        <f>SUMIF('BALANCE N-1'!$A$2:$A$50,"44*",'BALANCE N-1'!$F$2:$F$50)</f>
        <v/>
      </c>
      <c r="D13" s="5">
        <f>B13-C13</f>
        <v/>
      </c>
      <c r="E13" s="122">
        <f>IF(C13=0,"",(B13-C13)/C13)</f>
        <v/>
      </c>
      <c r="F13" s="4" t="n"/>
      <c r="G13" s="4" t="n"/>
      <c r="H13" s="4" t="n"/>
    </row>
    <row r="14">
      <c r="A14" s="4" t="inlineStr">
        <is>
          <t>Autres débiteurs divers</t>
        </is>
      </c>
      <c r="B14" s="5">
        <f>SUMIF('BALANCE N'!$A$2:$A$50,"47*",'BALANCE N'!$F$2:$F$50)-SUMIF('BALANCE N'!$A$2:$A$50,"478*",'BALANCE N'!$F$2:$F$50)</f>
        <v/>
      </c>
      <c r="C14" s="5">
        <f>SUMIF('BALANCE N-1'!$A$2:$A$50,"47*",'BALANCE N-1'!$F$2:$F$50)-SUMIF('BALANCE N-1'!$A$2:$A$50,"478*",'BALANCE N-1'!$F$2:$F$50)</f>
        <v/>
      </c>
      <c r="D14" s="5">
        <f>B14-C14</f>
        <v/>
      </c>
      <c r="E14" s="122">
        <f>IF(C14=0,"",(B14-C14)/C14)</f>
        <v/>
      </c>
      <c r="F14" s="4" t="n"/>
      <c r="G14" s="4" t="n"/>
      <c r="H14" s="4" t="n"/>
    </row>
    <row r="15">
      <c r="A15" s="74" t="inlineStr">
        <is>
          <t>TOTAL BRUT</t>
        </is>
      </c>
      <c r="B15" s="75">
        <f>SUM(B9:B14)</f>
        <v/>
      </c>
      <c r="C15" s="75">
        <f>SUM(C9:C14)</f>
        <v/>
      </c>
      <c r="D15" s="75">
        <f>B15-C15</f>
        <v/>
      </c>
      <c r="E15" s="123">
        <f>IF(C15=0,"",(B15-C15)/C15)</f>
        <v/>
      </c>
      <c r="F15" s="75" t="n"/>
      <c r="G15" s="75" t="n"/>
      <c r="H15" s="75" t="n"/>
    </row>
    <row r="16">
      <c r="A16" s="4" t="inlineStr">
        <is>
          <t>Dépréciations des créances</t>
        </is>
      </c>
      <c r="B16" s="5">
        <f>SUMIF('BALANCE N'!$A$2:$A$50,"494*",'BALANCE N'!$G$2:$G$50)-SUMIF('BALANCE N'!$A$2:$A$50,"494*",'BALANCE N'!$F$2:$F$50)+SUMIF('BALANCE N'!$A$2:$A$50,"490*",'BALANCE N'!$G$2:$G$50)-SUMIF('BALANCE N'!$A$2:$A$50,"490*",'BALANCE N'!$F$2:$F$50)+SUMIF('BALANCE N'!$A$2:$A$50,"492*",'BALANCE N'!$G$2:$G$50)-SUMIF('BALANCE N'!$A$2:$A$50,"492*",'BALANCE N'!$F$2:$F$50)+SUMIF('BALANCE N'!$A$2:$A$50,"497*",'BALANCE N'!$G$2:$G$50)-SUMIF('BALANCE N'!$A$2:$A$50,"497*",'BALANCE N'!$F$2:$F$50)+SUMIF('BALANCE N'!$A$2:$A$50,"491*",'BALANCE N'!$G$2:$G$50)-SUMIF('BALANCE N'!$A$2:$A$50,"491*",'BALANCE N'!$F$2:$F$50)+SUMIF('BALANCE N'!$A$2:$A$50,"493*",'BALANCE N'!$G$2:$G$50)-SUMIF('BALANCE N'!$A$2:$A$50,"493*",'BALANCE N'!$F$2:$F$50)</f>
        <v/>
      </c>
      <c r="C16" s="5">
        <f>SUMIF('BALANCE N-1'!$A$2:$A$50,"494*",'BALANCE N-1'!$G$2:$G$50)-SUMIF('BALANCE N-1'!$A$2:$A$50,"494*",'BALANCE N-1'!$F$2:$F$50)+SUMIF('BALANCE N-1'!$A$2:$A$50,"490*",'BALANCE N-1'!$G$2:$G$50)-SUMIF('BALANCE N-1'!$A$2:$A$50,"490*",'BALANCE N-1'!$F$2:$F$50)+SUMIF('BALANCE N-1'!$A$2:$A$50,"492*",'BALANCE N-1'!$G$2:$G$50)-SUMIF('BALANCE N-1'!$A$2:$A$50,"492*",'BALANCE N-1'!$F$2:$F$50)+SUMIF('BALANCE N-1'!$A$2:$A$50,"497*",'BALANCE N-1'!$G$2:$G$50)-SUMIF('BALANCE N-1'!$A$2:$A$50,"497*",'BALANCE N-1'!$F$2:$F$50)+SUMIF('BALANCE N-1'!$A$2:$A$50,"491*",'BALANCE N-1'!$G$2:$G$50)-SUMIF('BALANCE N-1'!$A$2:$A$50,"491*",'BALANCE N-1'!$F$2:$F$50)+SUMIF('BALANCE N-1'!$A$2:$A$50,"493*",'BALANCE N-1'!$G$2:$G$50)-SUMIF('BALANCE N-1'!$A$2:$A$50,"493*",'BALANCE N-1'!$F$2:$F$50)</f>
        <v/>
      </c>
      <c r="D16" s="5">
        <f>B16-C16</f>
        <v/>
      </c>
      <c r="E16" s="122">
        <f>IF(C16=0,"",(B16-C16)/C16)</f>
        <v/>
      </c>
      <c r="F16" s="4" t="n"/>
      <c r="G16" s="4" t="n"/>
      <c r="H16" s="4" t="n"/>
    </row>
    <row r="17">
      <c r="A17" s="74" t="inlineStr"/>
      <c r="B17" s="75">
        <f>SUM(B16:B16)</f>
        <v/>
      </c>
      <c r="C17" s="75">
        <f>SUM(C16:C16)</f>
        <v/>
      </c>
      <c r="D17" s="75">
        <f>B17-C17</f>
        <v/>
      </c>
      <c r="E17" s="123">
        <f>IF(C17=0,"",(B17-C17)/C17)</f>
        <v/>
      </c>
      <c r="F17" s="75" t="n"/>
      <c r="G17" s="75" t="n"/>
      <c r="H17" s="75" t="n"/>
    </row>
    <row r="18">
      <c r="A18" s="74" t="inlineStr">
        <is>
          <t>TOTAL NET DE DÉPRÉCIATIONS</t>
        </is>
      </c>
      <c r="B18" s="75">
        <f>B15-B17</f>
        <v/>
      </c>
      <c r="C18" s="75">
        <f>C15-C17</f>
        <v/>
      </c>
      <c r="D18" s="75">
        <f>B18-C18</f>
        <v/>
      </c>
      <c r="E18" s="123">
        <f>IF(C18=0,"",(B18-C18)/C18)</f>
        <v/>
      </c>
      <c r="F18" s="75" t="n"/>
      <c r="G18" s="75" t="n"/>
      <c r="H18" s="75" t="n"/>
    </row>
    <row r="19"/>
    <row r="20">
      <c r="A20" s="40" t="inlineStr">
        <is>
          <t>Commentaires :</t>
        </is>
      </c>
    </row>
    <row r="21">
      <c r="A21" s="84" t="inlineStr">
        <is>
          <t>• Justifier toute variation significative et les créances anciennes.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- 18 -</t>
        </is>
      </c>
    </row>
    <row r="2" ht="26" customHeight="1">
      <c r="D2" s="49" t="inlineStr">
        <is>
          <t>NOTE 7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7 : DISPONIBILITÉS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Chèques à encaisser</t>
        </is>
      </c>
      <c r="B9" s="5">
        <f>SUMIF('BALANCE N'!$A$2:$A$50,"513*",'BALANCE N'!$F$2:$F$50)-SUMIF('BALANCE N'!$A$2:$A$50,"513*",'BALANCE N'!$G$2:$G$50)</f>
        <v/>
      </c>
      <c r="C9" s="5">
        <f>SUMIF('BALANCE N-1'!$A$2:$A$50,"513*",'BALANCE N-1'!$F$2:$F$50)-SUMIF('BALANCE N-1'!$A$2:$A$50,"513*",'BALANCE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Chèques à l'encaissement</t>
        </is>
      </c>
      <c r="B10" s="5">
        <f>SUMIF('BALANCE N'!$A$2:$A$50,"514*",'BALANCE N'!$F$2:$F$50)-SUMIF('BALANCE N'!$A$2:$A$50,"514*",'BALANCE N'!$G$2:$G$50)</f>
        <v/>
      </c>
      <c r="C10" s="5">
        <f>SUMIF('BALANCE N-1'!$A$2:$A$50,"514*",'BALANCE N-1'!$F$2:$F$50)-SUMIF('BALANCE N-1'!$A$2:$A$50,"514*",'BALANCE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Cartes de crédit à encaisser</t>
        </is>
      </c>
      <c r="B11" s="5">
        <f>SUMIF('BALANCE N'!$A$2:$A$50,"515*",'BALANCE N'!$F$2:$F$50)-SUMIF('BALANCE N'!$A$2:$A$50,"515*",'BALANCE N'!$G$2:$G$50)</f>
        <v/>
      </c>
      <c r="C11" s="5">
        <f>SUMIF('BALANCE N-1'!$A$2:$A$50,"515*",'BALANCE N-1'!$F$2:$F$50)-SUMIF('BALANCE N-1'!$A$2:$A$50,"515*",'BALANCE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Autres valeurs à encaisser</t>
        </is>
      </c>
      <c r="B12" s="5">
        <f>SUMIF('BALANCE N'!$A$2:$A$50,"518*",'BALANCE N'!$F$2:$F$50)-SUMIF('BALANCE N'!$A$2:$A$50,"518*",'BALANCE N'!$G$2:$G$50)</f>
        <v/>
      </c>
      <c r="C12" s="5">
        <f>SUMIF('BALANCE N-1'!$A$2:$A$50,"518*",'BALANCE N-1'!$F$2:$F$50)-SUMIF('BALANCE N-1'!$A$2:$A$50,"518*",'BALANCE N-1'!$G$2:$G$50)</f>
        <v/>
      </c>
      <c r="D12" s="5">
        <f>B12-C12</f>
        <v/>
      </c>
      <c r="E12" s="122">
        <f>IF(C12=0,"",(B12-C12)/C12)</f>
        <v/>
      </c>
    </row>
    <row r="13">
      <c r="A13" s="74" t="inlineStr">
        <is>
          <t>TOTAL VALEURS À ENCAISSER</t>
        </is>
      </c>
      <c r="B13" s="75">
        <f>SUM(B9:B12)</f>
        <v/>
      </c>
      <c r="C13" s="75">
        <f>SUM(C9:C12)</f>
        <v/>
      </c>
      <c r="D13" s="75">
        <f>B13-C13</f>
        <v/>
      </c>
      <c r="E13" s="123">
        <f>IF(C13=0,"",(B13-C13)/C13)</f>
        <v/>
      </c>
    </row>
    <row r="14">
      <c r="A14" s="4" t="inlineStr">
        <is>
          <t>Banques locales</t>
        </is>
      </c>
      <c r="B14" s="5">
        <f>SUMIF('BALANCE N'!$A$2:$A$50,"521*",'BALANCE N'!$F$2:$F$50)</f>
        <v/>
      </c>
      <c r="C14" s="5">
        <f>SUMIF('BALANCE N-1'!$A$2:$A$50,"521*",'BALANCE N-1'!$F$2:$F$50)</f>
        <v/>
      </c>
      <c r="D14" s="5">
        <f>B14-C14</f>
        <v/>
      </c>
      <c r="E14" s="122">
        <f>IF(C14=0,"",(B14-C14)/C14)</f>
        <v/>
      </c>
    </row>
    <row r="15">
      <c r="A15" s="4" t="inlineStr">
        <is>
          <t>Banques autres États région</t>
        </is>
      </c>
      <c r="B15" s="5">
        <f>SUMIF('BALANCE N'!$A$2:$A$50,"522*",'BALANCE N'!$F$2:$F$50)</f>
        <v/>
      </c>
      <c r="C15" s="5">
        <f>SUMIF('BALANCE N-1'!$A$2:$A$50,"522*",'BALANCE N-1'!$F$2:$F$50)</f>
        <v/>
      </c>
      <c r="D15" s="5">
        <f>B15-C15</f>
        <v/>
      </c>
      <c r="E15" s="122">
        <f>IF(C15=0,"",(B15-C15)/C15)</f>
        <v/>
      </c>
    </row>
    <row r="16">
      <c r="A16" s="4" t="inlineStr">
        <is>
          <t>Banques, dépôt à terme et assimilés</t>
        </is>
      </c>
      <c r="B16" s="5">
        <f>SUMIF('BALANCE N'!$A$2:$A$50,"525*",'BALANCE N'!$F$2:$F$50)</f>
        <v/>
      </c>
      <c r="C16" s="5">
        <f>SUMIF('BALANCE N-1'!$A$2:$A$50,"525*",'BALANCE N-1'!$F$2:$F$50)</f>
        <v/>
      </c>
      <c r="D16" s="5">
        <f>B16-C16</f>
        <v/>
      </c>
      <c r="E16" s="122">
        <f>IF(C16=0,"",(B16-C16)/C16)</f>
        <v/>
      </c>
    </row>
    <row r="17">
      <c r="A17" s="4" t="inlineStr">
        <is>
          <t>Autres banques</t>
        </is>
      </c>
      <c r="B17" s="5">
        <f>SUMIF('BALANCE N'!$A$2:$A$50,"524*",'BALANCE N'!$F$2:$F$50)+SUMIF('BALANCE N'!$A$2:$A$50,"523*",'BALANCE N'!$F$2:$F$50)</f>
        <v/>
      </c>
      <c r="C17" s="5">
        <f>SUMIF('BALANCE N-1'!$A$2:$A$50,"524*",'BALANCE N-1'!$F$2:$F$50)+SUMIF('BALANCE N-1'!$A$2:$A$50,"523*",'BALANCE N-1'!$F$2:$F$50)</f>
        <v/>
      </c>
      <c r="D17" s="5">
        <f>B17-C17</f>
        <v/>
      </c>
      <c r="E17" s="122">
        <f>IF(C17=0,"",(B17-C17)/C17)</f>
        <v/>
      </c>
    </row>
    <row r="18">
      <c r="A18" s="4" t="inlineStr">
        <is>
          <t>Banques intérêts courus</t>
        </is>
      </c>
      <c r="B18" s="5">
        <f>SUMIF('BALANCE N'!$A$2:$A$50,"526*",'BALANCE N'!$F$2:$F$50)-SUMIF('BALANCE N'!$A$2:$A$50,"526*",'BALANCE N'!$G$2:$G$50)</f>
        <v/>
      </c>
      <c r="C18" s="5">
        <f>SUMIF('BALANCE N-1'!$A$2:$A$50,"526*",'BALANCE N-1'!$F$2:$F$50)-SUMIF('BALANCE N-1'!$A$2:$A$50,"526*",'BALANCE N-1'!$G$2:$G$50)</f>
        <v/>
      </c>
      <c r="D18" s="5">
        <f>B18-C18</f>
        <v/>
      </c>
      <c r="E18" s="122">
        <f>IF(C18=0,"",(B18-C18)/C18)</f>
        <v/>
      </c>
    </row>
    <row r="19">
      <c r="A19" s="4" t="inlineStr">
        <is>
          <t>Banques postales</t>
        </is>
      </c>
      <c r="B19" s="5">
        <f>SUMIF('BALANCE N'!$A$2:$A$50,"531*",'BALANCE N'!$F$2:$F$50)</f>
        <v/>
      </c>
      <c r="C19" s="5">
        <f>SUMIF('BALANCE N-1'!$A$2:$A$50,"531*",'BALANCE N-1'!$F$2:$F$50)</f>
        <v/>
      </c>
      <c r="D19" s="5">
        <f>B19-C19</f>
        <v/>
      </c>
      <c r="E19" s="122">
        <f>IF(C19=0,"",(B19-C19)/C19)</f>
        <v/>
      </c>
    </row>
    <row r="20">
      <c r="A20" s="4" t="inlineStr">
        <is>
          <t>Autres établissements financiers</t>
        </is>
      </c>
      <c r="B20" s="5">
        <f>SUMIF('BALANCE N'!$A$2:$A$50,"538*",'BALANCE N'!$F$2:$F$50)+SUMIF('BALANCE N'!$A$2:$A$50,"533*",'BALANCE N'!$F$2:$F$50)+SUMIF('BALANCE N'!$A$2:$A$50,"532*",'BALANCE N'!$F$2:$F$50)</f>
        <v/>
      </c>
      <c r="C20" s="5">
        <f>SUMIF('BALANCE N-1'!$A$2:$A$50,"538*",'BALANCE N-1'!$F$2:$F$50)+SUMIF('BALANCE N-1'!$A$2:$A$50,"533*",'BALANCE N-1'!$F$2:$F$50)+SUMIF('BALANCE N-1'!$A$2:$A$50,"532*",'BALANCE N-1'!$F$2:$F$50)</f>
        <v/>
      </c>
      <c r="D20" s="5">
        <f>B20-C20</f>
        <v/>
      </c>
      <c r="E20" s="122">
        <f>IF(C20=0,"",(B20-C20)/C20)</f>
        <v/>
      </c>
    </row>
    <row r="21">
      <c r="A21" s="4" t="inlineStr">
        <is>
          <t>Établissements financiers intérêts courus</t>
        </is>
      </c>
      <c r="B21" s="5">
        <f>SUMIF('BALANCE N'!$A$2:$A$50,"536*",'BALANCE N'!$F$2:$F$50)-SUMIF('BALANCE N'!$A$2:$A$50,"536*",'BALANCE N'!$G$2:$G$50)</f>
        <v/>
      </c>
      <c r="C21" s="5">
        <f>SUMIF('BALANCE N-1'!$A$2:$A$50,"536*",'BALANCE N-1'!$F$2:$F$50)-SUMIF('BALANCE N-1'!$A$2:$A$50,"536*",'BALANCE N-1'!$G$2:$G$50)</f>
        <v/>
      </c>
      <c r="D21" s="5">
        <f>B21-C21</f>
        <v/>
      </c>
      <c r="E21" s="122">
        <f>IF(C21=0,"",(B21-C21)/C21)</f>
        <v/>
      </c>
    </row>
    <row r="22">
      <c r="A22" s="4" t="inlineStr">
        <is>
          <t>Instruments de monnaie électronique</t>
        </is>
      </c>
      <c r="B22" s="5">
        <f>SUMIF('BALANCE N'!$A$2:$A$50,"55*",'BALANCE N'!$F$2:$F$50)-SUMIF('BALANCE N'!$A$2:$A$50,"55*",'BALANCE N'!$G$2:$G$50)</f>
        <v/>
      </c>
      <c r="C22" s="5">
        <f>SUMIF('BALANCE N-1'!$A$2:$A$50,"55*",'BALANCE N-1'!$F$2:$F$50)-SUMIF('BALANCE N-1'!$A$2:$A$50,"55*",'BALANCE N-1'!$G$2:$G$50)</f>
        <v/>
      </c>
      <c r="D22" s="5">
        <f>B22-C22</f>
        <v/>
      </c>
      <c r="E22" s="122">
        <f>IF(C22=0,"",(B22-C22)/C22)</f>
        <v/>
      </c>
    </row>
    <row r="23">
      <c r="A23" s="4" t="inlineStr">
        <is>
          <t>Caisse</t>
        </is>
      </c>
      <c r="B23" s="5">
        <f>SUMIF('BALANCE N'!$A$2:$A$50,"57*",'BALANCE N'!$F$2:$F$50)-SUMIF('BALANCE N'!$A$2:$A$50,"57*",'BALANCE N'!$G$2:$G$50)</f>
        <v/>
      </c>
      <c r="C23" s="5">
        <f>SUMIF('BALANCE N-1'!$A$2:$A$50,"57*",'BALANCE N-1'!$F$2:$F$50)-SUMIF('BALANCE N-1'!$A$2:$A$50,"57*",'BALANCE N-1'!$G$2:$G$50)</f>
        <v/>
      </c>
      <c r="D23" s="5">
        <f>B23-C23</f>
        <v/>
      </c>
      <c r="E23" s="122">
        <f>IF(C23=0,"",(B23-C23)/C23)</f>
        <v/>
      </c>
    </row>
    <row r="24">
      <c r="A24" s="74" t="inlineStr">
        <is>
          <t>TOTAL BANQUES ET CAISSES</t>
        </is>
      </c>
      <c r="B24" s="75">
        <f>SUM(B14:B23)</f>
        <v/>
      </c>
      <c r="C24" s="75">
        <f>SUM(C14:C23)</f>
        <v/>
      </c>
      <c r="D24" s="75">
        <f>B24-C24</f>
        <v/>
      </c>
      <c r="E24" s="123">
        <f>IF(C24=0,"",(B24-C24)/C24)</f>
        <v/>
      </c>
    </row>
    <row r="25">
      <c r="A25" s="4" t="inlineStr">
        <is>
          <t>Dépréciations</t>
        </is>
      </c>
      <c r="B25" s="5">
        <f>SUMIF('BALANCE N'!$A$2:$A$50,"591*",'BALANCE N'!$G$2:$G$50)-SUMIF('BALANCE N'!$A$2:$A$50,"591*",'BALANCE N'!$F$2:$F$50)+SUMIF('BALANCE N'!$A$2:$A$50,"592*",'BALANCE N'!$G$2:$G$50)-SUMIF('BALANCE N'!$A$2:$A$50,"592*",'BALANCE N'!$F$2:$F$50)+SUMIF('BALANCE N'!$A$2:$A$50,"595*",'BALANCE N'!$G$2:$G$50)-SUMIF('BALANCE N'!$A$2:$A$50,"595*",'BALANCE N'!$F$2:$F$50)+SUMIF('BALANCE N'!$A$2:$A$50,"593*",'BALANCE N'!$G$2:$G$50)-SUMIF('BALANCE N'!$A$2:$A$50,"593*",'BALANCE N'!$F$2:$F$50)</f>
        <v/>
      </c>
      <c r="C25" s="5">
        <f>SUMIF('BALANCE N-1'!$A$2:$A$50,"591*",'BALANCE N-1'!$G$2:$G$50)-SUMIF('BALANCE N-1'!$A$2:$A$50,"591*",'BALANCE N-1'!$F$2:$F$50)+SUMIF('BALANCE N-1'!$A$2:$A$50,"592*",'BALANCE N-1'!$G$2:$G$50)-SUMIF('BALANCE N-1'!$A$2:$A$50,"592*",'BALANCE N-1'!$F$2:$F$50)+SUMIF('BALANCE N-1'!$A$2:$A$50,"595*",'BALANCE N-1'!$G$2:$G$50)-SUMIF('BALANCE N-1'!$A$2:$A$50,"595*",'BALANCE N-1'!$F$2:$F$50)+SUMIF('BALANCE N-1'!$A$2:$A$50,"593*",'BALANCE N-1'!$G$2:$G$50)-SUMIF('BALANCE N-1'!$A$2:$A$50,"593*",'BALANCE N-1'!$F$2:$F$50)</f>
        <v/>
      </c>
      <c r="D25" s="5">
        <f>B25-C25</f>
        <v/>
      </c>
      <c r="E25" s="122">
        <f>IF(C25=0,"",(B25-C25)/C25)</f>
        <v/>
      </c>
    </row>
    <row r="26">
      <c r="A26" s="74" t="inlineStr"/>
      <c r="B26" s="75">
        <f>SUM(B25:B25)</f>
        <v/>
      </c>
      <c r="C26" s="75">
        <f>SUM(C25:C25)</f>
        <v/>
      </c>
      <c r="D26" s="75">
        <f>B26-C26</f>
        <v/>
      </c>
      <c r="E26" s="123">
        <f>IF(C26=0,"",(B26-C26)/C26)</f>
        <v/>
      </c>
    </row>
    <row r="27">
      <c r="A27" s="74" t="inlineStr">
        <is>
          <t>TOTAL NET DE DÉPRÉCIATIONS</t>
        </is>
      </c>
      <c r="B27" s="75">
        <f>B13+B24-B26</f>
        <v/>
      </c>
      <c r="C27" s="75">
        <f>C13+C24-C26</f>
        <v/>
      </c>
      <c r="D27" s="75">
        <f>B27-C27</f>
        <v/>
      </c>
      <c r="E27" s="123">
        <f>IF(C27=0,"",(B27-C27)/C27)</f>
        <v/>
      </c>
    </row>
    <row r="28"/>
    <row r="29">
      <c r="A29" s="40" t="inlineStr">
        <is>
          <t>Commentaires :</t>
        </is>
      </c>
    </row>
    <row r="30">
      <c r="A30" s="84" t="inlineStr">
        <is>
          <t>• Indiquer la date de rapprochement des comptes bancaires et la date d'inventaire de la caisse.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- 19 -</t>
        </is>
      </c>
    </row>
    <row r="2" ht="26" customHeight="1">
      <c r="D2" s="49" t="inlineStr">
        <is>
          <t>NOTE 8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8 : ÉCARTS DE CONVERSION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Écarts de conversion-actif (détailler les créances et dettes concernées)</t>
        </is>
      </c>
      <c r="B9" s="5">
        <f>SUMIF('BALANCE N'!$A$2:$A$50,"478*",'BALANCE N'!$F$2:$F$50)-SUMIF('BALANCE N'!$A$2:$A$50,"478*",'BALANCE N'!$G$2:$G$50)</f>
        <v/>
      </c>
      <c r="C9" s="5">
        <f>SUMIF('BALANCE N-1'!$A$2:$A$50,"478*",'BALANCE N-1'!$F$2:$F$50)-SUMIF('BALANCE N-1'!$A$2:$A$50,"478*",'BALANCE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…</t>
        </is>
      </c>
      <c r="B10" s="5" t="n"/>
      <c r="C10" s="5" t="n"/>
      <c r="D10" s="5" t="n"/>
      <c r="E10" s="4" t="n"/>
    </row>
    <row r="11">
      <c r="A11" s="4" t="inlineStr">
        <is>
          <t>Écart de conversion-passif (détailler les créances et dettes concernées)</t>
        </is>
      </c>
      <c r="B11" s="5">
        <f>SUMIF('BALANCE N'!$A$2:$A$50,"479*",'BALANCE N'!$G$2:$G$50)-SUMIF('BALANCE N'!$A$2:$A$50,"479*",'BALANCE N'!$F$2:$F$50)</f>
        <v/>
      </c>
      <c r="C11" s="5">
        <f>SUMIF('BALANCE N-1'!$A$2:$A$50,"479*",'BALANCE N-1'!$G$2:$G$50)-SUMIF('BALANCE N-1'!$A$2:$A$50,"479*",'BALANCE N-1'!$F$2:$F$50)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…</t>
        </is>
      </c>
      <c r="B12" s="5" t="n"/>
      <c r="C12" s="5" t="n"/>
      <c r="D12" s="5" t="n"/>
      <c r="E12" s="4" t="n"/>
    </row>
  </sheetData>
  <mergeCells count="2">
    <mergeCell ref="A7:E7"/>
    <mergeCell ref="D2: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4" customWidth="1" min="4" max="4"/>
    <col width="17" customWidth="1" min="5" max="5"/>
    <col width="16" customWidth="1" min="6" max="6"/>
    <col width="14" customWidth="1" min="7" max="7"/>
  </cols>
  <sheetData>
    <row r="1" ht="12" customHeight="1">
      <c r="A1" s="48" t="inlineStr">
        <is>
          <t>- 20 -</t>
        </is>
      </c>
    </row>
    <row r="2" ht="26" customHeight="1">
      <c r="F2" s="49" t="inlineStr">
        <is>
          <t>NOTE 9
PROJETS DE DEVELOPPEMENT</t>
        </is>
      </c>
      <c r="G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F4" s="52" t="inlineStr">
        <is>
          <t>Sigle usuel :</t>
        </is>
      </c>
      <c r="G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D5" s="37" t="inlineStr">
        <is>
          <t>Exercice clos le 31-12-2025</t>
        </is>
      </c>
      <c r="F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9 : FONDS DU BAILLEUR</t>
        </is>
      </c>
    </row>
    <row r="8">
      <c r="A8" s="1" t="inlineStr">
        <is>
          <t>Date des décaissements</t>
        </is>
      </c>
      <c r="B8" s="2" t="inlineStr">
        <is>
          <t>Bailleur / sous-projet 1 : montant décaissé</t>
        </is>
      </c>
      <c r="C8" s="2" t="inlineStr">
        <is>
          <t>Montant consommé</t>
        </is>
      </c>
      <c r="D8" s="2" t="inlineStr">
        <is>
          <t>Solde restant</t>
        </is>
      </c>
      <c r="E8" s="2" t="inlineStr">
        <is>
          <t>Bailleur / sous-projet 2 : montant décaissé</t>
        </is>
      </c>
      <c r="F8" s="2" t="inlineStr">
        <is>
          <t>Montant consommé</t>
        </is>
      </c>
      <c r="G8" s="3" t="inlineStr">
        <is>
          <t>Solde restant</t>
        </is>
      </c>
    </row>
    <row r="9">
      <c r="A9" s="124" t="inlineStr">
        <is>
          <t>FONDS D'INVESTISSEMENT</t>
        </is>
      </c>
      <c r="B9" s="125" t="n"/>
      <c r="C9" s="125" t="n"/>
      <c r="D9" s="125" t="n"/>
      <c r="E9" s="125" t="n"/>
      <c r="F9" s="125" t="n"/>
      <c r="G9" s="125" t="n"/>
    </row>
    <row r="10">
      <c r="A10" s="4" t="n"/>
      <c r="B10" s="5" t="n"/>
      <c r="C10" s="5" t="n"/>
      <c r="D10" s="5">
        <f>B10-C10</f>
        <v/>
      </c>
      <c r="E10" s="5" t="n"/>
      <c r="F10" s="5" t="n"/>
      <c r="G10" s="5">
        <f>E10-F10</f>
        <v/>
      </c>
    </row>
    <row r="11">
      <c r="A11" s="4" t="n"/>
      <c r="B11" s="5" t="n"/>
      <c r="C11" s="5" t="n"/>
      <c r="D11" s="5">
        <f>B11-C11</f>
        <v/>
      </c>
      <c r="E11" s="5" t="n"/>
      <c r="F11" s="5" t="n"/>
      <c r="G11" s="5">
        <f>E11-F11</f>
        <v/>
      </c>
    </row>
    <row r="12">
      <c r="A12" s="4" t="n"/>
      <c r="B12" s="5" t="n"/>
      <c r="C12" s="5" t="n"/>
      <c r="D12" s="5">
        <f>B12-C12</f>
        <v/>
      </c>
      <c r="E12" s="5" t="n"/>
      <c r="F12" s="5" t="n"/>
      <c r="G12" s="5">
        <f>E12-F12</f>
        <v/>
      </c>
    </row>
    <row r="13">
      <c r="A13" s="4" t="n"/>
      <c r="B13" s="5" t="n"/>
      <c r="C13" s="5" t="n"/>
      <c r="D13" s="5">
        <f>B13-C13</f>
        <v/>
      </c>
      <c r="E13" s="5" t="n"/>
      <c r="F13" s="5" t="n"/>
      <c r="G13" s="5">
        <f>E13-F13</f>
        <v/>
      </c>
    </row>
    <row r="14">
      <c r="A14" s="74" t="inlineStr">
        <is>
          <t>TOTAL FONDS D'INVESTISSEMENT</t>
        </is>
      </c>
      <c r="B14" s="75">
        <f>SUM(B10:B13)</f>
        <v/>
      </c>
      <c r="C14" s="75">
        <f>SUM(C10:C13)</f>
        <v/>
      </c>
      <c r="D14" s="75">
        <f>SUM(D10:D13)</f>
        <v/>
      </c>
      <c r="E14" s="75">
        <f>SUM(E10:E13)</f>
        <v/>
      </c>
      <c r="F14" s="75">
        <f>SUM(F10:F13)</f>
        <v/>
      </c>
      <c r="G14" s="75">
        <f>SUM(G10:G13)</f>
        <v/>
      </c>
    </row>
    <row r="15">
      <c r="A15" s="124" t="inlineStr">
        <is>
          <t>FONDS D'ADMINISTRATION (2)</t>
        </is>
      </c>
      <c r="B15" s="125" t="n"/>
      <c r="C15" s="125" t="n"/>
      <c r="D15" s="125" t="n"/>
      <c r="E15" s="125" t="n"/>
      <c r="F15" s="125" t="n"/>
      <c r="G15" s="125" t="n"/>
    </row>
    <row r="16">
      <c r="A16" s="4" t="n"/>
      <c r="B16" s="5" t="n"/>
      <c r="C16" s="5" t="n"/>
      <c r="D16" s="5">
        <f>B16-C16</f>
        <v/>
      </c>
      <c r="E16" s="5" t="n"/>
      <c r="F16" s="5" t="n"/>
      <c r="G16" s="5">
        <f>E16-F16</f>
        <v/>
      </c>
    </row>
    <row r="17">
      <c r="A17" s="4" t="n"/>
      <c r="B17" s="5" t="n"/>
      <c r="C17" s="5" t="n"/>
      <c r="D17" s="5">
        <f>B17-C17</f>
        <v/>
      </c>
      <c r="E17" s="5" t="n"/>
      <c r="F17" s="5" t="n"/>
      <c r="G17" s="5">
        <f>E17-F17</f>
        <v/>
      </c>
    </row>
    <row r="18">
      <c r="A18" s="4" t="n"/>
      <c r="B18" s="5" t="n"/>
      <c r="C18" s="5" t="n"/>
      <c r="D18" s="5">
        <f>B18-C18</f>
        <v/>
      </c>
      <c r="E18" s="5" t="n"/>
      <c r="F18" s="5" t="n"/>
      <c r="G18" s="5">
        <f>E18-F18</f>
        <v/>
      </c>
    </row>
    <row r="19">
      <c r="A19" s="4" t="n"/>
      <c r="B19" s="5" t="n"/>
      <c r="C19" s="5" t="n"/>
      <c r="D19" s="5">
        <f>B19-C19</f>
        <v/>
      </c>
      <c r="E19" s="5" t="n"/>
      <c r="F19" s="5" t="n"/>
      <c r="G19" s="5">
        <f>E19-F19</f>
        <v/>
      </c>
    </row>
    <row r="20">
      <c r="A20" s="74" t="inlineStr">
        <is>
          <t>TOTAL FONDS D'ADMINISTRATION (2)</t>
        </is>
      </c>
      <c r="B20" s="75">
        <f>SUM(B16:B19)</f>
        <v/>
      </c>
      <c r="C20" s="75">
        <f>SUM(C16:C19)</f>
        <v/>
      </c>
      <c r="D20" s="75">
        <f>SUM(D16:D19)</f>
        <v/>
      </c>
      <c r="E20" s="75">
        <f>SUM(E16:E19)</f>
        <v/>
      </c>
      <c r="F20" s="75">
        <f>SUM(F16:F19)</f>
        <v/>
      </c>
      <c r="G20" s="75">
        <f>SUM(G16:G19)</f>
        <v/>
      </c>
    </row>
    <row r="21"/>
    <row r="22">
      <c r="A22" s="40" t="inlineStr">
        <is>
          <t>Rappels balance (formules) - à ventiler par bailleur :</t>
        </is>
      </c>
    </row>
    <row r="23">
      <c r="A23" s="91" t="inlineStr">
        <is>
          <t>Fonds affectés aux investissements non consommés (soldes 162-164)</t>
        </is>
      </c>
      <c r="B23" s="96">
        <f>SUMIF('BALANCE N'!$A$2:$A$50,"162*",'BALANCE N'!$G$2:$G$50)-SUMIF('BALANCE N'!$A$2:$A$50,"162*",'BALANCE N'!$F$2:$F$50)+SUMIF('BALANCE N'!$A$2:$A$50,"163*",'BALANCE N'!$G$2:$G$50)-SUMIF('BALANCE N'!$A$2:$A$50,"163*",'BALANCE N'!$F$2:$F$50)+SUMIF('BALANCE N'!$A$2:$A$50,"164*",'BALANCE N'!$G$2:$G$50)-SUMIF('BALANCE N'!$A$2:$A$50,"164*",'BALANCE N'!$F$2:$F$50)</f>
        <v/>
      </c>
    </row>
    <row r="24">
      <c r="A24" s="91" t="inlineStr">
        <is>
          <t>Fonds d'administration non consommés (soldes 462-464)</t>
        </is>
      </c>
      <c r="B24" s="96">
        <f>SUMIF('BALANCE N'!$A$2:$A$50,"463*",'BALANCE N'!$G$2:$G$50)-SUMIF('BALANCE N'!$A$2:$A$50,"463*",'BALANCE N'!$F$2:$F$50)+SUMIF('BALANCE N'!$A$2:$A$50,"464*",'BALANCE N'!$G$2:$G$50)-SUMIF('BALANCE N'!$A$2:$A$50,"464*",'BALANCE N'!$F$2:$F$50)+SUMIF('BALANCE N'!$A$2:$A$50,"462*",'BALANCE N'!$G$2:$G$50)-SUMIF('BALANCE N'!$A$2:$A$50,"462*",'BALANCE N'!$F$2:$F$50)</f>
        <v/>
      </c>
    </row>
    <row r="25">
      <c r="A25" s="91" t="inlineStr">
        <is>
          <t>Quote-part de fonds d'administration consommée de l'exercice (702)</t>
        </is>
      </c>
      <c r="B25" s="96">
        <f>SUMIF('BALANCE N'!$A$2:$A$50,"702*",'BALANCE N'!$G$2:$G$50)-SUMIF('BALANCE N'!$A$2:$A$50,"702*",'BALANCE N'!$F$2:$F$50)</f>
        <v/>
      </c>
    </row>
    <row r="26"/>
    <row r="27">
      <c r="A27" s="91" t="inlineStr">
        <is>
          <t>(1) une colonne par bailleur et/ou sous-projet. (2) le montant consommé d'un exercice = solde du compte 702, à subdiviser par nature de projet. Indiquer le niveau d'utilisation des fonds en % et expliquer les retards d'exécution éventuels.</t>
        </is>
      </c>
    </row>
  </sheetData>
  <mergeCells count="3">
    <mergeCell ref="F2:G2"/>
    <mergeCell ref="A7:G7"/>
    <mergeCell ref="B4:D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- 21 -</t>
        </is>
      </c>
    </row>
    <row r="2" ht="26" customHeight="1">
      <c r="F2" s="49" t="inlineStr">
        <is>
          <t>NOTE 10
PROJETS DE DEVELOPPEMENT</t>
        </is>
      </c>
      <c r="G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F4" s="52" t="inlineStr">
        <is>
          <t>Sigle usuel :</t>
        </is>
      </c>
      <c r="G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D5" s="37" t="inlineStr">
        <is>
          <t>Exercice clos le 31-12-2025</t>
        </is>
      </c>
      <c r="F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10 : SUBVENTIONS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Régime fiscal</t>
        </is>
      </c>
      <c r="G8" s="3" t="inlineStr">
        <is>
          <t>Échéances</t>
        </is>
      </c>
    </row>
    <row r="9">
      <c r="A9" s="4" t="inlineStr">
        <is>
          <t>État</t>
        </is>
      </c>
      <c r="B9" s="5">
        <f>SUMIF('BALANCE N'!$A$2:$A$50,"1411*",'BALANCE N'!$G$2:$G$50)-SUMIF('BALANCE N'!$A$2:$A$50,"1411*",'BALANCE N'!$F$2:$F$50)</f>
        <v/>
      </c>
      <c r="C9" s="5">
        <f>SUMIF('BALANCE N-1'!$A$2:$A$50,"1411*",'BALANCE N-1'!$G$2:$G$50)-SUMIF('BALANCE N-1'!$A$2:$A$50,"1411*",'BALANCE N-1'!$F$2:$F$50)</f>
        <v/>
      </c>
      <c r="D9" s="5">
        <f>B9-C9</f>
        <v/>
      </c>
      <c r="E9" s="122">
        <f>IF(C9=0,"",(B9-C9)/C9)</f>
        <v/>
      </c>
      <c r="F9" s="4" t="n"/>
      <c r="G9" s="4" t="n"/>
    </row>
    <row r="10">
      <c r="A10" s="4" t="inlineStr">
        <is>
          <t>Régions</t>
        </is>
      </c>
      <c r="B10" s="5">
        <f>SUMIF('BALANCE N'!$A$2:$A$50,"1412*",'BALANCE N'!$G$2:$G$50)-SUMIF('BALANCE N'!$A$2:$A$50,"1412*",'BALANCE N'!$F$2:$F$50)</f>
        <v/>
      </c>
      <c r="C10" s="5">
        <f>SUMIF('BALANCE N-1'!$A$2:$A$50,"1412*",'BALANCE N-1'!$G$2:$G$50)-SUMIF('BALANCE N-1'!$A$2:$A$50,"1412*",'BALANCE N-1'!$F$2:$F$50)</f>
        <v/>
      </c>
      <c r="D10" s="5">
        <f>B10-C10</f>
        <v/>
      </c>
      <c r="E10" s="122">
        <f>IF(C10=0,"",(B10-C10)/C10)</f>
        <v/>
      </c>
      <c r="F10" s="4" t="n"/>
      <c r="G10" s="4" t="n"/>
    </row>
    <row r="11">
      <c r="A11" s="4" t="inlineStr">
        <is>
          <t>Départements</t>
        </is>
      </c>
      <c r="B11" s="5">
        <f>SUMIF('BALANCE N'!$A$2:$A$50,"1413*",'BALANCE N'!$G$2:$G$50)-SUMIF('BALANCE N'!$A$2:$A$50,"1413*",'BALANCE N'!$F$2:$F$50)</f>
        <v/>
      </c>
      <c r="C11" s="5">
        <f>SUMIF('BALANCE N-1'!$A$2:$A$50,"1413*",'BALANCE N-1'!$G$2:$G$50)-SUMIF('BALANCE N-1'!$A$2:$A$50,"1413*",'BALANCE N-1'!$F$2:$F$50)</f>
        <v/>
      </c>
      <c r="D11" s="5">
        <f>B11-C11</f>
        <v/>
      </c>
      <c r="E11" s="122">
        <f>IF(C11=0,"",(B11-C11)/C11)</f>
        <v/>
      </c>
      <c r="F11" s="4" t="n"/>
      <c r="G11" s="4" t="n"/>
    </row>
    <row r="12">
      <c r="A12" s="4" t="inlineStr">
        <is>
          <t>Communes et collectivités publiques décentralisées</t>
        </is>
      </c>
      <c r="B12" s="5">
        <f>SUMIF('BALANCE N'!$A$2:$A$50,"1414*",'BALANCE N'!$G$2:$G$50)-SUMIF('BALANCE N'!$A$2:$A$50,"1414*",'BALANCE N'!$F$2:$F$50)</f>
        <v/>
      </c>
      <c r="C12" s="5">
        <f>SUMIF('BALANCE N-1'!$A$2:$A$50,"1414*",'BALANCE N-1'!$G$2:$G$50)-SUMIF('BALANCE N-1'!$A$2:$A$50,"1414*",'BALANCE N-1'!$F$2:$F$50)</f>
        <v/>
      </c>
      <c r="D12" s="5">
        <f>B12-C12</f>
        <v/>
      </c>
      <c r="E12" s="122">
        <f>IF(C12=0,"",(B12-C12)/C12)</f>
        <v/>
      </c>
      <c r="F12" s="4" t="n"/>
      <c r="G12" s="4" t="n"/>
    </row>
    <row r="13">
      <c r="A13" s="4" t="inlineStr">
        <is>
          <t>Entités publiques ou mixtes</t>
        </is>
      </c>
      <c r="B13" s="5">
        <f>SUMIF('BALANCE N'!$A$2:$A$50,"1415*",'BALANCE N'!$G$2:$G$50)-SUMIF('BALANCE N'!$A$2:$A$50,"1415*",'BALANCE N'!$F$2:$F$50)</f>
        <v/>
      </c>
      <c r="C13" s="5">
        <f>SUMIF('BALANCE N-1'!$A$2:$A$50,"1415*",'BALANCE N-1'!$G$2:$G$50)-SUMIF('BALANCE N-1'!$A$2:$A$50,"1415*",'BALANCE N-1'!$F$2:$F$50)</f>
        <v/>
      </c>
      <c r="D13" s="5">
        <f>B13-C13</f>
        <v/>
      </c>
      <c r="E13" s="122">
        <f>IF(C13=0,"",(B13-C13)/C13)</f>
        <v/>
      </c>
      <c r="F13" s="4" t="n"/>
      <c r="G13" s="4" t="n"/>
    </row>
    <row r="14">
      <c r="A14" s="4" t="inlineStr">
        <is>
          <t>Entités et organismes privés</t>
        </is>
      </c>
      <c r="B14" s="5">
        <f>SUMIF('BALANCE N'!$A$2:$A$50,"1416*",'BALANCE N'!$G$2:$G$50)-SUMIF('BALANCE N'!$A$2:$A$50,"1416*",'BALANCE N'!$F$2:$F$50)</f>
        <v/>
      </c>
      <c r="C14" s="5">
        <f>SUMIF('BALANCE N-1'!$A$2:$A$50,"1416*",'BALANCE N-1'!$G$2:$G$50)-SUMIF('BALANCE N-1'!$A$2:$A$50,"1416*",'BALANCE N-1'!$F$2:$F$50)</f>
        <v/>
      </c>
      <c r="D14" s="5">
        <f>B14-C14</f>
        <v/>
      </c>
      <c r="E14" s="122">
        <f>IF(C14=0,"",(B14-C14)/C14)</f>
        <v/>
      </c>
      <c r="F14" s="4" t="n"/>
      <c r="G14" s="4" t="n"/>
    </row>
    <row r="15">
      <c r="A15" s="4" t="inlineStr">
        <is>
          <t>Organismes internationaux</t>
        </is>
      </c>
      <c r="B15" s="5">
        <f>SUMIF('BALANCE N'!$A$2:$A$50,"1417*",'BALANCE N'!$G$2:$G$50)-SUMIF('BALANCE N'!$A$2:$A$50,"1417*",'BALANCE N'!$F$2:$F$50)</f>
        <v/>
      </c>
      <c r="C15" s="5">
        <f>SUMIF('BALANCE N-1'!$A$2:$A$50,"1417*",'BALANCE N-1'!$G$2:$G$50)-SUMIF('BALANCE N-1'!$A$2:$A$50,"1417*",'BALANCE N-1'!$F$2:$F$50)</f>
        <v/>
      </c>
      <c r="D15" s="5">
        <f>B15-C15</f>
        <v/>
      </c>
      <c r="E15" s="122">
        <f>IF(C15=0,"",(B15-C15)/C15)</f>
        <v/>
      </c>
      <c r="F15" s="4" t="n"/>
      <c r="G15" s="4" t="n"/>
    </row>
    <row r="16">
      <c r="A16" s="4" t="inlineStr">
        <is>
          <t>Autres</t>
        </is>
      </c>
      <c r="B16" s="5">
        <f>SUMIF('BALANCE N'!$A$2:$A$50,"148*",'BALANCE N'!$G$2:$G$50)-SUMIF('BALANCE N'!$A$2:$A$50,"148*",'BALANCE N'!$F$2:$F$50)+SUMIF('BALANCE N'!$A$2:$A$50,"1418*",'BALANCE N'!$G$2:$G$50)-SUMIF('BALANCE N'!$A$2:$A$50,"1418*",'BALANCE N'!$F$2:$F$50)</f>
        <v/>
      </c>
      <c r="C16" s="5">
        <f>SUMIF('BALANCE N-1'!$A$2:$A$50,"148*",'BALANCE N-1'!$G$2:$G$50)-SUMIF('BALANCE N-1'!$A$2:$A$50,"148*",'BALANCE N-1'!$F$2:$F$50)+SUMIF('BALANCE N-1'!$A$2:$A$50,"1418*",'BALANCE N-1'!$G$2:$G$50)-SUMIF('BALANCE N-1'!$A$2:$A$50,"1418*",'BALANCE N-1'!$F$2:$F$50)</f>
        <v/>
      </c>
      <c r="D16" s="5">
        <f>B16-C16</f>
        <v/>
      </c>
      <c r="E16" s="122">
        <f>IF(C16=0,"",(B16-C16)/C16)</f>
        <v/>
      </c>
      <c r="F16" s="4" t="n"/>
      <c r="G16" s="4" t="n"/>
    </row>
    <row r="17">
      <c r="A17" s="74" t="inlineStr">
        <is>
          <t>TOTAL SUBVENTIONS</t>
        </is>
      </c>
      <c r="B17" s="75">
        <f>SUM(B9:B16)</f>
        <v/>
      </c>
      <c r="C17" s="75">
        <f>SUM(C9:C16)</f>
        <v/>
      </c>
      <c r="D17" s="75">
        <f>B17-C17</f>
        <v/>
      </c>
      <c r="E17" s="123">
        <f>IF(C17=0,"",(B17-C17)/C17)</f>
        <v/>
      </c>
      <c r="F17" s="75" t="n"/>
      <c r="G17" s="75" t="n"/>
    </row>
  </sheetData>
  <mergeCells count="3">
    <mergeCell ref="F2:G2"/>
    <mergeCell ref="A7:G7"/>
    <mergeCell ref="B4:D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- 22 -</t>
        </is>
      </c>
    </row>
    <row r="2" ht="26" customHeight="1">
      <c r="G2" s="49" t="inlineStr">
        <is>
          <t>NOTE 11
PROJETS DE DEVELOPPEMENT</t>
        </is>
      </c>
      <c r="H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G4" s="52" t="inlineStr">
        <is>
          <t>Sigle usuel :</t>
        </is>
      </c>
      <c r="H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E5" s="37" t="inlineStr">
        <is>
          <t>Exercice clos le 31-12-2025</t>
        </is>
      </c>
      <c r="G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11 : DETTES FINANCIÈRES ET RESSOURCES ASSIMILÉES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4" t="inlineStr">
        <is>
          <t>Emprunts et dettes auprès des établissements de crédit</t>
        </is>
      </c>
      <c r="B9" s="5">
        <f>SUMIF('BALANCE N'!$A$2:$A$50,"182*",'BALANCE N'!$G$2:$G$50)-SUMIF('BALANCE N'!$A$2:$A$50,"182*",'BALANCE N'!$F$2:$F$50)</f>
        <v/>
      </c>
      <c r="C9" s="5">
        <f>SUMIF('BALANCE N-1'!$A$2:$A$50,"182*",'BALANCE N-1'!$G$2:$G$50)-SUMIF('BALANCE N-1'!$A$2:$A$50,"182*",'BALANCE N-1'!$F$2:$F$50)</f>
        <v/>
      </c>
      <c r="D9" s="5">
        <f>B9-C9</f>
        <v/>
      </c>
      <c r="E9" s="122">
        <f>IF(C9=0,"",(B9-C9)/C9)</f>
        <v/>
      </c>
      <c r="F9" s="4" t="n"/>
      <c r="G9" s="4" t="n"/>
      <c r="H9" s="4" t="n"/>
    </row>
    <row r="10">
      <c r="A10" s="4" t="inlineStr">
        <is>
          <t>Avances reçues de l'État</t>
        </is>
      </c>
      <c r="B10" s="5">
        <f>SUMIF('BALANCE N'!$A$2:$A$50,"183*",'BALANCE N'!$G$2:$G$50)-SUMIF('BALANCE N'!$A$2:$A$50,"183*",'BALANCE N'!$F$2:$F$50)</f>
        <v/>
      </c>
      <c r="C10" s="5">
        <f>SUMIF('BALANCE N-1'!$A$2:$A$50,"183*",'BALANCE N-1'!$G$2:$G$50)-SUMIF('BALANCE N-1'!$A$2:$A$50,"183*",'BALANCE N-1'!$F$2:$F$50)</f>
        <v/>
      </c>
      <c r="D10" s="5">
        <f>B10-C10</f>
        <v/>
      </c>
      <c r="E10" s="122">
        <f>IF(C10=0,"",(B10-C10)/C10)</f>
        <v/>
      </c>
      <c r="F10" s="4" t="n"/>
      <c r="G10" s="4" t="n"/>
      <c r="H10" s="4" t="n"/>
    </row>
    <row r="11">
      <c r="A11" s="4" t="inlineStr">
        <is>
          <t>Dépôts et cautionnements reçus</t>
        </is>
      </c>
      <c r="B11" s="5">
        <f>SUMIF('BALANCE N'!$A$2:$A$50,"185*",'BALANCE N'!$G$2:$G$50)-SUMIF('BALANCE N'!$A$2:$A$50,"185*",'BALANCE N'!$F$2:$F$50)</f>
        <v/>
      </c>
      <c r="C11" s="5">
        <f>SUMIF('BALANCE N-1'!$A$2:$A$50,"185*",'BALANCE N-1'!$G$2:$G$50)-SUMIF('BALANCE N-1'!$A$2:$A$50,"185*",'BALANCE N-1'!$F$2:$F$50)</f>
        <v/>
      </c>
      <c r="D11" s="5">
        <f>B11-C11</f>
        <v/>
      </c>
      <c r="E11" s="122">
        <f>IF(C11=0,"",(B11-C11)/C11)</f>
        <v/>
      </c>
      <c r="F11" s="4" t="n"/>
      <c r="G11" s="4" t="n"/>
      <c r="H11" s="4" t="n"/>
    </row>
    <row r="12">
      <c r="A12" s="4" t="inlineStr">
        <is>
          <t>Intérêts courus</t>
        </is>
      </c>
      <c r="B12" s="5">
        <f>SUMIF('BALANCE N'!$A$2:$A$50,"186*",'BALANCE N'!$G$2:$G$50)-SUMIF('BALANCE N'!$A$2:$A$50,"186*",'BALANCE N'!$F$2:$F$50)</f>
        <v/>
      </c>
      <c r="C12" s="5">
        <f>SUMIF('BALANCE N-1'!$A$2:$A$50,"186*",'BALANCE N-1'!$G$2:$G$50)-SUMIF('BALANCE N-1'!$A$2:$A$50,"186*",'BALANCE N-1'!$F$2:$F$50)</f>
        <v/>
      </c>
      <c r="D12" s="5">
        <f>B12-C12</f>
        <v/>
      </c>
      <c r="E12" s="122">
        <f>IF(C12=0,"",(B12-C12)/C12)</f>
        <v/>
      </c>
      <c r="F12" s="4" t="n"/>
      <c r="G12" s="4" t="n"/>
      <c r="H12" s="4" t="n"/>
    </row>
    <row r="13">
      <c r="A13" s="4" t="inlineStr">
        <is>
          <t>Autres emprunts et dettes</t>
        </is>
      </c>
      <c r="B13" s="5">
        <f>SUMIF('BALANCE N'!$A$2:$A$50,"188*",'BALANCE N'!$G$2:$G$50)-SUMIF('BALANCE N'!$A$2:$A$50,"188*",'BALANCE N'!$F$2:$F$50)+SUMIF('BALANCE N'!$A$2:$A$50,"181*",'BALANCE N'!$G$2:$G$50)-SUMIF('BALANCE N'!$A$2:$A$50,"181*",'BALANCE N'!$F$2:$F$50)</f>
        <v/>
      </c>
      <c r="C13" s="5">
        <f>SUMIF('BALANCE N-1'!$A$2:$A$50,"188*",'BALANCE N-1'!$G$2:$G$50)-SUMIF('BALANCE N-1'!$A$2:$A$50,"188*",'BALANCE N-1'!$F$2:$F$50)+SUMIF('BALANCE N-1'!$A$2:$A$50,"181*",'BALANCE N-1'!$G$2:$G$50)-SUMIF('BALANCE N-1'!$A$2:$A$50,"181*",'BALANCE N-1'!$F$2:$F$50)</f>
        <v/>
      </c>
      <c r="D13" s="5">
        <f>B13-C13</f>
        <v/>
      </c>
      <c r="E13" s="122">
        <f>IF(C13=0,"",(B13-C13)/C13)</f>
        <v/>
      </c>
      <c r="F13" s="4" t="n"/>
      <c r="G13" s="4" t="n"/>
      <c r="H13" s="4" t="n"/>
    </row>
    <row r="14">
      <c r="A14" s="74" t="inlineStr">
        <is>
          <t>TOTAL EMPRUNTS ET DETTES FINANCIÈRES</t>
        </is>
      </c>
      <c r="B14" s="75">
        <f>SUM(B9:B13)</f>
        <v/>
      </c>
      <c r="C14" s="75">
        <f>SUM(C9:C13)</f>
        <v/>
      </c>
      <c r="D14" s="75">
        <f>B14-C14</f>
        <v/>
      </c>
      <c r="E14" s="123">
        <f>IF(C14=0,"",(B14-C14)/C14)</f>
        <v/>
      </c>
      <c r="F14" s="75" t="n"/>
      <c r="G14" s="75" t="n"/>
      <c r="H14" s="75" t="n"/>
    </row>
    <row r="15">
      <c r="A15" s="4" t="inlineStr">
        <is>
          <t>Crédit-bail immobilier</t>
        </is>
      </c>
      <c r="B15" s="5">
        <f>SUMIF('BALANCE N'!$A$2:$A$50,"1871*",'BALANCE N'!$G$2:$G$50)-SUMIF('BALANCE N'!$A$2:$A$50,"1871*",'BALANCE N'!$F$2:$F$50)</f>
        <v/>
      </c>
      <c r="C15" s="5">
        <f>SUMIF('BALANCE N-1'!$A$2:$A$50,"1871*",'BALANCE N-1'!$G$2:$G$50)-SUMIF('BALANCE N-1'!$A$2:$A$50,"1871*",'BALANCE N-1'!$F$2:$F$50)</f>
        <v/>
      </c>
      <c r="D15" s="5">
        <f>B15-C15</f>
        <v/>
      </c>
      <c r="E15" s="122">
        <f>IF(C15=0,"",(B15-C15)/C15)</f>
        <v/>
      </c>
      <c r="F15" s="4" t="n"/>
      <c r="G15" s="4" t="n"/>
      <c r="H15" s="4" t="n"/>
    </row>
    <row r="16">
      <c r="A16" s="4" t="inlineStr">
        <is>
          <t>Crédit-bail mobilier</t>
        </is>
      </c>
      <c r="B16" s="5">
        <f>SUMIF('BALANCE N'!$A$2:$A$50,"1872*",'BALANCE N'!$G$2:$G$50)-SUMIF('BALANCE N'!$A$2:$A$50,"1872*",'BALANCE N'!$F$2:$F$50)</f>
        <v/>
      </c>
      <c r="C16" s="5">
        <f>SUMIF('BALANCE N-1'!$A$2:$A$50,"1872*",'BALANCE N-1'!$G$2:$G$50)-SUMIF('BALANCE N-1'!$A$2:$A$50,"1872*",'BALANCE N-1'!$F$2:$F$50)</f>
        <v/>
      </c>
      <c r="D16" s="5">
        <f>B16-C16</f>
        <v/>
      </c>
      <c r="E16" s="122">
        <f>IF(C16=0,"",(B16-C16)/C16)</f>
        <v/>
      </c>
      <c r="F16" s="4" t="n"/>
      <c r="G16" s="4" t="n"/>
      <c r="H16" s="4" t="n"/>
    </row>
    <row r="17">
      <c r="A17" s="4" t="inlineStr">
        <is>
          <t>Location-vente</t>
        </is>
      </c>
      <c r="B17" s="5">
        <f>SUMIF('BALANCE N'!$A$2:$A$50,"1873*",'BALANCE N'!$G$2:$G$50)-SUMIF('BALANCE N'!$A$2:$A$50,"1873*",'BALANCE N'!$F$2:$F$50)</f>
        <v/>
      </c>
      <c r="C17" s="5">
        <f>SUMIF('BALANCE N-1'!$A$2:$A$50,"1873*",'BALANCE N-1'!$G$2:$G$50)-SUMIF('BALANCE N-1'!$A$2:$A$50,"1873*",'BALANCE N-1'!$F$2:$F$50)</f>
        <v/>
      </c>
      <c r="D17" s="5">
        <f>B17-C17</f>
        <v/>
      </c>
      <c r="E17" s="122">
        <f>IF(C17=0,"",(B17-C17)/C17)</f>
        <v/>
      </c>
      <c r="F17" s="4" t="n"/>
      <c r="G17" s="4" t="n"/>
      <c r="H17" s="4" t="n"/>
    </row>
    <row r="18">
      <c r="A18" s="4" t="inlineStr">
        <is>
          <t>Intérêts courus (location-acquisition)</t>
        </is>
      </c>
      <c r="B18" s="5">
        <f>SUMIF('BALANCE N'!$A$2:$A$50,"1876*",'BALANCE N'!$G$2:$G$50)-SUMIF('BALANCE N'!$A$2:$A$50,"1876*",'BALANCE N'!$F$2:$F$50)</f>
        <v/>
      </c>
      <c r="C18" s="5">
        <f>SUMIF('BALANCE N-1'!$A$2:$A$50,"1876*",'BALANCE N-1'!$G$2:$G$50)-SUMIF('BALANCE N-1'!$A$2:$A$50,"1876*",'BALANCE N-1'!$F$2:$F$50)</f>
        <v/>
      </c>
      <c r="D18" s="5">
        <f>B18-C18</f>
        <v/>
      </c>
      <c r="E18" s="122">
        <f>IF(C18=0,"",(B18-C18)/C18)</f>
        <v/>
      </c>
      <c r="F18" s="4" t="n"/>
      <c r="G18" s="4" t="n"/>
      <c r="H18" s="4" t="n"/>
    </row>
    <row r="19">
      <c r="A19" s="4" t="inlineStr">
        <is>
          <t>Autres dettes de location-acquisition</t>
        </is>
      </c>
      <c r="B19" s="5">
        <f>SUMIF('BALANCE N'!$A$2:$A$50,"187*",'BALANCE N'!$G$2:$G$50)-SUMIF('BALANCE N'!$A$2:$A$50,"187*",'BALANCE N'!$F$2:$F$50)-SUMIF('BALANCE N'!$A$2:$A$50,"1873*",'BALANCE N'!$G$2:$G$50)+SUMIF('BALANCE N'!$A$2:$A$50,"1873*",'BALANCE N'!$F$2:$F$50)-SUMIF('BALANCE N'!$A$2:$A$50,"1876*",'BALANCE N'!$G$2:$G$50)+SUMIF('BALANCE N'!$A$2:$A$50,"1876*",'BALANCE N'!$F$2:$F$50)-SUMIF('BALANCE N'!$A$2:$A$50,"1872*",'BALANCE N'!$G$2:$G$50)+SUMIF('BALANCE N'!$A$2:$A$50,"1872*",'BALANCE N'!$F$2:$F$50)-SUMIF('BALANCE N'!$A$2:$A$50,"1871*",'BALANCE N'!$G$2:$G$50)+SUMIF('BALANCE N'!$A$2:$A$50,"1871*",'BALANCE N'!$F$2:$F$50)</f>
        <v/>
      </c>
      <c r="C19" s="5">
        <f>SUMIF('BALANCE N-1'!$A$2:$A$50,"187*",'BALANCE N-1'!$G$2:$G$50)-SUMIF('BALANCE N-1'!$A$2:$A$50,"187*",'BALANCE N-1'!$F$2:$F$50)-SUMIF('BALANCE N-1'!$A$2:$A$50,"1873*",'BALANCE N-1'!$G$2:$G$50)+SUMIF('BALANCE N-1'!$A$2:$A$50,"1873*",'BALANCE N-1'!$F$2:$F$50)-SUMIF('BALANCE N-1'!$A$2:$A$50,"1876*",'BALANCE N-1'!$G$2:$G$50)+SUMIF('BALANCE N-1'!$A$2:$A$50,"1876*",'BALANCE N-1'!$F$2:$F$50)-SUMIF('BALANCE N-1'!$A$2:$A$50,"1872*",'BALANCE N-1'!$G$2:$G$50)+SUMIF('BALANCE N-1'!$A$2:$A$50,"1872*",'BALANCE N-1'!$F$2:$F$50)-SUMIF('BALANCE N-1'!$A$2:$A$50,"1871*",'BALANCE N-1'!$G$2:$G$50)+SUMIF('BALANCE N-1'!$A$2:$A$50,"1871*",'BALANCE N-1'!$F$2:$F$50)</f>
        <v/>
      </c>
      <c r="D19" s="5">
        <f>B19-C19</f>
        <v/>
      </c>
      <c r="E19" s="122">
        <f>IF(C19=0,"",(B19-C19)/C19)</f>
        <v/>
      </c>
      <c r="F19" s="4" t="n"/>
      <c r="G19" s="4" t="n"/>
      <c r="H19" s="4" t="n"/>
    </row>
    <row r="20">
      <c r="A20" s="74" t="inlineStr">
        <is>
          <t>TOTAL DETTES DE LOCATION-ACQUISITION</t>
        </is>
      </c>
      <c r="B20" s="75">
        <f>SUM(B15:B19)</f>
        <v/>
      </c>
      <c r="C20" s="75">
        <f>SUM(C15:C19)</f>
        <v/>
      </c>
      <c r="D20" s="75">
        <f>B20-C20</f>
        <v/>
      </c>
      <c r="E20" s="123">
        <f>IF(C20=0,"",(B20-C20)/C20)</f>
        <v/>
      </c>
      <c r="F20" s="75" t="n"/>
      <c r="G20" s="75" t="n"/>
      <c r="H20" s="75" t="n"/>
    </row>
    <row r="21">
      <c r="A21" s="4" t="inlineStr">
        <is>
          <t>Provisions pour litiges</t>
        </is>
      </c>
      <c r="B21" s="5">
        <f>SUMIF('BALANCE N'!$A$2:$A$50,"191*",'BALANCE N'!$G$2:$G$50)-SUMIF('BALANCE N'!$A$2:$A$50,"191*",'BALANCE N'!$F$2:$F$50)</f>
        <v/>
      </c>
      <c r="C21" s="5">
        <f>SUMIF('BALANCE N-1'!$A$2:$A$50,"191*",'BALANCE N-1'!$G$2:$G$50)-SUMIF('BALANCE N-1'!$A$2:$A$50,"191*",'BALANCE N-1'!$F$2:$F$50)</f>
        <v/>
      </c>
      <c r="D21" s="5">
        <f>B21-C21</f>
        <v/>
      </c>
      <c r="E21" s="122">
        <f>IF(C21=0,"",(B21-C21)/C21)</f>
        <v/>
      </c>
      <c r="F21" s="4" t="n"/>
      <c r="G21" s="4" t="n"/>
      <c r="H21" s="4" t="n"/>
    </row>
    <row r="22">
      <c r="A22" s="4" t="inlineStr">
        <is>
          <t>Provisions pour pertes de change</t>
        </is>
      </c>
      <c r="B22" s="5">
        <f>SUMIF('BALANCE N'!$A$2:$A$50,"194*",'BALANCE N'!$G$2:$G$50)-SUMIF('BALANCE N'!$A$2:$A$50,"194*",'BALANCE N'!$F$2:$F$50)</f>
        <v/>
      </c>
      <c r="C22" s="5">
        <f>SUMIF('BALANCE N-1'!$A$2:$A$50,"194*",'BALANCE N-1'!$G$2:$G$50)-SUMIF('BALANCE N-1'!$A$2:$A$50,"194*",'BALANCE N-1'!$F$2:$F$50)</f>
        <v/>
      </c>
      <c r="D22" s="5">
        <f>B22-C22</f>
        <v/>
      </c>
      <c r="E22" s="122">
        <f>IF(C22=0,"",(B22-C22)/C22)</f>
        <v/>
      </c>
      <c r="F22" s="4" t="n"/>
      <c r="G22" s="4" t="n"/>
      <c r="H22" s="4" t="n"/>
    </row>
    <row r="23">
      <c r="A23" s="4" t="inlineStr">
        <is>
          <t>Provisions pour pensions et obligations assimilées</t>
        </is>
      </c>
      <c r="B23" s="5">
        <f>SUMIF('BALANCE N'!$A$2:$A$50,"196*",'BALANCE N'!$G$2:$G$50)-SUMIF('BALANCE N'!$A$2:$A$50,"196*",'BALANCE N'!$F$2:$F$50)</f>
        <v/>
      </c>
      <c r="C23" s="5">
        <f>SUMIF('BALANCE N-1'!$A$2:$A$50,"196*",'BALANCE N-1'!$G$2:$G$50)-SUMIF('BALANCE N-1'!$A$2:$A$50,"196*",'BALANCE N-1'!$F$2:$F$50)</f>
        <v/>
      </c>
      <c r="D23" s="5">
        <f>B23-C23</f>
        <v/>
      </c>
      <c r="E23" s="122">
        <f>IF(C23=0,"",(B23-C23)/C23)</f>
        <v/>
      </c>
      <c r="F23" s="4" t="n"/>
      <c r="G23" s="4" t="n"/>
      <c r="H23" s="4" t="n"/>
    </row>
    <row r="24">
      <c r="A24" s="4" t="inlineStr">
        <is>
          <t>Autres provisions pour risques et charges</t>
        </is>
      </c>
      <c r="B24" s="5">
        <f>SUMIF('BALANCE N'!$A$2:$A$50,"198*",'BALANCE N'!$G$2:$G$50)-SUMIF('BALANCE N'!$A$2:$A$50,"198*",'BALANCE N'!$F$2:$F$50)+SUMIF('BALANCE N'!$A$2:$A$50,"192*",'BALANCE N'!$G$2:$G$50)-SUMIF('BALANCE N'!$A$2:$A$50,"192*",'BALANCE N'!$F$2:$F$50)</f>
        <v/>
      </c>
      <c r="C24" s="5">
        <f>SUMIF('BALANCE N-1'!$A$2:$A$50,"198*",'BALANCE N-1'!$G$2:$G$50)-SUMIF('BALANCE N-1'!$A$2:$A$50,"198*",'BALANCE N-1'!$F$2:$F$50)+SUMIF('BALANCE N-1'!$A$2:$A$50,"192*",'BALANCE N-1'!$G$2:$G$50)-SUMIF('BALANCE N-1'!$A$2:$A$50,"192*",'BALANCE N-1'!$F$2:$F$50)</f>
        <v/>
      </c>
      <c r="D24" s="5">
        <f>B24-C24</f>
        <v/>
      </c>
      <c r="E24" s="122">
        <f>IF(C24=0,"",(B24-C24)/C24)</f>
        <v/>
      </c>
      <c r="F24" s="4" t="n"/>
      <c r="G24" s="4" t="n"/>
      <c r="H24" s="4" t="n"/>
    </row>
    <row r="25">
      <c r="A25" s="74" t="inlineStr">
        <is>
          <t>TOTAL PROVISIONS FINANCIÈRES POUR RISQUES ET CHARGES</t>
        </is>
      </c>
      <c r="B25" s="75">
        <f>SUM(B21:B24)</f>
        <v/>
      </c>
      <c r="C25" s="75">
        <f>SUM(C21:C24)</f>
        <v/>
      </c>
      <c r="D25" s="75">
        <f>B25-C25</f>
        <v/>
      </c>
      <c r="E25" s="123">
        <f>IF(C25=0,"",(B25-C25)/C25)</f>
        <v/>
      </c>
      <c r="F25" s="75" t="n"/>
      <c r="G25" s="75" t="n"/>
      <c r="H25" s="75" t="n"/>
    </row>
    <row r="26">
      <c r="A26" s="74" t="inlineStr">
        <is>
          <t>TOTAL DETTES FINANCIÈRES ET RESSOURCES ASSIMILÉES</t>
        </is>
      </c>
      <c r="B26" s="75">
        <f>B14+B20+B25</f>
        <v/>
      </c>
      <c r="C26" s="75">
        <f>C14+C20+C25</f>
        <v/>
      </c>
      <c r="D26" s="75">
        <f>B26-C26</f>
        <v/>
      </c>
      <c r="E26" s="123">
        <f>IF(C26=0,"",(B26-C26)/C26)</f>
        <v/>
      </c>
      <c r="F26" s="75" t="n"/>
      <c r="G26" s="75" t="n"/>
      <c r="H26" s="75" t="n"/>
    </row>
    <row r="27"/>
    <row r="28">
      <c r="A28" s="40" t="inlineStr">
        <is>
          <t>Commentaires :</t>
        </is>
      </c>
    </row>
    <row r="29">
      <c r="A29" s="84" t="inlineStr">
        <is>
          <t>• Pour chaque emprunt : date d'octroi, organisme, montant initial, durée, garanties données.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- 23 -</t>
        </is>
      </c>
    </row>
    <row r="2" ht="26" customHeight="1">
      <c r="G2" s="49" t="inlineStr">
        <is>
          <t>NOTE 12
PROJETS DE DEVELOPPEMENT</t>
        </is>
      </c>
      <c r="H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G4" s="52" t="inlineStr">
        <is>
          <t>Sigle usuel :</t>
        </is>
      </c>
      <c r="H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E5" s="37" t="inlineStr">
        <is>
          <t>Exercice clos le 31-12-2025</t>
        </is>
      </c>
      <c r="G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12 : DETTES FOURNISSEURS ET ASSIMILÉES, FISCALES ET SOCIALES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4" t="inlineStr">
        <is>
          <t>Fournisseurs</t>
        </is>
      </c>
      <c r="B9" s="5">
        <f>SUMIF('BALANCE N'!$A$2:$A$50,"40*",'BALANCE N'!$G$2:$G$50)-SUMIF('BALANCE N'!$A$2:$A$50,"40*",'BALANCE N'!$F$2:$F$50)-SUMIF('BALANCE N'!$A$2:$A$50,"409*",'BALANCE N'!$G$2:$G$50)+SUMIF('BALANCE N'!$A$2:$A$50,"409*",'BALANCE N'!$F$2:$F$50)</f>
        <v/>
      </c>
      <c r="C9" s="5">
        <f>SUMIF('BALANCE N-1'!$A$2:$A$50,"40*",'BALANCE N-1'!$G$2:$G$50)-SUMIF('BALANCE N-1'!$A$2:$A$50,"40*",'BALANCE N-1'!$F$2:$F$50)-SUMIF('BALANCE N-1'!$A$2:$A$50,"409*",'BALANCE N-1'!$G$2:$G$50)+SUMIF('BALANCE N-1'!$A$2:$A$50,"409*",'BALANCE N-1'!$F$2:$F$50)</f>
        <v/>
      </c>
      <c r="D9" s="5">
        <f>B9-C9</f>
        <v/>
      </c>
      <c r="E9" s="122">
        <f>IF(C9=0,"",(B9-C9)/C9)</f>
        <v/>
      </c>
      <c r="F9" s="4" t="n"/>
      <c r="G9" s="4" t="n"/>
      <c r="H9" s="4" t="n"/>
    </row>
    <row r="10">
      <c r="A10" s="4" t="inlineStr">
        <is>
          <t>Clients-usagers créditeurs</t>
        </is>
      </c>
      <c r="B10" s="5">
        <f>SUMIF('BALANCE N'!$A$2:$A$50,"419*",'BALANCE N'!$G$2:$G$50)-SUMIF('BALANCE N'!$A$2:$A$50,"419*",'BALANCE N'!$F$2:$F$50)</f>
        <v/>
      </c>
      <c r="C10" s="5">
        <f>SUMIF('BALANCE N-1'!$A$2:$A$50,"419*",'BALANCE N-1'!$G$2:$G$50)-SUMIF('BALANCE N-1'!$A$2:$A$50,"419*",'BALANCE N-1'!$F$2:$F$50)</f>
        <v/>
      </c>
      <c r="D10" s="5">
        <f>B10-C10</f>
        <v/>
      </c>
      <c r="E10" s="122">
        <f>IF(C10=0,"",(B10-C10)/C10)</f>
        <v/>
      </c>
      <c r="F10" s="4" t="n"/>
      <c r="G10" s="4" t="n"/>
      <c r="H10" s="4" t="n"/>
    </row>
    <row r="11">
      <c r="A11" s="74" t="inlineStr">
        <is>
          <t>DETTES FOURNISSEURS ET ASSIMILÉES</t>
        </is>
      </c>
      <c r="B11" s="75">
        <f>SUM(B9:B10)</f>
        <v/>
      </c>
      <c r="C11" s="75">
        <f>SUM(C9:C10)</f>
        <v/>
      </c>
      <c r="D11" s="75">
        <f>B11-C11</f>
        <v/>
      </c>
      <c r="E11" s="123">
        <f>IF(C11=0,"",(B11-C11)/C11)</f>
        <v/>
      </c>
      <c r="F11" s="75" t="n"/>
      <c r="G11" s="75" t="n"/>
      <c r="H11" s="75" t="n"/>
    </row>
    <row r="12">
      <c r="A12" s="4" t="inlineStr">
        <is>
          <t>Personnel, rémunérations dues</t>
        </is>
      </c>
      <c r="B12" s="5">
        <f>SUMIF('BALANCE N'!$A$2:$A$50,"422*",'BALANCE N'!$G$2:$G$50)</f>
        <v/>
      </c>
      <c r="C12" s="5">
        <f>SUMIF('BALANCE N-1'!$A$2:$A$50,"422*",'BALANCE N-1'!$G$2:$G$50)</f>
        <v/>
      </c>
      <c r="D12" s="5">
        <f>B12-C12</f>
        <v/>
      </c>
      <c r="E12" s="122">
        <f>IF(C12=0,"",(B12-C12)/C12)</f>
        <v/>
      </c>
      <c r="F12" s="4" t="n"/>
      <c r="G12" s="4" t="n"/>
      <c r="H12" s="4" t="n"/>
    </row>
    <row r="13">
      <c r="A13" s="4" t="inlineStr">
        <is>
          <t>Personnel, congés à payer</t>
        </is>
      </c>
      <c r="B13" s="5">
        <f>SUMIF('BALANCE N'!$A$2:$A$50,"4281*",'BALANCE N'!$G$2:$G$50)</f>
        <v/>
      </c>
      <c r="C13" s="5">
        <f>SUMIF('BALANCE N-1'!$A$2:$A$50,"4281*",'BALANCE N-1'!$G$2:$G$50)</f>
        <v/>
      </c>
      <c r="D13" s="5">
        <f>B13-C13</f>
        <v/>
      </c>
      <c r="E13" s="122">
        <f>IF(C13=0,"",(B13-C13)/C13)</f>
        <v/>
      </c>
      <c r="F13" s="4" t="n"/>
      <c r="G13" s="4" t="n"/>
      <c r="H13" s="4" t="n"/>
    </row>
    <row r="14">
      <c r="A14" s="4" t="inlineStr">
        <is>
          <t>Charges sociales sur congés à payer</t>
        </is>
      </c>
      <c r="B14" s="5">
        <f>SUMIF('BALANCE N'!$A$2:$A$50,"4382*",'BALANCE N'!$G$2:$G$50)</f>
        <v/>
      </c>
      <c r="C14" s="5">
        <f>SUMIF('BALANCE N-1'!$A$2:$A$50,"4382*",'BALANCE N-1'!$G$2:$G$50)</f>
        <v/>
      </c>
      <c r="D14" s="5">
        <f>B14-C14</f>
        <v/>
      </c>
      <c r="E14" s="122">
        <f>IF(C14=0,"",(B14-C14)/C14)</f>
        <v/>
      </c>
      <c r="F14" s="4" t="n"/>
      <c r="G14" s="4" t="n"/>
      <c r="H14" s="4" t="n"/>
    </row>
    <row r="15">
      <c r="A15" s="4" t="inlineStr">
        <is>
          <t>Autres personnel</t>
        </is>
      </c>
      <c r="B15" s="5">
        <f>SUMIF('BALANCE N'!$A$2:$A$50,"421*",'BALANCE N'!$G$2:$G$50)+SUMIF('BALANCE N'!$A$2:$A$50,"423*",'BALANCE N'!$G$2:$G$50)+SUMIF('BALANCE N'!$A$2:$A$50,"427*",'BALANCE N'!$G$2:$G$50)+SUMIF('BALANCE N'!$A$2:$A$50,"424*",'BALANCE N'!$G$2:$G$50)+SUMIF('BALANCE N'!$A$2:$A$50,"425*",'BALANCE N'!$G$2:$G$50)+SUMIF('BALANCE N'!$A$2:$A$50,"428*",'BALANCE N'!$G$2:$G$50)-SUMIF('BALANCE N'!$A$2:$A$50,"4281*",'BALANCE N'!$G$2:$G$50)</f>
        <v/>
      </c>
      <c r="C15" s="5">
        <f>SUMIF('BALANCE N-1'!$A$2:$A$50,"421*",'BALANCE N-1'!$G$2:$G$50)+SUMIF('BALANCE N-1'!$A$2:$A$50,"423*",'BALANCE N-1'!$G$2:$G$50)+SUMIF('BALANCE N-1'!$A$2:$A$50,"427*",'BALANCE N-1'!$G$2:$G$50)+SUMIF('BALANCE N-1'!$A$2:$A$50,"424*",'BALANCE N-1'!$G$2:$G$50)+SUMIF('BALANCE N-1'!$A$2:$A$50,"425*",'BALANCE N-1'!$G$2:$G$50)+SUMIF('BALANCE N-1'!$A$2:$A$50,"428*",'BALANCE N-1'!$G$2:$G$50)-SUMIF('BALANCE N-1'!$A$2:$A$50,"4281*",'BALANCE N-1'!$G$2:$G$50)</f>
        <v/>
      </c>
      <c r="D15" s="5">
        <f>B15-C15</f>
        <v/>
      </c>
      <c r="E15" s="122">
        <f>IF(C15=0,"",(B15-C15)/C15)</f>
        <v/>
      </c>
      <c r="F15" s="4" t="n"/>
      <c r="G15" s="4" t="n"/>
      <c r="H15" s="4" t="n"/>
    </row>
    <row r="16">
      <c r="A16" s="4" t="inlineStr">
        <is>
          <t>Caisse de sécurité sociale</t>
        </is>
      </c>
      <c r="B16" s="5">
        <f>SUMIF('BALANCE N'!$A$2:$A$50,"431*",'BALANCE N'!$G$2:$G$50)</f>
        <v/>
      </c>
      <c r="C16" s="5">
        <f>SUMIF('BALANCE N-1'!$A$2:$A$50,"431*",'BALANCE N-1'!$G$2:$G$50)</f>
        <v/>
      </c>
      <c r="D16" s="5">
        <f>B16-C16</f>
        <v/>
      </c>
      <c r="E16" s="122">
        <f>IF(C16=0,"",(B16-C16)/C16)</f>
        <v/>
      </c>
      <c r="F16" s="4" t="n"/>
      <c r="G16" s="4" t="n"/>
      <c r="H16" s="4" t="n"/>
    </row>
    <row r="17">
      <c r="A17" s="4" t="inlineStr">
        <is>
          <t>Caisse de retraite</t>
        </is>
      </c>
      <c r="B17" s="5">
        <f>SUMIF('BALANCE N'!$A$2:$A$50,"432*",'BALANCE N'!$G$2:$G$50)</f>
        <v/>
      </c>
      <c r="C17" s="5">
        <f>SUMIF('BALANCE N-1'!$A$2:$A$50,"432*",'BALANCE N-1'!$G$2:$G$50)</f>
        <v/>
      </c>
      <c r="D17" s="5">
        <f>B17-C17</f>
        <v/>
      </c>
      <c r="E17" s="122">
        <f>IF(C17=0,"",(B17-C17)/C17)</f>
        <v/>
      </c>
      <c r="F17" s="4" t="n"/>
      <c r="G17" s="4" t="n"/>
      <c r="H17" s="4" t="n"/>
    </row>
    <row r="18">
      <c r="A18" s="4" t="inlineStr">
        <is>
          <t>Mutuelle de santé</t>
        </is>
      </c>
      <c r="B18" s="5">
        <f>SUMIF('BALANCE N'!$A$2:$A$50,"4331*",'BALANCE N'!$G$2:$G$50)</f>
        <v/>
      </c>
      <c r="C18" s="5">
        <f>SUMIF('BALANCE N-1'!$A$2:$A$50,"4331*",'BALANCE N-1'!$G$2:$G$50)</f>
        <v/>
      </c>
      <c r="D18" s="5">
        <f>B18-C18</f>
        <v/>
      </c>
      <c r="E18" s="122">
        <f>IF(C18=0,"",(B18-C18)/C18)</f>
        <v/>
      </c>
      <c r="F18" s="4" t="n"/>
      <c r="G18" s="4" t="n"/>
      <c r="H18" s="4" t="n"/>
    </row>
    <row r="19">
      <c r="A19" s="4" t="inlineStr">
        <is>
          <t>Assurance retraite</t>
        </is>
      </c>
      <c r="B19" s="5">
        <f>SUMIF('BALANCE N'!$A$2:$A$50,"4332*",'BALANCE N'!$G$2:$G$50)</f>
        <v/>
      </c>
      <c r="C19" s="5">
        <f>SUMIF('BALANCE N-1'!$A$2:$A$50,"4332*",'BALANCE N-1'!$G$2:$G$50)</f>
        <v/>
      </c>
      <c r="D19" s="5">
        <f>B19-C19</f>
        <v/>
      </c>
      <c r="E19" s="122">
        <f>IF(C19=0,"",(B19-C19)/C19)</f>
        <v/>
      </c>
      <c r="F19" s="4" t="n"/>
      <c r="G19" s="4" t="n"/>
      <c r="H19" s="4" t="n"/>
    </row>
    <row r="20">
      <c r="A20" s="4" t="inlineStr">
        <is>
          <t>Autres charges sociales et cotisations</t>
        </is>
      </c>
      <c r="B20" s="5">
        <f>SUMIF('BALANCE N'!$A$2:$A$50,"438*",'BALANCE N'!$G$2:$G$50)+SUMIF('BALANCE N'!$A$2:$A$50,"4333*",'BALANCE N'!$G$2:$G$50)-SUMIF('BALANCE N'!$A$2:$A$50,"4382*",'BALANCE N'!$G$2:$G$50)</f>
        <v/>
      </c>
      <c r="C20" s="5">
        <f>SUMIF('BALANCE N-1'!$A$2:$A$50,"438*",'BALANCE N-1'!$G$2:$G$50)+SUMIF('BALANCE N-1'!$A$2:$A$50,"4333*",'BALANCE N-1'!$G$2:$G$50)-SUMIF('BALANCE N-1'!$A$2:$A$50,"4382*",'BALANCE N-1'!$G$2:$G$50)</f>
        <v/>
      </c>
      <c r="D20" s="5">
        <f>B20-C20</f>
        <v/>
      </c>
      <c r="E20" s="122">
        <f>IF(C20=0,"",(B20-C20)/C20)</f>
        <v/>
      </c>
      <c r="F20" s="4" t="n"/>
      <c r="G20" s="4" t="n"/>
      <c r="H20" s="4" t="n"/>
    </row>
    <row r="21">
      <c r="A21" s="74" t="inlineStr">
        <is>
          <t>TOTAL DETTES SOCIALES</t>
        </is>
      </c>
      <c r="B21" s="75">
        <f>SUM(B12:B20)</f>
        <v/>
      </c>
      <c r="C21" s="75">
        <f>SUM(C12:C20)</f>
        <v/>
      </c>
      <c r="D21" s="75">
        <f>B21-C21</f>
        <v/>
      </c>
      <c r="E21" s="123">
        <f>IF(C21=0,"",(B21-C21)/C21)</f>
        <v/>
      </c>
      <c r="F21" s="75" t="n"/>
      <c r="G21" s="75" t="n"/>
      <c r="H21" s="75" t="n"/>
    </row>
    <row r="22">
      <c r="A22" s="4" t="inlineStr">
        <is>
          <t>État, autres impôts et taxes</t>
        </is>
      </c>
      <c r="B22" s="5">
        <f>SUMIF('BALANCE N'!$A$2:$A$50,"446*",'BALANCE N'!$G$2:$G$50)+SUMIF('BALANCE N'!$A$2:$A$50,"442*",'BALANCE N'!$G$2:$G$50)</f>
        <v/>
      </c>
      <c r="C22" s="5">
        <f>SUMIF('BALANCE N-1'!$A$2:$A$50,"446*",'BALANCE N-1'!$G$2:$G$50)+SUMIF('BALANCE N-1'!$A$2:$A$50,"442*",'BALANCE N-1'!$G$2:$G$50)</f>
        <v/>
      </c>
      <c r="D22" s="5">
        <f>B22-C22</f>
        <v/>
      </c>
      <c r="E22" s="122">
        <f>IF(C22=0,"",(B22-C22)/C22)</f>
        <v/>
      </c>
      <c r="F22" s="4" t="n"/>
      <c r="G22" s="4" t="n"/>
      <c r="H22" s="4" t="n"/>
    </row>
    <row r="23">
      <c r="A23" s="4" t="inlineStr">
        <is>
          <t>État, TVA</t>
        </is>
      </c>
      <c r="B23" s="5">
        <f>SUMIF('BALANCE N'!$A$2:$A$50,"443*",'BALANCE N'!$G$2:$G$50)+SUMIF('BALANCE N'!$A$2:$A$50,"444*",'BALANCE N'!$G$2:$G$50)+SUMIF('BALANCE N'!$A$2:$A$50,"445*",'BALANCE N'!$G$2:$G$50)</f>
        <v/>
      </c>
      <c r="C23" s="5">
        <f>SUMIF('BALANCE N-1'!$A$2:$A$50,"443*",'BALANCE N-1'!$G$2:$G$50)+SUMIF('BALANCE N-1'!$A$2:$A$50,"444*",'BALANCE N-1'!$G$2:$G$50)+SUMIF('BALANCE N-1'!$A$2:$A$50,"445*",'BALANCE N-1'!$G$2:$G$50)</f>
        <v/>
      </c>
      <c r="D23" s="5">
        <f>B23-C23</f>
        <v/>
      </c>
      <c r="E23" s="122">
        <f>IF(C23=0,"",(B23-C23)/C23)</f>
        <v/>
      </c>
      <c r="F23" s="4" t="n"/>
      <c r="G23" s="4" t="n"/>
      <c r="H23" s="4" t="n"/>
    </row>
    <row r="24">
      <c r="A24" s="4" t="inlineStr">
        <is>
          <t>État, impôts retenus à la source</t>
        </is>
      </c>
      <c r="B24" s="5">
        <f>SUMIF('BALANCE N'!$A$2:$A$50,"447*",'BALANCE N'!$G$2:$G$50)</f>
        <v/>
      </c>
      <c r="C24" s="5">
        <f>SUMIF('BALANCE N-1'!$A$2:$A$50,"447*",'BALANCE N-1'!$G$2:$G$50)</f>
        <v/>
      </c>
      <c r="D24" s="5">
        <f>B24-C24</f>
        <v/>
      </c>
      <c r="E24" s="122">
        <f>IF(C24=0,"",(B24-C24)/C24)</f>
        <v/>
      </c>
      <c r="F24" s="4" t="n"/>
      <c r="G24" s="4" t="n"/>
      <c r="H24" s="4" t="n"/>
    </row>
    <row r="25">
      <c r="A25" s="4" t="inlineStr">
        <is>
          <t>Autres dettes État</t>
        </is>
      </c>
      <c r="B25" s="5">
        <f>SUMIF('BALANCE N'!$A$2:$A$50,"448*",'BALANCE N'!$G$2:$G$50)+SUMIF('BALANCE N'!$A$2:$A$50,"449*",'BALANCE N'!$G$2:$G$50)</f>
        <v/>
      </c>
      <c r="C25" s="5">
        <f>SUMIF('BALANCE N-1'!$A$2:$A$50,"448*",'BALANCE N-1'!$G$2:$G$50)+SUMIF('BALANCE N-1'!$A$2:$A$50,"449*",'BALANCE N-1'!$G$2:$G$50)</f>
        <v/>
      </c>
      <c r="D25" s="5">
        <f>B25-C25</f>
        <v/>
      </c>
      <c r="E25" s="122">
        <f>IF(C25=0,"",(B25-C25)/C25)</f>
        <v/>
      </c>
      <c r="F25" s="4" t="n"/>
      <c r="G25" s="4" t="n"/>
      <c r="H25" s="4" t="n"/>
    </row>
    <row r="26">
      <c r="A26" s="74" t="inlineStr">
        <is>
          <t>TOTAL DETTES FISCALES</t>
        </is>
      </c>
      <c r="B26" s="75">
        <f>SUM(B22:B25)</f>
        <v/>
      </c>
      <c r="C26" s="75">
        <f>SUM(C22:C25)</f>
        <v/>
      </c>
      <c r="D26" s="75">
        <f>B26-C26</f>
        <v/>
      </c>
      <c r="E26" s="123">
        <f>IF(C26=0,"",(B26-C26)/C26)</f>
        <v/>
      </c>
      <c r="F26" s="75" t="n"/>
      <c r="G26" s="75" t="n"/>
      <c r="H26" s="75" t="n"/>
    </row>
    <row r="27">
      <c r="A27" s="74" t="inlineStr">
        <is>
          <t>TOTAL DETTES FOURNISSEURS ET ASSIMILÉES, FISCALES ET SOCIALES</t>
        </is>
      </c>
      <c r="B27" s="75">
        <f>B11+B21+B26</f>
        <v/>
      </c>
      <c r="C27" s="75">
        <f>C11+C21+C26</f>
        <v/>
      </c>
      <c r="D27" s="75">
        <f>B27-C27</f>
        <v/>
      </c>
      <c r="E27" s="123">
        <f>IF(C27=0,"",(B27-C27)/C27)</f>
        <v/>
      </c>
      <c r="F27" s="75" t="n"/>
      <c r="G27" s="75" t="n"/>
      <c r="H27" s="75" t="n"/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- 24 -</t>
        </is>
      </c>
    </row>
    <row r="2" ht="26" customHeight="1">
      <c r="D2" s="49" t="inlineStr">
        <is>
          <t>NOTE 13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13 : BANQUES, CRÉDIT D'ESCOMPTE ET DE TRÉSORERIE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Escomptes de crédits ordinaires</t>
        </is>
      </c>
      <c r="B9" s="5">
        <f>SUMIF('BALANCE N'!$A$2:$A$50,"565*",'BALANCE N'!$G$2:$G$50)</f>
        <v/>
      </c>
      <c r="C9" s="5">
        <f>SUMIF('BALANCE N-1'!$A$2:$A$50,"565*",'BALANCE N-1'!$G$2:$G$50)</f>
        <v/>
      </c>
      <c r="D9" s="5">
        <f>B9-C9</f>
        <v/>
      </c>
      <c r="E9" s="122">
        <f>IF(C9=0,"",(B9-C9)/C9)</f>
        <v/>
      </c>
    </row>
    <row r="10">
      <c r="A10" s="74" t="inlineStr">
        <is>
          <t>TOTAL : BANQUES, CRÉDITS D'ESCOMPTE</t>
        </is>
      </c>
      <c r="B10" s="75">
        <f>SUM(B9:B9)</f>
        <v/>
      </c>
      <c r="C10" s="75">
        <f>SUM(C9:C9)</f>
        <v/>
      </c>
      <c r="D10" s="75">
        <f>B10-C10</f>
        <v/>
      </c>
      <c r="E10" s="123">
        <f>IF(C10=0,"",(B10-C10)/C10)</f>
        <v/>
      </c>
    </row>
    <row r="11">
      <c r="A11" s="4" t="inlineStr">
        <is>
          <t>Banques locales</t>
        </is>
      </c>
      <c r="B11" s="5">
        <f>SUMIF('BALANCE N'!$A$2:$A$50,"521*",'BALANCE N'!$G$2:$G$50)</f>
        <v/>
      </c>
      <c r="C11" s="5">
        <f>SUMIF('BALANCE N-1'!$A$2:$A$50,"521*",'BALANCE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Banques autres États région</t>
        </is>
      </c>
      <c r="B12" s="5">
        <f>SUMIF('BALANCE N'!$A$2:$A$50,"522*",'BALANCE N'!$G$2:$G$50)</f>
        <v/>
      </c>
      <c r="C12" s="5">
        <f>SUMIF('BALANCE N-1'!$A$2:$A$50,"522*",'BALANCE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Autres banques</t>
        </is>
      </c>
      <c r="B13" s="5">
        <f>SUMIF('BALANCE N'!$A$2:$A$50,"524*",'BALANCE N'!$G$2:$G$50)+SUMIF('BALANCE N'!$A$2:$A$50,"525*",'BALANCE N'!$G$2:$G$50)+SUMIF('BALANCE N'!$A$2:$A$50,"523*",'BALANCE N'!$G$2:$G$50)</f>
        <v/>
      </c>
      <c r="C13" s="5">
        <f>SUMIF('BALANCE N-1'!$A$2:$A$50,"524*",'BALANCE N-1'!$G$2:$G$50)+SUMIF('BALANCE N-1'!$A$2:$A$50,"525*",'BALANCE N-1'!$G$2:$G$50)+SUMIF('BALANCE N-1'!$A$2:$A$50,"523*",'BALANCE N-1'!$G$2:$G$50)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Banques, intérêts courus</t>
        </is>
      </c>
      <c r="B14" s="5">
        <f>SUMIF('BALANCE N'!$A$2:$A$50,"566*",'BALANCE N'!$G$2:$G$50)+SUMIF('BALANCE N'!$A$2:$A$50,"526*",'BALANCE N'!$G$2:$G$50)</f>
        <v/>
      </c>
      <c r="C14" s="5">
        <f>SUMIF('BALANCE N-1'!$A$2:$A$50,"566*",'BALANCE N-1'!$G$2:$G$50)+SUMIF('BALANCE N-1'!$A$2:$A$50,"526*",'BALANCE N-1'!$G$2:$G$50)</f>
        <v/>
      </c>
      <c r="D14" s="5">
        <f>B14-C14</f>
        <v/>
      </c>
      <c r="E14" s="122">
        <f>IF(C14=0,"",(B14-C14)/C14)</f>
        <v/>
      </c>
    </row>
    <row r="15">
      <c r="A15" s="4" t="inlineStr">
        <is>
          <t>Crédit de trésorerie</t>
        </is>
      </c>
      <c r="B15" s="5">
        <f>SUMIF('BALANCE N'!$A$2:$A$50,"561*",'BALANCE N'!$G$2:$G$50)</f>
        <v/>
      </c>
      <c r="C15" s="5">
        <f>SUMIF('BALANCE N-1'!$A$2:$A$50,"561*",'BALANCE N-1'!$G$2:$G$50)</f>
        <v/>
      </c>
      <c r="D15" s="5">
        <f>B15-C15</f>
        <v/>
      </c>
      <c r="E15" s="122">
        <f>IF(C15=0,"",(B15-C15)/C15)</f>
        <v/>
      </c>
    </row>
    <row r="16">
      <c r="A16" s="74" t="inlineStr">
        <is>
          <t>TOTAL : BANQUES, CRÉDITS DE TRÉSORERIE</t>
        </is>
      </c>
      <c r="B16" s="75">
        <f>SUM(B11:B15)</f>
        <v/>
      </c>
      <c r="C16" s="75">
        <f>SUM(C11:C15)</f>
        <v/>
      </c>
      <c r="D16" s="75">
        <f>B16-C16</f>
        <v/>
      </c>
      <c r="E16" s="123">
        <f>IF(C16=0,"",(B16-C16)/C16)</f>
        <v/>
      </c>
    </row>
    <row r="17">
      <c r="A17" s="74" t="inlineStr">
        <is>
          <t>TOTAL GÉNÉRAL</t>
        </is>
      </c>
      <c r="B17" s="75">
        <f>B10+B16</f>
        <v/>
      </c>
      <c r="C17" s="75">
        <f>C10+C16</f>
        <v/>
      </c>
      <c r="D17" s="75">
        <f>B17-C17</f>
        <v/>
      </c>
      <c r="E17" s="123">
        <f>IF(C17=0,"",(B17-C17)/C17)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- 25 -</t>
        </is>
      </c>
    </row>
    <row r="2" ht="26" customHeight="1">
      <c r="D2" s="49" t="inlineStr">
        <is>
          <t>NOTE 14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14 : REVENUS ET AUTRES PRODUITS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Fonds d'administration consommés</t>
        </is>
      </c>
      <c r="B9" s="5">
        <f>SUMIF('BALANCE N'!$A$2:$A$50,"702*",'BALANCE N'!$G$2:$G$50)-SUMIF('BALANCE N'!$A$2:$A$50,"702*",'BALANCE N'!$F$2:$F$50)</f>
        <v/>
      </c>
      <c r="C9" s="5">
        <f>SUMIF('BALANCE N-1'!$A$2:$A$50,"702*",'BALANCE N-1'!$G$2:$G$50)-SUMIF('BALANCE N-1'!$A$2:$A$50,"702*",'BALANCE N-1'!$F$2:$F$50)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Ventes de marchandises, produits fabriqués, travaux et services</t>
        </is>
      </c>
      <c r="B10" s="5">
        <f>SUMIF('BALANCE N'!$A$2:$A$50,"705*",'BALANCE N'!$G$2:$G$50)-SUMIF('BALANCE N'!$A$2:$A$50,"705*",'BALANCE N'!$F$2:$F$50)</f>
        <v/>
      </c>
      <c r="C10" s="5">
        <f>SUMIF('BALANCE N-1'!$A$2:$A$50,"705*",'BALANCE N-1'!$G$2:$G$50)-SUMIF('BALANCE N-1'!$A$2:$A$50,"705*",'BALANCE N-1'!$F$2:$F$50)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Produits accessoires</t>
        </is>
      </c>
      <c r="B11" s="5">
        <f>SUMIF('BALANCE N'!$A$2:$A$50,"707*",'BALANCE N'!$G$2:$G$50)-SUMIF('BALANCE N'!$A$2:$A$50,"707*",'BALANCE N'!$F$2:$F$50)</f>
        <v/>
      </c>
      <c r="C11" s="5">
        <f>SUMIF('BALANCE N-1'!$A$2:$A$50,"707*",'BALANCE N-1'!$G$2:$G$50)-SUMIF('BALANCE N-1'!$A$2:$A$50,"707*",'BALANCE N-1'!$F$2:$F$50)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Production immobilisée</t>
        </is>
      </c>
      <c r="B12" s="5">
        <f>SUMIF('BALANCE N'!$A$2:$A$50,"72*",'BALANCE N'!$G$2:$G$50)-SUMIF('BALANCE N'!$A$2:$A$50,"72*",'BALANCE N'!$F$2:$F$50)</f>
        <v/>
      </c>
      <c r="C12" s="5">
        <f>SUMIF('BALANCE N-1'!$A$2:$A$50,"72*",'BALANCE N-1'!$G$2:$G$50)-SUMIF('BALANCE N-1'!$A$2:$A$50,"72*",'BALANCE N-1'!$F$2:$F$50)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Subventions d'exploitation</t>
        </is>
      </c>
      <c r="B13" s="5">
        <f>SUMIF('BALANCE N'!$A$2:$A$50,"71*",'BALANCE N'!$G$2:$G$50)-SUMIF('BALANCE N'!$A$2:$A$50,"71*",'BALANCE N'!$F$2:$F$50)</f>
        <v/>
      </c>
      <c r="C13" s="5">
        <f>SUMIF('BALANCE N-1'!$A$2:$A$50,"71*",'BALANCE N-1'!$G$2:$G$50)-SUMIF('BALANCE N-1'!$A$2:$A$50,"71*",'BALANCE N-1'!$F$2:$F$50)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Autres produits et transferts de charges d'exploitation</t>
        </is>
      </c>
      <c r="B14" s="5">
        <f>SUMIF('BALANCE N'!$A$2:$A$50,"75*",'BALANCE N'!$G$2:$G$50)-SUMIF('BALANCE N'!$A$2:$A$50,"75*",'BALANCE N'!$F$2:$F$50)+SUMIF('BALANCE N'!$A$2:$A$50,"78*",'BALANCE N'!$G$2:$G$50)-SUMIF('BALANCE N'!$A$2:$A$50,"78*",'BALANCE N'!$F$2:$F$50)+SUMIF('BALANCE N'!$A$2:$A$50,"73*",'BALANCE N'!$G$2:$G$50)-SUMIF('BALANCE N'!$A$2:$A$50,"73*",'BALANCE N'!$F$2:$F$50)+SUMIF('BALANCE N'!$A$2:$A$50,"77*",'BALANCE N'!$G$2:$G$50)-SUMIF('BALANCE N'!$A$2:$A$50,"77*",'BALANCE N'!$F$2:$F$50)+SUMIF('BALANCE N'!$A$2:$A$50,"706*",'BALANCE N'!$G$2:$G$50)-SUMIF('BALANCE N'!$A$2:$A$50,"706*",'BALANCE N'!$F$2:$F$50)+SUMIF('BALANCE N'!$A$2:$A$50,"708*",'BALANCE N'!$G$2:$G$50)-SUMIF('BALANCE N'!$A$2:$A$50,"708*",'BALANCE N'!$F$2:$F$50)</f>
        <v/>
      </c>
      <c r="C14" s="5">
        <f>SUMIF('BALANCE N-1'!$A$2:$A$50,"75*",'BALANCE N-1'!$G$2:$G$50)-SUMIF('BALANCE N-1'!$A$2:$A$50,"75*",'BALANCE N-1'!$F$2:$F$50)+SUMIF('BALANCE N-1'!$A$2:$A$50,"78*",'BALANCE N-1'!$G$2:$G$50)-SUMIF('BALANCE N-1'!$A$2:$A$50,"78*",'BALANCE N-1'!$F$2:$F$50)+SUMIF('BALANCE N-1'!$A$2:$A$50,"73*",'BALANCE N-1'!$G$2:$G$50)-SUMIF('BALANCE N-1'!$A$2:$A$50,"73*",'BALANCE N-1'!$F$2:$F$50)+SUMIF('BALANCE N-1'!$A$2:$A$50,"77*",'BALANCE N-1'!$G$2:$G$50)-SUMIF('BALANCE N-1'!$A$2:$A$50,"77*",'BALANCE N-1'!$F$2:$F$50)+SUMIF('BALANCE N-1'!$A$2:$A$50,"706*",'BALANCE N-1'!$G$2:$G$50)-SUMIF('BALANCE N-1'!$A$2:$A$50,"706*",'BALANCE N-1'!$F$2:$F$50)+SUMIF('BALANCE N-1'!$A$2:$A$50,"708*",'BALANCE N-1'!$G$2:$G$50)-SUMIF('BALANCE N-1'!$A$2:$A$50,"708*",'BALANCE N-1'!$F$2:$F$50)</f>
        <v/>
      </c>
      <c r="D14" s="5">
        <f>B14-C14</f>
        <v/>
      </c>
      <c r="E14" s="122">
        <f>IF(C14=0,"",(B14-C14)/C14)</f>
        <v/>
      </c>
    </row>
    <row r="15">
      <c r="A15" s="74" t="inlineStr">
        <is>
          <t>TOTAL : REVENUS ET AUTRES PRODUITS</t>
        </is>
      </c>
      <c r="B15" s="75">
        <f>SUM(B9:B14)</f>
        <v/>
      </c>
      <c r="C15" s="75">
        <f>SUM(C9:C14)</f>
        <v/>
      </c>
      <c r="D15" s="75">
        <f>B15-C15</f>
        <v/>
      </c>
      <c r="E15" s="123">
        <f>IF(C15=0,"",(B15-C15)/C15)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- 26 -</t>
        </is>
      </c>
    </row>
    <row r="2" ht="26" customHeight="1">
      <c r="D2" s="49" t="inlineStr">
        <is>
          <t>NOTE 15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15 : ACHATS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Achats de biens et services liés à l'activité</t>
        </is>
      </c>
      <c r="B9" s="5">
        <f>SUMIF('BALANCE N'!$A$2:$A$50,"601*",'BALANCE N'!$F$2:$F$50)-SUMIF('BALANCE N'!$A$2:$A$50,"601*",'BALANCE N'!$G$2:$G$50)</f>
        <v/>
      </c>
      <c r="C9" s="5">
        <f>SUMIF('BALANCE N-1'!$A$2:$A$50,"601*",'BALANCE N-1'!$F$2:$F$50)-SUMIF('BALANCE N-1'!$A$2:$A$50,"601*",'BALANCE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Achats de marchandises et matières premières</t>
        </is>
      </c>
      <c r="B10" s="5">
        <f>SUMIF('BALANCE N'!$A$2:$A$50,"602*",'BALANCE N'!$F$2:$F$50)-SUMIF('BALANCE N'!$A$2:$A$50,"602*",'BALANCE N'!$G$2:$G$50)</f>
        <v/>
      </c>
      <c r="C10" s="5">
        <f>SUMIF('BALANCE N-1'!$A$2:$A$50,"602*",'BALANCE N-1'!$F$2:$F$50)-SUMIF('BALANCE N-1'!$A$2:$A$50,"602*",'BALANCE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Matières et fournitures consommables</t>
        </is>
      </c>
      <c r="B11" s="5">
        <f>SUMIF('BALANCE N'!$A$2:$A$50,"604*",'BALANCE N'!$F$2:$F$50)-SUMIF('BALANCE N'!$A$2:$A$50,"604*",'BALANCE N'!$G$2:$G$50)</f>
        <v/>
      </c>
      <c r="C11" s="5">
        <f>SUMIF('BALANCE N-1'!$A$2:$A$50,"604*",'BALANCE N-1'!$F$2:$F$50)-SUMIF('BALANCE N-1'!$A$2:$A$50,"604*",'BALANCE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Eau, électricité, énergies et fournitures non stockées</t>
        </is>
      </c>
      <c r="B12" s="5">
        <f>SUMIF('BALANCE N'!$A$2:$A$50,"605*",'BALANCE N'!$F$2:$F$50)-SUMIF('BALANCE N'!$A$2:$A$50,"605*",'BALANCE N'!$G$2:$G$50)</f>
        <v/>
      </c>
      <c r="C12" s="5">
        <f>SUMIF('BALANCE N-1'!$A$2:$A$50,"605*",'BALANCE N-1'!$F$2:$F$50)-SUMIF('BALANCE N-1'!$A$2:$A$50,"605*",'BALANCE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Achats autres activités</t>
        </is>
      </c>
      <c r="B13" s="5">
        <f>SUMIF('BALANCE N'!$A$2:$A$50,"606*",'BALANCE N'!$F$2:$F$50)-SUMIF('BALANCE N'!$A$2:$A$50,"606*",'BALANCE N'!$G$2:$G$50)</f>
        <v/>
      </c>
      <c r="C13" s="5">
        <f>SUMIF('BALANCE N-1'!$A$2:$A$50,"606*",'BALANCE N-1'!$F$2:$F$50)-SUMIF('BALANCE N-1'!$A$2:$A$50,"606*",'BALANCE N-1'!$G$2:$G$50)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Achats d'emballages</t>
        </is>
      </c>
      <c r="B14" s="5">
        <f>SUMIF('BALANCE N'!$A$2:$A$50,"608*",'BALANCE N'!$F$2:$F$50)-SUMIF('BALANCE N'!$A$2:$A$50,"608*",'BALANCE N'!$G$2:$G$50)</f>
        <v/>
      </c>
      <c r="C14" s="5">
        <f>SUMIF('BALANCE N-1'!$A$2:$A$50,"608*",'BALANCE N-1'!$F$2:$F$50)-SUMIF('BALANCE N-1'!$A$2:$A$50,"608*",'BALANCE N-1'!$G$2:$G$50)</f>
        <v/>
      </c>
      <c r="D14" s="5">
        <f>B14-C14</f>
        <v/>
      </c>
      <c r="E14" s="122">
        <f>IF(C14=0,"",(B14-C14)/C14)</f>
        <v/>
      </c>
    </row>
    <row r="15">
      <c r="A15" s="74" t="inlineStr">
        <is>
          <t>TOTAL ACHATS</t>
        </is>
      </c>
      <c r="B15" s="75">
        <f>SUM(B9:B14)</f>
        <v/>
      </c>
      <c r="C15" s="75">
        <f>SUM(C9:C14)</f>
        <v/>
      </c>
      <c r="D15" s="75">
        <f>B15-C15</f>
        <v/>
      </c>
      <c r="E15" s="123">
        <f>IF(C15=0,"",(B15-C15)/C15)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- 27 -</t>
        </is>
      </c>
    </row>
    <row r="2" ht="26" customHeight="1">
      <c r="D2" s="49" t="inlineStr">
        <is>
          <t>NOTE 16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16 : TRANSPORTS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Transports sur ventes</t>
        </is>
      </c>
      <c r="B9" s="5">
        <f>SUMIF('BALANCE N'!$A$2:$A$50,"612*",'BALANCE N'!$F$2:$F$50)-SUMIF('BALANCE N'!$A$2:$A$50,"612*",'BALANCE N'!$G$2:$G$50)</f>
        <v/>
      </c>
      <c r="C9" s="5">
        <f>SUMIF('BALANCE N-1'!$A$2:$A$50,"612*",'BALANCE N-1'!$F$2:$F$50)-SUMIF('BALANCE N-1'!$A$2:$A$50,"612*",'BALANCE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Transports pour le compte de tiers</t>
        </is>
      </c>
      <c r="B10" s="5">
        <f>SUMIF('BALANCE N'!$A$2:$A$50,"613*",'BALANCE N'!$F$2:$F$50)-SUMIF('BALANCE N'!$A$2:$A$50,"613*",'BALANCE N'!$G$2:$G$50)</f>
        <v/>
      </c>
      <c r="C10" s="5">
        <f>SUMIF('BALANCE N-1'!$A$2:$A$50,"613*",'BALANCE N-1'!$F$2:$F$50)-SUMIF('BALANCE N-1'!$A$2:$A$50,"613*",'BALANCE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Transport du personnel</t>
        </is>
      </c>
      <c r="B11" s="5">
        <f>SUMIF('BALANCE N'!$A$2:$A$50,"614*",'BALANCE N'!$F$2:$F$50)-SUMIF('BALANCE N'!$A$2:$A$50,"614*",'BALANCE N'!$G$2:$G$50)</f>
        <v/>
      </c>
      <c r="C11" s="5">
        <f>SUMIF('BALANCE N-1'!$A$2:$A$50,"614*",'BALANCE N-1'!$F$2:$F$50)-SUMIF('BALANCE N-1'!$A$2:$A$50,"614*",'BALANCE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Transports de plis</t>
        </is>
      </c>
      <c r="B12" s="5">
        <f>SUMIF('BALANCE N'!$A$2:$A$50,"616*",'BALANCE N'!$F$2:$F$50)-SUMIF('BALANCE N'!$A$2:$A$50,"616*",'BALANCE N'!$G$2:$G$50)</f>
        <v/>
      </c>
      <c r="C12" s="5">
        <f>SUMIF('BALANCE N-1'!$A$2:$A$50,"616*",'BALANCE N-1'!$F$2:$F$50)-SUMIF('BALANCE N-1'!$A$2:$A$50,"616*",'BALANCE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Voyages, déplacements et autres frais de transport</t>
        </is>
      </c>
      <c r="B13" s="5">
        <f>SUMIF('BALANCE N'!$A$2:$A$50,"618*",'BALANCE N'!$F$2:$F$50)-SUMIF('BALANCE N'!$A$2:$A$50,"618*",'BALANCE N'!$G$2:$G$50)+SUMIF('BALANCE N'!$A$2:$A$50,"619*",'BALANCE N'!$F$2:$F$50)-SUMIF('BALANCE N'!$A$2:$A$50,"619*",'BALANCE N'!$G$2:$G$50)</f>
        <v/>
      </c>
      <c r="C13" s="5">
        <f>SUMIF('BALANCE N-1'!$A$2:$A$50,"618*",'BALANCE N-1'!$F$2:$F$50)-SUMIF('BALANCE N-1'!$A$2:$A$50,"618*",'BALANCE N-1'!$G$2:$G$50)+SUMIF('BALANCE N-1'!$A$2:$A$50,"619*",'BALANCE N-1'!$F$2:$F$50)-SUMIF('BALANCE N-1'!$A$2:$A$50,"619*",'BALANCE N-1'!$G$2:$G$50)</f>
        <v/>
      </c>
      <c r="D13" s="5">
        <f>B13-C13</f>
        <v/>
      </c>
      <c r="E13" s="122">
        <f>IF(C13=0,"",(B13-C13)/C13)</f>
        <v/>
      </c>
    </row>
    <row r="14">
      <c r="A14" s="74" t="inlineStr">
        <is>
          <t>TOTAL</t>
        </is>
      </c>
      <c r="B14" s="75">
        <f>SUM(B9:B13)</f>
        <v/>
      </c>
      <c r="C14" s="75">
        <f>SUM(C9:C13)</f>
        <v/>
      </c>
      <c r="D14" s="75">
        <f>B14-C14</f>
        <v/>
      </c>
      <c r="E14" s="123">
        <f>IF(C14=0,"",(B14-C14)/C14)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- 28 -</t>
        </is>
      </c>
    </row>
    <row r="2" ht="26" customHeight="1">
      <c r="D2" s="49" t="inlineStr">
        <is>
          <t>NOTE 17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17 : SERVICES EXTÉRIEURS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Sous-traitance générale</t>
        </is>
      </c>
      <c r="B9" s="5">
        <f>SUMIF('BALANCE N'!$A$2:$A$50,"621*",'BALANCE N'!$F$2:$F$50)-SUMIF('BALANCE N'!$A$2:$A$50,"621*",'BALANCE N'!$G$2:$G$50)</f>
        <v/>
      </c>
      <c r="C9" s="5">
        <f>SUMIF('BALANCE N-1'!$A$2:$A$50,"621*",'BALANCE N-1'!$F$2:$F$50)-SUMIF('BALANCE N-1'!$A$2:$A$50,"621*",'BALANCE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Locations et charges locatives</t>
        </is>
      </c>
      <c r="B10" s="5">
        <f>SUMIF('BALANCE N'!$A$2:$A$50,"622*",'BALANCE N'!$F$2:$F$50)-SUMIF('BALANCE N'!$A$2:$A$50,"622*",'BALANCE N'!$G$2:$G$50)</f>
        <v/>
      </c>
      <c r="C10" s="5">
        <f>SUMIF('BALANCE N-1'!$A$2:$A$50,"622*",'BALANCE N-1'!$F$2:$F$50)-SUMIF('BALANCE N-1'!$A$2:$A$50,"622*",'BALANCE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Redevances de location-acquisition</t>
        </is>
      </c>
      <c r="B11" s="5">
        <f>SUMIF('BALANCE N'!$A$2:$A$50,"623*",'BALANCE N'!$F$2:$F$50)-SUMIF('BALANCE N'!$A$2:$A$50,"623*",'BALANCE N'!$G$2:$G$50)</f>
        <v/>
      </c>
      <c r="C11" s="5">
        <f>SUMIF('BALANCE N-1'!$A$2:$A$50,"623*",'BALANCE N-1'!$F$2:$F$50)-SUMIF('BALANCE N-1'!$A$2:$A$50,"623*",'BALANCE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Entretien, réparations et maintenance</t>
        </is>
      </c>
      <c r="B12" s="5">
        <f>SUMIF('BALANCE N'!$A$2:$A$50,"624*",'BALANCE N'!$F$2:$F$50)-SUMIF('BALANCE N'!$A$2:$A$50,"624*",'BALANCE N'!$G$2:$G$50)</f>
        <v/>
      </c>
      <c r="C12" s="5">
        <f>SUMIF('BALANCE N-1'!$A$2:$A$50,"624*",'BALANCE N-1'!$F$2:$F$50)-SUMIF('BALANCE N-1'!$A$2:$A$50,"624*",'BALANCE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Primes d'assurance</t>
        </is>
      </c>
      <c r="B13" s="5">
        <f>SUMIF('BALANCE N'!$A$2:$A$50,"625*",'BALANCE N'!$F$2:$F$50)-SUMIF('BALANCE N'!$A$2:$A$50,"625*",'BALANCE N'!$G$2:$G$50)</f>
        <v/>
      </c>
      <c r="C13" s="5">
        <f>SUMIF('BALANCE N-1'!$A$2:$A$50,"625*",'BALANCE N-1'!$F$2:$F$50)-SUMIF('BALANCE N-1'!$A$2:$A$50,"625*",'BALANCE N-1'!$G$2:$G$50)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Études, recherches et documentation</t>
        </is>
      </c>
      <c r="B14" s="5">
        <f>SUMIF('BALANCE N'!$A$2:$A$50,"626*",'BALANCE N'!$F$2:$F$50)-SUMIF('BALANCE N'!$A$2:$A$50,"626*",'BALANCE N'!$G$2:$G$50)</f>
        <v/>
      </c>
      <c r="C14" s="5">
        <f>SUMIF('BALANCE N-1'!$A$2:$A$50,"626*",'BALANCE N-1'!$F$2:$F$50)-SUMIF('BALANCE N-1'!$A$2:$A$50,"626*",'BALANCE N-1'!$G$2:$G$50)</f>
        <v/>
      </c>
      <c r="D14" s="5">
        <f>B14-C14</f>
        <v/>
      </c>
      <c r="E14" s="122">
        <f>IF(C14=0,"",(B14-C14)/C14)</f>
        <v/>
      </c>
    </row>
    <row r="15">
      <c r="A15" s="4" t="inlineStr">
        <is>
          <t>Publicité, publications, relations publiques</t>
        </is>
      </c>
      <c r="B15" s="5">
        <f>SUMIF('BALANCE N'!$A$2:$A$50,"627*",'BALANCE N'!$F$2:$F$50)-SUMIF('BALANCE N'!$A$2:$A$50,"627*",'BALANCE N'!$G$2:$G$50)</f>
        <v/>
      </c>
      <c r="C15" s="5">
        <f>SUMIF('BALANCE N-1'!$A$2:$A$50,"627*",'BALANCE N-1'!$F$2:$F$50)-SUMIF('BALANCE N-1'!$A$2:$A$50,"627*",'BALANCE N-1'!$G$2:$G$50)</f>
        <v/>
      </c>
      <c r="D15" s="5">
        <f>B15-C15</f>
        <v/>
      </c>
      <c r="E15" s="122">
        <f>IF(C15=0,"",(B15-C15)/C15)</f>
        <v/>
      </c>
    </row>
    <row r="16">
      <c r="A16" s="4" t="inlineStr">
        <is>
          <t>Frais de télécommunications</t>
        </is>
      </c>
      <c r="B16" s="5">
        <f>SUMIF('BALANCE N'!$A$2:$A$50,"628*",'BALANCE N'!$F$2:$F$50)-SUMIF('BALANCE N'!$A$2:$A$50,"628*",'BALANCE N'!$G$2:$G$50)</f>
        <v/>
      </c>
      <c r="C16" s="5">
        <f>SUMIF('BALANCE N-1'!$A$2:$A$50,"628*",'BALANCE N-1'!$F$2:$F$50)-SUMIF('BALANCE N-1'!$A$2:$A$50,"628*",'BALANCE N-1'!$G$2:$G$50)</f>
        <v/>
      </c>
      <c r="D16" s="5">
        <f>B16-C16</f>
        <v/>
      </c>
      <c r="E16" s="122">
        <f>IF(C16=0,"",(B16-C16)/C16)</f>
        <v/>
      </c>
    </row>
    <row r="17">
      <c r="A17" s="4" t="inlineStr">
        <is>
          <t>Frais bancaires</t>
        </is>
      </c>
      <c r="B17" s="5">
        <f>SUMIF('BALANCE N'!$A$2:$A$50,"631*",'BALANCE N'!$F$2:$F$50)-SUMIF('BALANCE N'!$A$2:$A$50,"631*",'BALANCE N'!$G$2:$G$50)</f>
        <v/>
      </c>
      <c r="C17" s="5">
        <f>SUMIF('BALANCE N-1'!$A$2:$A$50,"631*",'BALANCE N-1'!$F$2:$F$50)-SUMIF('BALANCE N-1'!$A$2:$A$50,"631*",'BALANCE N-1'!$G$2:$G$50)</f>
        <v/>
      </c>
      <c r="D17" s="5">
        <f>B17-C17</f>
        <v/>
      </c>
      <c r="E17" s="122">
        <f>IF(C17=0,"",(B17-C17)/C17)</f>
        <v/>
      </c>
    </row>
    <row r="18">
      <c r="A18" s="4" t="inlineStr">
        <is>
          <t>Rémunérations d'intermédiaires et de conseils</t>
        </is>
      </c>
      <c r="B18" s="5">
        <f>SUMIF('BALANCE N'!$A$2:$A$50,"632*",'BALANCE N'!$F$2:$F$50)-SUMIF('BALANCE N'!$A$2:$A$50,"632*",'BALANCE N'!$G$2:$G$50)</f>
        <v/>
      </c>
      <c r="C18" s="5">
        <f>SUMIF('BALANCE N-1'!$A$2:$A$50,"632*",'BALANCE N-1'!$F$2:$F$50)-SUMIF('BALANCE N-1'!$A$2:$A$50,"632*",'BALANCE N-1'!$G$2:$G$50)</f>
        <v/>
      </c>
      <c r="D18" s="5">
        <f>B18-C18</f>
        <v/>
      </c>
      <c r="E18" s="122">
        <f>IF(C18=0,"",(B18-C18)/C18)</f>
        <v/>
      </c>
    </row>
    <row r="19">
      <c r="A19" s="4" t="inlineStr">
        <is>
          <t>Frais de formation du personnel</t>
        </is>
      </c>
      <c r="B19" s="5">
        <f>SUMIF('BALANCE N'!$A$2:$A$50,"633*",'BALANCE N'!$F$2:$F$50)-SUMIF('BALANCE N'!$A$2:$A$50,"633*",'BALANCE N'!$G$2:$G$50)</f>
        <v/>
      </c>
      <c r="C19" s="5">
        <f>SUMIF('BALANCE N-1'!$A$2:$A$50,"633*",'BALANCE N-1'!$F$2:$F$50)-SUMIF('BALANCE N-1'!$A$2:$A$50,"633*",'BALANCE N-1'!$G$2:$G$50)</f>
        <v/>
      </c>
      <c r="D19" s="5">
        <f>B19-C19</f>
        <v/>
      </c>
      <c r="E19" s="122">
        <f>IF(C19=0,"",(B19-C19)/C19)</f>
        <v/>
      </c>
    </row>
    <row r="20">
      <c r="A20" s="4" t="inlineStr">
        <is>
          <t>Redevances pour brevets, licences, logiciels</t>
        </is>
      </c>
      <c r="B20" s="5">
        <f>SUMIF('BALANCE N'!$A$2:$A$50,"634*",'BALANCE N'!$F$2:$F$50)-SUMIF('BALANCE N'!$A$2:$A$50,"634*",'BALANCE N'!$G$2:$G$50)</f>
        <v/>
      </c>
      <c r="C20" s="5">
        <f>SUMIF('BALANCE N-1'!$A$2:$A$50,"634*",'BALANCE N-1'!$F$2:$F$50)-SUMIF('BALANCE N-1'!$A$2:$A$50,"634*",'BALANCE N-1'!$G$2:$G$50)</f>
        <v/>
      </c>
      <c r="D20" s="5">
        <f>B20-C20</f>
        <v/>
      </c>
      <c r="E20" s="122">
        <f>IF(C20=0,"",(B20-C20)/C20)</f>
        <v/>
      </c>
    </row>
    <row r="21">
      <c r="A21" s="4" t="inlineStr">
        <is>
          <t>Cotisations</t>
        </is>
      </c>
      <c r="B21" s="5">
        <f>SUMIF('BALANCE N'!$A$2:$A$50,"635*",'BALANCE N'!$F$2:$F$50)-SUMIF('BALANCE N'!$A$2:$A$50,"635*",'BALANCE N'!$G$2:$G$50)</f>
        <v/>
      </c>
      <c r="C21" s="5">
        <f>SUMIF('BALANCE N-1'!$A$2:$A$50,"635*",'BALANCE N-1'!$F$2:$F$50)-SUMIF('BALANCE N-1'!$A$2:$A$50,"635*",'BALANCE N-1'!$G$2:$G$50)</f>
        <v/>
      </c>
      <c r="D21" s="5">
        <f>B21-C21</f>
        <v/>
      </c>
      <c r="E21" s="122">
        <f>IF(C21=0,"",(B21-C21)/C21)</f>
        <v/>
      </c>
    </row>
    <row r="22">
      <c r="A22" s="4" t="inlineStr">
        <is>
          <t>Frais de recherche de fonds</t>
        </is>
      </c>
      <c r="B22" s="5">
        <f>SUMIF('BALANCE N'!$A$2:$A$50,"636*",'BALANCE N'!$F$2:$F$50)-SUMIF('BALANCE N'!$A$2:$A$50,"636*",'BALANCE N'!$G$2:$G$50)</f>
        <v/>
      </c>
      <c r="C22" s="5">
        <f>SUMIF('BALANCE N-1'!$A$2:$A$50,"636*",'BALANCE N-1'!$F$2:$F$50)-SUMIF('BALANCE N-1'!$A$2:$A$50,"636*",'BALANCE N-1'!$G$2:$G$50)</f>
        <v/>
      </c>
      <c r="D22" s="5">
        <f>B22-C22</f>
        <v/>
      </c>
      <c r="E22" s="122">
        <f>IF(C22=0,"",(B22-C22)/C22)</f>
        <v/>
      </c>
    </row>
    <row r="23">
      <c r="A23" s="4" t="inlineStr">
        <is>
          <t>Rémunérations de personnel extérieur à l'entité</t>
        </is>
      </c>
      <c r="B23" s="5">
        <f>SUMIF('BALANCE N'!$A$2:$A$50,"637*",'BALANCE N'!$F$2:$F$50)-SUMIF('BALANCE N'!$A$2:$A$50,"637*",'BALANCE N'!$G$2:$G$50)</f>
        <v/>
      </c>
      <c r="C23" s="5">
        <f>SUMIF('BALANCE N-1'!$A$2:$A$50,"637*",'BALANCE N-1'!$F$2:$F$50)-SUMIF('BALANCE N-1'!$A$2:$A$50,"637*",'BALANCE N-1'!$G$2:$G$50)</f>
        <v/>
      </c>
      <c r="D23" s="5">
        <f>B23-C23</f>
        <v/>
      </c>
      <c r="E23" s="122">
        <f>IF(C23=0,"",(B23-C23)/C23)</f>
        <v/>
      </c>
    </row>
    <row r="24">
      <c r="A24" s="4" t="inlineStr">
        <is>
          <t>Autres charges externes</t>
        </is>
      </c>
      <c r="B24" s="5">
        <f>SUMIF('BALANCE N'!$A$2:$A$50,"638*",'BALANCE N'!$F$2:$F$50)-SUMIF('BALANCE N'!$A$2:$A$50,"638*",'BALANCE N'!$G$2:$G$50)</f>
        <v/>
      </c>
      <c r="C24" s="5">
        <f>SUMIF('BALANCE N-1'!$A$2:$A$50,"638*",'BALANCE N-1'!$F$2:$F$50)-SUMIF('BALANCE N-1'!$A$2:$A$50,"638*",'BALANCE N-1'!$G$2:$G$50)</f>
        <v/>
      </c>
      <c r="D24" s="5">
        <f>B24-C24</f>
        <v/>
      </c>
      <c r="E24" s="122">
        <f>IF(C24=0,"",(B24-C24)/C24)</f>
        <v/>
      </c>
    </row>
    <row r="25">
      <c r="A25" s="74" t="inlineStr">
        <is>
          <t>TOTAL</t>
        </is>
      </c>
      <c r="B25" s="75">
        <f>SUM(B9:B24)</f>
        <v/>
      </c>
      <c r="C25" s="75">
        <f>SUM(C9:C24)</f>
        <v/>
      </c>
      <c r="D25" s="75">
        <f>B25-C25</f>
        <v/>
      </c>
      <c r="E25" s="123">
        <f>IF(C25=0,"",(B25-C25)/C25)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- 29 -</t>
        </is>
      </c>
    </row>
    <row r="2" ht="26" customHeight="1">
      <c r="D2" s="49" t="inlineStr">
        <is>
          <t>NOTE 18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18 : IMPÔTS ET TAXES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Impôts et taxes directs</t>
        </is>
      </c>
      <c r="B9" s="5">
        <f>SUMIF('BALANCE N'!$A$2:$A$50,"641*",'BALANCE N'!$F$2:$F$50)-SUMIF('BALANCE N'!$A$2:$A$50,"641*",'BALANCE N'!$G$2:$G$50)</f>
        <v/>
      </c>
      <c r="C9" s="5">
        <f>SUMIF('BALANCE N-1'!$A$2:$A$50,"641*",'BALANCE N-1'!$F$2:$F$50)-SUMIF('BALANCE N-1'!$A$2:$A$50,"641*",'BALANCE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Impôts et taxes indirects</t>
        </is>
      </c>
      <c r="B10" s="5">
        <f>SUMIF('BALANCE N'!$A$2:$A$50,"645*",'BALANCE N'!$F$2:$F$50)-SUMIF('BALANCE N'!$A$2:$A$50,"645*",'BALANCE N'!$G$2:$G$50)</f>
        <v/>
      </c>
      <c r="C10" s="5">
        <f>SUMIF('BALANCE N-1'!$A$2:$A$50,"645*",'BALANCE N-1'!$F$2:$F$50)-SUMIF('BALANCE N-1'!$A$2:$A$50,"645*",'BALANCE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Droits d'enregistrement</t>
        </is>
      </c>
      <c r="B11" s="5">
        <f>SUMIF('BALANCE N'!$A$2:$A$50,"646*",'BALANCE N'!$F$2:$F$50)-SUMIF('BALANCE N'!$A$2:$A$50,"646*",'BALANCE N'!$G$2:$G$50)</f>
        <v/>
      </c>
      <c r="C11" s="5">
        <f>SUMIF('BALANCE N-1'!$A$2:$A$50,"646*",'BALANCE N-1'!$F$2:$F$50)-SUMIF('BALANCE N-1'!$A$2:$A$50,"646*",'BALANCE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Pénalités et amendes fiscales</t>
        </is>
      </c>
      <c r="B12" s="5">
        <f>SUMIF('BALANCE N'!$A$2:$A$50,"647*",'BALANCE N'!$F$2:$F$50)-SUMIF('BALANCE N'!$A$2:$A$50,"647*",'BALANCE N'!$G$2:$G$50)</f>
        <v/>
      </c>
      <c r="C12" s="5">
        <f>SUMIF('BALANCE N-1'!$A$2:$A$50,"647*",'BALANCE N-1'!$F$2:$F$50)-SUMIF('BALANCE N-1'!$A$2:$A$50,"647*",'BALANCE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Autres impôts et taxes</t>
        </is>
      </c>
      <c r="B13" s="5">
        <f>SUMIF('BALANCE N'!$A$2:$A$50,"648*",'BALANCE N'!$F$2:$F$50)-SUMIF('BALANCE N'!$A$2:$A$50,"648*",'BALANCE N'!$G$2:$G$50)</f>
        <v/>
      </c>
      <c r="C13" s="5">
        <f>SUMIF('BALANCE N-1'!$A$2:$A$50,"648*",'BALANCE N-1'!$F$2:$F$50)-SUMIF('BALANCE N-1'!$A$2:$A$50,"648*",'BALANCE N-1'!$G$2:$G$50)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Dégrèvements et annulations des impôts et taxes (-)</t>
        </is>
      </c>
      <c r="B14" s="5">
        <f>SUMIF('BALANCE N'!$A$2:$A$50,"649*",'BALANCE N'!$F$2:$F$50)-SUMIF('BALANCE N'!$A$2:$A$50,"649*",'BALANCE N'!$G$2:$G$50)</f>
        <v/>
      </c>
      <c r="C14" s="5">
        <f>SUMIF('BALANCE N-1'!$A$2:$A$50,"649*",'BALANCE N-1'!$F$2:$F$50)-SUMIF('BALANCE N-1'!$A$2:$A$50,"649*",'BALANCE N-1'!$G$2:$G$50)</f>
        <v/>
      </c>
      <c r="D14" s="5">
        <f>B14-C14</f>
        <v/>
      </c>
      <c r="E14" s="122">
        <f>IF(C14=0,"",(B14-C14)/C14)</f>
        <v/>
      </c>
    </row>
    <row r="15">
      <c r="A15" s="74" t="inlineStr">
        <is>
          <t>TOTAL</t>
        </is>
      </c>
      <c r="B15" s="75">
        <f>SUM(B9:B14)</f>
        <v/>
      </c>
      <c r="C15" s="75">
        <f>SUM(C9:C14)</f>
        <v/>
      </c>
      <c r="D15" s="75">
        <f>B15-C15</f>
        <v/>
      </c>
      <c r="E15" s="123">
        <f>IF(C15=0,"",(B15-C15)/C15)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- 30 -</t>
        </is>
      </c>
    </row>
    <row r="2" ht="26" customHeight="1">
      <c r="D2" s="49" t="inlineStr">
        <is>
          <t>NOTE 19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19 : AUTRES CHARGES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Pertes sur créances</t>
        </is>
      </c>
      <c r="B9" s="5">
        <f>SUMIF('BALANCE N'!$A$2:$A$50,"651*",'BALANCE N'!$F$2:$F$50)-SUMIF('BALANCE N'!$A$2:$A$50,"651*",'BALANCE N'!$G$2:$G$50)</f>
        <v/>
      </c>
      <c r="C9" s="5">
        <f>SUMIF('BALANCE N-1'!$A$2:$A$50,"651*",'BALANCE N-1'!$F$2:$F$50)-SUMIF('BALANCE N-1'!$A$2:$A$50,"651*",'BALANCE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Subventions accordées</t>
        </is>
      </c>
      <c r="B10" s="5">
        <f>SUMIF('BALANCE N'!$A$2:$A$50,"652*",'BALANCE N'!$F$2:$F$50)-SUMIF('BALANCE N'!$A$2:$A$50,"652*",'BALANCE N'!$G$2:$G$50)</f>
        <v/>
      </c>
      <c r="C10" s="5">
        <f>SUMIF('BALANCE N-1'!$A$2:$A$50,"652*",'BALANCE N-1'!$F$2:$F$50)-SUMIF('BALANCE N-1'!$A$2:$A$50,"652*",'BALANCE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Dons en nature courants à distribuer</t>
        </is>
      </c>
      <c r="B11" s="5">
        <f>SUMIF('BALANCE N'!$A$2:$A$50,"654*",'BALANCE N'!$F$2:$F$50)-SUMIF('BALANCE N'!$A$2:$A$50,"654*",'BALANCE N'!$G$2:$G$50)</f>
        <v/>
      </c>
      <c r="C11" s="5">
        <f>SUMIF('BALANCE N-1'!$A$2:$A$50,"654*",'BALANCE N-1'!$F$2:$F$50)-SUMIF('BALANCE N-1'!$A$2:$A$50,"654*",'BALANCE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Pénalités et amendes pénales</t>
        </is>
      </c>
      <c r="B12" s="5">
        <f>SUMIF('BALANCE N'!$A$2:$A$50,"657*",'BALANCE N'!$F$2:$F$50)-SUMIF('BALANCE N'!$A$2:$A$50,"657*",'BALANCE N'!$G$2:$G$50)</f>
        <v/>
      </c>
      <c r="C12" s="5">
        <f>SUMIF('BALANCE N-1'!$A$2:$A$50,"657*",'BALANCE N-1'!$F$2:$F$50)-SUMIF('BALANCE N-1'!$A$2:$A$50,"657*",'BALANCE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Autres charges diverses</t>
        </is>
      </c>
      <c r="B13" s="5">
        <f>SUMIF('BALANCE N'!$A$2:$A$50,"658*",'BALANCE N'!$F$2:$F$50)-SUMIF('BALANCE N'!$A$2:$A$50,"658*",'BALANCE N'!$G$2:$G$50)</f>
        <v/>
      </c>
      <c r="C13" s="5">
        <f>SUMIF('BALANCE N-1'!$A$2:$A$50,"658*",'BALANCE N-1'!$F$2:$F$50)-SUMIF('BALANCE N-1'!$A$2:$A$50,"658*",'BALANCE N-1'!$G$2:$G$50)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Charges pour provisions pour risques à court terme d'exploitation</t>
        </is>
      </c>
      <c r="B14" s="5">
        <f>SUMIF('BALANCE N'!$A$2:$A$50,"659*",'BALANCE N'!$F$2:$F$50)-SUMIF('BALANCE N'!$A$2:$A$50,"659*",'BALANCE N'!$G$2:$G$50)</f>
        <v/>
      </c>
      <c r="C14" s="5">
        <f>SUMIF('BALANCE N-1'!$A$2:$A$50,"659*",'BALANCE N-1'!$F$2:$F$50)-SUMIF('BALANCE N-1'!$A$2:$A$50,"659*",'BALANCE N-1'!$G$2:$G$50)</f>
        <v/>
      </c>
      <c r="D14" s="5">
        <f>B14-C14</f>
        <v/>
      </c>
      <c r="E14" s="122">
        <f>IF(C14=0,"",(B14-C14)/C14)</f>
        <v/>
      </c>
    </row>
    <row r="15">
      <c r="A15" s="74" t="inlineStr">
        <is>
          <t>TOTAL</t>
        </is>
      </c>
      <c r="B15" s="75">
        <f>SUM(B9:B14)</f>
        <v/>
      </c>
      <c r="C15" s="75">
        <f>SUM(C9:C14)</f>
        <v/>
      </c>
      <c r="D15" s="75">
        <f>B15-C15</f>
        <v/>
      </c>
      <c r="E15" s="123">
        <f>IF(C15=0,"",(B15-C15)/C15)</f>
        <v/>
      </c>
    </row>
    <row r="16"/>
    <row r="17">
      <c r="A17" s="40" t="inlineStr">
        <is>
          <t>Commentaires :</t>
        </is>
      </c>
    </row>
    <row r="18">
      <c r="A18" s="84" t="inlineStr">
        <is>
          <t>• Indiquer les organismes bénéficiaires des dons.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- 31 -</t>
        </is>
      </c>
    </row>
    <row r="2" ht="26" customHeight="1">
      <c r="D2" s="49" t="inlineStr">
        <is>
          <t>NOTE 20A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20A : CHARGES DE PERSONNEL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Rémunérations directes versées au personnel national</t>
        </is>
      </c>
      <c r="B9" s="5">
        <f>SUMIF('BALANCE N'!$A$2:$A$50,"661*",'BALANCE N'!$F$2:$F$50)-SUMIF('BALANCE N'!$A$2:$A$50,"661*",'BALANCE N'!$G$2:$G$50)</f>
        <v/>
      </c>
      <c r="C9" s="5">
        <f>SUMIF('BALANCE N-1'!$A$2:$A$50,"661*",'BALANCE N-1'!$F$2:$F$50)-SUMIF('BALANCE N-1'!$A$2:$A$50,"661*",'BALANCE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Rémunérations directes versées au personnel non national</t>
        </is>
      </c>
      <c r="B10" s="5">
        <f>SUMIF('BALANCE N'!$A$2:$A$50,"662*",'BALANCE N'!$F$2:$F$50)-SUMIF('BALANCE N'!$A$2:$A$50,"662*",'BALANCE N'!$G$2:$G$50)</f>
        <v/>
      </c>
      <c r="C10" s="5">
        <f>SUMIF('BALANCE N-1'!$A$2:$A$50,"662*",'BALANCE N-1'!$F$2:$F$50)-SUMIF('BALANCE N-1'!$A$2:$A$50,"662*",'BALANCE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Indemnités forfaitaires versées au personnel</t>
        </is>
      </c>
      <c r="B11" s="5">
        <f>SUMIF('BALANCE N'!$A$2:$A$50,"663*",'BALANCE N'!$F$2:$F$50)-SUMIF('BALANCE N'!$A$2:$A$50,"663*",'BALANCE N'!$G$2:$G$50)</f>
        <v/>
      </c>
      <c r="C11" s="5">
        <f>SUMIF('BALANCE N-1'!$A$2:$A$50,"663*",'BALANCE N-1'!$F$2:$F$50)-SUMIF('BALANCE N-1'!$A$2:$A$50,"663*",'BALANCE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Charges sociales</t>
        </is>
      </c>
      <c r="B12" s="5">
        <f>SUMIF('BALANCE N'!$A$2:$A$50,"664*",'BALANCE N'!$F$2:$F$50)-SUMIF('BALANCE N'!$A$2:$A$50,"664*",'BALANCE N'!$G$2:$G$50)</f>
        <v/>
      </c>
      <c r="C12" s="5">
        <f>SUMIF('BALANCE N-1'!$A$2:$A$50,"664*",'BALANCE N-1'!$F$2:$F$50)-SUMIF('BALANCE N-1'!$A$2:$A$50,"664*",'BALANCE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Habillement et équipement du personnel</t>
        </is>
      </c>
      <c r="B13" s="5">
        <f>SUMIF('BALANCE N'!$A$2:$A$50,"665*",'BALANCE N'!$F$2:$F$50)-SUMIF('BALANCE N'!$A$2:$A$50,"665*",'BALANCE N'!$G$2:$G$50)</f>
        <v/>
      </c>
      <c r="C13" s="5">
        <f>SUMIF('BALANCE N-1'!$A$2:$A$50,"665*",'BALANCE N-1'!$F$2:$F$50)-SUMIF('BALANCE N-1'!$A$2:$A$50,"665*",'BALANCE N-1'!$G$2:$G$50)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Rémunération transférée de personnel extérieur</t>
        </is>
      </c>
      <c r="B14" s="5">
        <f>SUMIF('BALANCE N'!$A$2:$A$50,"667*",'BALANCE N'!$F$2:$F$50)-SUMIF('BALANCE N'!$A$2:$A$50,"667*",'BALANCE N'!$G$2:$G$50)</f>
        <v/>
      </c>
      <c r="C14" s="5">
        <f>SUMIF('BALANCE N-1'!$A$2:$A$50,"667*",'BALANCE N-1'!$F$2:$F$50)-SUMIF('BALANCE N-1'!$A$2:$A$50,"667*",'BALANCE N-1'!$G$2:$G$50)</f>
        <v/>
      </c>
      <c r="D14" s="5">
        <f>B14-C14</f>
        <v/>
      </c>
      <c r="E14" s="122">
        <f>IF(C14=0,"",(B14-C14)/C14)</f>
        <v/>
      </c>
    </row>
    <row r="15">
      <c r="A15" s="4" t="inlineStr">
        <is>
          <t>Autres charges sociales</t>
        </is>
      </c>
      <c r="B15" s="5">
        <f>SUMIF('BALANCE N'!$A$2:$A$50,"668*",'BALANCE N'!$F$2:$F$50)-SUMIF('BALANCE N'!$A$2:$A$50,"668*",'BALANCE N'!$G$2:$G$50)</f>
        <v/>
      </c>
      <c r="C15" s="5">
        <f>SUMIF('BALANCE N-1'!$A$2:$A$50,"668*",'BALANCE N-1'!$F$2:$F$50)-SUMIF('BALANCE N-1'!$A$2:$A$50,"668*",'BALANCE N-1'!$G$2:$G$50)</f>
        <v/>
      </c>
      <c r="D15" s="5">
        <f>B15-C15</f>
        <v/>
      </c>
      <c r="E15" s="122">
        <f>IF(C15=0,"",(B15-C15)/C15)</f>
        <v/>
      </c>
    </row>
    <row r="16">
      <c r="A16" s="4" t="inlineStr">
        <is>
          <t>Dégrèvements et annulations des charges sociales (-)</t>
        </is>
      </c>
      <c r="B16" s="5">
        <f>SUMIF('BALANCE N'!$A$2:$A$50,"669*",'BALANCE N'!$F$2:$F$50)-SUMIF('BALANCE N'!$A$2:$A$50,"669*",'BALANCE N'!$G$2:$G$50)</f>
        <v/>
      </c>
      <c r="C16" s="5">
        <f>SUMIF('BALANCE N-1'!$A$2:$A$50,"669*",'BALANCE N-1'!$F$2:$F$50)-SUMIF('BALANCE N-1'!$A$2:$A$50,"669*",'BALANCE N-1'!$G$2:$G$50)</f>
        <v/>
      </c>
      <c r="D16" s="5">
        <f>B16-C16</f>
        <v/>
      </c>
      <c r="E16" s="122">
        <f>IF(C16=0,"",(B16-C16)/C16)</f>
        <v/>
      </c>
    </row>
    <row r="17">
      <c r="A17" s="74" t="inlineStr">
        <is>
          <t>TOTAL</t>
        </is>
      </c>
      <c r="B17" s="75">
        <f>SUM(B9:B16)</f>
        <v/>
      </c>
      <c r="C17" s="75">
        <f>SUM(C9:C16)</f>
        <v/>
      </c>
      <c r="D17" s="75">
        <f>B17-C17</f>
        <v/>
      </c>
      <c r="E17" s="123">
        <f>IF(C17=0,"",(B17-C17)/C17)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2" customHeight="1">
      <c r="A1" s="48" t="inlineStr">
        <is>
          <t>- 32 -</t>
        </is>
      </c>
    </row>
    <row r="2" ht="26" customHeight="1">
      <c r="H2" s="49" t="inlineStr">
        <is>
          <t>NOTE 20B
PROJETS DE DEVELOPPEMENT</t>
        </is>
      </c>
      <c r="I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H4" s="52" t="inlineStr">
        <is>
          <t>Sigle usuel :</t>
        </is>
      </c>
      <c r="I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F5" s="37" t="inlineStr">
        <is>
          <t>Exercice clos le 31-12-2025</t>
        </is>
      </c>
      <c r="H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20B : EFFECTIFS, MASSE SALARIALE ET PERSONNEL EXTÉRIEUR</t>
        </is>
      </c>
    </row>
    <row r="8">
      <c r="A8" s="43" t="inlineStr">
        <is>
          <t>1. PERSONNEL PROPRE</t>
        </is>
      </c>
    </row>
    <row r="9">
      <c r="A9" s="1" t="inlineStr">
        <is>
          <t>QUALIFICATIONS</t>
        </is>
      </c>
      <c r="B9" s="2" t="inlineStr">
        <is>
          <t>Effectifs Nationaux (M/F)</t>
        </is>
      </c>
      <c r="C9" s="2" t="inlineStr">
        <is>
          <t>Effectifs Autres États Région (M/F)</t>
        </is>
      </c>
      <c r="D9" s="2" t="inlineStr">
        <is>
          <t>Effectifs Hors Région (M/F)</t>
        </is>
      </c>
      <c r="E9" s="2" t="inlineStr">
        <is>
          <t>Effectifs Total</t>
        </is>
      </c>
      <c r="F9" s="2" t="inlineStr">
        <is>
          <t>Masse salariale Nationaux</t>
        </is>
      </c>
      <c r="G9" s="2" t="inlineStr">
        <is>
          <t>Masse salariale Autres États</t>
        </is>
      </c>
      <c r="H9" s="2" t="inlineStr">
        <is>
          <t>Masse salariale Hors Région</t>
        </is>
      </c>
      <c r="I9" s="3" t="inlineStr">
        <is>
          <t>Masse salariale Total</t>
        </is>
      </c>
    </row>
    <row r="10">
      <c r="A10" s="4" t="inlineStr">
        <is>
          <t>YA. 1. Cadres supérieurs</t>
        </is>
      </c>
      <c r="B10" s="4" t="n"/>
      <c r="C10" s="4" t="n"/>
      <c r="D10" s="4" t="n"/>
      <c r="E10" s="4" t="n"/>
      <c r="F10" s="5" t="n"/>
      <c r="G10" s="5" t="n"/>
      <c r="H10" s="5" t="n"/>
      <c r="I10" s="5" t="n"/>
    </row>
    <row r="11">
      <c r="A11" s="4" t="inlineStr">
        <is>
          <t>YB. 2. Techniciens supérieurs et cadres moyens</t>
        </is>
      </c>
      <c r="B11" s="4" t="n"/>
      <c r="C11" s="4" t="n"/>
      <c r="D11" s="4" t="n"/>
      <c r="E11" s="4" t="n"/>
      <c r="F11" s="5" t="n"/>
      <c r="G11" s="5" t="n"/>
      <c r="H11" s="5" t="n"/>
      <c r="I11" s="5" t="n"/>
    </row>
    <row r="12">
      <c r="A12" s="4" t="inlineStr">
        <is>
          <t>YC. 3. Techniciens, agents de maîtrise et ouvriers qualifiés</t>
        </is>
      </c>
      <c r="B12" s="4" t="n"/>
      <c r="C12" s="4" t="n"/>
      <c r="D12" s="4" t="n"/>
      <c r="E12" s="4" t="n"/>
      <c r="F12" s="5" t="n"/>
      <c r="G12" s="5" t="n"/>
      <c r="H12" s="5" t="n"/>
      <c r="I12" s="5" t="n"/>
    </row>
    <row r="13">
      <c r="A13" s="4" t="inlineStr">
        <is>
          <t>YD. 4. Employés, manœuvres, ouvriers et apprentis</t>
        </is>
      </c>
      <c r="B13" s="4" t="n"/>
      <c r="C13" s="4" t="n"/>
      <c r="D13" s="4" t="n"/>
      <c r="E13" s="4" t="n"/>
      <c r="F13" s="5" t="n"/>
      <c r="G13" s="5" t="n"/>
      <c r="H13" s="5" t="n"/>
      <c r="I13" s="5" t="n"/>
    </row>
    <row r="14">
      <c r="A14" s="74" t="inlineStr">
        <is>
          <t>YE. TOTAL (1)</t>
        </is>
      </c>
      <c r="B14" s="74">
        <f>SUM(B10:B13)</f>
        <v/>
      </c>
      <c r="C14" s="74">
        <f>SUM(C10:C13)</f>
        <v/>
      </c>
      <c r="D14" s="74">
        <f>SUM(D10:D13)</f>
        <v/>
      </c>
      <c r="E14" s="74">
        <f>SUM(E10:E13)</f>
        <v/>
      </c>
      <c r="F14" s="75">
        <f>SUM(F10:F13)</f>
        <v/>
      </c>
      <c r="G14" s="75">
        <f>SUM(G10:G13)</f>
        <v/>
      </c>
      <c r="H14" s="75">
        <f>SUM(H10:H13)</f>
        <v/>
      </c>
      <c r="I14" s="75">
        <f>SUM(I10:I13)</f>
        <v/>
      </c>
    </row>
    <row r="15">
      <c r="A15" s="91" t="inlineStr">
        <is>
          <t>YF. Permanents</t>
        </is>
      </c>
    </row>
    <row r="16">
      <c r="A16" s="91" t="inlineStr">
        <is>
          <t>YG. Saisonniers</t>
        </is>
      </c>
    </row>
    <row r="17"/>
    <row r="18">
      <c r="A18" s="43" t="inlineStr">
        <is>
          <t>2. PERSONNEL EXTÉRIEUR ET BÉNÉVOLE - facturation à l'entité</t>
        </is>
      </c>
    </row>
    <row r="19"/>
    <row r="20">
      <c r="A20" s="91" t="inlineStr">
        <is>
          <t>YH. 1. Cadres supérieurs</t>
        </is>
      </c>
    </row>
    <row r="21">
      <c r="A21" s="91" t="inlineStr">
        <is>
          <t>YI. 2. Techniciens supérieurs et cadres moyens</t>
        </is>
      </c>
    </row>
    <row r="22">
      <c r="A22" s="91" t="inlineStr">
        <is>
          <t>YJ. 3. Techniciens, agents de maîtrise et ouvriers qualifiés</t>
        </is>
      </c>
    </row>
    <row r="23">
      <c r="A23" s="91" t="inlineStr">
        <is>
          <t>YK. 4. Employés, manœuvres, ouvriers et apprentis</t>
        </is>
      </c>
    </row>
    <row r="24">
      <c r="A24" s="74" t="inlineStr">
        <is>
          <t>YL. TOTAL (2)</t>
        </is>
      </c>
      <c r="B24" s="75">
        <f>SUM(B20:B23)</f>
        <v/>
      </c>
    </row>
    <row r="25">
      <c r="A25" s="91" t="inlineStr">
        <is>
          <t>YO. TOTAL (1 + 2) : à rapprocher de la note 29A et du compte 637</t>
        </is>
      </c>
    </row>
  </sheetData>
  <mergeCells count="3">
    <mergeCell ref="B4:F4"/>
    <mergeCell ref="A7:I7"/>
    <mergeCell ref="H2:I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- 33 -</t>
        </is>
      </c>
    </row>
    <row r="2" ht="26" customHeight="1">
      <c r="D2" s="49" t="inlineStr">
        <is>
          <t>NOTE 21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21 : CHARGES ET REVENUS FINANCIERS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Intérêts des emprunts</t>
        </is>
      </c>
      <c r="B9" s="5">
        <f>SUMIF('BALANCE N'!$A$2:$A$50,"671*",'BALANCE N'!$F$2:$F$50)-SUMIF('BALANCE N'!$A$2:$A$50,"671*",'BALANCE N'!$G$2:$G$50)</f>
        <v/>
      </c>
      <c r="C9" s="5">
        <f>SUMIF('BALANCE N-1'!$A$2:$A$50,"671*",'BALANCE N-1'!$F$2:$F$50)-SUMIF('BALANCE N-1'!$A$2:$A$50,"671*",'BALANCE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Intérêts dans loyers de location-acquisition</t>
        </is>
      </c>
      <c r="B10" s="5">
        <f>SUMIF('BALANCE N'!$A$2:$A$50,"672*",'BALANCE N'!$F$2:$F$50)-SUMIF('BALANCE N'!$A$2:$A$50,"672*",'BALANCE N'!$G$2:$G$50)</f>
        <v/>
      </c>
      <c r="C10" s="5">
        <f>SUMIF('BALANCE N-1'!$A$2:$A$50,"672*",'BALANCE N-1'!$F$2:$F$50)-SUMIF('BALANCE N-1'!$A$2:$A$50,"672*",'BALANCE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Escomptes accordés</t>
        </is>
      </c>
      <c r="B11" s="5">
        <f>SUMIF('BALANCE N'!$A$2:$A$50,"673*",'BALANCE N'!$F$2:$F$50)-SUMIF('BALANCE N'!$A$2:$A$50,"673*",'BALANCE N'!$G$2:$G$50)</f>
        <v/>
      </c>
      <c r="C11" s="5">
        <f>SUMIF('BALANCE N-1'!$A$2:$A$50,"673*",'BALANCE N-1'!$F$2:$F$50)-SUMIF('BALANCE N-1'!$A$2:$A$50,"673*",'BALANCE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Autres intérêts</t>
        </is>
      </c>
      <c r="B12" s="5">
        <f>SUMIF('BALANCE N'!$A$2:$A$50,"674*",'BALANCE N'!$F$2:$F$50)-SUMIF('BALANCE N'!$A$2:$A$50,"674*",'BALANCE N'!$G$2:$G$50)</f>
        <v/>
      </c>
      <c r="C12" s="5">
        <f>SUMIF('BALANCE N-1'!$A$2:$A$50,"674*",'BALANCE N-1'!$F$2:$F$50)-SUMIF('BALANCE N-1'!$A$2:$A$50,"674*",'BALANCE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Pertes de change financières</t>
        </is>
      </c>
      <c r="B13" s="5">
        <f>SUMIF('BALANCE N'!$A$2:$A$50,"676*",'BALANCE N'!$F$2:$F$50)-SUMIF('BALANCE N'!$A$2:$A$50,"676*",'BALANCE N'!$G$2:$G$50)</f>
        <v/>
      </c>
      <c r="C13" s="5">
        <f>SUMIF('BALANCE N-1'!$A$2:$A$50,"676*",'BALANCE N-1'!$F$2:$F$50)-SUMIF('BALANCE N-1'!$A$2:$A$50,"676*",'BALANCE N-1'!$G$2:$G$50)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Pertes sur cessions de titres de placement</t>
        </is>
      </c>
      <c r="B14" s="5">
        <f>SUMIF('BALANCE N'!$A$2:$A$50,"677*",'BALANCE N'!$F$2:$F$50)-SUMIF('BALANCE N'!$A$2:$A$50,"677*",'BALANCE N'!$G$2:$G$50)</f>
        <v/>
      </c>
      <c r="C14" s="5">
        <f>SUMIF('BALANCE N-1'!$A$2:$A$50,"677*",'BALANCE N-1'!$F$2:$F$50)-SUMIF('BALANCE N-1'!$A$2:$A$50,"677*",'BALANCE N-1'!$G$2:$G$50)</f>
        <v/>
      </c>
      <c r="D14" s="5">
        <f>B14-C14</f>
        <v/>
      </c>
      <c r="E14" s="122">
        <f>IF(C14=0,"",(B14-C14)/C14)</f>
        <v/>
      </c>
    </row>
    <row r="15">
      <c r="A15" s="4" t="inlineStr">
        <is>
          <t>Charges pour provisions à court terme à caractère financier</t>
        </is>
      </c>
      <c r="B15" s="5">
        <f>SUMIF('BALANCE N'!$A$2:$A$50,"678*",'BALANCE N'!$F$2:$F$50)-SUMIF('BALANCE N'!$A$2:$A$50,"678*",'BALANCE N'!$G$2:$G$50)+SUMIF('BALANCE N'!$A$2:$A$50,"679*",'BALANCE N'!$F$2:$F$50)-SUMIF('BALANCE N'!$A$2:$A$50,"679*",'BALANCE N'!$G$2:$G$50)</f>
        <v/>
      </c>
      <c r="C15" s="5">
        <f>SUMIF('BALANCE N-1'!$A$2:$A$50,"678*",'BALANCE N-1'!$F$2:$F$50)-SUMIF('BALANCE N-1'!$A$2:$A$50,"678*",'BALANCE N-1'!$G$2:$G$50)+SUMIF('BALANCE N-1'!$A$2:$A$50,"679*",'BALANCE N-1'!$F$2:$F$50)-SUMIF('BALANCE N-1'!$A$2:$A$50,"679*",'BALANCE N-1'!$G$2:$G$50)</f>
        <v/>
      </c>
      <c r="D15" s="5">
        <f>B15-C15</f>
        <v/>
      </c>
      <c r="E15" s="122">
        <f>IF(C15=0,"",(B15-C15)/C15)</f>
        <v/>
      </c>
    </row>
    <row r="16">
      <c r="A16" s="74" t="inlineStr">
        <is>
          <t>TOTAL : FRAIS FINANCIERS</t>
        </is>
      </c>
      <c r="B16" s="75">
        <f>SUM(B9:B15)</f>
        <v/>
      </c>
      <c r="C16" s="75">
        <f>SUM(C9:C15)</f>
        <v/>
      </c>
      <c r="D16" s="75">
        <f>B16-C16</f>
        <v/>
      </c>
      <c r="E16" s="123">
        <f>IF(C16=0,"",(B16-C16)/C16)</f>
        <v/>
      </c>
    </row>
    <row r="17">
      <c r="A17" s="4" t="inlineStr">
        <is>
          <t>Intérêts de prêts et créances diverses</t>
        </is>
      </c>
      <c r="B17" s="5">
        <f>SUMIF('BALANCE N'!$A$2:$A$50,"771*",'BALANCE N'!$G$2:$G$50)-SUMIF('BALANCE N'!$A$2:$A$50,"771*",'BALANCE N'!$F$2:$F$50)</f>
        <v/>
      </c>
      <c r="C17" s="5">
        <f>SUMIF('BALANCE N-1'!$A$2:$A$50,"771*",'BALANCE N-1'!$G$2:$G$50)-SUMIF('BALANCE N-1'!$A$2:$A$50,"771*",'BALANCE N-1'!$F$2:$F$50)</f>
        <v/>
      </c>
      <c r="D17" s="5">
        <f>B17-C17</f>
        <v/>
      </c>
      <c r="E17" s="122">
        <f>IF(C17=0,"",(B17-C17)/C17)</f>
        <v/>
      </c>
    </row>
    <row r="18">
      <c r="A18" s="4" t="inlineStr">
        <is>
          <t>Revenus de participations et autres titres immobilisés</t>
        </is>
      </c>
      <c r="B18" s="5">
        <f>SUMIF('BALANCE N'!$A$2:$A$50,"772*",'BALANCE N'!$G$2:$G$50)-SUMIF('BALANCE N'!$A$2:$A$50,"772*",'BALANCE N'!$F$2:$F$50)</f>
        <v/>
      </c>
      <c r="C18" s="5">
        <f>SUMIF('BALANCE N-1'!$A$2:$A$50,"772*",'BALANCE N-1'!$G$2:$G$50)-SUMIF('BALANCE N-1'!$A$2:$A$50,"772*",'BALANCE N-1'!$F$2:$F$50)</f>
        <v/>
      </c>
      <c r="D18" s="5">
        <f>B18-C18</f>
        <v/>
      </c>
      <c r="E18" s="122">
        <f>IF(C18=0,"",(B18-C18)/C18)</f>
        <v/>
      </c>
    </row>
    <row r="19">
      <c r="A19" s="4" t="inlineStr">
        <is>
          <t>Escomptes obtenus</t>
        </is>
      </c>
      <c r="B19" s="5">
        <f>SUMIF('BALANCE N'!$A$2:$A$50,"773*",'BALANCE N'!$G$2:$G$50)-SUMIF('BALANCE N'!$A$2:$A$50,"773*",'BALANCE N'!$F$2:$F$50)</f>
        <v/>
      </c>
      <c r="C19" s="5">
        <f>SUMIF('BALANCE N-1'!$A$2:$A$50,"773*",'BALANCE N-1'!$G$2:$G$50)-SUMIF('BALANCE N-1'!$A$2:$A$50,"773*",'BALANCE N-1'!$F$2:$F$50)</f>
        <v/>
      </c>
      <c r="D19" s="5">
        <f>B19-C19</f>
        <v/>
      </c>
      <c r="E19" s="122">
        <f>IF(C19=0,"",(B19-C19)/C19)</f>
        <v/>
      </c>
    </row>
    <row r="20">
      <c r="A20" s="4" t="inlineStr">
        <is>
          <t>Revenus de placement</t>
        </is>
      </c>
      <c r="B20" s="5">
        <f>SUMIF('BALANCE N'!$A$2:$A$50,"774*",'BALANCE N'!$G$2:$G$50)-SUMIF('BALANCE N'!$A$2:$A$50,"774*",'BALANCE N'!$F$2:$F$50)</f>
        <v/>
      </c>
      <c r="C20" s="5">
        <f>SUMIF('BALANCE N-1'!$A$2:$A$50,"774*",'BALANCE N-1'!$G$2:$G$50)-SUMIF('BALANCE N-1'!$A$2:$A$50,"774*",'BALANCE N-1'!$F$2:$F$50)</f>
        <v/>
      </c>
      <c r="D20" s="5">
        <f>B20-C20</f>
        <v/>
      </c>
      <c r="E20" s="122">
        <f>IF(C20=0,"",(B20-C20)/C20)</f>
        <v/>
      </c>
    </row>
    <row r="21">
      <c r="A21" s="4" t="inlineStr">
        <is>
          <t>Gains de change financiers</t>
        </is>
      </c>
      <c r="B21" s="5">
        <f>SUMIF('BALANCE N'!$A$2:$A$50,"776*",'BALANCE N'!$G$2:$G$50)-SUMIF('BALANCE N'!$A$2:$A$50,"776*",'BALANCE N'!$F$2:$F$50)</f>
        <v/>
      </c>
      <c r="C21" s="5">
        <f>SUMIF('BALANCE N-1'!$A$2:$A$50,"776*",'BALANCE N-1'!$G$2:$G$50)-SUMIF('BALANCE N-1'!$A$2:$A$50,"776*",'BALANCE N-1'!$F$2:$F$50)</f>
        <v/>
      </c>
      <c r="D21" s="5">
        <f>B21-C21</f>
        <v/>
      </c>
      <c r="E21" s="122">
        <f>IF(C21=0,"",(B21-C21)/C21)</f>
        <v/>
      </c>
    </row>
    <row r="22">
      <c r="A22" s="4" t="inlineStr">
        <is>
          <t>Gains sur cessions de titres de placement</t>
        </is>
      </c>
      <c r="B22" s="5">
        <f>SUMIF('BALANCE N'!$A$2:$A$50,"777*",'BALANCE N'!$G$2:$G$50)-SUMIF('BALANCE N'!$A$2:$A$50,"777*",'BALANCE N'!$F$2:$F$50)+SUMIF('BALANCE N'!$A$2:$A$50,"778*",'BALANCE N'!$G$2:$G$50)-SUMIF('BALANCE N'!$A$2:$A$50,"778*",'BALANCE N'!$F$2:$F$50)</f>
        <v/>
      </c>
      <c r="C22" s="5">
        <f>SUMIF('BALANCE N-1'!$A$2:$A$50,"777*",'BALANCE N-1'!$G$2:$G$50)-SUMIF('BALANCE N-1'!$A$2:$A$50,"777*",'BALANCE N-1'!$F$2:$F$50)+SUMIF('BALANCE N-1'!$A$2:$A$50,"778*",'BALANCE N-1'!$G$2:$G$50)-SUMIF('BALANCE N-1'!$A$2:$A$50,"778*",'BALANCE N-1'!$F$2:$F$50)</f>
        <v/>
      </c>
      <c r="D22" s="5">
        <f>B22-C22</f>
        <v/>
      </c>
      <c r="E22" s="122">
        <f>IF(C22=0,"",(B22-C22)/C22)</f>
        <v/>
      </c>
    </row>
    <row r="23">
      <c r="A23" s="4" t="inlineStr">
        <is>
          <t>Transferts de charges financières</t>
        </is>
      </c>
      <c r="B23" s="5">
        <f>SUMIF('BALANCE N'!$A$2:$A$50,"787*",'BALANCE N'!$G$2:$G$50)-SUMIF('BALANCE N'!$A$2:$A$50,"787*",'BALANCE N'!$F$2:$F$50)</f>
        <v/>
      </c>
      <c r="C23" s="5">
        <f>SUMIF('BALANCE N-1'!$A$2:$A$50,"787*",'BALANCE N-1'!$G$2:$G$50)-SUMIF('BALANCE N-1'!$A$2:$A$50,"787*",'BALANCE N-1'!$F$2:$F$50)</f>
        <v/>
      </c>
      <c r="D23" s="5">
        <f>B23-C23</f>
        <v/>
      </c>
      <c r="E23" s="122">
        <f>IF(C23=0,"",(B23-C23)/C23)</f>
        <v/>
      </c>
    </row>
    <row r="24">
      <c r="A24" s="4" t="inlineStr">
        <is>
          <t>Reprises de charges pour provisions à court terme à caractère financier</t>
        </is>
      </c>
      <c r="B24" s="5">
        <f>SUMIF('BALANCE N'!$A$2:$A$50,"779*",'BALANCE N'!$G$2:$G$50)-SUMIF('BALANCE N'!$A$2:$A$50,"779*",'BALANCE N'!$F$2:$F$50)</f>
        <v/>
      </c>
      <c r="C24" s="5">
        <f>SUMIF('BALANCE N-1'!$A$2:$A$50,"779*",'BALANCE N-1'!$G$2:$G$50)-SUMIF('BALANCE N-1'!$A$2:$A$50,"779*",'BALANCE N-1'!$F$2:$F$50)</f>
        <v/>
      </c>
      <c r="D24" s="5">
        <f>B24-C24</f>
        <v/>
      </c>
      <c r="E24" s="122">
        <f>IF(C24=0,"",(B24-C24)/C24)</f>
        <v/>
      </c>
    </row>
    <row r="25">
      <c r="A25" s="74" t="inlineStr">
        <is>
          <t>TOTAL : REVENUS FINANCIERS</t>
        </is>
      </c>
      <c r="B25" s="75">
        <f>SUM(B17:B24)</f>
        <v/>
      </c>
      <c r="C25" s="75">
        <f>SUM(C17:C24)</f>
        <v/>
      </c>
      <c r="D25" s="75">
        <f>B25-C25</f>
        <v/>
      </c>
      <c r="E25" s="123">
        <f>IF(C25=0,"",(B25-C25)/C25)</f>
        <v/>
      </c>
    </row>
    <row r="26">
      <c r="A26" s="74" t="inlineStr">
        <is>
          <t>TOTAL (revenus - frais)</t>
        </is>
      </c>
      <c r="B26" s="75">
        <f>B25-B16</f>
        <v/>
      </c>
      <c r="C26" s="75">
        <f>C25-C16</f>
        <v/>
      </c>
      <c r="D26" s="75">
        <f>B26-C26</f>
        <v/>
      </c>
      <c r="E26" s="123">
        <f>IF(C26=0,"",(B26-C26)/C26)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</cols>
  <sheetData>
    <row r="1" ht="12" customHeight="1">
      <c r="A1" s="48" t="inlineStr">
        <is>
          <t>- 34 -</t>
        </is>
      </c>
    </row>
    <row r="2" ht="26" customHeight="1">
      <c r="H2" s="49" t="inlineStr">
        <is>
          <t>NOTE 22
PROJETS DE DEVELOPPEMENT</t>
        </is>
      </c>
      <c r="I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F4" s="39" t="n"/>
      <c r="H4" s="52" t="inlineStr">
        <is>
          <t>Sigle usuel :</t>
        </is>
      </c>
      <c r="I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F5" s="37" t="inlineStr">
        <is>
          <t>Exercice clos le 31-12-2025</t>
        </is>
      </c>
      <c r="H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22 : DOTATIONS ET CHARGES POUR PROVISIONS</t>
        </is>
      </c>
    </row>
    <row r="8">
      <c r="A8" s="1" t="inlineStr">
        <is>
          <t>NATURE</t>
        </is>
      </c>
      <c r="B8" s="2" t="inlineStr">
        <is>
          <t>Provisions à l'ouverture (A)</t>
        </is>
      </c>
      <c r="C8" s="2" t="inlineStr">
        <is>
          <t>Dotations exploitation</t>
        </is>
      </c>
      <c r="D8" s="2" t="inlineStr">
        <is>
          <t>Dotations financières</t>
        </is>
      </c>
      <c r="E8" s="2" t="inlineStr">
        <is>
          <t>Dotations HAO</t>
        </is>
      </c>
      <c r="F8" s="2" t="inlineStr">
        <is>
          <t>Reprises exploitation</t>
        </is>
      </c>
      <c r="G8" s="2" t="inlineStr">
        <is>
          <t>Reprises financières</t>
        </is>
      </c>
      <c r="H8" s="2" t="inlineStr">
        <is>
          <t>Reprises HAO</t>
        </is>
      </c>
      <c r="I8" s="3" t="inlineStr">
        <is>
          <t>Provisions à la clôture (D = A + B - C)</t>
        </is>
      </c>
    </row>
    <row r="9">
      <c r="A9" s="4" t="inlineStr">
        <is>
          <t>Provisions pour risques et charges</t>
        </is>
      </c>
      <c r="B9" s="5">
        <f>SUMIF('BALANCE N-1'!$A$2:$A$50,"19*",'BALANCE N-1'!$G$2:$G$50)-SUMIF('BALANCE N-1'!$A$2:$A$50,"19*",'BALANCE N-1'!$F$2:$F$50)</f>
        <v/>
      </c>
      <c r="C9" s="5" t="n"/>
      <c r="D9" s="5">
        <f>MAX(0,(SUMIF('BALANCE N'!$A$2:$A$50,"19*",'BALANCE N'!$G$2:$G$50)-SUMIF('BALANCE N'!$A$2:$A$50,"19*",'BALANCE N'!$F$2:$F$50))-(SUMIF('BALANCE N-1'!$A$2:$A$50,"19*",'BALANCE N-1'!$G$2:$G$50)-SUMIF('BALANCE N-1'!$A$2:$A$50,"19*",'BALANCE N-1'!$F$2:$F$50)))</f>
        <v/>
      </c>
      <c r="E9" s="5" t="n"/>
      <c r="F9" s="5" t="n"/>
      <c r="G9" s="5">
        <f>MAX(0,(SUMIF('BALANCE N-1'!$A$2:$A$50,"19*",'BALANCE N-1'!$G$2:$G$50)-SUMIF('BALANCE N-1'!$A$2:$A$50,"19*",'BALANCE N-1'!$F$2:$F$50))-(SUMIF('BALANCE N'!$A$2:$A$50,"19*",'BALANCE N'!$G$2:$G$50)-SUMIF('BALANCE N'!$A$2:$A$50,"19*",'BALANCE N'!$F$2:$F$50)))</f>
        <v/>
      </c>
      <c r="H9" s="5" t="n"/>
      <c r="I9" s="5">
        <f>B9+C9+D9+E9-F9-G9-H9</f>
        <v/>
      </c>
    </row>
    <row r="10">
      <c r="A10" s="4" t="inlineStr">
        <is>
          <t>Dépréciations des immobilisations</t>
        </is>
      </c>
      <c r="B10" s="5">
        <f>SUMIF('BALANCE N-1'!$A$2:$A$50,"29*",'BALANCE N-1'!$G$2:$G$50)-SUMIF('BALANCE N-1'!$A$2:$A$50,"29*",'BALANCE N-1'!$F$2:$F$50)</f>
        <v/>
      </c>
      <c r="C10" s="5">
        <f>MAX(0,(SUMIF('BALANCE N'!$A$2:$A$50,"29*",'BALANCE N'!$G$2:$G$50)-SUMIF('BALANCE N'!$A$2:$A$50,"29*",'BALANCE N'!$F$2:$F$50))-(SUMIF('BALANCE N-1'!$A$2:$A$50,"29*",'BALANCE N-1'!$G$2:$G$50)-SUMIF('BALANCE N-1'!$A$2:$A$50,"29*",'BALANCE N-1'!$F$2:$F$50)))</f>
        <v/>
      </c>
      <c r="D10" s="5" t="n"/>
      <c r="E10" s="5" t="n"/>
      <c r="F10" s="5">
        <f>MAX(0,(SUMIF('BALANCE N-1'!$A$2:$A$50,"29*",'BALANCE N-1'!$G$2:$G$50)-SUMIF('BALANCE N-1'!$A$2:$A$50,"29*",'BALANCE N-1'!$F$2:$F$50))-(SUMIF('BALANCE N'!$A$2:$A$50,"29*",'BALANCE N'!$G$2:$G$50)-SUMIF('BALANCE N'!$A$2:$A$50,"29*",'BALANCE N'!$F$2:$F$50)))</f>
        <v/>
      </c>
      <c r="G10" s="5" t="n"/>
      <c r="H10" s="5" t="n"/>
      <c r="I10" s="5">
        <f>B10+C10+D10+E10-F10-G10-H10</f>
        <v/>
      </c>
    </row>
    <row r="11">
      <c r="A11" s="74" t="inlineStr">
        <is>
          <t>TOTAL : DOTATIONS</t>
        </is>
      </c>
      <c r="B11" s="75">
        <f>SUM(B9:B10)</f>
        <v/>
      </c>
      <c r="C11" s="75">
        <f>SUM(C9:C10)</f>
        <v/>
      </c>
      <c r="D11" s="75">
        <f>SUM(D9:D10)</f>
        <v/>
      </c>
      <c r="E11" s="75">
        <f>SUM(E9:E10)</f>
        <v/>
      </c>
      <c r="F11" s="75">
        <f>SUM(F9:F10)</f>
        <v/>
      </c>
      <c r="G11" s="75">
        <f>SUM(G9:G10)</f>
        <v/>
      </c>
      <c r="H11" s="75">
        <f>SUM(H9:H10)</f>
        <v/>
      </c>
      <c r="I11" s="75">
        <f>SUM(I9:I10)</f>
        <v/>
      </c>
    </row>
    <row r="12">
      <c r="A12" s="4" t="inlineStr">
        <is>
          <t>Dépréciations des stocks et en-cours</t>
        </is>
      </c>
      <c r="B12" s="5">
        <f>SUMIF('BALANCE N-1'!$A$2:$A$50,"39*",'BALANCE N-1'!$G$2:$G$50)-SUMIF('BALANCE N-1'!$A$2:$A$50,"39*",'BALANCE N-1'!$F$2:$F$50)</f>
        <v/>
      </c>
      <c r="C12" s="5">
        <f>MAX(0,(SUMIF('BALANCE N'!$A$2:$A$50,"39*",'BALANCE N'!$G$2:$G$50)-SUMIF('BALANCE N'!$A$2:$A$50,"39*",'BALANCE N'!$F$2:$F$50))-(SUMIF('BALANCE N-1'!$A$2:$A$50,"39*",'BALANCE N-1'!$G$2:$G$50)-SUMIF('BALANCE N-1'!$A$2:$A$50,"39*",'BALANCE N-1'!$F$2:$F$50)))</f>
        <v/>
      </c>
      <c r="D12" s="5" t="n"/>
      <c r="E12" s="5" t="n"/>
      <c r="F12" s="5">
        <f>MAX(0,(SUMIF('BALANCE N-1'!$A$2:$A$50,"39*",'BALANCE N-1'!$G$2:$G$50)-SUMIF('BALANCE N-1'!$A$2:$A$50,"39*",'BALANCE N-1'!$F$2:$F$50))-(SUMIF('BALANCE N'!$A$2:$A$50,"39*",'BALANCE N'!$G$2:$G$50)-SUMIF('BALANCE N'!$A$2:$A$50,"39*",'BALANCE N'!$F$2:$F$50)))</f>
        <v/>
      </c>
      <c r="G12" s="5" t="n"/>
      <c r="H12" s="5" t="n"/>
      <c r="I12" s="5">
        <f>B12+C12+D12+E12-F12-G12-H12</f>
        <v/>
      </c>
    </row>
    <row r="13">
      <c r="A13" s="4" t="inlineStr">
        <is>
          <t>Dépréciations des comptes de tiers</t>
        </is>
      </c>
      <c r="B13" s="5">
        <f>SUMIF('BALANCE N-1'!$A$2:$A$50,"494*",'BALANCE N-1'!$G$2:$G$50)-SUMIF('BALANCE N-1'!$A$2:$A$50,"494*",'BALANCE N-1'!$F$2:$F$50)+SUMIF('BALANCE N-1'!$A$2:$A$50,"490*",'BALANCE N-1'!$G$2:$G$50)-SUMIF('BALANCE N-1'!$A$2:$A$50,"490*",'BALANCE N-1'!$F$2:$F$50)+SUMIF('BALANCE N-1'!$A$2:$A$50,"492*",'BALANCE N-1'!$G$2:$G$50)-SUMIF('BALANCE N-1'!$A$2:$A$50,"492*",'BALANCE N-1'!$F$2:$F$50)+SUMIF('BALANCE N-1'!$A$2:$A$50,"497*",'BALANCE N-1'!$G$2:$G$50)-SUMIF('BALANCE N-1'!$A$2:$A$50,"497*",'BALANCE N-1'!$F$2:$F$50)+SUMIF('BALANCE N-1'!$A$2:$A$50,"491*",'BALANCE N-1'!$G$2:$G$50)-SUMIF('BALANCE N-1'!$A$2:$A$50,"491*",'BALANCE N-1'!$F$2:$F$50)+SUMIF('BALANCE N-1'!$A$2:$A$50,"493*",'BALANCE N-1'!$G$2:$G$50)-SUMIF('BALANCE N-1'!$A$2:$A$50,"493*",'BALANCE N-1'!$F$2:$F$50)</f>
        <v/>
      </c>
      <c r="C13" s="5">
        <f>MAX(0,(SUMIF('BALANCE N'!$A$2:$A$50,"494*",'BALANCE N'!$G$2:$G$50)-SUMIF('BALANCE N'!$A$2:$A$50,"494*",'BALANCE N'!$F$2:$F$50)+SUMIF('BALANCE N'!$A$2:$A$50,"490*",'BALANCE N'!$G$2:$G$50)-SUMIF('BALANCE N'!$A$2:$A$50,"490*",'BALANCE N'!$F$2:$F$50)+SUMIF('BALANCE N'!$A$2:$A$50,"492*",'BALANCE N'!$G$2:$G$50)-SUMIF('BALANCE N'!$A$2:$A$50,"492*",'BALANCE N'!$F$2:$F$50)+SUMIF('BALANCE N'!$A$2:$A$50,"497*",'BALANCE N'!$G$2:$G$50)-SUMIF('BALANCE N'!$A$2:$A$50,"497*",'BALANCE N'!$F$2:$F$50)+SUMIF('BALANCE N'!$A$2:$A$50,"491*",'BALANCE N'!$G$2:$G$50)-SUMIF('BALANCE N'!$A$2:$A$50,"491*",'BALANCE N'!$F$2:$F$50)+SUMIF('BALANCE N'!$A$2:$A$50,"493*",'BALANCE N'!$G$2:$G$50)-SUMIF('BALANCE N'!$A$2:$A$50,"493*",'BALANCE N'!$F$2:$F$50))-(SUMIF('BALANCE N-1'!$A$2:$A$50,"494*",'BALANCE N-1'!$G$2:$G$50)-SUMIF('BALANCE N-1'!$A$2:$A$50,"494*",'BALANCE N-1'!$F$2:$F$50)+SUMIF('BALANCE N-1'!$A$2:$A$50,"490*",'BALANCE N-1'!$G$2:$G$50)-SUMIF('BALANCE N-1'!$A$2:$A$50,"490*",'BALANCE N-1'!$F$2:$F$50)+SUMIF('BALANCE N-1'!$A$2:$A$50,"492*",'BALANCE N-1'!$G$2:$G$50)-SUMIF('BALANCE N-1'!$A$2:$A$50,"492*",'BALANCE N-1'!$F$2:$F$50)+SUMIF('BALANCE N-1'!$A$2:$A$50,"497*",'BALANCE N-1'!$G$2:$G$50)-SUMIF('BALANCE N-1'!$A$2:$A$50,"497*",'BALANCE N-1'!$F$2:$F$50)+SUMIF('BALANCE N-1'!$A$2:$A$50,"491*",'BALANCE N-1'!$G$2:$G$50)-SUMIF('BALANCE N-1'!$A$2:$A$50,"491*",'BALANCE N-1'!$F$2:$F$50)+SUMIF('BALANCE N-1'!$A$2:$A$50,"493*",'BALANCE N-1'!$G$2:$G$50)-SUMIF('BALANCE N-1'!$A$2:$A$50,"493*",'BALANCE N-1'!$F$2:$F$50)))</f>
        <v/>
      </c>
      <c r="D13" s="5" t="n"/>
      <c r="E13" s="5" t="n"/>
      <c r="F13" s="5">
        <f>MAX(0,(SUMIF('BALANCE N-1'!$A$2:$A$50,"494*",'BALANCE N-1'!$G$2:$G$50)-SUMIF('BALANCE N-1'!$A$2:$A$50,"494*",'BALANCE N-1'!$F$2:$F$50)+SUMIF('BALANCE N-1'!$A$2:$A$50,"490*",'BALANCE N-1'!$G$2:$G$50)-SUMIF('BALANCE N-1'!$A$2:$A$50,"490*",'BALANCE N-1'!$F$2:$F$50)+SUMIF('BALANCE N-1'!$A$2:$A$50,"492*",'BALANCE N-1'!$G$2:$G$50)-SUMIF('BALANCE N-1'!$A$2:$A$50,"492*",'BALANCE N-1'!$F$2:$F$50)+SUMIF('BALANCE N-1'!$A$2:$A$50,"497*",'BALANCE N-1'!$G$2:$G$50)-SUMIF('BALANCE N-1'!$A$2:$A$50,"497*",'BALANCE N-1'!$F$2:$F$50)+SUMIF('BALANCE N-1'!$A$2:$A$50,"491*",'BALANCE N-1'!$G$2:$G$50)-SUMIF('BALANCE N-1'!$A$2:$A$50,"491*",'BALANCE N-1'!$F$2:$F$50)+SUMIF('BALANCE N-1'!$A$2:$A$50,"493*",'BALANCE N-1'!$G$2:$G$50)-SUMIF('BALANCE N-1'!$A$2:$A$50,"493*",'BALANCE N-1'!$F$2:$F$50))-(SUMIF('BALANCE N'!$A$2:$A$50,"494*",'BALANCE N'!$G$2:$G$50)-SUMIF('BALANCE N'!$A$2:$A$50,"494*",'BALANCE N'!$F$2:$F$50)+SUMIF('BALANCE N'!$A$2:$A$50,"490*",'BALANCE N'!$G$2:$G$50)-SUMIF('BALANCE N'!$A$2:$A$50,"490*",'BALANCE N'!$F$2:$F$50)+SUMIF('BALANCE N'!$A$2:$A$50,"492*",'BALANCE N'!$G$2:$G$50)-SUMIF('BALANCE N'!$A$2:$A$50,"492*",'BALANCE N'!$F$2:$F$50)+SUMIF('BALANCE N'!$A$2:$A$50,"497*",'BALANCE N'!$G$2:$G$50)-SUMIF('BALANCE N'!$A$2:$A$50,"497*",'BALANCE N'!$F$2:$F$50)+SUMIF('BALANCE N'!$A$2:$A$50,"491*",'BALANCE N'!$G$2:$G$50)-SUMIF('BALANCE N'!$A$2:$A$50,"491*",'BALANCE N'!$F$2:$F$50)+SUMIF('BALANCE N'!$A$2:$A$50,"493*",'BALANCE N'!$G$2:$G$50)-SUMIF('BALANCE N'!$A$2:$A$50,"493*",'BALANCE N'!$F$2:$F$50)))</f>
        <v/>
      </c>
      <c r="G13" s="5" t="n"/>
      <c r="H13" s="5" t="n"/>
      <c r="I13" s="5">
        <f>B13+C13+D13+E13-F13-G13-H13</f>
        <v/>
      </c>
    </row>
    <row r="14">
      <c r="A14" s="4" t="inlineStr">
        <is>
          <t>Dépréciations des comptes de créances HAO</t>
        </is>
      </c>
      <c r="B14" s="5">
        <f>SUMIF('BALANCE N-1'!$A$2:$A$50,"498*",'BALANCE N-1'!$G$2:$G$50)-SUMIF('BALANCE N-1'!$A$2:$A$50,"498*",'BALANCE N-1'!$F$2:$F$50)</f>
        <v/>
      </c>
      <c r="C14" s="5" t="n"/>
      <c r="D14" s="5" t="n"/>
      <c r="E14" s="5">
        <f>MAX(0,(SUMIF('BALANCE N'!$A$2:$A$50,"498*",'BALANCE N'!$G$2:$G$50)-SUMIF('BALANCE N'!$A$2:$A$50,"498*",'BALANCE N'!$F$2:$F$50))-(SUMIF('BALANCE N-1'!$A$2:$A$50,"498*",'BALANCE N-1'!$G$2:$G$50)-SUMIF('BALANCE N-1'!$A$2:$A$50,"498*",'BALANCE N-1'!$F$2:$F$50)))</f>
        <v/>
      </c>
      <c r="F14" s="5" t="n"/>
      <c r="G14" s="5" t="n"/>
      <c r="H14" s="5">
        <f>MAX(0,(SUMIF('BALANCE N-1'!$A$2:$A$50,"498*",'BALANCE N-1'!$G$2:$G$50)-SUMIF('BALANCE N-1'!$A$2:$A$50,"498*",'BALANCE N-1'!$F$2:$F$50))-(SUMIF('BALANCE N'!$A$2:$A$50,"498*",'BALANCE N'!$G$2:$G$50)-SUMIF('BALANCE N'!$A$2:$A$50,"498*",'BALANCE N'!$F$2:$F$50)))</f>
        <v/>
      </c>
      <c r="I14" s="5">
        <f>B14+C14+D14+E14-F14-G14-H14</f>
        <v/>
      </c>
    </row>
    <row r="15">
      <c r="A15" s="4" t="inlineStr">
        <is>
          <t>Dépréciations de trésorerie</t>
        </is>
      </c>
      <c r="B15" s="5">
        <f>SUMIF('BALANCE N-1'!$A$2:$A$50,"591*",'BALANCE N-1'!$G$2:$G$50)-SUMIF('BALANCE N-1'!$A$2:$A$50,"591*",'BALANCE N-1'!$F$2:$F$50)+SUMIF('BALANCE N-1'!$A$2:$A$50,"592*",'BALANCE N-1'!$G$2:$G$50)-SUMIF('BALANCE N-1'!$A$2:$A$50,"592*",'BALANCE N-1'!$F$2:$F$50)+SUMIF('BALANCE N-1'!$A$2:$A$50,"595*",'BALANCE N-1'!$G$2:$G$50)-SUMIF('BALANCE N-1'!$A$2:$A$50,"595*",'BALANCE N-1'!$F$2:$F$50)+SUMIF('BALANCE N-1'!$A$2:$A$50,"593*",'BALANCE N-1'!$G$2:$G$50)-SUMIF('BALANCE N-1'!$A$2:$A$50,"593*",'BALANCE N-1'!$F$2:$F$50)</f>
        <v/>
      </c>
      <c r="C15" s="5" t="n"/>
      <c r="D15" s="5">
        <f>MAX(0,(SUMIF('BALANCE N'!$A$2:$A$50,"591*",'BALANCE N'!$G$2:$G$50)-SUMIF('BALANCE N'!$A$2:$A$50,"591*",'BALANCE N'!$F$2:$F$50)+SUMIF('BALANCE N'!$A$2:$A$50,"592*",'BALANCE N'!$G$2:$G$50)-SUMIF('BALANCE N'!$A$2:$A$50,"592*",'BALANCE N'!$F$2:$F$50)+SUMIF('BALANCE N'!$A$2:$A$50,"595*",'BALANCE N'!$G$2:$G$50)-SUMIF('BALANCE N'!$A$2:$A$50,"595*",'BALANCE N'!$F$2:$F$50)+SUMIF('BALANCE N'!$A$2:$A$50,"593*",'BALANCE N'!$G$2:$G$50)-SUMIF('BALANCE N'!$A$2:$A$50,"593*",'BALANCE N'!$F$2:$F$50))-(SUMIF('BALANCE N-1'!$A$2:$A$50,"591*",'BALANCE N-1'!$G$2:$G$50)-SUMIF('BALANCE N-1'!$A$2:$A$50,"591*",'BALANCE N-1'!$F$2:$F$50)+SUMIF('BALANCE N-1'!$A$2:$A$50,"592*",'BALANCE N-1'!$G$2:$G$50)-SUMIF('BALANCE N-1'!$A$2:$A$50,"592*",'BALANCE N-1'!$F$2:$F$50)+SUMIF('BALANCE N-1'!$A$2:$A$50,"595*",'BALANCE N-1'!$G$2:$G$50)-SUMIF('BALANCE N-1'!$A$2:$A$50,"595*",'BALANCE N-1'!$F$2:$F$50)+SUMIF('BALANCE N-1'!$A$2:$A$50,"593*",'BALANCE N-1'!$G$2:$G$50)-SUMIF('BALANCE N-1'!$A$2:$A$50,"593*",'BALANCE N-1'!$F$2:$F$50)))</f>
        <v/>
      </c>
      <c r="E15" s="5" t="n"/>
      <c r="F15" s="5" t="n"/>
      <c r="G15" s="5">
        <f>MAX(0,(SUMIF('BALANCE N-1'!$A$2:$A$50,"591*",'BALANCE N-1'!$G$2:$G$50)-SUMIF('BALANCE N-1'!$A$2:$A$50,"591*",'BALANCE N-1'!$F$2:$F$50)+SUMIF('BALANCE N-1'!$A$2:$A$50,"592*",'BALANCE N-1'!$G$2:$G$50)-SUMIF('BALANCE N-1'!$A$2:$A$50,"592*",'BALANCE N-1'!$F$2:$F$50)+SUMIF('BALANCE N-1'!$A$2:$A$50,"595*",'BALANCE N-1'!$G$2:$G$50)-SUMIF('BALANCE N-1'!$A$2:$A$50,"595*",'BALANCE N-1'!$F$2:$F$50)+SUMIF('BALANCE N-1'!$A$2:$A$50,"593*",'BALANCE N-1'!$G$2:$G$50)-SUMIF('BALANCE N-1'!$A$2:$A$50,"593*",'BALANCE N-1'!$F$2:$F$50))-(SUMIF('BALANCE N'!$A$2:$A$50,"591*",'BALANCE N'!$G$2:$G$50)-SUMIF('BALANCE N'!$A$2:$A$50,"591*",'BALANCE N'!$F$2:$F$50)+SUMIF('BALANCE N'!$A$2:$A$50,"592*",'BALANCE N'!$G$2:$G$50)-SUMIF('BALANCE N'!$A$2:$A$50,"592*",'BALANCE N'!$F$2:$F$50)+SUMIF('BALANCE N'!$A$2:$A$50,"595*",'BALANCE N'!$G$2:$G$50)-SUMIF('BALANCE N'!$A$2:$A$50,"595*",'BALANCE N'!$F$2:$F$50)+SUMIF('BALANCE N'!$A$2:$A$50,"593*",'BALANCE N'!$G$2:$G$50)-SUMIF('BALANCE N'!$A$2:$A$50,"593*",'BALANCE N'!$F$2:$F$50)))</f>
        <v/>
      </c>
      <c r="H15" s="5" t="n"/>
      <c r="I15" s="5">
        <f>B15+C15+D15+E15-F15-G15-H15</f>
        <v/>
      </c>
    </row>
    <row r="16">
      <c r="A16" s="4" t="inlineStr">
        <is>
          <t>Provisions pour risques à court terme</t>
        </is>
      </c>
      <c r="B16" s="5">
        <f>SUMIF('BALANCE N-1'!$A$2:$A$50,"499*",'BALANCE N-1'!$G$2:$G$50)-SUMIF('BALANCE N-1'!$A$2:$A$50,"499*",'BALANCE N-1'!$F$2:$F$50)+SUMIF('BALANCE N-1'!$A$2:$A$50,"599*",'BALANCE N-1'!$G$2:$G$50)-SUMIF('BALANCE N-1'!$A$2:$A$50,"599*",'BALANCE N-1'!$F$2:$F$50)-SUMIF('BALANCE N-1'!$A$2:$A$50,"4998*",'BALANCE N-1'!$G$2:$G$50)+SUMIF('BALANCE N-1'!$A$2:$A$50,"4998*",'BALANCE N-1'!$F$2:$F$50)</f>
        <v/>
      </c>
      <c r="C16" s="5">
        <f>MAX(0,(SUMIF('BALANCE N'!$A$2:$A$50,"499*",'BALANCE N'!$G$2:$G$50)-SUMIF('BALANCE N'!$A$2:$A$50,"499*",'BALANCE N'!$F$2:$F$50)+SUMIF('BALANCE N'!$A$2:$A$50,"599*",'BALANCE N'!$G$2:$G$50)-SUMIF('BALANCE N'!$A$2:$A$50,"599*",'BALANCE N'!$F$2:$F$50)-SUMIF('BALANCE N'!$A$2:$A$50,"4998*",'BALANCE N'!$G$2:$G$50)+SUMIF('BALANCE N'!$A$2:$A$50,"4998*",'BALANCE N'!$F$2:$F$50))-(SUMIF('BALANCE N-1'!$A$2:$A$50,"499*",'BALANCE N-1'!$G$2:$G$50)-SUMIF('BALANCE N-1'!$A$2:$A$50,"499*",'BALANCE N-1'!$F$2:$F$50)+SUMIF('BALANCE N-1'!$A$2:$A$50,"599*",'BALANCE N-1'!$G$2:$G$50)-SUMIF('BALANCE N-1'!$A$2:$A$50,"599*",'BALANCE N-1'!$F$2:$F$50)-SUMIF('BALANCE N-1'!$A$2:$A$50,"4998*",'BALANCE N-1'!$G$2:$G$50)+SUMIF('BALANCE N-1'!$A$2:$A$50,"4998*",'BALANCE N-1'!$F$2:$F$50)))</f>
        <v/>
      </c>
      <c r="D16" s="5" t="n"/>
      <c r="E16" s="5" t="n"/>
      <c r="F16" s="5">
        <f>MAX(0,(SUMIF('BALANCE N-1'!$A$2:$A$50,"499*",'BALANCE N-1'!$G$2:$G$50)-SUMIF('BALANCE N-1'!$A$2:$A$50,"499*",'BALANCE N-1'!$F$2:$F$50)+SUMIF('BALANCE N-1'!$A$2:$A$50,"599*",'BALANCE N-1'!$G$2:$G$50)-SUMIF('BALANCE N-1'!$A$2:$A$50,"599*",'BALANCE N-1'!$F$2:$F$50)-SUMIF('BALANCE N-1'!$A$2:$A$50,"4998*",'BALANCE N-1'!$G$2:$G$50)+SUMIF('BALANCE N-1'!$A$2:$A$50,"4998*",'BALANCE N-1'!$F$2:$F$50))-(SUMIF('BALANCE N'!$A$2:$A$50,"499*",'BALANCE N'!$G$2:$G$50)-SUMIF('BALANCE N'!$A$2:$A$50,"499*",'BALANCE N'!$F$2:$F$50)+SUMIF('BALANCE N'!$A$2:$A$50,"599*",'BALANCE N'!$G$2:$G$50)-SUMIF('BALANCE N'!$A$2:$A$50,"599*",'BALANCE N'!$F$2:$F$50)-SUMIF('BALANCE N'!$A$2:$A$50,"4998*",'BALANCE N'!$G$2:$G$50)+SUMIF('BALANCE N'!$A$2:$A$50,"4998*",'BALANCE N'!$F$2:$F$50)))</f>
        <v/>
      </c>
      <c r="G16" s="5" t="n"/>
      <c r="H16" s="5" t="n"/>
      <c r="I16" s="5">
        <f>B16+C16+D16+E16-F16-G16-H16</f>
        <v/>
      </c>
    </row>
    <row r="17">
      <c r="A17" s="74" t="inlineStr">
        <is>
          <t>TOTAL : CHARGES POUR DÉPRÉCIATIONS ET PROVISIONS</t>
        </is>
      </c>
      <c r="B17" s="75">
        <f>SUM(B12:B16)</f>
        <v/>
      </c>
      <c r="C17" s="75">
        <f>SUM(C12:C16)</f>
        <v/>
      </c>
      <c r="D17" s="75">
        <f>SUM(D12:D16)</f>
        <v/>
      </c>
      <c r="E17" s="75">
        <f>SUM(E12:E16)</f>
        <v/>
      </c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</row>
    <row r="18">
      <c r="A18" s="74" t="inlineStr">
        <is>
          <t>TOTAL</t>
        </is>
      </c>
      <c r="B18" s="75">
        <f>B11+B17</f>
        <v/>
      </c>
      <c r="C18" s="75">
        <f>C11+C17</f>
        <v/>
      </c>
      <c r="D18" s="75">
        <f>D11+D17</f>
        <v/>
      </c>
      <c r="E18" s="75">
        <f>E11+E17</f>
        <v/>
      </c>
      <c r="F18" s="75">
        <f>F11+F17</f>
        <v/>
      </c>
      <c r="G18" s="75">
        <f>G11+G17</f>
        <v/>
      </c>
      <c r="H18" s="75">
        <f>H11+H17</f>
        <v/>
      </c>
      <c r="I18" s="75">
        <f>I11+I17</f>
        <v/>
      </c>
    </row>
    <row r="19"/>
    <row r="20">
      <c r="A20" s="91" t="inlineStr">
        <is>
          <t>À défaut d'échéancier, dotations et reprises sont posées en variation nette N/N-1 par nature - indiquer les évènements et circonstances de chaque constitution et reprise.</t>
        </is>
      </c>
    </row>
  </sheetData>
  <mergeCells count="3">
    <mergeCell ref="B4:F4"/>
    <mergeCell ref="A7:I7"/>
    <mergeCell ref="H2:I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48" t="inlineStr">
        <is>
          <t>- 35 -</t>
        </is>
      </c>
    </row>
    <row r="2" ht="26" customHeight="1">
      <c r="D2" s="49" t="inlineStr">
        <is>
          <t>NOTE 23
PROJETS DE DEVELOPPEMENT</t>
        </is>
      </c>
      <c r="E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D4" s="52" t="inlineStr">
        <is>
          <t>Sigle usuel :</t>
        </is>
      </c>
      <c r="E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C5" s="37" t="inlineStr">
        <is>
          <t>Exercice clos le 31-12-2025</t>
        </is>
      </c>
      <c r="D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23 : AUTRES CHARGES ET PRODUITS HAO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4" t="inlineStr">
        <is>
          <t>Charges H.A.O. constatées (compte 831)</t>
        </is>
      </c>
      <c r="B9" s="5">
        <f>SUMIF('BALANCE N'!$A$2:$A$50,"831*",'BALANCE N'!$F$2:$F$50)-SUMIF('BALANCE N'!$A$2:$A$50,"831*",'BALANCE N'!$G$2:$G$50)</f>
        <v/>
      </c>
      <c r="C9" s="5">
        <f>SUMIF('BALANCE N-1'!$A$2:$A$50,"831*",'BALANCE N-1'!$F$2:$F$50)-SUMIF('BALANCE N-1'!$A$2:$A$50,"831*",'BALANCE N-1'!$G$2:$G$50)</f>
        <v/>
      </c>
      <c r="D9" s="5">
        <f>B9-C9</f>
        <v/>
      </c>
      <c r="E9" s="122">
        <f>IF(C9=0,"",(B9-C9)/C9)</f>
        <v/>
      </c>
    </row>
    <row r="10">
      <c r="A10" s="4" t="inlineStr">
        <is>
          <t>Dons en nature H.A.O. (compte 832)</t>
        </is>
      </c>
      <c r="B10" s="5">
        <f>SUMIF('BALANCE N'!$A$2:$A$50,"832*",'BALANCE N'!$F$2:$F$50)-SUMIF('BALANCE N'!$A$2:$A$50,"832*",'BALANCE N'!$G$2:$G$50)</f>
        <v/>
      </c>
      <c r="C10" s="5">
        <f>SUMIF('BALANCE N-1'!$A$2:$A$50,"832*",'BALANCE N-1'!$F$2:$F$50)-SUMIF('BALANCE N-1'!$A$2:$A$50,"832*",'BALANCE N-1'!$G$2:$G$50)</f>
        <v/>
      </c>
      <c r="D10" s="5">
        <f>B10-C10</f>
        <v/>
      </c>
      <c r="E10" s="122">
        <f>IF(C10=0,"",(B10-C10)/C10)</f>
        <v/>
      </c>
    </row>
    <row r="11">
      <c r="A11" s="4" t="inlineStr">
        <is>
          <t>Pertes sur créances HAO</t>
        </is>
      </c>
      <c r="B11" s="5">
        <f>SUMIF('BALANCE N'!$A$2:$A$50,"834*",'BALANCE N'!$F$2:$F$50)-SUMIF('BALANCE N'!$A$2:$A$50,"834*",'BALANCE N'!$G$2:$G$50)</f>
        <v/>
      </c>
      <c r="C11" s="5">
        <f>SUMIF('BALANCE N-1'!$A$2:$A$50,"834*",'BALANCE N-1'!$F$2:$F$50)-SUMIF('BALANCE N-1'!$A$2:$A$50,"834*",'BALANCE N-1'!$G$2:$G$50)</f>
        <v/>
      </c>
      <c r="D11" s="5">
        <f>B11-C11</f>
        <v/>
      </c>
      <c r="E11" s="122">
        <f>IF(C11=0,"",(B11-C11)/C11)</f>
        <v/>
      </c>
    </row>
    <row r="12">
      <c r="A12" s="4" t="inlineStr">
        <is>
          <t>Abandons de créances consentis</t>
        </is>
      </c>
      <c r="B12" s="5">
        <f>SUMIF('BALANCE N'!$A$2:$A$50,"836*",'BALANCE N'!$F$2:$F$50)-SUMIF('BALANCE N'!$A$2:$A$50,"836*",'BALANCE N'!$G$2:$G$50)</f>
        <v/>
      </c>
      <c r="C12" s="5">
        <f>SUMIF('BALANCE N-1'!$A$2:$A$50,"836*",'BALANCE N-1'!$F$2:$F$50)-SUMIF('BALANCE N-1'!$A$2:$A$50,"836*",'BALANCE N-1'!$G$2:$G$50)</f>
        <v/>
      </c>
      <c r="D12" s="5">
        <f>B12-C12</f>
        <v/>
      </c>
      <c r="E12" s="122">
        <f>IF(C12=0,"",(B12-C12)/C12)</f>
        <v/>
      </c>
    </row>
    <row r="13">
      <c r="A13" s="4" t="inlineStr">
        <is>
          <t>Charges pour provisions pour risques à court terme HAO</t>
        </is>
      </c>
      <c r="B13" s="5">
        <f>SUMIF('BALANCE N'!$A$2:$A$50,"838*",'BALANCE N'!$F$2:$F$50)-SUMIF('BALANCE N'!$A$2:$A$50,"838*",'BALANCE N'!$G$2:$G$50)+SUMIF('BALANCE N'!$A$2:$A$50,"839*",'BALANCE N'!$F$2:$F$50)-SUMIF('BALANCE N'!$A$2:$A$50,"839*",'BALANCE N'!$G$2:$G$50)</f>
        <v/>
      </c>
      <c r="C13" s="5">
        <f>SUMIF('BALANCE N-1'!$A$2:$A$50,"838*",'BALANCE N-1'!$F$2:$F$50)-SUMIF('BALANCE N-1'!$A$2:$A$50,"838*",'BALANCE N-1'!$G$2:$G$50)+SUMIF('BALANCE N-1'!$A$2:$A$50,"839*",'BALANCE N-1'!$F$2:$F$50)-SUMIF('BALANCE N-1'!$A$2:$A$50,"839*",'BALANCE N-1'!$G$2:$G$50)</f>
        <v/>
      </c>
      <c r="D13" s="5">
        <f>B13-C13</f>
        <v/>
      </c>
      <c r="E13" s="122">
        <f>IF(C13=0,"",(B13-C13)/C13)</f>
        <v/>
      </c>
    </row>
    <row r="14">
      <c r="A14" s="4" t="inlineStr">
        <is>
          <t>Dotations hors activités ordinaires</t>
        </is>
      </c>
      <c r="B14" s="5">
        <f>SUMIF('BALANCE N'!$A$2:$A$50,"85*",'BALANCE N'!$F$2:$F$50)-SUMIF('BALANCE N'!$A$2:$A$50,"85*",'BALANCE N'!$G$2:$G$50)</f>
        <v/>
      </c>
      <c r="C14" s="5">
        <f>SUMIF('BALANCE N-1'!$A$2:$A$50,"85*",'BALANCE N-1'!$F$2:$F$50)-SUMIF('BALANCE N-1'!$A$2:$A$50,"85*",'BALANCE N-1'!$G$2:$G$50)</f>
        <v/>
      </c>
      <c r="D14" s="5">
        <f>B14-C14</f>
        <v/>
      </c>
      <c r="E14" s="122">
        <f>IF(C14=0,"",(B14-C14)/C14)</f>
        <v/>
      </c>
    </row>
    <row r="15">
      <c r="A15" s="4" t="inlineStr">
        <is>
          <t>Valeurs comptables des cessions d'immobilisations</t>
        </is>
      </c>
      <c r="B15" s="5">
        <f>SUMIF('BALANCE N'!$A$2:$A$50,"81*",'BALANCE N'!$F$2:$F$50)-SUMIF('BALANCE N'!$A$2:$A$50,"81*",'BALANCE N'!$G$2:$G$50)</f>
        <v/>
      </c>
      <c r="C15" s="5">
        <f>SUMIF('BALANCE N-1'!$A$2:$A$50,"81*",'BALANCE N-1'!$F$2:$F$50)-SUMIF('BALANCE N-1'!$A$2:$A$50,"81*",'BALANCE N-1'!$G$2:$G$50)</f>
        <v/>
      </c>
      <c r="D15" s="5">
        <f>B15-C15</f>
        <v/>
      </c>
      <c r="E15" s="122">
        <f>IF(C15=0,"",(B15-C15)/C15)</f>
        <v/>
      </c>
    </row>
    <row r="16">
      <c r="A16" s="4" t="inlineStr">
        <is>
          <t>Variations de stocks de dons en nature HAO (+/-)</t>
        </is>
      </c>
      <c r="B16" s="5">
        <f>SUMIF('BALANCE N'!$A$2:$A$50,"87*",'BALANCE N'!$F$2:$F$50)-SUMIF('BALANCE N'!$A$2:$A$50,"87*",'BALANCE N'!$G$2:$G$50)</f>
        <v/>
      </c>
      <c r="C16" s="5">
        <f>SUMIF('BALANCE N-1'!$A$2:$A$50,"87*",'BALANCE N-1'!$F$2:$F$50)-SUMIF('BALANCE N-1'!$A$2:$A$50,"87*",'BALANCE N-1'!$G$2:$G$50)</f>
        <v/>
      </c>
      <c r="D16" s="5">
        <f>B16-C16</f>
        <v/>
      </c>
      <c r="E16" s="122">
        <f>IF(C16=0,"",(B16-C16)/C16)</f>
        <v/>
      </c>
    </row>
    <row r="17">
      <c r="A17" s="74" t="inlineStr">
        <is>
          <t>TOTAL : AUTRES CHARGES HAO</t>
        </is>
      </c>
      <c r="B17" s="75">
        <f>SUM(B9:B16)</f>
        <v/>
      </c>
      <c r="C17" s="75">
        <f>SUM(C9:C16)</f>
        <v/>
      </c>
      <c r="D17" s="75">
        <f>B17-C17</f>
        <v/>
      </c>
      <c r="E17" s="123">
        <f>IF(C17=0,"",(B17-C17)/C17)</f>
        <v/>
      </c>
    </row>
    <row r="18">
      <c r="A18" s="4" t="inlineStr">
        <is>
          <t>Produits H.A.O. constatés (compte 841)</t>
        </is>
      </c>
      <c r="B18" s="5">
        <f>SUMIF('BALANCE N'!$A$2:$A$50,"841*",'BALANCE N'!$G$2:$G$50)-SUMIF('BALANCE N'!$A$2:$A$50,"841*",'BALANCE N'!$F$2:$F$50)</f>
        <v/>
      </c>
      <c r="C18" s="5">
        <f>SUMIF('BALANCE N-1'!$A$2:$A$50,"841*",'BALANCE N-1'!$G$2:$G$50)-SUMIF('BALANCE N-1'!$A$2:$A$50,"841*",'BALANCE N-1'!$F$2:$F$50)</f>
        <v/>
      </c>
      <c r="D18" s="5">
        <f>B18-C18</f>
        <v/>
      </c>
      <c r="E18" s="122">
        <f>IF(C18=0,"",(B18-C18)/C18)</f>
        <v/>
      </c>
    </row>
    <row r="19">
      <c r="A19" s="4" t="inlineStr">
        <is>
          <t>Contributions volontaires en nature (compte 842)</t>
        </is>
      </c>
      <c r="B19" s="5">
        <f>SUMIF('BALANCE N'!$A$2:$A$50,"842*",'BALANCE N'!$G$2:$G$50)-SUMIF('BALANCE N'!$A$2:$A$50,"842*",'BALANCE N'!$F$2:$F$50)</f>
        <v/>
      </c>
      <c r="C19" s="5">
        <f>SUMIF('BALANCE N-1'!$A$2:$A$50,"842*",'BALANCE N-1'!$G$2:$G$50)-SUMIF('BALANCE N-1'!$A$2:$A$50,"842*",'BALANCE N-1'!$F$2:$F$50)</f>
        <v/>
      </c>
      <c r="D19" s="5">
        <f>B19-C19</f>
        <v/>
      </c>
      <c r="E19" s="122">
        <f>IF(C19=0,"",(B19-C19)/C19)</f>
        <v/>
      </c>
    </row>
    <row r="20">
      <c r="A20" s="4" t="inlineStr">
        <is>
          <t>Contributions volontaires en numéraire</t>
        </is>
      </c>
      <c r="B20" s="5">
        <f>SUMIF('BALANCE N'!$A$2:$A$50,"843*",'BALANCE N'!$G$2:$G$50)-SUMIF('BALANCE N'!$A$2:$A$50,"843*",'BALANCE N'!$F$2:$F$50)</f>
        <v/>
      </c>
      <c r="C20" s="5">
        <f>SUMIF('BALANCE N-1'!$A$2:$A$50,"843*",'BALANCE N-1'!$G$2:$G$50)-SUMIF('BALANCE N-1'!$A$2:$A$50,"843*",'BALANCE N-1'!$F$2:$F$50)</f>
        <v/>
      </c>
      <c r="D20" s="5">
        <f>B20-C20</f>
        <v/>
      </c>
      <c r="E20" s="122">
        <f>IF(C20=0,"",(B20-C20)/C20)</f>
        <v/>
      </c>
    </row>
    <row r="21">
      <c r="A21" s="4" t="inlineStr">
        <is>
          <t>Abandons de créances obtenus</t>
        </is>
      </c>
      <c r="B21" s="5">
        <f>SUMIF('BALANCE N'!$A$2:$A$50,"846*",'BALANCE N'!$G$2:$G$50)-SUMIF('BALANCE N'!$A$2:$A$50,"846*",'BALANCE N'!$F$2:$F$50)</f>
        <v/>
      </c>
      <c r="C21" s="5">
        <f>SUMIF('BALANCE N-1'!$A$2:$A$50,"846*",'BALANCE N-1'!$G$2:$G$50)-SUMIF('BALANCE N-1'!$A$2:$A$50,"846*",'BALANCE N-1'!$F$2:$F$50)</f>
        <v/>
      </c>
      <c r="D21" s="5">
        <f>B21-C21</f>
        <v/>
      </c>
      <c r="E21" s="122">
        <f>IF(C21=0,"",(B21-C21)/C21)</f>
        <v/>
      </c>
    </row>
    <row r="22">
      <c r="A22" s="4" t="inlineStr">
        <is>
          <t>Transferts de produits H.A.O.</t>
        </is>
      </c>
      <c r="B22" s="5">
        <f>SUMIF('BALANCE N'!$A$2:$A$50,"848*",'BALANCE N'!$G$2:$G$50)-SUMIF('BALANCE N'!$A$2:$A$50,"848*",'BALANCE N'!$F$2:$F$50)</f>
        <v/>
      </c>
      <c r="C22" s="5">
        <f>SUMIF('BALANCE N-1'!$A$2:$A$50,"848*",'BALANCE N-1'!$G$2:$G$50)-SUMIF('BALANCE N-1'!$A$2:$A$50,"848*",'BALANCE N-1'!$F$2:$F$50)</f>
        <v/>
      </c>
      <c r="D22" s="5">
        <f>B22-C22</f>
        <v/>
      </c>
      <c r="E22" s="122">
        <f>IF(C22=0,"",(B22-C22)/C22)</f>
        <v/>
      </c>
    </row>
    <row r="23">
      <c r="A23" s="4" t="inlineStr">
        <is>
          <t>Reprises de charges et provisions à court terme HAO</t>
        </is>
      </c>
      <c r="B23" s="5">
        <f>SUMIF('BALANCE N'!$A$2:$A$50,"849*",'BALANCE N'!$G$2:$G$50)-SUMIF('BALANCE N'!$A$2:$A$50,"849*",'BALANCE N'!$F$2:$F$50)</f>
        <v/>
      </c>
      <c r="C23" s="5">
        <f>SUMIF('BALANCE N-1'!$A$2:$A$50,"849*",'BALANCE N-1'!$G$2:$G$50)-SUMIF('BALANCE N-1'!$A$2:$A$50,"849*",'BALANCE N-1'!$F$2:$F$50)</f>
        <v/>
      </c>
      <c r="D23" s="5">
        <f>B23-C23</f>
        <v/>
      </c>
      <c r="E23" s="122">
        <f>IF(C23=0,"",(B23-C23)/C23)</f>
        <v/>
      </c>
    </row>
    <row r="24">
      <c r="A24" s="4" t="inlineStr">
        <is>
          <t>Reprises d'amortissements, provisions et dépréciations H.A.O.</t>
        </is>
      </c>
      <c r="B24" s="5">
        <f>SUMIF('BALANCE N'!$A$2:$A$50,"86*",'BALANCE N'!$G$2:$G$50)-SUMIF('BALANCE N'!$A$2:$A$50,"86*",'BALANCE N'!$F$2:$F$50)</f>
        <v/>
      </c>
      <c r="C24" s="5">
        <f>SUMIF('BALANCE N-1'!$A$2:$A$50,"86*",'BALANCE N-1'!$G$2:$G$50)-SUMIF('BALANCE N-1'!$A$2:$A$50,"86*",'BALANCE N-1'!$F$2:$F$50)</f>
        <v/>
      </c>
      <c r="D24" s="5">
        <f>B24-C24</f>
        <v/>
      </c>
      <c r="E24" s="122">
        <f>IF(C24=0,"",(B24-C24)/C24)</f>
        <v/>
      </c>
    </row>
    <row r="25">
      <c r="A25" s="4" t="inlineStr">
        <is>
          <t>Produits des cessions d'immobilisations</t>
        </is>
      </c>
      <c r="B25" s="5">
        <f>SUMIF('BALANCE N'!$A$2:$A$50,"82*",'BALANCE N'!$G$2:$G$50)-SUMIF('BALANCE N'!$A$2:$A$50,"82*",'BALANCE N'!$F$2:$F$50)</f>
        <v/>
      </c>
      <c r="C25" s="5">
        <f>SUMIF('BALANCE N-1'!$A$2:$A$50,"82*",'BALANCE N-1'!$G$2:$G$50)-SUMIF('BALANCE N-1'!$A$2:$A$50,"82*",'BALANCE N-1'!$F$2:$F$50)</f>
        <v/>
      </c>
      <c r="D25" s="5">
        <f>B25-C25</f>
        <v/>
      </c>
      <c r="E25" s="122">
        <f>IF(C25=0,"",(B25-C25)/C25)</f>
        <v/>
      </c>
    </row>
    <row r="26">
      <c r="A26" s="4" t="inlineStr">
        <is>
          <t>Subventions d'équilibre</t>
        </is>
      </c>
      <c r="B26" s="5">
        <f>SUMIF('BALANCE N'!$A$2:$A$50,"88*",'BALANCE N'!$G$2:$G$50)-SUMIF('BALANCE N'!$A$2:$A$50,"88*",'BALANCE N'!$F$2:$F$50)</f>
        <v/>
      </c>
      <c r="C26" s="5">
        <f>SUMIF('BALANCE N-1'!$A$2:$A$50,"88*",'BALANCE N-1'!$G$2:$G$50)-SUMIF('BALANCE N-1'!$A$2:$A$50,"88*",'BALANCE N-1'!$F$2:$F$50)</f>
        <v/>
      </c>
      <c r="D26" s="5">
        <f>B26-C26</f>
        <v/>
      </c>
      <c r="E26" s="122">
        <f>IF(C26=0,"",(B26-C26)/C26)</f>
        <v/>
      </c>
    </row>
    <row r="27">
      <c r="A27" s="74" t="inlineStr">
        <is>
          <t>TOTAL : AUTRES PRODUITS HAO</t>
        </is>
      </c>
      <c r="B27" s="75">
        <f>SUM(B18:B26)</f>
        <v/>
      </c>
      <c r="C27" s="75">
        <f>SUM(C18:C26)</f>
        <v/>
      </c>
      <c r="D27" s="75">
        <f>B27-C27</f>
        <v/>
      </c>
      <c r="E27" s="123">
        <f>IF(C27=0,"",(B27-C27)/C27)</f>
        <v/>
      </c>
    </row>
    <row r="28">
      <c r="A28" s="74" t="inlineStr">
        <is>
          <t>TOTAL (produits - charges)</t>
        </is>
      </c>
      <c r="B28" s="75">
        <f>B27-B17</f>
        <v/>
      </c>
      <c r="C28" s="75">
        <f>C27-C17</f>
        <v/>
      </c>
      <c r="D28" s="75">
        <f>B28-C28</f>
        <v/>
      </c>
      <c r="E28" s="123">
        <f>IF(C28=0,"",(B28-C28)/C28)</f>
        <v/>
      </c>
    </row>
  </sheetData>
  <mergeCells count="2">
    <mergeCell ref="A7:E7"/>
    <mergeCell ref="D2:E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5" customWidth="1" min="4" max="4"/>
    <col width="15" customWidth="1" min="5" max="5"/>
    <col width="16" customWidth="1" min="6" max="6"/>
    <col width="17" customWidth="1" min="7" max="7"/>
    <col width="14" customWidth="1" min="8" max="8"/>
  </cols>
  <sheetData>
    <row r="1" ht="12" customHeight="1">
      <c r="A1" s="48" t="inlineStr">
        <is>
          <t>- 36 -</t>
        </is>
      </c>
    </row>
    <row r="2" ht="26" customHeight="1">
      <c r="G2" s="49" t="inlineStr">
        <is>
          <t>NOTE 24
PROJETS DE DEVELOPPEMENT</t>
        </is>
      </c>
      <c r="H2" s="50" t="n"/>
    </row>
    <row r="3" ht="15" customHeight="1">
      <c r="A3" s="37" t="inlineStr">
        <is>
          <t>Dénomination sociale : PROJET EAU POTABLE RURALE</t>
        </is>
      </c>
    </row>
    <row r="4" ht="15" customHeight="1">
      <c r="A4" s="37" t="inlineStr">
        <is>
          <t>Adresse :</t>
        </is>
      </c>
      <c r="B4" s="51" t="inlineStr"/>
      <c r="C4" s="39" t="n"/>
      <c r="D4" s="39" t="n"/>
      <c r="E4" s="39" t="n"/>
      <c r="G4" s="52" t="inlineStr">
        <is>
          <t>Sigle usuel :</t>
        </is>
      </c>
      <c r="H4" s="51" t="inlineStr">
        <is>
          <t>PEPR</t>
        </is>
      </c>
    </row>
    <row r="5" ht="15" customHeight="1">
      <c r="A5" s="37" t="inlineStr">
        <is>
          <t>N° de compte contribuable (NCC) : PD-2023-017</t>
        </is>
      </c>
      <c r="E5" s="37" t="inlineStr">
        <is>
          <t>Exercice clos le 31-12-2025</t>
        </is>
      </c>
      <c r="G5" s="37" t="inlineStr">
        <is>
          <t>Durée (en mois) : 12</t>
        </is>
      </c>
    </row>
    <row r="6" ht="15" customHeight="1">
      <c r="A6" s="37" t="inlineStr">
        <is>
          <t>N° de télédéclarant (NTD) :</t>
        </is>
      </c>
    </row>
    <row r="7" ht="28" customHeight="1">
      <c r="A7" s="112" t="inlineStr">
        <is>
          <t>NOTE 24 : TABLEAU D'EXÉCUTION BUDGÉTAIRE</t>
        </is>
      </c>
    </row>
    <row r="8">
      <c r="A8" s="1" t="inlineStr">
        <is>
          <t>Code</t>
        </is>
      </c>
      <c r="B8" s="2" t="inlineStr">
        <is>
          <t>Libellé</t>
        </is>
      </c>
      <c r="C8" s="2" t="inlineStr">
        <is>
          <t>Budget de l'exercice (1)</t>
        </is>
      </c>
      <c r="D8" s="2" t="inlineStr">
        <is>
          <t>Décaissement (2)</t>
        </is>
      </c>
      <c r="E8" s="2" t="inlineStr">
        <is>
          <t>Engagement (3)</t>
        </is>
      </c>
      <c r="F8" s="2" t="inlineStr">
        <is>
          <t>Réalisation (4 = 2 + 3)</t>
        </is>
      </c>
      <c r="G8" s="2" t="inlineStr">
        <is>
          <t>Crédit disponible (5 = 1 - 4)</t>
        </is>
      </c>
      <c r="H8" s="3" t="inlineStr">
        <is>
          <t>Exécution budget % (4/1)</t>
        </is>
      </c>
    </row>
    <row r="9">
      <c r="A9" s="4" t="n"/>
      <c r="B9" s="4" t="n"/>
      <c r="C9" s="5" t="n"/>
      <c r="D9" s="5" t="n"/>
      <c r="E9" s="5" t="n"/>
      <c r="F9" s="5">
        <f>D9+E9</f>
        <v/>
      </c>
      <c r="G9" s="5">
        <f>C9-F9</f>
        <v/>
      </c>
      <c r="H9" s="122">
        <f>IF(C9=0,"",F9/C9)</f>
        <v/>
      </c>
    </row>
    <row r="10">
      <c r="A10" s="4" t="n"/>
      <c r="B10" s="4" t="n"/>
      <c r="C10" s="5" t="n"/>
      <c r="D10" s="5" t="n"/>
      <c r="E10" s="5" t="n"/>
      <c r="F10" s="5">
        <f>D10+E10</f>
        <v/>
      </c>
      <c r="G10" s="5">
        <f>C10-F10</f>
        <v/>
      </c>
      <c r="H10" s="122">
        <f>IF(C10=0,"",F10/C10)</f>
        <v/>
      </c>
    </row>
    <row r="11">
      <c r="A11" s="4" t="n"/>
      <c r="B11" s="4" t="n"/>
      <c r="C11" s="5" t="n"/>
      <c r="D11" s="5" t="n"/>
      <c r="E11" s="5" t="n"/>
      <c r="F11" s="5">
        <f>D11+E11</f>
        <v/>
      </c>
      <c r="G11" s="5">
        <f>C11-F11</f>
        <v/>
      </c>
      <c r="H11" s="122">
        <f>IF(C11=0,"",F11/C11)</f>
        <v/>
      </c>
    </row>
    <row r="12">
      <c r="A12" s="4" t="n"/>
      <c r="B12" s="4" t="n"/>
      <c r="C12" s="5" t="n"/>
      <c r="D12" s="5" t="n"/>
      <c r="E12" s="5" t="n"/>
      <c r="F12" s="5">
        <f>D12+E12</f>
        <v/>
      </c>
      <c r="G12" s="5">
        <f>C12-F12</f>
        <v/>
      </c>
      <c r="H12" s="122">
        <f>IF(C12=0,"",F12/C12)</f>
        <v/>
      </c>
    </row>
    <row r="13">
      <c r="A13" s="4" t="n"/>
      <c r="B13" s="4" t="n"/>
      <c r="C13" s="5" t="n"/>
      <c r="D13" s="5" t="n"/>
      <c r="E13" s="5" t="n"/>
      <c r="F13" s="5">
        <f>D13+E13</f>
        <v/>
      </c>
      <c r="G13" s="5">
        <f>C13-F13</f>
        <v/>
      </c>
      <c r="H13" s="122">
        <f>IF(C13=0,"",F13/C13)</f>
        <v/>
      </c>
    </row>
    <row r="14">
      <c r="A14" s="4" t="n"/>
      <c r="B14" s="4" t="n"/>
      <c r="C14" s="5" t="n"/>
      <c r="D14" s="5" t="n"/>
      <c r="E14" s="5" t="n"/>
      <c r="F14" s="5">
        <f>D14+E14</f>
        <v/>
      </c>
      <c r="G14" s="5">
        <f>C14-F14</f>
        <v/>
      </c>
      <c r="H14" s="122">
        <f>IF(C14=0,"",F14/C14)</f>
        <v/>
      </c>
    </row>
    <row r="15">
      <c r="A15" s="4" t="n"/>
      <c r="B15" s="4" t="n"/>
      <c r="C15" s="5" t="n"/>
      <c r="D15" s="5" t="n"/>
      <c r="E15" s="5" t="n"/>
      <c r="F15" s="5">
        <f>D15+E15</f>
        <v/>
      </c>
      <c r="G15" s="5">
        <f>C15-F15</f>
        <v/>
      </c>
      <c r="H15" s="122">
        <f>IF(C15=0,"",F15/C15)</f>
        <v/>
      </c>
    </row>
    <row r="16">
      <c r="A16" s="4" t="n"/>
      <c r="B16" s="4" t="n"/>
      <c r="C16" s="5" t="n"/>
      <c r="D16" s="5" t="n"/>
      <c r="E16" s="5" t="n"/>
      <c r="F16" s="5">
        <f>D16+E16</f>
        <v/>
      </c>
      <c r="G16" s="5">
        <f>C16-F16</f>
        <v/>
      </c>
      <c r="H16" s="122">
        <f>IF(C16=0,"",F16/C16)</f>
        <v/>
      </c>
    </row>
    <row r="17">
      <c r="A17" s="4" t="n"/>
      <c r="B17" s="4" t="n"/>
      <c r="C17" s="5" t="n"/>
      <c r="D17" s="5" t="n"/>
      <c r="E17" s="5" t="n"/>
      <c r="F17" s="5">
        <f>D17+E17</f>
        <v/>
      </c>
      <c r="G17" s="5">
        <f>C17-F17</f>
        <v/>
      </c>
      <c r="H17" s="122">
        <f>IF(C17=0,"",F17/C17)</f>
        <v/>
      </c>
    </row>
    <row r="18">
      <c r="A18" s="4" t="n"/>
      <c r="B18" s="4" t="n"/>
      <c r="C18" s="5" t="n"/>
      <c r="D18" s="5" t="n"/>
      <c r="E18" s="5" t="n"/>
      <c r="F18" s="5">
        <f>D18+E18</f>
        <v/>
      </c>
      <c r="G18" s="5">
        <f>C18-F18</f>
        <v/>
      </c>
      <c r="H18" s="122">
        <f>IF(C18=0,"",F18/C18)</f>
        <v/>
      </c>
    </row>
    <row r="19">
      <c r="A19" s="4" t="n"/>
      <c r="B19" s="4" t="n"/>
      <c r="C19" s="5" t="n"/>
      <c r="D19" s="5" t="n"/>
      <c r="E19" s="5" t="n"/>
      <c r="F19" s="5">
        <f>D19+E19</f>
        <v/>
      </c>
      <c r="G19" s="5">
        <f>C19-F19</f>
        <v/>
      </c>
      <c r="H19" s="122">
        <f>IF(C19=0,"",F19/C19)</f>
        <v/>
      </c>
    </row>
    <row r="20">
      <c r="A20" s="4" t="n"/>
      <c r="B20" s="4" t="n"/>
      <c r="C20" s="5" t="n"/>
      <c r="D20" s="5" t="n"/>
      <c r="E20" s="5" t="n"/>
      <c r="F20" s="5">
        <f>D20+E20</f>
        <v/>
      </c>
      <c r="G20" s="5">
        <f>C20-F20</f>
        <v/>
      </c>
      <c r="H20" s="122">
        <f>IF(C20=0,"",F20/C20)</f>
        <v/>
      </c>
    </row>
    <row r="21">
      <c r="A21" s="74" t="n"/>
      <c r="B21" s="74" t="inlineStr">
        <is>
          <t>TOTAL</t>
        </is>
      </c>
      <c r="C21" s="75">
        <f>SUM(C9:C20)</f>
        <v/>
      </c>
      <c r="D21" s="75">
        <f>SUM(D9:D20)</f>
        <v/>
      </c>
      <c r="E21" s="75">
        <f>SUM(E9:E20)</f>
        <v/>
      </c>
      <c r="F21" s="75">
        <f>SUM(F9:F20)</f>
        <v/>
      </c>
      <c r="G21" s="75">
        <f>SUM(G9:G20)</f>
        <v/>
      </c>
      <c r="H21" s="126">
        <f>IF(C21=0,"",F21/C21)</f>
        <v/>
      </c>
    </row>
    <row r="22"/>
    <row r="23">
      <c r="A23" s="91" t="inlineStr">
        <is>
          <t>Remplir code et libellé suivant la nomenclature budgétaire de l'entité ; expliquer les écarts significatifs entre budget et réalisation.</t>
        </is>
      </c>
    </row>
  </sheetData>
  <mergeCells count="3">
    <mergeCell ref="A7:H7"/>
    <mergeCell ref="G2:H2"/>
    <mergeCell ref="B4:E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selection activeCell="A1" sqref="A1"/>
    </sheetView>
  </sheetViews>
  <sheetFormatPr baseColWidth="8" defaultRowHeight="15"/>
  <cols>
    <col width="11.2" customWidth="1" min="1" max="1"/>
    <col width="14.8" customWidth="1" min="2" max="2"/>
    <col width="11.5" customWidth="1" min="3" max="3"/>
    <col width="19.8" customWidth="1" min="4" max="4"/>
    <col width="14.5" customWidth="1" min="5" max="5"/>
    <col width="10.3" customWidth="1" min="6" max="6"/>
    <col width="13.5" customWidth="1" min="7" max="7"/>
    <col width="6.3" customWidth="1" min="8" max="8"/>
  </cols>
  <sheetData>
    <row r="1" ht="26" customHeight="1">
      <c r="A1" s="53" t="inlineStr">
        <is>
          <t>TABLE DES COMMENTAIRES</t>
        </is>
      </c>
      <c r="G1" s="127" t="inlineStr">
        <is>
          <t>COMMENTAIRES
PAGE 1/7</t>
        </is>
      </c>
      <c r="H1" s="50" t="n"/>
    </row>
    <row r="2">
      <c r="A2" s="63" t="inlineStr">
        <is>
          <t>Dénomination sociale : PROJET EAU POTABLE RURALE</t>
        </is>
      </c>
    </row>
    <row r="3">
      <c r="A3" s="63" t="inlineStr">
        <is>
          <t xml:space="preserve">Adresse : </t>
        </is>
      </c>
      <c r="F3" s="63" t="inlineStr">
        <is>
          <t>Sigle usuel : PEPR</t>
        </is>
      </c>
    </row>
    <row r="4">
      <c r="A4" s="63" t="inlineStr">
        <is>
          <t>N° de compte contribuable (NCC) : PD-2023-017</t>
        </is>
      </c>
      <c r="E4" s="63" t="inlineStr">
        <is>
          <t>Exercice clos le 31-12-2025</t>
        </is>
      </c>
      <c r="G4" s="63" t="inlineStr">
        <is>
          <t>Durée (en mois) : 12</t>
        </is>
      </c>
    </row>
    <row r="5">
      <c r="A5" s="63" t="inlineStr">
        <is>
          <t xml:space="preserve">N° de télédéclarant (NTD) : </t>
        </is>
      </c>
    </row>
    <row r="6" ht="17" customHeight="1">
      <c r="A6" s="128" t="inlineStr">
        <is>
          <t>Partie 1 : Informations générales</t>
        </is>
      </c>
      <c r="B6" s="129" t="n"/>
      <c r="C6" s="129" t="n"/>
      <c r="D6" s="129" t="n"/>
      <c r="E6" s="129" t="n"/>
      <c r="F6" s="129" t="n"/>
      <c r="G6" s="129" t="n"/>
      <c r="H6" s="129" t="n"/>
    </row>
    <row r="7" ht="16" customHeight="1">
      <c r="A7" s="130" t="inlineStr">
        <is>
          <t>Note 1</t>
        </is>
      </c>
      <c r="B7" s="131" t="inlineStr">
        <is>
          <t>INFORMATIONS OBLIGATOIRES</t>
        </is>
      </c>
      <c r="C7" s="45" t="n"/>
      <c r="D7" s="45" t="n"/>
      <c r="E7" s="45" t="n"/>
      <c r="F7" s="45" t="n"/>
      <c r="G7" s="45" t="n"/>
      <c r="H7" s="45" t="n"/>
    </row>
    <row r="8" ht="110" customHeight="1">
      <c r="A8" s="132" t="n"/>
      <c r="B8" s="45" t="n"/>
      <c r="C8" s="45" t="n"/>
      <c r="D8" s="45" t="n"/>
      <c r="E8" s="45" t="n"/>
      <c r="F8" s="45" t="n"/>
      <c r="G8" s="45" t="n"/>
      <c r="H8" s="45" t="n"/>
    </row>
    <row r="9" ht="17" customHeight="1">
      <c r="A9" s="128" t="inlineStr">
        <is>
          <t>Partie 2 : Notes sur le tableau emplois-ressources, le tableau d'exécution budgétaire et la réconciliation de trésorerie</t>
        </is>
      </c>
      <c r="B9" s="129" t="n"/>
      <c r="C9" s="129" t="n"/>
      <c r="D9" s="129" t="n"/>
      <c r="E9" s="129" t="n"/>
      <c r="F9" s="129" t="n"/>
      <c r="G9" s="129" t="n"/>
      <c r="H9" s="129" t="n"/>
    </row>
    <row r="10" ht="16" customHeight="1">
      <c r="A10" s="130" t="inlineStr">
        <is>
          <t>Note 2</t>
        </is>
      </c>
      <c r="B10" s="131" t="inlineStr">
        <is>
          <t>INFORMATIONS SPÉCIFIQUES</t>
        </is>
      </c>
      <c r="C10" s="45" t="n"/>
      <c r="D10" s="45" t="n"/>
      <c r="E10" s="45" t="n"/>
      <c r="F10" s="45" t="n"/>
      <c r="G10" s="45" t="n"/>
      <c r="H10" s="45" t="n"/>
    </row>
    <row r="11" ht="110" customHeight="1">
      <c r="A11" s="132" t="n"/>
      <c r="B11" s="45" t="n"/>
      <c r="C11" s="45" t="n"/>
      <c r="D11" s="45" t="n"/>
      <c r="E11" s="45" t="n"/>
      <c r="F11" s="45" t="n"/>
      <c r="G11" s="45" t="n"/>
      <c r="H11" s="45" t="n"/>
    </row>
    <row r="12" ht="17" customHeight="1">
      <c r="A12" s="128" t="inlineStr">
        <is>
          <t>Partie 3 : Notes sur le bilan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 ht="16" customHeight="1">
      <c r="A13" s="130" t="inlineStr">
        <is>
          <t>Note 3A</t>
        </is>
      </c>
      <c r="B13" s="131" t="inlineStr">
        <is>
          <t>IMMOBILISATIONS BRUTES</t>
        </is>
      </c>
      <c r="C13" s="45" t="n"/>
      <c r="D13" s="45" t="n"/>
      <c r="E13" s="45" t="n"/>
      <c r="F13" s="45" t="n"/>
      <c r="G13" s="45" t="n"/>
      <c r="H13" s="45" t="n"/>
    </row>
    <row r="14" ht="110" customHeight="1">
      <c r="A14" s="132" t="n"/>
      <c r="B14" s="45" t="n"/>
      <c r="C14" s="45" t="n"/>
      <c r="D14" s="45" t="n"/>
      <c r="E14" s="45" t="n"/>
      <c r="F14" s="45" t="n"/>
      <c r="G14" s="45" t="n"/>
      <c r="H14" s="45" t="n"/>
    </row>
    <row r="15" ht="16" customHeight="1">
      <c r="A15" s="130" t="inlineStr">
        <is>
          <t>Note 3B</t>
        </is>
      </c>
      <c r="B15" s="131" t="inlineStr">
        <is>
          <t>BIENS PRIS EN LOCATION-ACQUISITION</t>
        </is>
      </c>
      <c r="C15" s="45" t="n"/>
      <c r="D15" s="45" t="n"/>
      <c r="E15" s="45" t="n"/>
      <c r="F15" s="45" t="n"/>
      <c r="G15" s="45" t="n"/>
      <c r="H15" s="45" t="n"/>
    </row>
    <row r="16" ht="110" customHeight="1">
      <c r="A16" s="132" t="n"/>
      <c r="B16" s="45" t="n"/>
      <c r="C16" s="45" t="n"/>
      <c r="D16" s="45" t="n"/>
      <c r="E16" s="45" t="n"/>
      <c r="F16" s="45" t="n"/>
      <c r="G16" s="45" t="n"/>
      <c r="H16" s="45" t="n"/>
    </row>
    <row r="17" ht="26" customHeight="1">
      <c r="A17" s="53" t="inlineStr">
        <is>
          <t>TABLE DES COMMENTAIRES</t>
        </is>
      </c>
      <c r="G17" s="127" t="inlineStr">
        <is>
          <t>COMMENTAIRES
PAGE 2/7</t>
        </is>
      </c>
      <c r="H17" s="50" t="n"/>
    </row>
    <row r="18">
      <c r="A18" s="63" t="inlineStr">
        <is>
          <t>Dénomination sociale : PROJET EAU POTABLE RURALE</t>
        </is>
      </c>
    </row>
    <row r="19">
      <c r="A19" s="63" t="inlineStr">
        <is>
          <t xml:space="preserve">Adresse : </t>
        </is>
      </c>
      <c r="F19" s="63" t="inlineStr">
        <is>
          <t>Sigle usuel : PEPR</t>
        </is>
      </c>
    </row>
    <row r="20">
      <c r="A20" s="63" t="inlineStr">
        <is>
          <t>N° de compte contribuable (NCC) : PD-2023-017</t>
        </is>
      </c>
      <c r="E20" s="63" t="inlineStr">
        <is>
          <t>Exercice clos le 31-12-2025</t>
        </is>
      </c>
      <c r="G20" s="63" t="inlineStr">
        <is>
          <t>Durée (en mois) : 12</t>
        </is>
      </c>
    </row>
    <row r="21">
      <c r="A21" s="63" t="inlineStr">
        <is>
          <t xml:space="preserve">N° de télédéclarant (NTD) : </t>
        </is>
      </c>
    </row>
    <row r="22" ht="16" customHeight="1">
      <c r="A22" s="130" t="inlineStr">
        <is>
          <t>Note 4</t>
        </is>
      </c>
      <c r="B22" s="131" t="inlineStr">
        <is>
          <t>ACTIF CIRCULANT ET DETTES CIRCULANTES HAO</t>
        </is>
      </c>
      <c r="C22" s="45" t="n"/>
      <c r="D22" s="45" t="n"/>
      <c r="E22" s="45" t="n"/>
      <c r="F22" s="45" t="n"/>
      <c r="G22" s="45" t="n"/>
      <c r="H22" s="45" t="n"/>
    </row>
    <row r="23" ht="110" customHeight="1">
      <c r="A23" s="132" t="n"/>
      <c r="B23" s="45" t="n"/>
      <c r="C23" s="45" t="n"/>
      <c r="D23" s="45" t="n"/>
      <c r="E23" s="45" t="n"/>
      <c r="F23" s="45" t="n"/>
      <c r="G23" s="45" t="n"/>
      <c r="H23" s="45" t="n"/>
    </row>
    <row r="24" ht="16" customHeight="1">
      <c r="A24" s="130" t="inlineStr">
        <is>
          <t>Note 5</t>
        </is>
      </c>
      <c r="B24" s="131" t="inlineStr">
        <is>
          <t>STOCKS ET ENCOURS</t>
        </is>
      </c>
      <c r="C24" s="45" t="n"/>
      <c r="D24" s="45" t="n"/>
      <c r="E24" s="45" t="n"/>
      <c r="F24" s="45" t="n"/>
      <c r="G24" s="45" t="n"/>
      <c r="H24" s="45" t="n"/>
    </row>
    <row r="25" ht="110" customHeight="1">
      <c r="A25" s="132" t="n"/>
      <c r="B25" s="45" t="n"/>
      <c r="C25" s="45" t="n"/>
      <c r="D25" s="45" t="n"/>
      <c r="E25" s="45" t="n"/>
      <c r="F25" s="45" t="n"/>
      <c r="G25" s="45" t="n"/>
      <c r="H25" s="45" t="n"/>
    </row>
    <row r="26" ht="16" customHeight="1">
      <c r="A26" s="130" t="inlineStr">
        <is>
          <t>Note 6</t>
        </is>
      </c>
      <c r="B26" s="131" t="inlineStr">
        <is>
          <t>CLIENTS-USAGERS ET AUTRES CRÉANCES</t>
        </is>
      </c>
      <c r="C26" s="45" t="n"/>
      <c r="D26" s="45" t="n"/>
      <c r="E26" s="45" t="n"/>
      <c r="F26" s="45" t="n"/>
      <c r="G26" s="45" t="n"/>
      <c r="H26" s="45" t="n"/>
    </row>
    <row r="27" ht="110" customHeight="1">
      <c r="A27" s="132" t="n"/>
      <c r="B27" s="45" t="n"/>
      <c r="C27" s="45" t="n"/>
      <c r="D27" s="45" t="n"/>
      <c r="E27" s="45" t="n"/>
      <c r="F27" s="45" t="n"/>
      <c r="G27" s="45" t="n"/>
      <c r="H27" s="45" t="n"/>
    </row>
    <row r="28" ht="16" customHeight="1">
      <c r="A28" s="130" t="inlineStr">
        <is>
          <t>Note 7</t>
        </is>
      </c>
      <c r="B28" s="131" t="inlineStr">
        <is>
          <t>DISPONIBILITÉS</t>
        </is>
      </c>
      <c r="C28" s="45" t="n"/>
      <c r="D28" s="45" t="n"/>
      <c r="E28" s="45" t="n"/>
      <c r="F28" s="45" t="n"/>
      <c r="G28" s="45" t="n"/>
      <c r="H28" s="45" t="n"/>
    </row>
    <row r="29" ht="110" customHeight="1">
      <c r="A29" s="132" t="n"/>
      <c r="B29" s="45" t="n"/>
      <c r="C29" s="45" t="n"/>
      <c r="D29" s="45" t="n"/>
      <c r="E29" s="45" t="n"/>
      <c r="F29" s="45" t="n"/>
      <c r="G29" s="45" t="n"/>
      <c r="H29" s="45" t="n"/>
    </row>
    <row r="30" ht="26" customHeight="1">
      <c r="A30" s="53" t="inlineStr">
        <is>
          <t>TABLE DES COMMENTAIRES</t>
        </is>
      </c>
      <c r="G30" s="127" t="inlineStr">
        <is>
          <t>COMMENTAIRES
PAGE 3/7</t>
        </is>
      </c>
      <c r="H30" s="50" t="n"/>
    </row>
    <row r="31">
      <c r="A31" s="63" t="inlineStr">
        <is>
          <t>Dénomination sociale : PROJET EAU POTABLE RURALE</t>
        </is>
      </c>
    </row>
    <row r="32">
      <c r="A32" s="63" t="inlineStr">
        <is>
          <t xml:space="preserve">Adresse : </t>
        </is>
      </c>
      <c r="F32" s="63" t="inlineStr">
        <is>
          <t>Sigle usuel : PEPR</t>
        </is>
      </c>
    </row>
    <row r="33">
      <c r="A33" s="63" t="inlineStr">
        <is>
          <t>N° de compte contribuable (NCC) : PD-2023-017</t>
        </is>
      </c>
      <c r="E33" s="63" t="inlineStr">
        <is>
          <t>Exercice clos le 31-12-2025</t>
        </is>
      </c>
      <c r="G33" s="63" t="inlineStr">
        <is>
          <t>Durée (en mois) : 12</t>
        </is>
      </c>
    </row>
    <row r="34">
      <c r="A34" s="63" t="inlineStr">
        <is>
          <t xml:space="preserve">N° de télédéclarant (NTD) : </t>
        </is>
      </c>
    </row>
    <row r="35" ht="16" customHeight="1">
      <c r="A35" s="130" t="inlineStr">
        <is>
          <t>Note 8</t>
        </is>
      </c>
      <c r="B35" s="131" t="inlineStr">
        <is>
          <t>ÉCARTS DE CONVERSION</t>
        </is>
      </c>
      <c r="C35" s="45" t="n"/>
      <c r="D35" s="45" t="n"/>
      <c r="E35" s="45" t="n"/>
      <c r="F35" s="45" t="n"/>
      <c r="G35" s="45" t="n"/>
      <c r="H35" s="45" t="n"/>
    </row>
    <row r="36" ht="110" customHeight="1">
      <c r="A36" s="132" t="n"/>
      <c r="B36" s="45" t="n"/>
      <c r="C36" s="45" t="n"/>
      <c r="D36" s="45" t="n"/>
      <c r="E36" s="45" t="n"/>
      <c r="F36" s="45" t="n"/>
      <c r="G36" s="45" t="n"/>
      <c r="H36" s="45" t="n"/>
    </row>
    <row r="37" ht="16" customHeight="1">
      <c r="A37" s="130" t="inlineStr">
        <is>
          <t>Note 9</t>
        </is>
      </c>
      <c r="B37" s="131" t="inlineStr">
        <is>
          <t>FONDS DU BAILLEUR</t>
        </is>
      </c>
      <c r="C37" s="45" t="n"/>
      <c r="D37" s="45" t="n"/>
      <c r="E37" s="45" t="n"/>
      <c r="F37" s="45" t="n"/>
      <c r="G37" s="45" t="n"/>
      <c r="H37" s="45" t="n"/>
    </row>
    <row r="38" ht="110" customHeight="1">
      <c r="A38" s="132" t="n"/>
      <c r="B38" s="45" t="n"/>
      <c r="C38" s="45" t="n"/>
      <c r="D38" s="45" t="n"/>
      <c r="E38" s="45" t="n"/>
      <c r="F38" s="45" t="n"/>
      <c r="G38" s="45" t="n"/>
      <c r="H38" s="45" t="n"/>
    </row>
    <row r="39" ht="16" customHeight="1">
      <c r="A39" s="130" t="inlineStr">
        <is>
          <t>Note 10</t>
        </is>
      </c>
      <c r="B39" s="131" t="inlineStr">
        <is>
          <t>SUBVENTIONS</t>
        </is>
      </c>
      <c r="C39" s="45" t="n"/>
      <c r="D39" s="45" t="n"/>
      <c r="E39" s="45" t="n"/>
      <c r="F39" s="45" t="n"/>
      <c r="G39" s="45" t="n"/>
      <c r="H39" s="45" t="n"/>
    </row>
    <row r="40" ht="110" customHeight="1">
      <c r="A40" s="132" t="n"/>
      <c r="B40" s="45" t="n"/>
      <c r="C40" s="45" t="n"/>
      <c r="D40" s="45" t="n"/>
      <c r="E40" s="45" t="n"/>
      <c r="F40" s="45" t="n"/>
      <c r="G40" s="45" t="n"/>
      <c r="H40" s="45" t="n"/>
    </row>
    <row r="41" ht="16" customHeight="1">
      <c r="A41" s="130" t="inlineStr">
        <is>
          <t>Note 11</t>
        </is>
      </c>
      <c r="B41" s="131" t="inlineStr">
        <is>
          <t>DETTES FINANCIÈRES ET RESSOURCES ASSIMILÉES</t>
        </is>
      </c>
      <c r="C41" s="45" t="n"/>
      <c r="D41" s="45" t="n"/>
      <c r="E41" s="45" t="n"/>
      <c r="F41" s="45" t="n"/>
      <c r="G41" s="45" t="n"/>
      <c r="H41" s="45" t="n"/>
    </row>
    <row r="42" ht="110" customHeight="1">
      <c r="A42" s="132" t="n"/>
      <c r="B42" s="45" t="n"/>
      <c r="C42" s="45" t="n"/>
      <c r="D42" s="45" t="n"/>
      <c r="E42" s="45" t="n"/>
      <c r="F42" s="45" t="n"/>
      <c r="G42" s="45" t="n"/>
      <c r="H42" s="45" t="n"/>
    </row>
    <row r="43" ht="26" customHeight="1">
      <c r="A43" s="53" t="inlineStr">
        <is>
          <t>TABLE DES COMMENTAIRES</t>
        </is>
      </c>
      <c r="G43" s="127" t="inlineStr">
        <is>
          <t>COMMENTAIRES
PAGE 4/7</t>
        </is>
      </c>
      <c r="H43" s="50" t="n"/>
    </row>
    <row r="44">
      <c r="A44" s="63" t="inlineStr">
        <is>
          <t>Dénomination sociale : PROJET EAU POTABLE RURALE</t>
        </is>
      </c>
    </row>
    <row r="45">
      <c r="A45" s="63" t="inlineStr">
        <is>
          <t xml:space="preserve">Adresse : </t>
        </is>
      </c>
      <c r="F45" s="63" t="inlineStr">
        <is>
          <t>Sigle usuel : PEPR</t>
        </is>
      </c>
    </row>
    <row r="46">
      <c r="A46" s="63" t="inlineStr">
        <is>
          <t>N° de compte contribuable (NCC) : PD-2023-017</t>
        </is>
      </c>
      <c r="E46" s="63" t="inlineStr">
        <is>
          <t>Exercice clos le 31-12-2025</t>
        </is>
      </c>
      <c r="G46" s="63" t="inlineStr">
        <is>
          <t>Durée (en mois) : 12</t>
        </is>
      </c>
    </row>
    <row r="47">
      <c r="A47" s="63" t="inlineStr">
        <is>
          <t xml:space="preserve">N° de télédéclarant (NTD) : </t>
        </is>
      </c>
    </row>
    <row r="48" ht="16" customHeight="1">
      <c r="A48" s="130" t="inlineStr">
        <is>
          <t>Note 12</t>
        </is>
      </c>
      <c r="B48" s="131" t="inlineStr">
        <is>
          <t>DETTES FOURNISSEURS ET ASSIMILÉES, FISCALES ET SOCIALES</t>
        </is>
      </c>
      <c r="C48" s="45" t="n"/>
      <c r="D48" s="45" t="n"/>
      <c r="E48" s="45" t="n"/>
      <c r="F48" s="45" t="n"/>
      <c r="G48" s="45" t="n"/>
      <c r="H48" s="45" t="n"/>
    </row>
    <row r="49" ht="110" customHeight="1">
      <c r="A49" s="132" t="n"/>
      <c r="B49" s="45" t="n"/>
      <c r="C49" s="45" t="n"/>
      <c r="D49" s="45" t="n"/>
      <c r="E49" s="45" t="n"/>
      <c r="F49" s="45" t="n"/>
      <c r="G49" s="45" t="n"/>
      <c r="H49" s="45" t="n"/>
    </row>
    <row r="50" ht="16" customHeight="1">
      <c r="A50" s="130" t="inlineStr">
        <is>
          <t>Note 13</t>
        </is>
      </c>
      <c r="B50" s="131" t="inlineStr">
        <is>
          <t>BANQUES, CRÉDIT D'ESCOMPTE ET DE TRÉSORERIE</t>
        </is>
      </c>
      <c r="C50" s="45" t="n"/>
      <c r="D50" s="45" t="n"/>
      <c r="E50" s="45" t="n"/>
      <c r="F50" s="45" t="n"/>
      <c r="G50" s="45" t="n"/>
      <c r="H50" s="45" t="n"/>
    </row>
    <row r="51" ht="110" customHeight="1">
      <c r="A51" s="132" t="n"/>
      <c r="B51" s="45" t="n"/>
      <c r="C51" s="45" t="n"/>
      <c r="D51" s="45" t="n"/>
      <c r="E51" s="45" t="n"/>
      <c r="F51" s="45" t="n"/>
      <c r="G51" s="45" t="n"/>
      <c r="H51" s="45" t="n"/>
    </row>
    <row r="52" ht="17" customHeight="1">
      <c r="A52" s="128" t="inlineStr">
        <is>
          <t>Partie 4 : Notes sur le compte d'exploitation</t>
        </is>
      </c>
      <c r="B52" s="129" t="n"/>
      <c r="C52" s="129" t="n"/>
      <c r="D52" s="129" t="n"/>
      <c r="E52" s="129" t="n"/>
      <c r="F52" s="129" t="n"/>
      <c r="G52" s="129" t="n"/>
      <c r="H52" s="129" t="n"/>
    </row>
    <row r="53" ht="16" customHeight="1">
      <c r="A53" s="130" t="inlineStr">
        <is>
          <t>Note 14</t>
        </is>
      </c>
      <c r="B53" s="131" t="inlineStr">
        <is>
          <t>REVENUS ET AUTRES PRODUITS</t>
        </is>
      </c>
      <c r="C53" s="45" t="n"/>
      <c r="D53" s="45" t="n"/>
      <c r="E53" s="45" t="n"/>
      <c r="F53" s="45" t="n"/>
      <c r="G53" s="45" t="n"/>
      <c r="H53" s="45" t="n"/>
    </row>
    <row r="54" ht="110" customHeight="1">
      <c r="A54" s="132" t="n"/>
      <c r="B54" s="45" t="n"/>
      <c r="C54" s="45" t="n"/>
      <c r="D54" s="45" t="n"/>
      <c r="E54" s="45" t="n"/>
      <c r="F54" s="45" t="n"/>
      <c r="G54" s="45" t="n"/>
      <c r="H54" s="45" t="n"/>
    </row>
    <row r="55" ht="16" customHeight="1">
      <c r="A55" s="130" t="inlineStr">
        <is>
          <t>Note 15</t>
        </is>
      </c>
      <c r="B55" s="131" t="inlineStr">
        <is>
          <t>ACHATS</t>
        </is>
      </c>
      <c r="C55" s="45" t="n"/>
      <c r="D55" s="45" t="n"/>
      <c r="E55" s="45" t="n"/>
      <c r="F55" s="45" t="n"/>
      <c r="G55" s="45" t="n"/>
      <c r="H55" s="45" t="n"/>
    </row>
    <row r="56" ht="110" customHeight="1">
      <c r="A56" s="132" t="n"/>
      <c r="B56" s="45" t="n"/>
      <c r="C56" s="45" t="n"/>
      <c r="D56" s="45" t="n"/>
      <c r="E56" s="45" t="n"/>
      <c r="F56" s="45" t="n"/>
      <c r="G56" s="45" t="n"/>
      <c r="H56" s="45" t="n"/>
    </row>
    <row r="57" ht="26" customHeight="1">
      <c r="A57" s="53" t="inlineStr">
        <is>
          <t>TABLE DES COMMENTAIRES</t>
        </is>
      </c>
      <c r="G57" s="127" t="inlineStr">
        <is>
          <t>COMMENTAIRES
PAGE 5/7</t>
        </is>
      </c>
      <c r="H57" s="50" t="n"/>
    </row>
    <row r="58">
      <c r="A58" s="63" t="inlineStr">
        <is>
          <t>Dénomination sociale : PROJET EAU POTABLE RURALE</t>
        </is>
      </c>
    </row>
    <row r="59">
      <c r="A59" s="63" t="inlineStr">
        <is>
          <t xml:space="preserve">Adresse : </t>
        </is>
      </c>
      <c r="F59" s="63" t="inlineStr">
        <is>
          <t>Sigle usuel : PEPR</t>
        </is>
      </c>
    </row>
    <row r="60">
      <c r="A60" s="63" t="inlineStr">
        <is>
          <t>N° de compte contribuable (NCC) : PD-2023-017</t>
        </is>
      </c>
      <c r="E60" s="63" t="inlineStr">
        <is>
          <t>Exercice clos le 31-12-2025</t>
        </is>
      </c>
      <c r="G60" s="63" t="inlineStr">
        <is>
          <t>Durée (en mois) : 12</t>
        </is>
      </c>
    </row>
    <row r="61">
      <c r="A61" s="63" t="inlineStr">
        <is>
          <t xml:space="preserve">N° de télédéclarant (NTD) : </t>
        </is>
      </c>
    </row>
    <row r="62" ht="16" customHeight="1">
      <c r="A62" s="130" t="inlineStr">
        <is>
          <t>Note 16</t>
        </is>
      </c>
      <c r="B62" s="131" t="inlineStr">
        <is>
          <t>TRANSPORTS</t>
        </is>
      </c>
      <c r="C62" s="45" t="n"/>
      <c r="D62" s="45" t="n"/>
      <c r="E62" s="45" t="n"/>
      <c r="F62" s="45" t="n"/>
      <c r="G62" s="45" t="n"/>
      <c r="H62" s="45" t="n"/>
    </row>
    <row r="63" ht="110" customHeight="1">
      <c r="A63" s="132" t="n"/>
      <c r="B63" s="45" t="n"/>
      <c r="C63" s="45" t="n"/>
      <c r="D63" s="45" t="n"/>
      <c r="E63" s="45" t="n"/>
      <c r="F63" s="45" t="n"/>
      <c r="G63" s="45" t="n"/>
      <c r="H63" s="45" t="n"/>
    </row>
    <row r="64" ht="16" customHeight="1">
      <c r="A64" s="130" t="inlineStr">
        <is>
          <t>Note 17</t>
        </is>
      </c>
      <c r="B64" s="131" t="inlineStr">
        <is>
          <t>SERVICES EXTÉRIEURS</t>
        </is>
      </c>
      <c r="C64" s="45" t="n"/>
      <c r="D64" s="45" t="n"/>
      <c r="E64" s="45" t="n"/>
      <c r="F64" s="45" t="n"/>
      <c r="G64" s="45" t="n"/>
      <c r="H64" s="45" t="n"/>
    </row>
    <row r="65" ht="110" customHeight="1">
      <c r="A65" s="132" t="n"/>
      <c r="B65" s="45" t="n"/>
      <c r="C65" s="45" t="n"/>
      <c r="D65" s="45" t="n"/>
      <c r="E65" s="45" t="n"/>
      <c r="F65" s="45" t="n"/>
      <c r="G65" s="45" t="n"/>
      <c r="H65" s="45" t="n"/>
    </row>
    <row r="66" ht="16" customHeight="1">
      <c r="A66" s="130" t="inlineStr">
        <is>
          <t>Note 18</t>
        </is>
      </c>
      <c r="B66" s="131" t="inlineStr">
        <is>
          <t>IMPÔTS ET TAXES</t>
        </is>
      </c>
      <c r="C66" s="45" t="n"/>
      <c r="D66" s="45" t="n"/>
      <c r="E66" s="45" t="n"/>
      <c r="F66" s="45" t="n"/>
      <c r="G66" s="45" t="n"/>
      <c r="H66" s="45" t="n"/>
    </row>
    <row r="67" ht="110" customHeight="1">
      <c r="A67" s="132" t="n"/>
      <c r="B67" s="45" t="n"/>
      <c r="C67" s="45" t="n"/>
      <c r="D67" s="45" t="n"/>
      <c r="E67" s="45" t="n"/>
      <c r="F67" s="45" t="n"/>
      <c r="G67" s="45" t="n"/>
      <c r="H67" s="45" t="n"/>
    </row>
    <row r="68" ht="16" customHeight="1">
      <c r="A68" s="130" t="inlineStr">
        <is>
          <t>Note 19</t>
        </is>
      </c>
      <c r="B68" s="131" t="inlineStr">
        <is>
          <t>AUTRES CHARGES</t>
        </is>
      </c>
      <c r="C68" s="45" t="n"/>
      <c r="D68" s="45" t="n"/>
      <c r="E68" s="45" t="n"/>
      <c r="F68" s="45" t="n"/>
      <c r="G68" s="45" t="n"/>
      <c r="H68" s="45" t="n"/>
    </row>
    <row r="69" ht="110" customHeight="1">
      <c r="A69" s="132" t="n"/>
      <c r="B69" s="45" t="n"/>
      <c r="C69" s="45" t="n"/>
      <c r="D69" s="45" t="n"/>
      <c r="E69" s="45" t="n"/>
      <c r="F69" s="45" t="n"/>
      <c r="G69" s="45" t="n"/>
      <c r="H69" s="45" t="n"/>
    </row>
    <row r="70" ht="26" customHeight="1">
      <c r="A70" s="53" t="inlineStr">
        <is>
          <t>TABLE DES COMMENTAIRES</t>
        </is>
      </c>
      <c r="G70" s="127" t="inlineStr">
        <is>
          <t>COMMENTAIRES
PAGE 6/7</t>
        </is>
      </c>
      <c r="H70" s="50" t="n"/>
    </row>
    <row r="71">
      <c r="A71" s="63" t="inlineStr">
        <is>
          <t>Dénomination sociale : PROJET EAU POTABLE RURALE</t>
        </is>
      </c>
    </row>
    <row r="72">
      <c r="A72" s="63" t="inlineStr">
        <is>
          <t xml:space="preserve">Adresse : </t>
        </is>
      </c>
      <c r="F72" s="63" t="inlineStr">
        <is>
          <t>Sigle usuel : PEPR</t>
        </is>
      </c>
    </row>
    <row r="73">
      <c r="A73" s="63" t="inlineStr">
        <is>
          <t>N° de compte contribuable (NCC) : PD-2023-017</t>
        </is>
      </c>
      <c r="E73" s="63" t="inlineStr">
        <is>
          <t>Exercice clos le 31-12-2025</t>
        </is>
      </c>
      <c r="G73" s="63" t="inlineStr">
        <is>
          <t>Durée (en mois) : 12</t>
        </is>
      </c>
    </row>
    <row r="74">
      <c r="A74" s="63" t="inlineStr">
        <is>
          <t xml:space="preserve">N° de télédéclarant (NTD) : </t>
        </is>
      </c>
    </row>
    <row r="75" ht="16" customHeight="1">
      <c r="A75" s="130" t="inlineStr">
        <is>
          <t>Note 20A</t>
        </is>
      </c>
      <c r="B75" s="131" t="inlineStr">
        <is>
          <t>CHARGES DE PERSONNEL</t>
        </is>
      </c>
      <c r="C75" s="45" t="n"/>
      <c r="D75" s="45" t="n"/>
      <c r="E75" s="45" t="n"/>
      <c r="F75" s="45" t="n"/>
      <c r="G75" s="45" t="n"/>
      <c r="H75" s="45" t="n"/>
    </row>
    <row r="76" ht="110" customHeight="1">
      <c r="A76" s="132" t="n"/>
      <c r="B76" s="45" t="n"/>
      <c r="C76" s="45" t="n"/>
      <c r="D76" s="45" t="n"/>
      <c r="E76" s="45" t="n"/>
      <c r="F76" s="45" t="n"/>
      <c r="G76" s="45" t="n"/>
      <c r="H76" s="45" t="n"/>
    </row>
    <row r="77" ht="16" customHeight="1">
      <c r="A77" s="130" t="inlineStr">
        <is>
          <t>Note 20B</t>
        </is>
      </c>
      <c r="B77" s="131" t="inlineStr">
        <is>
          <t>EFFECTIFS, MASSE SALARIALE ET PERSONNEL EXTÉRIEUR</t>
        </is>
      </c>
      <c r="C77" s="45" t="n"/>
      <c r="D77" s="45" t="n"/>
      <c r="E77" s="45" t="n"/>
      <c r="F77" s="45" t="n"/>
      <c r="G77" s="45" t="n"/>
      <c r="H77" s="45" t="n"/>
    </row>
    <row r="78" ht="110" customHeight="1">
      <c r="A78" s="132" t="n"/>
      <c r="B78" s="45" t="n"/>
      <c r="C78" s="45" t="n"/>
      <c r="D78" s="45" t="n"/>
      <c r="E78" s="45" t="n"/>
      <c r="F78" s="45" t="n"/>
      <c r="G78" s="45" t="n"/>
      <c r="H78" s="45" t="n"/>
    </row>
    <row r="79" ht="16" customHeight="1">
      <c r="A79" s="130" t="inlineStr">
        <is>
          <t>Note 21</t>
        </is>
      </c>
      <c r="B79" s="131" t="inlineStr">
        <is>
          <t>CHARGES ET REVENUS FINANCIERS</t>
        </is>
      </c>
      <c r="C79" s="45" t="n"/>
      <c r="D79" s="45" t="n"/>
      <c r="E79" s="45" t="n"/>
      <c r="F79" s="45" t="n"/>
      <c r="G79" s="45" t="n"/>
      <c r="H79" s="45" t="n"/>
    </row>
    <row r="80" ht="110" customHeight="1">
      <c r="A80" s="132" t="n"/>
      <c r="B80" s="45" t="n"/>
      <c r="C80" s="45" t="n"/>
      <c r="D80" s="45" t="n"/>
      <c r="E80" s="45" t="n"/>
      <c r="F80" s="45" t="n"/>
      <c r="G80" s="45" t="n"/>
      <c r="H80" s="45" t="n"/>
    </row>
    <row r="81" ht="16" customHeight="1">
      <c r="A81" s="130" t="inlineStr">
        <is>
          <t>Note 22</t>
        </is>
      </c>
      <c r="B81" s="131" t="inlineStr">
        <is>
          <t>DOTATIONS ET CHARGES POUR PROVISIONS</t>
        </is>
      </c>
      <c r="C81" s="45" t="n"/>
      <c r="D81" s="45" t="n"/>
      <c r="E81" s="45" t="n"/>
      <c r="F81" s="45" t="n"/>
      <c r="G81" s="45" t="n"/>
      <c r="H81" s="45" t="n"/>
    </row>
    <row r="82" ht="110" customHeight="1">
      <c r="A82" s="132" t="n"/>
      <c r="B82" s="45" t="n"/>
      <c r="C82" s="45" t="n"/>
      <c r="D82" s="45" t="n"/>
      <c r="E82" s="45" t="n"/>
      <c r="F82" s="45" t="n"/>
      <c r="G82" s="45" t="n"/>
      <c r="H82" s="45" t="n"/>
    </row>
    <row r="83" ht="26" customHeight="1">
      <c r="A83" s="53" t="inlineStr">
        <is>
          <t>TABLE DES COMMENTAIRES</t>
        </is>
      </c>
      <c r="G83" s="127" t="inlineStr">
        <is>
          <t>COMMENTAIRES
PAGE 7/7</t>
        </is>
      </c>
      <c r="H83" s="50" t="n"/>
    </row>
    <row r="84">
      <c r="A84" s="63" t="inlineStr">
        <is>
          <t>Dénomination sociale : PROJET EAU POTABLE RURALE</t>
        </is>
      </c>
    </row>
    <row r="85">
      <c r="A85" s="63" t="inlineStr">
        <is>
          <t xml:space="preserve">Adresse : </t>
        </is>
      </c>
      <c r="F85" s="63" t="inlineStr">
        <is>
          <t>Sigle usuel : PEPR</t>
        </is>
      </c>
    </row>
    <row r="86">
      <c r="A86" s="63" t="inlineStr">
        <is>
          <t>N° de compte contribuable (NCC) : PD-2023-017</t>
        </is>
      </c>
      <c r="E86" s="63" t="inlineStr">
        <is>
          <t>Exercice clos le 31-12-2025</t>
        </is>
      </c>
      <c r="G86" s="63" t="inlineStr">
        <is>
          <t>Durée (en mois) : 12</t>
        </is>
      </c>
    </row>
    <row r="87">
      <c r="A87" s="63" t="inlineStr">
        <is>
          <t xml:space="preserve">N° de télédéclarant (NTD) : </t>
        </is>
      </c>
    </row>
    <row r="88" ht="16" customHeight="1">
      <c r="A88" s="130" t="inlineStr">
        <is>
          <t>Note 23</t>
        </is>
      </c>
      <c r="B88" s="131" t="inlineStr">
        <is>
          <t>AUTRES CHARGES ET PRODUITS HAO</t>
        </is>
      </c>
      <c r="C88" s="45" t="n"/>
      <c r="D88" s="45" t="n"/>
      <c r="E88" s="45" t="n"/>
      <c r="F88" s="45" t="n"/>
      <c r="G88" s="45" t="n"/>
      <c r="H88" s="45" t="n"/>
    </row>
    <row r="89" ht="110" customHeight="1">
      <c r="A89" s="132" t="n"/>
      <c r="B89" s="45" t="n"/>
      <c r="C89" s="45" t="n"/>
      <c r="D89" s="45" t="n"/>
      <c r="E89" s="45" t="n"/>
      <c r="F89" s="45" t="n"/>
      <c r="G89" s="45" t="n"/>
      <c r="H89" s="45" t="n"/>
    </row>
    <row r="90" ht="16" customHeight="1">
      <c r="A90" s="130" t="inlineStr">
        <is>
          <t>Note 24</t>
        </is>
      </c>
      <c r="B90" s="131" t="inlineStr">
        <is>
          <t>TABLEAU D'EXÉCUTION BUDGÉTAIRE</t>
        </is>
      </c>
      <c r="C90" s="45" t="n"/>
      <c r="D90" s="45" t="n"/>
      <c r="E90" s="45" t="n"/>
      <c r="F90" s="45" t="n"/>
      <c r="G90" s="45" t="n"/>
      <c r="H90" s="45" t="n"/>
    </row>
    <row r="91" ht="110" customHeight="1">
      <c r="A91" s="132" t="n"/>
      <c r="B91" s="45" t="n"/>
      <c r="C91" s="45" t="n"/>
      <c r="D91" s="45" t="n"/>
      <c r="E91" s="45" t="n"/>
      <c r="F91" s="45" t="n"/>
      <c r="G91" s="45" t="n"/>
      <c r="H91" s="45" t="n"/>
    </row>
  </sheetData>
  <mergeCells count="70">
    <mergeCell ref="A9:H9"/>
    <mergeCell ref="A67:H67"/>
    <mergeCell ref="G43:H43"/>
    <mergeCell ref="B68:H68"/>
    <mergeCell ref="A51:H51"/>
    <mergeCell ref="A82:H82"/>
    <mergeCell ref="B55:H55"/>
    <mergeCell ref="B24:H24"/>
    <mergeCell ref="A36:H36"/>
    <mergeCell ref="A11:H11"/>
    <mergeCell ref="B15:H15"/>
    <mergeCell ref="A49:H49"/>
    <mergeCell ref="B64:H64"/>
    <mergeCell ref="G70:H70"/>
    <mergeCell ref="G17:H17"/>
    <mergeCell ref="A6:H6"/>
    <mergeCell ref="A57:F57"/>
    <mergeCell ref="A78:H78"/>
    <mergeCell ref="B50:H50"/>
    <mergeCell ref="B26:H26"/>
    <mergeCell ref="B41:H41"/>
    <mergeCell ref="A69:H69"/>
    <mergeCell ref="A25:H25"/>
    <mergeCell ref="B35:H35"/>
    <mergeCell ref="A65:H65"/>
    <mergeCell ref="A16:H16"/>
    <mergeCell ref="A54:H54"/>
    <mergeCell ref="B75:H75"/>
    <mergeCell ref="B79:H79"/>
    <mergeCell ref="G57:H57"/>
    <mergeCell ref="B62:H62"/>
    <mergeCell ref="A17:F17"/>
    <mergeCell ref="B7:H7"/>
    <mergeCell ref="A80:H80"/>
    <mergeCell ref="B90:H90"/>
    <mergeCell ref="A27:H27"/>
    <mergeCell ref="B81:H81"/>
    <mergeCell ref="A89:H89"/>
    <mergeCell ref="A43:F43"/>
    <mergeCell ref="A12:H12"/>
    <mergeCell ref="B22:H22"/>
    <mergeCell ref="A56:H56"/>
    <mergeCell ref="B66:H66"/>
    <mergeCell ref="G83:H83"/>
    <mergeCell ref="G30:H30"/>
    <mergeCell ref="B39:H39"/>
    <mergeCell ref="A42:H42"/>
    <mergeCell ref="B77:H77"/>
    <mergeCell ref="A76:H76"/>
    <mergeCell ref="B48:H48"/>
    <mergeCell ref="A14:H14"/>
    <mergeCell ref="A83:F83"/>
    <mergeCell ref="A23:H23"/>
    <mergeCell ref="A30:F30"/>
    <mergeCell ref="A8:H8"/>
    <mergeCell ref="A91:H91"/>
    <mergeCell ref="A29:H29"/>
    <mergeCell ref="B13:H13"/>
    <mergeCell ref="B88:H88"/>
    <mergeCell ref="G1:H1"/>
    <mergeCell ref="A1:F1"/>
    <mergeCell ref="A38:H38"/>
    <mergeCell ref="A52:H52"/>
    <mergeCell ref="B53:H53"/>
    <mergeCell ref="A63:H63"/>
    <mergeCell ref="A70:F70"/>
    <mergeCell ref="B10:H10"/>
    <mergeCell ref="B37:H37"/>
    <mergeCell ref="B28:H28"/>
    <mergeCell ref="A40:H4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10" customWidth="1" min="3" max="3"/>
  </cols>
  <sheetData>
    <row r="1">
      <c r="A1" s="1" t="inlineStr">
        <is>
          <t>Contrôle</t>
        </is>
      </c>
      <c r="B1" s="2" t="inlineStr">
        <is>
          <t>Valeur</t>
        </is>
      </c>
      <c r="C1" s="3" t="inlineStr">
        <is>
          <t>Attendu</t>
        </is>
      </c>
    </row>
    <row r="2">
      <c r="A2" s="4" t="inlineStr">
        <is>
          <t>Total solde débit balance</t>
        </is>
      </c>
      <c r="B2" s="5">
        <f>SUM('BALANCE N'!F2:F23)</f>
        <v/>
      </c>
      <c r="C2" s="4" t="inlineStr"/>
    </row>
    <row r="3">
      <c r="A3" s="4" t="inlineStr">
        <is>
          <t>Total solde crédit balance</t>
        </is>
      </c>
      <c r="B3" s="5">
        <f>SUM('BALANCE N'!G2:G23)</f>
        <v/>
      </c>
      <c r="C3" s="4" t="inlineStr"/>
    </row>
    <row r="4">
      <c r="A4" s="4" t="inlineStr">
        <is>
          <t>Écart balance (doit être 0)</t>
        </is>
      </c>
      <c r="B4" s="5">
        <f>B2-B3</f>
        <v/>
      </c>
      <c r="C4" s="4" t="n">
        <v>0</v>
      </c>
    </row>
    <row r="5">
      <c r="A5" s="4" t="inlineStr">
        <is>
          <t>Total général actif (BZ)</t>
        </is>
      </c>
      <c r="B5" s="5">
        <f>'Bilan-Actif'!D28</f>
        <v/>
      </c>
      <c r="C5" s="4" t="inlineStr"/>
    </row>
    <row r="6">
      <c r="A6" s="4" t="inlineStr">
        <is>
          <t>Total général passif (DZ)</t>
        </is>
      </c>
      <c r="B6" s="5">
        <f>'Bilan-Passif'!D27</f>
        <v/>
      </c>
      <c r="C6" s="4" t="inlineStr"/>
    </row>
    <row r="7">
      <c r="A7" s="4" t="inlineStr">
        <is>
          <t>Écart bilan actif - passif (doit être 0)</t>
        </is>
      </c>
      <c r="B7" s="5">
        <f>B5-B6</f>
        <v/>
      </c>
      <c r="C7" s="4" t="n">
        <v>0</v>
      </c>
    </row>
    <row r="8">
      <c r="A8" s="4" t="inlineStr">
        <is>
          <t>Solde des opérations (compte d'exploitation, XC)</t>
        </is>
      </c>
      <c r="B8" s="5">
        <f>'Compte Exploitation'!D28</f>
        <v/>
      </c>
      <c r="C8" s="4" t="inlineStr"/>
    </row>
    <row r="9">
      <c r="A9" s="4" t="inlineStr">
        <is>
          <t>Solde des opérations (bilan, CC = XC + solde 13)</t>
        </is>
      </c>
      <c r="B9" s="5">
        <f>'Bilan-Passif'!D11</f>
        <v/>
      </c>
      <c r="C9" s="4" t="inlineStr"/>
    </row>
    <row r="10">
      <c r="A10" s="4" t="inlineStr">
        <is>
          <t>- Recoupements notes annexes / états -</t>
        </is>
      </c>
      <c r="B10" s="5" t="inlineStr"/>
      <c r="C10" s="4" t="inlineStr"/>
    </row>
    <row r="11">
      <c r="A11" s="4" t="inlineStr">
        <is>
          <t>NOTE 4 total vs poste BA</t>
        </is>
      </c>
      <c r="B11" s="5">
        <f>'NOTE 4'!B14-'Bilan-Actif'!D18</f>
        <v/>
      </c>
      <c r="C11" s="4" t="n">
        <v>0</v>
      </c>
    </row>
    <row r="12">
      <c r="A12" s="4" t="inlineStr">
        <is>
          <t>NOTE 5 total vs poste BB</t>
        </is>
      </c>
      <c r="B12" s="5">
        <f>'NOTE 5'!B19-'Bilan-Actif'!D19</f>
        <v/>
      </c>
      <c r="C12" s="4" t="n">
        <v>0</v>
      </c>
    </row>
    <row r="13">
      <c r="A13" s="4" t="inlineStr">
        <is>
          <t>NOTE 10 total vs poste CD</t>
        </is>
      </c>
      <c r="B13" s="5">
        <f>'NOTE 10'!B17-'Bilan-Passif'!D12</f>
        <v/>
      </c>
      <c r="C13" s="4" t="n">
        <v>0</v>
      </c>
    </row>
    <row r="14">
      <c r="A14" s="4" t="inlineStr">
        <is>
          <t>NOTE 11 total vs poste DC</t>
        </is>
      </c>
      <c r="B14" s="5">
        <f>'NOTE 11'!B26-'Bilan-Passif'!D16</f>
        <v/>
      </c>
      <c r="C14" s="4" t="n">
        <v>0</v>
      </c>
    </row>
    <row r="15">
      <c r="A15" s="4" t="inlineStr">
        <is>
          <t>NOTE 13 total vs poste DX</t>
        </is>
      </c>
      <c r="B15" s="5">
        <f>'NOTE 13'!B17-'Bilan-Passif'!D25</f>
        <v/>
      </c>
      <c r="C15" s="4" t="n">
        <v>0</v>
      </c>
    </row>
    <row r="16">
      <c r="A16" s="4" t="inlineStr">
        <is>
          <t>NOTE 16 total vs poste TD</t>
        </is>
      </c>
      <c r="B16" s="5">
        <f>'NOTE 16'!B14+'Compte Exploitation'!D18</f>
        <v/>
      </c>
      <c r="C16" s="4" t="n">
        <v>0</v>
      </c>
    </row>
    <row r="17">
      <c r="A17" s="4" t="inlineStr">
        <is>
          <t>NOTE 17 total vs poste TG</t>
        </is>
      </c>
      <c r="B17" s="5">
        <f>'NOTE 17'!B25+'Compte Exploitation'!D19</f>
        <v/>
      </c>
      <c r="C17" s="4" t="n">
        <v>0</v>
      </c>
    </row>
    <row r="18">
      <c r="A18" s="4" t="inlineStr">
        <is>
          <t>NOTE 18 total vs poste TH</t>
        </is>
      </c>
      <c r="B18" s="5">
        <f>'NOTE 18'!B15+'Compte Exploitation'!D20</f>
        <v/>
      </c>
      <c r="C18" s="4" t="n">
        <v>0</v>
      </c>
    </row>
    <row r="19">
      <c r="A19" s="4" t="inlineStr">
        <is>
          <t>NOTE 19 total vs poste TI</t>
        </is>
      </c>
      <c r="B19" s="5">
        <f>'NOTE 19'!B15+'Compte Exploitation'!D21</f>
        <v/>
      </c>
      <c r="C19" s="4" t="n">
        <v>0</v>
      </c>
    </row>
    <row r="20">
      <c r="A20" s="4" t="inlineStr">
        <is>
          <t>NOTE 20A total vs poste TJ</t>
        </is>
      </c>
      <c r="B20" s="5">
        <f>'NOTE 20A'!B17+'Compte Exploitation'!D22</f>
        <v/>
      </c>
      <c r="C20" s="4" t="n">
        <v>0</v>
      </c>
    </row>
    <row r="21">
      <c r="A21" s="4" t="inlineStr">
        <is>
          <t>NOTE 21 total vs poste TK</t>
        </is>
      </c>
      <c r="B21" s="5">
        <f>'NOTE 21'!B16+'Compte Exploitation'!D23</f>
        <v/>
      </c>
      <c r="C21" s="4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62" customWidth="1" min="4" max="4"/>
    <col width="62" customWidth="1" min="5" max="5"/>
  </cols>
  <sheetData>
    <row r="1">
      <c r="A1" s="1" t="inlineStr">
        <is>
          <t>Gravité</t>
        </is>
      </c>
      <c r="B1" s="2" t="inlineStr">
        <is>
          <t>Compte</t>
        </is>
      </c>
      <c r="C1" s="2" t="inlineStr">
        <is>
          <t>Intitulé</t>
        </is>
      </c>
      <c r="D1" s="2" t="inlineStr">
        <is>
          <t>Problème</t>
        </is>
      </c>
      <c r="E1" s="3" t="inlineStr">
        <is>
          <t>Solution proposée</t>
        </is>
      </c>
    </row>
    <row r="2">
      <c r="A2" s="4" t="n"/>
      <c r="B2" s="4" t="n"/>
      <c r="C2" s="4" t="n"/>
      <c r="D2" s="4" t="n"/>
      <c r="E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2026-09-01T01:28:29Z</dcterms:created>
  <dcterms:modified xsi:type="dcterms:W3CDTF">2026-09-01T01:28:29Z</dcterms:modified>
</cp:coreProperties>
</file>