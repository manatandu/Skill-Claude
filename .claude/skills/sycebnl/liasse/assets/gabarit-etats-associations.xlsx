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N" sheetId="1" state="visible" r:id="rId1"/>
    <sheet name="BALANCE N-1" sheetId="2" state="visible" r:id="rId2"/>
    <sheet name="CONTROLE BALANCE" sheetId="3" state="visible" r:id="rId3"/>
    <sheet name="Couverture" sheetId="4" state="visible" r:id="rId4"/>
    <sheet name="Garde" sheetId="5" state="visible" r:id="rId5"/>
    <sheet name="Fiche 1" sheetId="6" state="visible" r:id="rId6"/>
    <sheet name="Fiche 2" sheetId="7" state="visible" r:id="rId7"/>
    <sheet name="Bilan paysage" sheetId="8" state="visible" r:id="rId8"/>
    <sheet name="Bilan-Actif" sheetId="9" state="visible" r:id="rId9"/>
    <sheet name="Bilan-Passif" sheetId="10" state="visible" r:id="rId10"/>
    <sheet name="Résultat" sheetId="11" state="visible" r:id="rId11"/>
    <sheet name="TFT" sheetId="12" state="visible" r:id="rId12"/>
    <sheet name="NOTES ANNEXES" sheetId="13" state="visible" r:id="rId13"/>
    <sheet name="NOTE 1" sheetId="14" state="visible" r:id="rId14"/>
    <sheet name="NOTE 2" sheetId="15" state="visible" r:id="rId15"/>
    <sheet name="NOTE 3" sheetId="16" state="visible" r:id="rId16"/>
    <sheet name="NOTE 4" sheetId="17" state="visible" r:id="rId17"/>
    <sheet name="NOTE 5A" sheetId="18" state="visible" r:id="rId18"/>
    <sheet name="NOTE 5B" sheetId="19" state="visible" r:id="rId19"/>
    <sheet name="NOTE 5C" sheetId="20" state="visible" r:id="rId20"/>
    <sheet name="NOTE 5D" sheetId="21" state="visible" r:id="rId21"/>
    <sheet name="NOTE 5E" sheetId="22" state="visible" r:id="rId22"/>
    <sheet name="NOTE 5F" sheetId="23" state="visible" r:id="rId23"/>
    <sheet name="NOTE 5G" sheetId="24" state="visible" r:id="rId24"/>
    <sheet name="NOTE 5H" sheetId="25" state="visible" r:id="rId25"/>
    <sheet name="NOTE 6" sheetId="26" state="visible" r:id="rId26"/>
    <sheet name="NOTE 7" sheetId="27" state="visible" r:id="rId27"/>
    <sheet name="NOTE 8" sheetId="28" state="visible" r:id="rId28"/>
    <sheet name="NOTE 9" sheetId="29" state="visible" r:id="rId29"/>
    <sheet name="NOTE 10" sheetId="30" state="visible" r:id="rId30"/>
    <sheet name="NOTE 11" sheetId="31" state="visible" r:id="rId31"/>
    <sheet name="NOTE 12" sheetId="32" state="visible" r:id="rId32"/>
    <sheet name="NOTE 13" sheetId="33" state="visible" r:id="rId33"/>
    <sheet name="NOTE 14" sheetId="34" state="visible" r:id="rId34"/>
    <sheet name="NOTE 15" sheetId="35" state="visible" r:id="rId35"/>
    <sheet name="NOTE 16" sheetId="36" state="visible" r:id="rId36"/>
    <sheet name="NOTE 17A" sheetId="37" state="visible" r:id="rId37"/>
    <sheet name="NOTE 17B" sheetId="38" state="visible" r:id="rId38"/>
    <sheet name="NOTE 18A" sheetId="39" state="visible" r:id="rId39"/>
    <sheet name="NOTE 18B" sheetId="40" state="visible" r:id="rId40"/>
    <sheet name="NOTE 19" sheetId="41" state="visible" r:id="rId41"/>
    <sheet name="NOTE 20" sheetId="42" state="visible" r:id="rId42"/>
    <sheet name="NOTE 21" sheetId="43" state="visible" r:id="rId43"/>
    <sheet name="NOTE 22" sheetId="44" state="visible" r:id="rId44"/>
    <sheet name="NOTE 23" sheetId="45" state="visible" r:id="rId45"/>
    <sheet name="NOTE 24" sheetId="46" state="visible" r:id="rId46"/>
    <sheet name="NOTE 25" sheetId="47" state="visible" r:id="rId47"/>
    <sheet name="NOTE 26" sheetId="48" state="visible" r:id="rId48"/>
    <sheet name="NOTE 27" sheetId="49" state="visible" r:id="rId49"/>
    <sheet name="NOTE 28" sheetId="50" state="visible" r:id="rId50"/>
    <sheet name="NOTE 29A" sheetId="51" state="visible" r:id="rId51"/>
    <sheet name="NOTE 29B" sheetId="52" state="visible" r:id="rId52"/>
    <sheet name="NOTE 30" sheetId="53" state="visible" r:id="rId53"/>
    <sheet name="NOTE 31" sheetId="54" state="visible" r:id="rId54"/>
    <sheet name="NOTE 32" sheetId="55" state="visible" r:id="rId55"/>
    <sheet name="NOTE 33" sheetId="56" state="visible" r:id="rId56"/>
    <sheet name="NOTE 34" sheetId="57" state="visible" r:id="rId57"/>
    <sheet name="NOTE 35" sheetId="58" state="visible" r:id="rId58"/>
    <sheet name="TABLE COMMENTAIRE" sheetId="59" state="visible" r:id="rId59"/>
    <sheet name="CONTROLES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\ _€_-;\-* #,##0\ _€_-;_-* &quot;-&quot;\ _€_-;_-@_-"/>
    <numFmt numFmtId="165" formatCode="0.0%"/>
  </numFmts>
  <fonts count="28">
    <font>
      <name val="Calibri"/>
      <family val="2"/>
      <color theme="1"/>
      <sz val="11"/>
      <scheme val="minor"/>
    </font>
    <font>
      <name val="Arial"/>
      <sz val="10"/>
    </font>
    <font>
      <name val="Arial"/>
      <sz val="8"/>
    </font>
    <font>
      <name val="Arial"/>
      <sz val="9"/>
    </font>
    <font>
      <name val="Arial Black"/>
      <b val="1"/>
      <color rgb="00008000"/>
      <sz val="16"/>
    </font>
    <font>
      <name val="Arial"/>
      <b val="1"/>
      <sz val="9"/>
    </font>
    <font>
      <name val="Arial Black"/>
      <b val="1"/>
      <sz val="11"/>
    </font>
    <font>
      <name val="Arial"/>
      <b val="1"/>
      <color rgb="00FFFFFF"/>
      <sz val="9"/>
    </font>
    <font>
      <name val="Arial Black"/>
      <b val="1"/>
      <color rgb="00008000"/>
      <sz val="14"/>
    </font>
    <font>
      <name val="Arial Black"/>
      <b val="1"/>
      <color rgb="00003366"/>
      <sz val="11"/>
    </font>
    <font>
      <name val="Arial"/>
      <b val="1"/>
      <sz val="10"/>
    </font>
    <font>
      <name val="Arial"/>
      <b val="1"/>
      <sz val="20"/>
    </font>
    <font>
      <name val="Arial"/>
      <b val="1"/>
      <sz val="14"/>
    </font>
    <font>
      <name val="Arial"/>
      <b val="1"/>
      <sz val="11"/>
    </font>
    <font>
      <name val="Arial Black"/>
      <b val="1"/>
      <color rgb="00000080"/>
      <sz val="10"/>
    </font>
    <font>
      <name val="Arial"/>
      <b val="1"/>
      <sz val="22"/>
    </font>
    <font>
      <name val="Arial Black"/>
      <b val="1"/>
      <color rgb="00FFFFFF"/>
      <sz val="20"/>
    </font>
    <font>
      <name val="Arial"/>
      <b val="1"/>
      <sz val="12"/>
    </font>
    <font>
      <name val="Arial"/>
      <b val="1"/>
      <color rgb="00CC99FF"/>
      <sz val="17"/>
    </font>
    <font>
      <name val="Arial"/>
      <b val="1"/>
      <sz val="16"/>
    </font>
    <font>
      <name val="Arial Black"/>
      <b val="1"/>
      <sz val="8"/>
    </font>
    <font>
      <name val="Arial"/>
      <b val="1"/>
      <color rgb="00008000"/>
      <sz val="11"/>
    </font>
    <font>
      <name val="Arial"/>
      <b val="1"/>
      <sz val="8"/>
    </font>
    <font>
      <name val="Arial"/>
      <b val="1"/>
      <color rgb="00008000"/>
      <sz val="12"/>
    </font>
    <font>
      <name val="Arial Black"/>
      <b val="1"/>
      <sz val="10"/>
    </font>
    <font>
      <name val="Arial Black"/>
      <b val="1"/>
      <color rgb="00D9D9D9"/>
      <sz val="26"/>
    </font>
    <font>
      <name val="Arial Black"/>
      <b val="1"/>
      <color rgb="00D9D9D9"/>
      <sz val="48"/>
    </font>
    <font>
      <name val="Arial"/>
      <color theme="1"/>
      <sz val="9"/>
    </font>
  </fonts>
  <fills count="12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FFCC"/>
      </patternFill>
    </fill>
    <fill>
      <patternFill patternType="solid">
        <fgColor rgb="00C0C0C0"/>
      </patternFill>
    </fill>
    <fill>
      <patternFill patternType="solid">
        <fgColor rgb="00008000"/>
      </patternFill>
    </fill>
    <fill>
      <patternFill patternType="solid">
        <fgColor rgb="00000080"/>
      </patternFill>
    </fill>
    <fill>
      <patternFill patternType="solid">
        <fgColor rgb="00003366"/>
      </patternFill>
    </fill>
    <fill>
      <patternFill patternType="solid">
        <fgColor rgb="00FFCC99"/>
      </patternFill>
    </fill>
    <fill>
      <patternFill patternType="solid">
        <fgColor rgb="00CCFFCC"/>
      </patternFill>
    </fill>
    <fill>
      <patternFill patternType="solid">
        <fgColor rgb="00660066"/>
      </patternFill>
    </fill>
    <fill>
      <patternFill patternType="solid">
        <fgColor rgb="00CCCCFF"/>
      </patternFill>
    </fill>
  </fills>
  <borders count="34">
    <border>
      <left/>
      <right/>
      <top/>
      <bottom/>
      <diagonal/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bottom style="dashed">
        <color rgb="00000000"/>
      </bottom>
    </border>
    <border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hair">
        <color rgb="00000000"/>
      </top>
      <bottom style="hair">
        <color rgb="00000000"/>
      </bottom>
    </border>
    <border>
      <left style="thin">
        <color rgb="00000000"/>
      </left>
      <right style="thin">
        <color rgb="00000000"/>
      </right>
      <top style="hair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hair">
        <color rgb="00000000"/>
      </top>
      <bottom style="hair">
        <color rgb="00000000"/>
      </bottom>
    </border>
    <border>
      <left style="thin">
        <color rgb="00000000"/>
      </left>
      <right style="medium">
        <color rgb="00000000"/>
      </right>
      <top style="hair">
        <color rgb="00000000"/>
      </top>
      <bottom style="hair">
        <color rgb="00000000"/>
      </bottom>
    </border>
    <border>
      <left style="medium">
        <color rgb="00000000"/>
      </left>
      <right style="thin">
        <color rgb="00000000"/>
      </right>
      <top style="hair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hair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  <diagonal/>
    </border>
    <border>
      <left style="medium">
        <color rgb="00000000"/>
      </left>
      <right/>
      <top/>
      <bottom/>
      <diagonal/>
    </border>
    <border>
      <left style="medium">
        <color rgb="00000000"/>
      </left>
      <right/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 style="medium">
        <color rgb="00000000"/>
      </right>
      <top/>
      <bottom/>
      <diagonal/>
    </border>
    <border>
      <left/>
      <right/>
      <top/>
      <bottom style="medium">
        <color rgb="00000000"/>
      </bottom>
      <diagonal/>
    </border>
    <border>
      <left/>
      <right style="medium">
        <color rgb="00000000"/>
      </right>
      <top/>
      <bottom style="medium">
        <color rgb="00000000"/>
      </bottom>
      <diagonal/>
    </border>
    <border>
      <top style="medium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top style="dashed">
        <color rgb="00000000"/>
      </top>
    </border>
    <border>
      <bottom style="hair">
        <color rgb="00000000"/>
      </bottom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139">
    <xf numFmtId="0" fontId="0" fillId="0" borderId="0" pivotButton="0" quotePrefix="0" xfId="0"/>
    <xf numFmtId="0" fontId="5" fillId="2" borderId="17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7" fillId="6" borderId="12" applyAlignment="1" pivotButton="0" quotePrefix="0" xfId="0">
      <alignment horizontal="left" vertical="center" wrapText="1"/>
    </xf>
    <xf numFmtId="164" fontId="7" fillId="6" borderId="12" applyAlignment="1" pivotButton="0" quotePrefix="0" xfId="0">
      <alignment vertical="center"/>
    </xf>
    <xf numFmtId="0" fontId="5" fillId="4" borderId="11" applyAlignment="1" pivotButton="0" quotePrefix="0" xfId="0">
      <alignment horizontal="left" vertical="center" wrapText="1"/>
    </xf>
    <xf numFmtId="164" fontId="5" fillId="4" borderId="11" applyAlignment="1" pivotButton="0" quotePrefix="0" xfId="0">
      <alignment vertical="center"/>
    </xf>
    <xf numFmtId="0" fontId="11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12" fillId="4" borderId="20" applyAlignment="1" pivotButton="0" quotePrefix="0" xfId="0">
      <alignment horizontal="center" vertical="center" wrapText="1"/>
    </xf>
    <xf numFmtId="0" fontId="10" fillId="9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9" borderId="7" applyAlignment="1" pivotButton="0" quotePrefix="0" xfId="0">
      <alignment horizontal="center" vertical="center" wrapText="1"/>
    </xf>
    <xf numFmtId="0" fontId="0" fillId="0" borderId="21" pivotButton="0" quotePrefix="0" xfId="0"/>
    <xf numFmtId="3" fontId="13" fillId="4" borderId="11" pivotButton="0" quotePrefix="0" xfId="0"/>
    <xf numFmtId="3" fontId="13" fillId="4" borderId="14" pivotButton="0" quotePrefix="0" xfId="0"/>
    <xf numFmtId="0" fontId="0" fillId="0" borderId="22" pivotButton="0" quotePrefix="0" xfId="0"/>
    <xf numFmtId="0" fontId="14" fillId="0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7" borderId="0" pivotButton="0" quotePrefix="0" xfId="0"/>
    <xf numFmtId="0" fontId="0" fillId="0" borderId="25" pivotButton="0" quotePrefix="0" xfId="0"/>
    <xf numFmtId="0" fontId="15" fillId="0" borderId="0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17" fillId="0" borderId="0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12" fillId="4" borderId="28" applyAlignment="1" pivotButton="0" quotePrefix="0" xfId="0">
      <alignment horizontal="center" vertical="center" wrapText="1"/>
    </xf>
    <xf numFmtId="0" fontId="0" fillId="4" borderId="28" pivotButton="0" quotePrefix="0" xfId="0"/>
    <xf numFmtId="0" fontId="18" fillId="6" borderId="3" applyAlignment="1" pivotButton="0" quotePrefix="0" xfId="0">
      <alignment horizontal="center" vertical="center" wrapText="1"/>
    </xf>
    <xf numFmtId="0" fontId="0" fillId="6" borderId="3" pivotButton="0" quotePrefix="0" xfId="0"/>
    <xf numFmtId="0" fontId="12" fillId="0" borderId="0" applyAlignment="1" pivotButton="0" quotePrefix="0" xfId="0">
      <alignment horizontal="center" vertical="center" wrapText="1"/>
    </xf>
    <xf numFmtId="0" fontId="17" fillId="0" borderId="29" applyAlignment="1" pivotButton="0" quotePrefix="0" xfId="0">
      <alignment horizontal="center" vertical="center" wrapText="1"/>
    </xf>
    <xf numFmtId="0" fontId="0" fillId="0" borderId="29" pivotButton="0" quotePrefix="0" xfId="0"/>
    <xf numFmtId="0" fontId="3" fillId="0" borderId="0" pivotButton="0" quotePrefix="0" xfId="0"/>
    <xf numFmtId="0" fontId="17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0" borderId="0" pivotButton="0" quotePrefix="0" xfId="0"/>
    <xf numFmtId="0" fontId="19" fillId="0" borderId="30" applyAlignment="1" pivotButton="0" quotePrefix="0" xfId="0">
      <alignment horizontal="center" vertical="center" wrapText="1"/>
    </xf>
    <xf numFmtId="0" fontId="0" fillId="0" borderId="30" pivotButton="0" quotePrefix="0" xfId="0"/>
    <xf numFmtId="0" fontId="10" fillId="0" borderId="0" pivotButton="0" quotePrefix="0" xfId="0"/>
    <xf numFmtId="0" fontId="3" fillId="0" borderId="4" pivotButton="0" quotePrefix="0" xfId="0"/>
    <xf numFmtId="0" fontId="0" fillId="0" borderId="4" pivotButton="0" quotePrefix="0" xfId="0"/>
    <xf numFmtId="0" fontId="20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top"/>
    </xf>
    <xf numFmtId="49" fontId="1" fillId="0" borderId="0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2" pivotButton="0" quotePrefix="0" xfId="0"/>
    <xf numFmtId="0" fontId="3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 wrapText="1"/>
    </xf>
    <xf numFmtId="0" fontId="2" fillId="0" borderId="31" applyAlignment="1" pivotButton="0" quotePrefix="0" xfId="0">
      <alignment horizontal="left" vertical="center" wrapText="1"/>
    </xf>
    <xf numFmtId="0" fontId="0" fillId="0" borderId="31" pivotButton="0" quotePrefix="0" xfId="0"/>
    <xf numFmtId="0" fontId="22" fillId="0" borderId="31" applyAlignment="1" pivotButton="0" quotePrefix="0" xfId="0">
      <alignment horizontal="left" vertical="center" wrapText="1"/>
    </xf>
    <xf numFmtId="0" fontId="2" fillId="0" borderId="32" pivotButton="0" quotePrefix="0" xfId="0"/>
    <xf numFmtId="0" fontId="0" fillId="0" borderId="32" pivotButton="0" quotePrefix="0" xfId="0"/>
    <xf numFmtId="0" fontId="2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0" fontId="5" fillId="3" borderId="11" applyAlignment="1" pivotButton="0" quotePrefix="0" xfId="0">
      <alignment horizontal="left" vertical="center" wrapText="1"/>
    </xf>
    <xf numFmtId="164" fontId="5" fillId="3" borderId="11" applyAlignment="1" pivotButton="0" quotePrefix="0" xfId="0">
      <alignment vertical="center"/>
    </xf>
    <xf numFmtId="164" fontId="5" fillId="3" borderId="14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/>
    </xf>
    <xf numFmtId="0" fontId="3" fillId="0" borderId="11" applyAlignment="1" pivotButton="0" quotePrefix="0" xfId="0">
      <alignment horizontal="left" vertical="center" wrapText="1"/>
    </xf>
    <xf numFmtId="164" fontId="3" fillId="0" borderId="11" applyAlignment="1" pivotButton="0" quotePrefix="0" xfId="0">
      <alignment vertical="center"/>
    </xf>
    <xf numFmtId="164" fontId="3" fillId="0" borderId="14" applyAlignment="1" pivotButton="0" quotePrefix="0" xfId="0">
      <alignment vertical="center"/>
    </xf>
    <xf numFmtId="164" fontId="5" fillId="4" borderId="14" applyAlignment="1" pivotButton="0" quotePrefix="0" xfId="0">
      <alignment vertical="center"/>
    </xf>
    <xf numFmtId="0" fontId="7" fillId="5" borderId="11" applyAlignment="1" pivotButton="0" quotePrefix="0" xfId="0">
      <alignment horizontal="left" vertical="center" wrapText="1"/>
    </xf>
    <xf numFmtId="164" fontId="7" fillId="5" borderId="11" applyAlignment="1" pivotButton="0" quotePrefix="0" xfId="0">
      <alignment vertical="center"/>
    </xf>
    <xf numFmtId="164" fontId="7" fillId="5" borderId="14" applyAlignment="1" pivotButton="0" quotePrefix="0" xfId="0">
      <alignment vertical="center"/>
    </xf>
    <xf numFmtId="0" fontId="5" fillId="0" borderId="15" applyAlignment="1" pivotButton="0" quotePrefix="0" xfId="0">
      <alignment horizontal="center" vertical="center"/>
    </xf>
    <xf numFmtId="164" fontId="7" fillId="6" borderId="16" applyAlignment="1" pivotButton="0" quotePrefix="0" xfId="0">
      <alignment vertical="center"/>
    </xf>
    <xf numFmtId="0" fontId="6" fillId="2" borderId="6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7" fillId="5" borderId="11" applyAlignment="1" pivotButton="0" quotePrefix="0" xfId="0">
      <alignment horizontal="center" vertical="center"/>
    </xf>
    <xf numFmtId="0" fontId="7" fillId="6" borderId="1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7" fillId="5" borderId="12" applyAlignment="1" pivotButton="0" quotePrefix="0" xfId="0">
      <alignment horizontal="left" vertical="center" wrapText="1"/>
    </xf>
    <xf numFmtId="0" fontId="7" fillId="5" borderId="12" applyAlignment="1" pivotButton="0" quotePrefix="0" xfId="0">
      <alignment horizontal="center" vertical="center"/>
    </xf>
    <xf numFmtId="164" fontId="7" fillId="5" borderId="12" applyAlignment="1" pivotButton="0" quotePrefix="0" xfId="0">
      <alignment vertical="center"/>
    </xf>
    <xf numFmtId="164" fontId="7" fillId="5" borderId="16" applyAlignment="1" pivotButton="0" quotePrefix="0" xfId="0">
      <alignment vertical="center"/>
    </xf>
    <xf numFmtId="0" fontId="7" fillId="7" borderId="11" applyAlignment="1" pivotButton="0" quotePrefix="0" xfId="0">
      <alignment horizontal="left" vertical="center" wrapText="1"/>
    </xf>
    <xf numFmtId="0" fontId="7" fillId="7" borderId="11" applyAlignment="1" pivotButton="0" quotePrefix="0" xfId="0">
      <alignment horizontal="center" vertical="center"/>
    </xf>
    <xf numFmtId="164" fontId="7" fillId="7" borderId="11" applyAlignment="1" pivotButton="0" quotePrefix="0" xfId="0">
      <alignment vertical="center"/>
    </xf>
    <xf numFmtId="164" fontId="7" fillId="7" borderId="14" applyAlignment="1" pivotButton="0" quotePrefix="0" xfId="0">
      <alignment vertical="center"/>
    </xf>
    <xf numFmtId="0" fontId="3" fillId="0" borderId="13" applyAlignment="1" pivotButton="0" quotePrefix="0" xfId="0">
      <alignment horizontal="left" vertical="center" wrapText="1"/>
    </xf>
    <xf numFmtId="0" fontId="7" fillId="7" borderId="12" applyAlignment="1" pivotButton="0" quotePrefix="0" xfId="0">
      <alignment horizontal="left" vertical="center" wrapText="1"/>
    </xf>
    <xf numFmtId="0" fontId="7" fillId="7" borderId="12" applyAlignment="1" pivotButton="0" quotePrefix="0" xfId="0">
      <alignment horizontal="center" vertical="center"/>
    </xf>
    <xf numFmtId="164" fontId="7" fillId="7" borderId="12" applyAlignment="1" pivotButton="0" quotePrefix="0" xfId="0">
      <alignment vertical="center"/>
    </xf>
    <xf numFmtId="164" fontId="7" fillId="7" borderId="16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10" fillId="4" borderId="4" applyAlignment="1" pivotButton="0" quotePrefix="0" xfId="0">
      <alignment horizontal="center" vertical="center" wrapText="1"/>
    </xf>
    <xf numFmtId="0" fontId="0" fillId="4" borderId="4" pivotButton="0" quotePrefix="0" xfId="0"/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center" vertical="center" textRotation="15"/>
    </xf>
    <xf numFmtId="0" fontId="10" fillId="2" borderId="4" applyAlignment="1" pivotButton="0" quotePrefix="0" xfId="0">
      <alignment horizontal="left" vertical="center" wrapText="1"/>
    </xf>
    <xf numFmtId="0" fontId="10" fillId="2" borderId="4" pivotButton="0" quotePrefix="0" xfId="0"/>
    <xf numFmtId="0" fontId="5" fillId="0" borderId="11" pivotButton="0" quotePrefix="0" xfId="0"/>
    <xf numFmtId="164" fontId="5" fillId="0" borderId="11" pivotButton="0" quotePrefix="0" xfId="0"/>
    <xf numFmtId="0" fontId="3" fillId="0" borderId="11" pivotButton="0" quotePrefix="0" xfId="0"/>
    <xf numFmtId="164" fontId="3" fillId="0" borderId="11" pivotButton="0" quotePrefix="0" xfId="0"/>
    <xf numFmtId="0" fontId="27" fillId="0" borderId="0" pivotButton="0" quotePrefix="0" xfId="0"/>
    <xf numFmtId="0" fontId="26" fillId="0" borderId="0" applyAlignment="1" pivotButton="0" quotePrefix="0" xfId="0">
      <alignment horizontal="center" vertical="center" textRotation="15"/>
    </xf>
    <xf numFmtId="0" fontId="27" fillId="0" borderId="0" applyAlignment="1" pivotButton="0" quotePrefix="0" xfId="0">
      <alignment horizontal="left" vertical="center" wrapText="1"/>
    </xf>
    <xf numFmtId="0" fontId="5" fillId="2" borderId="11" applyAlignment="1" pivotButton="0" quotePrefix="0" xfId="0">
      <alignment horizontal="left" vertical="center" wrapText="1"/>
    </xf>
    <xf numFmtId="164" fontId="5" fillId="2" borderId="11" pivotButton="0" quotePrefix="0" xfId="0"/>
    <xf numFmtId="0" fontId="3" fillId="0" borderId="0" applyAlignment="1" pivotButton="0" quotePrefix="0" xfId="0">
      <alignment horizontal="center" vertical="center" wrapText="1"/>
    </xf>
    <xf numFmtId="165" fontId="3" fillId="0" borderId="11" pivotButton="0" quotePrefix="0" xfId="0"/>
    <xf numFmtId="165" fontId="5" fillId="4" borderId="11" applyAlignment="1" pivotButton="0" quotePrefix="0" xfId="0">
      <alignment vertical="center"/>
    </xf>
    <xf numFmtId="0" fontId="5" fillId="2" borderId="11" pivotButton="0" quotePrefix="0" xfId="0"/>
    <xf numFmtId="0" fontId="5" fillId="2" borderId="11" applyAlignment="1" pivotButton="0" quotePrefix="0" xfId="0">
      <alignment horizontal="center" vertical="center" wrapText="1"/>
    </xf>
    <xf numFmtId="164" fontId="5" fillId="2" borderId="11" applyAlignment="1" pivotButton="0" quotePrefix="0" xfId="0">
      <alignment horizontal="center" vertical="center" wrapText="1"/>
    </xf>
    <xf numFmtId="165" fontId="5" fillId="4" borderId="1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4" fillId="11" borderId="33" applyAlignment="1" pivotButton="0" quotePrefix="0" xfId="0">
      <alignment horizontal="center" vertical="center" wrapText="1"/>
    </xf>
    <xf numFmtId="0" fontId="0" fillId="11" borderId="33" pivotButton="0" quotePrefix="0" xfId="0"/>
    <xf numFmtId="0" fontId="2" fillId="4" borderId="4" applyAlignment="1" pivotButton="0" quotePrefix="0" xfId="0">
      <alignment horizontal="center" vertical="center" wrapText="1"/>
    </xf>
    <xf numFmtId="0" fontId="22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.5" customWidth="1" min="3" max="3"/>
    <col width="16.5" customWidth="1" min="4" max="4"/>
    <col width="16.5" customWidth="1" min="5" max="5"/>
    <col width="16.5" customWidth="1" min="6" max="6"/>
    <col width="16.5" customWidth="1" min="7" max="7"/>
    <col width="16.5" customWidth="1" min="8" max="8"/>
  </cols>
  <sheetData>
    <row r="1" ht="30" customHeight="1">
      <c r="A1" s="1" t="inlineStr">
        <is>
          <t>Compte</t>
        </is>
      </c>
      <c r="B1" s="2" t="inlineStr">
        <is>
          <t>Intitulé</t>
        </is>
      </c>
      <c r="C1" s="2" t="inlineStr">
        <is>
          <t>Solde d'ouverture débit</t>
        </is>
      </c>
      <c r="D1" s="2" t="inlineStr">
        <is>
          <t>Solde d'ouverture crédit</t>
        </is>
      </c>
      <c r="E1" s="2" t="inlineStr">
        <is>
          <t>Mouvement débit</t>
        </is>
      </c>
      <c r="F1" s="2" t="inlineStr">
        <is>
          <t>Mouvement crédit</t>
        </is>
      </c>
      <c r="G1" s="2" t="inlineStr">
        <is>
          <t>Solde de clôture débit</t>
        </is>
      </c>
      <c r="H1" s="3" t="inlineStr">
        <is>
          <t>Solde de clôture crédit</t>
        </is>
      </c>
    </row>
    <row r="2" ht="20" customHeight="1">
      <c r="A2" s="4" t="n"/>
      <c r="B2" s="4" t="inlineStr">
        <is>
          <t>TOTAL GENERAL</t>
        </is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</row>
    <row r="3">
      <c r="A3" s="6" t="n"/>
      <c r="B3" s="6" t="inlineStr">
        <is>
          <t>Contrôle d'équilibre par solde (débit - crédit, doit être 0)</t>
        </is>
      </c>
      <c r="C3" s="7">
        <f>C2-D2</f>
        <v/>
      </c>
      <c r="D3" s="7" t="n"/>
      <c r="E3" s="7">
        <f>E2-F2</f>
        <v/>
      </c>
      <c r="F3" s="7" t="n"/>
      <c r="G3" s="7">
        <f>G2-H2</f>
        <v/>
      </c>
      <c r="H3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.5" customWidth="1" min="3" max="3"/>
    <col width="16.5" customWidth="1" min="4" max="4"/>
    <col width="16.5" customWidth="1" min="5" max="5"/>
    <col width="16.5" customWidth="1" min="6" max="6"/>
    <col width="16.5" customWidth="1" min="7" max="7"/>
    <col width="16.5" customWidth="1" min="8" max="8"/>
  </cols>
  <sheetData>
    <row r="1" ht="30" customHeight="1">
      <c r="A1" s="1" t="inlineStr">
        <is>
          <t>Compte</t>
        </is>
      </c>
      <c r="B1" s="2" t="inlineStr">
        <is>
          <t>Intitulé</t>
        </is>
      </c>
      <c r="C1" s="2" t="inlineStr">
        <is>
          <t>Solde d'ouverture débit</t>
        </is>
      </c>
      <c r="D1" s="2" t="inlineStr">
        <is>
          <t>Solde d'ouverture crédit</t>
        </is>
      </c>
      <c r="E1" s="2" t="inlineStr">
        <is>
          <t>Mouvement débit</t>
        </is>
      </c>
      <c r="F1" s="2" t="inlineStr">
        <is>
          <t>Mouvement crédit</t>
        </is>
      </c>
      <c r="G1" s="2" t="inlineStr">
        <is>
          <t>Solde de clôture débit</t>
        </is>
      </c>
      <c r="H1" s="3" t="inlineStr">
        <is>
          <t>Solde de clôture crédit</t>
        </is>
      </c>
    </row>
    <row r="2" ht="20" customHeight="1">
      <c r="A2" s="4" t="n"/>
      <c r="B2" s="4" t="inlineStr">
        <is>
          <t>TOTAL GENERAL</t>
        </is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</row>
    <row r="3">
      <c r="A3" s="6" t="n"/>
      <c r="B3" s="6" t="inlineStr">
        <is>
          <t>Contrôle d'équilibre par solde (débit - crédit, doit être 0)</t>
        </is>
      </c>
      <c r="C3" s="7">
        <f>C2-D2</f>
        <v/>
      </c>
      <c r="D3" s="7" t="n"/>
      <c r="E3" s="7">
        <f>E2-F2</f>
        <v/>
      </c>
      <c r="F3" s="7" t="n"/>
      <c r="G3" s="7">
        <f>G2-H2</f>
        <v/>
      </c>
      <c r="H3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20.7" customWidth="1" min="2" max="2"/>
    <col width="20.7" customWidth="1" min="3" max="3"/>
    <col width="20.7" customWidth="1" min="4" max="4"/>
    <col width="20.7" customWidth="1" min="5" max="5"/>
    <col width="20.7" customWidth="1" min="6" max="6"/>
    <col width="20.7" customWidth="1" min="7" max="7"/>
  </cols>
  <sheetData>
    <row r="1" ht="26" customHeight="1">
      <c r="A1" s="8" t="inlineStr">
        <is>
          <t>EQUILIBRE DE LA BALANCE</t>
        </is>
      </c>
      <c r="B1" s="9" t="n"/>
      <c r="C1" s="9" t="n"/>
      <c r="D1" s="9" t="n"/>
      <c r="E1" s="9" t="n"/>
      <c r="F1" s="9" t="n"/>
      <c r="G1" s="9" t="n"/>
    </row>
    <row r="2" ht="50" customHeight="1">
      <c r="A2" s="10" t="inlineStr">
        <is>
          <t>BALANCE N</t>
        </is>
      </c>
      <c r="B2" s="11" t="inlineStr">
        <is>
          <t>Solde d'ouverture Débit</t>
        </is>
      </c>
      <c r="C2" s="11" t="inlineStr">
        <is>
          <t>Solde d'ouverture Crédit</t>
        </is>
      </c>
      <c r="D2" s="12" t="inlineStr">
        <is>
          <t>Mouvements Débit</t>
        </is>
      </c>
      <c r="E2" s="12" t="inlineStr">
        <is>
          <t>Mouvements Crédit</t>
        </is>
      </c>
      <c r="F2" s="11" t="inlineStr">
        <is>
          <t>Solde de clôture Débit</t>
        </is>
      </c>
      <c r="G2" s="13" t="inlineStr">
        <is>
          <t>Solde de clôture Crédit</t>
        </is>
      </c>
    </row>
    <row r="3" ht="21" customHeight="1">
      <c r="A3" s="14" t="n"/>
      <c r="B3" s="15">
        <f>SUM('BALANCE N'!C2:C2)</f>
        <v/>
      </c>
      <c r="C3" s="15">
        <f>SUM('BALANCE N'!D2:D2)</f>
        <v/>
      </c>
      <c r="D3" s="15">
        <f>SUM('BALANCE N'!E2:E2)</f>
        <v/>
      </c>
      <c r="E3" s="15">
        <f>SUM('BALANCE N'!F2:F2)</f>
        <v/>
      </c>
      <c r="F3" s="15">
        <f>SUM('BALANCE N'!G2:G2)</f>
        <v/>
      </c>
      <c r="G3" s="16">
        <f>SUM('BALANCE N'!H2:H2)</f>
        <v/>
      </c>
    </row>
    <row r="4" ht="54" customHeight="1">
      <c r="A4" s="17" t="n"/>
      <c r="B4" s="18">
        <f>IF(ROUND(B3-C3,0)=0,"Equilibre","Déséquilibre : écart de "&amp;TEXT(B3-C3,"#,##0"))</f>
        <v/>
      </c>
      <c r="C4" s="19" t="n"/>
      <c r="D4" s="18">
        <f>IF(ROUND(D3-E3,0)=0,"Equilibre","Déséquilibre : écart de "&amp;TEXT(D3-E3,"#,##0"))</f>
        <v/>
      </c>
      <c r="E4" s="19" t="n"/>
      <c r="F4" s="18">
        <f>IF(ROUND(F3-G3,0)=0,"Equilibre","Déséquilibre : écart de "&amp;TEXT(F3-G3,"#,##0"))</f>
        <v/>
      </c>
      <c r="G4" s="20" t="n"/>
    </row>
    <row r="5" ht="50" customHeight="1">
      <c r="A5" s="10" t="inlineStr">
        <is>
          <t>BALANCE N-1</t>
        </is>
      </c>
      <c r="B5" s="11" t="inlineStr">
        <is>
          <t>Solde d'ouverture Débit</t>
        </is>
      </c>
      <c r="C5" s="11" t="inlineStr">
        <is>
          <t>Solde d'ouverture Crédit</t>
        </is>
      </c>
      <c r="D5" s="12" t="inlineStr">
        <is>
          <t>Mouvements Débit</t>
        </is>
      </c>
      <c r="E5" s="12" t="inlineStr">
        <is>
          <t>Mouvements Crédit</t>
        </is>
      </c>
      <c r="F5" s="11" t="inlineStr">
        <is>
          <t>Solde de clôture Débit</t>
        </is>
      </c>
      <c r="G5" s="13" t="inlineStr">
        <is>
          <t>Solde de clôture Crédit</t>
        </is>
      </c>
    </row>
    <row r="6" ht="21" customHeight="1">
      <c r="A6" s="14" t="n"/>
      <c r="B6" s="15">
        <f>SUM('BALANCE N-1'!C2:C2)</f>
        <v/>
      </c>
      <c r="C6" s="15">
        <f>SUM('BALANCE N-1'!D2:D2)</f>
        <v/>
      </c>
      <c r="D6" s="15">
        <f>SUM('BALANCE N-1'!E2:E2)</f>
        <v/>
      </c>
      <c r="E6" s="15">
        <f>SUM('BALANCE N-1'!F2:F2)</f>
        <v/>
      </c>
      <c r="F6" s="15">
        <f>SUM('BALANCE N-1'!G2:G2)</f>
        <v/>
      </c>
      <c r="G6" s="16">
        <f>SUM('BALANCE N-1'!H2:H2)</f>
        <v/>
      </c>
    </row>
    <row r="7" ht="54" customHeight="1">
      <c r="A7" s="17" t="n"/>
      <c r="B7" s="18">
        <f>IF(ROUND(B6-C6,0)=0,"Equilibre","Déséquilibre : écart de "&amp;TEXT(B6-C6,"#,##0"))</f>
        <v/>
      </c>
      <c r="C7" s="19" t="n"/>
      <c r="D7" s="18">
        <f>IF(ROUND(D6-E6,0)=0,"Equilibre","Déséquilibre : écart de "&amp;TEXT(D6-E6,"#,##0"))</f>
        <v/>
      </c>
      <c r="E7" s="19" t="n"/>
      <c r="F7" s="18">
        <f>IF(ROUND(F6-G6,0)=0,"Equilibre","Déséquilibre : écart de "&amp;TEXT(F6-G6,"#,##0"))</f>
        <v/>
      </c>
      <c r="G7" s="20" t="n"/>
    </row>
  </sheetData>
  <mergeCells count="9">
    <mergeCell ref="F4:G4"/>
    <mergeCell ref="A1:G1"/>
    <mergeCell ref="D7:E7"/>
    <mergeCell ref="B7:C7"/>
    <mergeCell ref="A2:A4"/>
    <mergeCell ref="D4:E4"/>
    <mergeCell ref="A5:A7"/>
    <mergeCell ref="B4:C4"/>
    <mergeCell ref="F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showGridLines="0" workbookViewId="0">
      <selection activeCell="A1" sqref="A1"/>
    </sheetView>
  </sheetViews>
  <sheetFormatPr baseColWidth="8" defaultRowHeight="15"/>
  <cols>
    <col width="1.3" customWidth="1" min="1" max="1"/>
    <col width="0.8" customWidth="1" min="2" max="2"/>
    <col width="1.3" customWidth="1" min="3" max="3"/>
    <col width="8.699999999999999" customWidth="1" min="4" max="4"/>
    <col width="10.5" customWidth="1" min="5" max="5"/>
    <col width="11.5" customWidth="1" min="6" max="6"/>
    <col width="11.5" customWidth="1" min="7" max="7"/>
    <col width="13.2" customWidth="1" min="8" max="8"/>
    <col width="11.5" customWidth="1" min="9" max="9"/>
    <col width="8.699999999999999" customWidth="1" min="10" max="10"/>
    <col width="11.5" customWidth="1" min="11" max="11"/>
    <col width="1.3" customWidth="1" min="12" max="12"/>
    <col width="0.8" customWidth="1" min="13" max="13"/>
  </cols>
  <sheetData>
    <row r="1" ht="4" customHeight="1"/>
    <row r="2" ht="4" customHeight="1">
      <c r="B2" s="21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3" t="n"/>
    </row>
    <row r="3" ht="13" customHeight="1">
      <c r="B3" s="14" t="n"/>
      <c r="C3" s="24" t="n"/>
      <c r="D3" s="24" t="n"/>
      <c r="M3" s="25" t="n"/>
    </row>
    <row r="4" ht="13" customHeight="1">
      <c r="B4" s="14" t="n"/>
      <c r="C4" s="24" t="n"/>
      <c r="D4" s="24" t="n"/>
      <c r="M4" s="25" t="n"/>
    </row>
    <row r="5" ht="13" customHeight="1">
      <c r="B5" s="14" t="n"/>
      <c r="C5" s="24" t="n"/>
      <c r="D5" s="24" t="n"/>
      <c r="M5" s="25" t="n"/>
    </row>
    <row r="6" ht="13" customHeight="1">
      <c r="B6" s="14" t="n"/>
      <c r="C6" s="24" t="n"/>
      <c r="D6" s="24" t="n"/>
      <c r="M6" s="25" t="n"/>
    </row>
    <row r="7" ht="13" customHeight="1">
      <c r="B7" s="14" t="n"/>
      <c r="C7" s="24" t="n"/>
      <c r="D7" s="24" t="n"/>
      <c r="M7" s="25" t="n"/>
    </row>
    <row r="8" ht="13" customHeight="1">
      <c r="B8" s="14" t="n"/>
      <c r="C8" s="24" t="n"/>
      <c r="D8" s="24" t="n"/>
      <c r="M8" s="25" t="n"/>
    </row>
    <row r="9" ht="13" customHeight="1">
      <c r="B9" s="14" t="n"/>
      <c r="C9" s="24" t="n"/>
      <c r="D9" s="24" t="n"/>
      <c r="M9" s="25" t="n"/>
    </row>
    <row r="10" ht="13" customHeight="1">
      <c r="B10" s="14" t="n"/>
      <c r="C10" s="24" t="n"/>
      <c r="D10" s="24" t="n"/>
      <c r="M10" s="25" t="n"/>
    </row>
    <row r="11" ht="13" customHeight="1">
      <c r="B11" s="14" t="n"/>
      <c r="C11" s="24" t="n"/>
      <c r="D11" s="24" t="n"/>
      <c r="M11" s="25" t="n"/>
    </row>
    <row r="12" ht="13" customHeight="1">
      <c r="B12" s="14" t="n"/>
      <c r="C12" s="24" t="n"/>
      <c r="D12" s="24" t="n"/>
      <c r="M12" s="25" t="n"/>
    </row>
    <row r="13" ht="13" customHeight="1">
      <c r="B13" s="14" t="n"/>
      <c r="C13" s="24" t="n"/>
      <c r="D13" s="24" t="n"/>
      <c r="M13" s="25" t="n"/>
    </row>
    <row r="14" ht="13" customHeight="1">
      <c r="B14" s="14" t="n"/>
      <c r="C14" s="24" t="n"/>
      <c r="D14" s="24" t="n"/>
      <c r="M14" s="25" t="n"/>
    </row>
    <row r="15" ht="13" customHeight="1">
      <c r="B15" s="14" t="n"/>
      <c r="C15" s="24" t="n"/>
      <c r="D15" s="24" t="n"/>
      <c r="M15" s="25" t="n"/>
    </row>
    <row r="16" ht="13" customHeight="1">
      <c r="B16" s="14" t="n"/>
      <c r="C16" s="24" t="n"/>
      <c r="D16" s="24" t="n"/>
      <c r="M16" s="25" t="n"/>
    </row>
    <row r="17" ht="13" customHeight="1">
      <c r="B17" s="14" t="n"/>
      <c r="C17" s="24" t="n"/>
      <c r="D17" s="24" t="n"/>
      <c r="M17" s="25" t="n"/>
    </row>
    <row r="18" ht="13" customHeight="1">
      <c r="B18" s="14" t="n"/>
      <c r="C18" s="24" t="n"/>
      <c r="D18" s="24" t="n"/>
      <c r="M18" s="25" t="n"/>
    </row>
    <row r="19" ht="13" customHeight="1">
      <c r="B19" s="14" t="n"/>
      <c r="M19" s="25" t="n"/>
    </row>
    <row r="20" ht="13" customHeight="1">
      <c r="B20" s="14" t="n"/>
      <c r="M20" s="25" t="n"/>
    </row>
    <row r="21" ht="13" customHeight="1">
      <c r="B21" s="14" t="n"/>
      <c r="M21" s="25" t="n"/>
    </row>
    <row r="22" ht="13" customHeight="1">
      <c r="B22" s="14" t="n"/>
      <c r="M22" s="25" t="n"/>
    </row>
    <row r="23" ht="13" customHeight="1">
      <c r="B23" s="14" t="n"/>
      <c r="M23" s="25" t="n"/>
    </row>
    <row r="24" ht="13" customHeight="1">
      <c r="B24" s="14" t="n"/>
      <c r="M24" s="25" t="n"/>
    </row>
    <row r="25" ht="13" customHeight="1">
      <c r="B25" s="14" t="n"/>
      <c r="M25" s="25" t="n"/>
    </row>
    <row r="26" ht="13" customHeight="1">
      <c r="B26" s="14" t="n"/>
      <c r="E26" s="26" t="inlineStr"/>
      <c r="M26" s="25" t="n"/>
    </row>
    <row r="27" ht="13" customHeight="1">
      <c r="B27" s="14" t="n"/>
      <c r="M27" s="25" t="n"/>
    </row>
    <row r="28" ht="13" customHeight="1">
      <c r="B28" s="14" t="n"/>
      <c r="M28" s="25" t="n"/>
    </row>
    <row r="29" ht="13" customHeight="1">
      <c r="B29" s="14" t="n"/>
      <c r="M29" s="25" t="n"/>
    </row>
    <row r="30" ht="13" customHeight="1">
      <c r="B30" s="14" t="n"/>
      <c r="M30" s="25" t="n"/>
    </row>
    <row r="31" ht="33" customHeight="1">
      <c r="B31" s="14" t="n"/>
      <c r="E31" s="27" t="inlineStr">
        <is>
          <t>LIASSE SYSTEME NORMAL</t>
        </is>
      </c>
      <c r="F31" s="28" t="n"/>
      <c r="G31" s="28" t="n"/>
      <c r="H31" s="28" t="n"/>
      <c r="I31" s="28" t="n"/>
      <c r="J31" s="28" t="n"/>
      <c r="K31" s="28" t="n"/>
      <c r="M31" s="25" t="n"/>
    </row>
    <row r="32" ht="13" customHeight="1">
      <c r="B32" s="14" t="n"/>
      <c r="M32" s="25" t="n"/>
    </row>
    <row r="33" ht="13" customHeight="1">
      <c r="B33" s="14" t="n"/>
      <c r="M33" s="25" t="n"/>
    </row>
    <row r="34" ht="13" customHeight="1">
      <c r="B34" s="14" t="n"/>
      <c r="E34" s="29" t="inlineStr">
        <is>
          <t>Exercice clos le</t>
        </is>
      </c>
      <c r="M34" s="25" t="n"/>
    </row>
    <row r="35" ht="13" customHeight="1">
      <c r="B35" s="14" t="n"/>
      <c r="M35" s="25" t="n"/>
    </row>
    <row r="36" ht="13" customHeight="1">
      <c r="B36" s="14" t="n"/>
      <c r="M36" s="25" t="n"/>
    </row>
    <row r="37" ht="13" customHeight="1">
      <c r="B37" s="14" t="n"/>
      <c r="M37" s="25" t="n"/>
    </row>
    <row r="38" ht="13" customHeight="1">
      <c r="B38" s="14" t="n"/>
      <c r="M38" s="25" t="n"/>
    </row>
    <row r="39" ht="13" customHeight="1">
      <c r="B39" s="14" t="n"/>
      <c r="M39" s="25" t="n"/>
    </row>
    <row r="40" ht="13" customHeight="1">
      <c r="B40" s="14" t="n"/>
      <c r="M40" s="25" t="n"/>
    </row>
    <row r="41" ht="13" customHeight="1">
      <c r="B41" s="14" t="n"/>
      <c r="M41" s="25" t="n"/>
    </row>
    <row r="42" ht="13" customHeight="1">
      <c r="B42" s="14" t="n"/>
      <c r="M42" s="25" t="n"/>
    </row>
    <row r="43" ht="13" customHeight="1">
      <c r="B43" s="14" t="n"/>
      <c r="M43" s="25" t="n"/>
    </row>
    <row r="44" ht="13" customHeight="1">
      <c r="B44" s="14" t="n"/>
      <c r="M44" s="25" t="n"/>
    </row>
    <row r="45" ht="13" customHeight="1">
      <c r="B45" s="14" t="n"/>
      <c r="M45" s="25" t="n"/>
    </row>
    <row r="46" ht="13" customHeight="1">
      <c r="B46" s="14" t="n"/>
      <c r="M46" s="25" t="n"/>
    </row>
    <row r="47" ht="13" customHeight="1">
      <c r="B47" s="14" t="n"/>
      <c r="M47" s="25" t="n"/>
    </row>
    <row r="48" ht="13" customHeight="1">
      <c r="B48" s="14" t="n"/>
      <c r="M48" s="25" t="n"/>
    </row>
    <row r="49" ht="13" customHeight="1">
      <c r="B49" s="14" t="n"/>
      <c r="M49" s="25" t="n"/>
    </row>
    <row r="50" ht="13" customHeight="1">
      <c r="B50" s="14" t="n"/>
      <c r="M50" s="25" t="n"/>
    </row>
    <row r="51" ht="13" customHeight="1">
      <c r="B51" s="14" t="n"/>
      <c r="M51" s="25" t="n"/>
    </row>
    <row r="52" ht="13" customHeight="1">
      <c r="B52" s="17" t="n"/>
      <c r="C52" s="30" t="n"/>
      <c r="D52" s="30" t="n"/>
      <c r="E52" s="30" t="n"/>
      <c r="F52" s="30" t="n"/>
      <c r="G52" s="30" t="n"/>
      <c r="H52" s="30" t="n"/>
      <c r="I52" s="30" t="n"/>
      <c r="J52" s="30" t="n"/>
      <c r="K52" s="30" t="n"/>
      <c r="L52" s="30" t="n"/>
      <c r="M52" s="31" t="n"/>
    </row>
    <row r="53" ht="5" customHeight="1"/>
  </sheetData>
  <mergeCells count="3">
    <mergeCell ref="E34:K34"/>
    <mergeCell ref="E31:K31"/>
    <mergeCell ref="E26:J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selection activeCell="A1" sqref="A1"/>
    </sheetView>
  </sheetViews>
  <sheetFormatPr baseColWidth="8" defaultRowHeight="15"/>
  <cols>
    <col width="1" customWidth="1" min="1" max="1"/>
    <col width="19.8" customWidth="1" min="2" max="2"/>
    <col width="11.3" customWidth="1" min="3" max="3"/>
    <col width="11" customWidth="1" min="4" max="4"/>
    <col width="3.2" customWidth="1" min="5" max="5"/>
    <col width="5.2" customWidth="1" min="6" max="6"/>
    <col width="5.2" customWidth="1" min="7" max="7"/>
    <col width="3.2" customWidth="1" min="8" max="8"/>
    <col width="11" customWidth="1" min="9" max="9"/>
    <col width="11.3" customWidth="1" min="10" max="10"/>
    <col width="19.8" customWidth="1" min="11" max="11"/>
    <col width="1" customWidth="1" min="12" max="12"/>
  </cols>
  <sheetData>
    <row r="1"/>
    <row r="2" ht="20" customHeight="1"/>
    <row r="3" ht="20" customHeight="1"/>
    <row r="4" ht="20" customHeight="1"/>
    <row r="5"/>
    <row r="6"/>
    <row r="7"/>
    <row r="8" ht="12" customHeight="1"/>
    <row r="9" ht="14" customHeight="1"/>
    <row r="10"/>
    <row r="11"/>
    <row r="12" ht="44" customHeight="1">
      <c r="B12" s="32" t="inlineStr">
        <is>
          <t>ETATS FINANCIERS NORMALISES
DU SYSTEME COMPTABLE DES ENTITES A BUT NON LUCRATIF (SYCEBNL)</t>
        </is>
      </c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</row>
    <row r="13" ht="22" customHeight="1">
      <c r="B13" s="34" t="inlineStr">
        <is>
          <t>Associations, Ordres Professionnels, Fondations et Assimilées</t>
        </is>
      </c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</row>
    <row r="14"/>
    <row r="15"/>
    <row r="16" ht="18" customHeight="1">
      <c r="C16" s="36" t="inlineStr">
        <is>
          <t>Exercice clos le   -   Durée (en mois) : 12</t>
        </is>
      </c>
    </row>
    <row r="17"/>
    <row r="18"/>
    <row r="19"/>
    <row r="20" ht="16" customHeight="1">
      <c r="B20" s="37" t="inlineStr">
        <is>
          <t>DESIGNATION DE L'ENTITE</t>
        </is>
      </c>
      <c r="C20" s="38" t="n"/>
      <c r="D20" s="38" t="n"/>
      <c r="E20" s="38" t="n"/>
      <c r="F20" s="38" t="n"/>
      <c r="G20" s="38" t="n"/>
      <c r="H20" s="38" t="n"/>
      <c r="I20" s="38" t="n"/>
      <c r="J20" s="38" t="n"/>
      <c r="K20" s="38" t="n"/>
    </row>
    <row r="21"/>
    <row r="22" ht="18" customHeight="1">
      <c r="B22" s="39" t="inlineStr">
        <is>
          <t>DENOMINATION SOCIALE :</t>
        </is>
      </c>
      <c r="E22" s="40" t="inlineStr"/>
      <c r="F22" s="41" t="n"/>
      <c r="G22" s="41" t="n"/>
      <c r="H22" s="41" t="n"/>
      <c r="I22" s="41" t="n"/>
      <c r="J22" s="41" t="n"/>
    </row>
    <row r="23"/>
    <row r="24">
      <c r="B24" s="39" t="inlineStr">
        <is>
          <t>SIGLE USUEL :</t>
        </is>
      </c>
      <c r="E24" s="40" t="inlineStr"/>
      <c r="F24" s="41" t="n"/>
      <c r="G24" s="41" t="n"/>
      <c r="H24" s="41" t="n"/>
      <c r="I24" s="41" t="n"/>
      <c r="J24" s="41" t="n"/>
    </row>
    <row r="25"/>
    <row r="26" ht="18" customHeight="1">
      <c r="B26" s="39" t="inlineStr">
        <is>
          <t>ADRESSE COMPLETE :</t>
        </is>
      </c>
      <c r="E26" s="40" t="inlineStr"/>
      <c r="F26" s="41" t="n"/>
      <c r="G26" s="41" t="n"/>
      <c r="H26" s="41" t="n"/>
      <c r="I26" s="41" t="n"/>
      <c r="J26" s="41" t="n"/>
    </row>
    <row r="27"/>
    <row r="28" ht="18" customHeight="1">
      <c r="B28" s="42" t="inlineStr">
        <is>
          <t>N° de compte contribuable (NCC) :</t>
        </is>
      </c>
      <c r="E28" s="40" t="inlineStr"/>
      <c r="F28" s="41" t="n"/>
      <c r="G28" s="41" t="n"/>
      <c r="H28" s="41" t="n"/>
      <c r="I28" s="41" t="n"/>
      <c r="J28" s="41" t="n"/>
    </row>
    <row r="29"/>
    <row r="30" ht="14" customHeight="1">
      <c r="B30" s="42" t="inlineStr">
        <is>
          <t>N° de télédéclarant (NTD) :</t>
        </is>
      </c>
      <c r="E30" s="40" t="inlineStr"/>
      <c r="F30" s="41" t="n"/>
      <c r="G30" s="41" t="n"/>
      <c r="H30" s="41" t="n"/>
      <c r="I30" s="41" t="n"/>
      <c r="J30" s="41" t="n"/>
    </row>
    <row r="31" ht="17" customHeight="1"/>
    <row r="32" ht="30" customHeight="1">
      <c r="B32" s="43" t="inlineStr">
        <is>
          <t>SYSTEME NORMAL</t>
        </is>
      </c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</row>
    <row r="33" ht="14" customHeight="1"/>
    <row r="34">
      <c r="B34" s="45" t="inlineStr">
        <is>
          <t>Documents déposés</t>
        </is>
      </c>
      <c r="H34" s="45" t="inlineStr">
        <is>
          <t>Réservé à l'administration</t>
        </is>
      </c>
    </row>
    <row r="35">
      <c r="B35" s="46" t="inlineStr">
        <is>
          <t>Fiche d'identification et renseignements divers</t>
        </is>
      </c>
      <c r="C35" s="47" t="n"/>
      <c r="D35" s="47" t="n"/>
      <c r="E35" s="47" t="n"/>
      <c r="F35" s="48" t="inlineStr">
        <is>
          <t>X</t>
        </is>
      </c>
      <c r="H35" s="49" t="inlineStr">
        <is>
          <t>Date de dépôt</t>
        </is>
      </c>
      <c r="I35" s="47" t="n"/>
      <c r="J35" s="47" t="n"/>
      <c r="K35" s="47" t="n"/>
    </row>
    <row r="36">
      <c r="B36" s="46" t="inlineStr">
        <is>
          <t>Bilan (actif et passif)</t>
        </is>
      </c>
      <c r="C36" s="47" t="n"/>
      <c r="D36" s="47" t="n"/>
      <c r="E36" s="47" t="n"/>
      <c r="F36" s="48" t="inlineStr">
        <is>
          <t>X</t>
        </is>
      </c>
      <c r="H36" s="47" t="n"/>
      <c r="I36" s="47" t="n"/>
      <c r="J36" s="47" t="n"/>
      <c r="K36" s="47" t="n"/>
    </row>
    <row r="37">
      <c r="B37" s="46" t="inlineStr">
        <is>
          <t>Compte de résultat</t>
        </is>
      </c>
      <c r="C37" s="47" t="n"/>
      <c r="D37" s="47" t="n"/>
      <c r="E37" s="47" t="n"/>
      <c r="F37" s="48" t="inlineStr">
        <is>
          <t>X</t>
        </is>
      </c>
      <c r="H37" s="47" t="n"/>
      <c r="I37" s="47" t="n"/>
      <c r="J37" s="47" t="n"/>
      <c r="K37" s="47" t="n"/>
    </row>
    <row r="38">
      <c r="B38" s="46" t="inlineStr">
        <is>
          <t>Tableau des flux de trésorerie</t>
        </is>
      </c>
      <c r="C38" s="47" t="n"/>
      <c r="D38" s="47" t="n"/>
      <c r="E38" s="47" t="n"/>
      <c r="F38" s="48" t="inlineStr">
        <is>
          <t>X</t>
        </is>
      </c>
      <c r="H38" s="47" t="n"/>
      <c r="I38" s="47" t="n"/>
      <c r="J38" s="47" t="n"/>
      <c r="K38" s="47" t="n"/>
    </row>
    <row r="39">
      <c r="B39" s="46" t="inlineStr">
        <is>
          <t>Notes annexes</t>
        </is>
      </c>
      <c r="C39" s="47" t="n"/>
      <c r="D39" s="47" t="n"/>
      <c r="E39" s="47" t="n"/>
      <c r="F39" s="48" t="inlineStr">
        <is>
          <t>X</t>
        </is>
      </c>
      <c r="H39" s="49" t="inlineStr">
        <is>
          <t>Nom de l'agent ayant réceptionné le dépôt</t>
        </is>
      </c>
      <c r="I39" s="47" t="n"/>
      <c r="J39" s="47" t="n"/>
      <c r="K39" s="47" t="n"/>
    </row>
    <row r="40">
      <c r="H40" s="47" t="n"/>
      <c r="I40" s="47" t="n"/>
      <c r="J40" s="47" t="n"/>
      <c r="K40" s="47" t="n"/>
    </row>
    <row r="41">
      <c r="H41" s="47" t="n"/>
      <c r="I41" s="47" t="n"/>
      <c r="J41" s="47" t="n"/>
      <c r="K41" s="47" t="n"/>
    </row>
    <row r="42">
      <c r="H42" s="47" t="n"/>
      <c r="I42" s="47" t="n"/>
      <c r="J42" s="47" t="n"/>
      <c r="K42" s="47" t="n"/>
    </row>
    <row r="43">
      <c r="H43" s="49" t="inlineStr">
        <is>
          <t>Signature de l'agent et cachet du service</t>
        </is>
      </c>
      <c r="I43" s="47" t="n"/>
      <c r="J43" s="47" t="n"/>
      <c r="K43" s="47" t="n"/>
    </row>
    <row r="44">
      <c r="H44" s="47" t="n"/>
      <c r="I44" s="47" t="n"/>
      <c r="J44" s="47" t="n"/>
      <c r="K44" s="47" t="n"/>
    </row>
    <row r="45">
      <c r="H45" s="47" t="n"/>
      <c r="I45" s="47" t="n"/>
      <c r="J45" s="47" t="n"/>
      <c r="K45" s="47" t="n"/>
    </row>
    <row r="46">
      <c r="H46" s="47" t="n"/>
      <c r="I46" s="47" t="n"/>
      <c r="J46" s="47" t="n"/>
      <c r="K46" s="47" t="n"/>
    </row>
    <row r="47"/>
    <row r="48">
      <c r="B48" s="46" t="inlineStr">
        <is>
          <t>Nombre de pages déposées par exemplaire :</t>
        </is>
      </c>
      <c r="C48" s="47" t="n"/>
      <c r="D48" s="47" t="n"/>
      <c r="E48" s="47" t="n"/>
      <c r="F48" s="47" t="n"/>
    </row>
    <row r="49">
      <c r="B49" s="46" t="inlineStr">
        <is>
          <t>Nombre d'exemplaires déposés :</t>
        </is>
      </c>
      <c r="C49" s="47" t="n"/>
      <c r="D49" s="47" t="n"/>
      <c r="E49" s="47" t="n"/>
      <c r="F49" s="47" t="n"/>
    </row>
  </sheetData>
  <mergeCells count="23">
    <mergeCell ref="B49:E49"/>
    <mergeCell ref="E28:J28"/>
    <mergeCell ref="B20:K20"/>
    <mergeCell ref="E30:J30"/>
    <mergeCell ref="B36:E36"/>
    <mergeCell ref="B35:E35"/>
    <mergeCell ref="B32:K32"/>
    <mergeCell ref="H35:K35"/>
    <mergeCell ref="C16:J16"/>
    <mergeCell ref="E26:J26"/>
    <mergeCell ref="H43:K43"/>
    <mergeCell ref="H44:K46"/>
    <mergeCell ref="E22:J22"/>
    <mergeCell ref="H39:K39"/>
    <mergeCell ref="B48:E48"/>
    <mergeCell ref="B12:K12"/>
    <mergeCell ref="B39:E39"/>
    <mergeCell ref="H40:K42"/>
    <mergeCell ref="E24:J24"/>
    <mergeCell ref="B13:K13"/>
    <mergeCell ref="B38:E38"/>
    <mergeCell ref="B37:E37"/>
    <mergeCell ref="H36:K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12" customHeight="1">
      <c r="A1" s="50" t="inlineStr">
        <is>
          <t>- 1 -</t>
        </is>
      </c>
    </row>
    <row r="2" ht="26" customHeight="1">
      <c r="I2" s="51" t="inlineStr">
        <is>
          <t>FICHE 1</t>
        </is>
      </c>
      <c r="J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D4" s="41" t="n"/>
      <c r="E4" s="41" t="n"/>
      <c r="F4" s="41" t="n"/>
      <c r="G4" s="41" t="n"/>
      <c r="I4" s="54" t="inlineStr">
        <is>
          <t>Sigle usuel :</t>
        </is>
      </c>
      <c r="J4" s="53" t="inlineStr"/>
    </row>
    <row r="5" ht="15" customHeight="1">
      <c r="A5" s="39" t="inlineStr">
        <is>
          <t>N° de compte contribuable (NCC) :</t>
        </is>
      </c>
      <c r="G5" s="39" t="inlineStr">
        <is>
          <t>Exercice clos le</t>
        </is>
      </c>
      <c r="I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55" t="inlineStr">
        <is>
          <t>FICHE D'IDENTIFICATION ET RENSEIGNEMENTS DIVERS</t>
        </is>
      </c>
    </row>
    <row r="8">
      <c r="A8" s="56" t="inlineStr">
        <is>
          <t>SYCEBNL - Associations et ordres professionnels - Système normal</t>
        </is>
      </c>
    </row>
    <row r="9"/>
    <row r="10" ht="24" customHeight="1">
      <c r="A10" s="57" t="inlineStr">
        <is>
          <t>ZA</t>
        </is>
      </c>
      <c r="B10" s="58" t="inlineStr">
        <is>
          <t>EXERCICE COMPTABLE</t>
        </is>
      </c>
      <c r="C10" s="59" t="n"/>
      <c r="D10" s="59" t="n"/>
      <c r="E10" s="59" t="n"/>
      <c r="F10" s="59" t="n"/>
      <c r="G10" s="60" t="inlineStr">
        <is>
          <t xml:space="preserve">DU :     AU : </t>
        </is>
      </c>
      <c r="H10" s="59" t="n"/>
      <c r="I10" s="59" t="n"/>
      <c r="J10" s="59" t="n"/>
    </row>
    <row r="11" ht="24" customHeight="1">
      <c r="A11" s="57" t="inlineStr">
        <is>
          <t>ZB</t>
        </is>
      </c>
      <c r="B11" s="58" t="inlineStr">
        <is>
          <t>DATE D'ARRETE EFFECTIF DES COMPTES</t>
        </is>
      </c>
      <c r="C11" s="59" t="n"/>
      <c r="D11" s="59" t="n"/>
      <c r="E11" s="59" t="n"/>
      <c r="F11" s="59" t="n"/>
      <c r="G11" s="60" t="inlineStr"/>
      <c r="H11" s="59" t="n"/>
      <c r="I11" s="59" t="n"/>
      <c r="J11" s="59" t="n"/>
    </row>
    <row r="12" ht="24" customHeight="1">
      <c r="A12" s="57" t="inlineStr">
        <is>
          <t>ZC</t>
        </is>
      </c>
      <c r="B12" s="58" t="inlineStr">
        <is>
          <t>EXERCICE PRECEDENT CLOS LE</t>
        </is>
      </c>
      <c r="C12" s="59" t="n"/>
      <c r="D12" s="59" t="n"/>
      <c r="E12" s="59" t="n"/>
      <c r="F12" s="59" t="n"/>
      <c r="G12" s="60" t="inlineStr"/>
      <c r="H12" s="59" t="n"/>
      <c r="I12" s="59" t="n"/>
      <c r="J12" s="59" t="n"/>
    </row>
    <row r="13" ht="24" customHeight="1">
      <c r="A13" s="57" t="inlineStr">
        <is>
          <t>ZD</t>
        </is>
      </c>
      <c r="B13" s="58" t="inlineStr">
        <is>
          <t>DUREE DE L'EXERCICE PRECEDENT (EN MOIS)</t>
        </is>
      </c>
      <c r="C13" s="59" t="n"/>
      <c r="D13" s="59" t="n"/>
      <c r="E13" s="59" t="n"/>
      <c r="F13" s="59" t="n"/>
      <c r="G13" s="60" t="inlineStr"/>
      <c r="H13" s="59" t="n"/>
      <c r="I13" s="59" t="n"/>
      <c r="J13" s="59" t="n"/>
    </row>
    <row r="14" ht="24" customHeight="1">
      <c r="A14" s="57" t="inlineStr">
        <is>
          <t>ZE</t>
        </is>
      </c>
      <c r="B14" s="58" t="inlineStr">
        <is>
          <t>N° REGISTRE (RCCM, F92, CONVENTION...) ET GREFFE</t>
        </is>
      </c>
      <c r="C14" s="59" t="n"/>
      <c r="D14" s="59" t="n"/>
      <c r="E14" s="59" t="n"/>
      <c r="F14" s="59" t="n"/>
      <c r="G14" s="60" t="inlineStr"/>
      <c r="H14" s="59" t="n"/>
      <c r="I14" s="59" t="n"/>
      <c r="J14" s="59" t="n"/>
    </row>
    <row r="15" ht="24" customHeight="1">
      <c r="A15" s="57" t="inlineStr">
        <is>
          <t>ZF</t>
        </is>
      </c>
      <c r="B15" s="58" t="inlineStr">
        <is>
          <t>N° REPERTOIRE DES ENTITES</t>
        </is>
      </c>
      <c r="C15" s="59" t="n"/>
      <c r="D15" s="59" t="n"/>
      <c r="E15" s="59" t="n"/>
      <c r="F15" s="59" t="n"/>
      <c r="G15" s="60" t="inlineStr"/>
      <c r="H15" s="59" t="n"/>
      <c r="I15" s="59" t="n"/>
      <c r="J15" s="59" t="n"/>
    </row>
    <row r="16" ht="24" customHeight="1">
      <c r="A16" s="57" t="inlineStr">
        <is>
          <t>ZG</t>
        </is>
      </c>
      <c r="B16" s="58" t="inlineStr">
        <is>
          <t>N° DE CAISSE SOCIALE</t>
        </is>
      </c>
      <c r="C16" s="59" t="n"/>
      <c r="D16" s="59" t="n"/>
      <c r="E16" s="59" t="n"/>
      <c r="F16" s="59" t="n"/>
      <c r="G16" s="60" t="inlineStr"/>
      <c r="H16" s="59" t="n"/>
      <c r="I16" s="59" t="n"/>
      <c r="J16" s="59" t="n"/>
    </row>
    <row r="17" ht="24" customHeight="1">
      <c r="A17" s="57" t="inlineStr">
        <is>
          <t>ZH</t>
        </is>
      </c>
      <c r="B17" s="58" t="inlineStr">
        <is>
          <t>N° CODE IMPORTATEUR</t>
        </is>
      </c>
      <c r="C17" s="59" t="n"/>
      <c r="D17" s="59" t="n"/>
      <c r="E17" s="59" t="n"/>
      <c r="F17" s="59" t="n"/>
      <c r="G17" s="60" t="inlineStr"/>
      <c r="H17" s="59" t="n"/>
      <c r="I17" s="59" t="n"/>
      <c r="J17" s="59" t="n"/>
    </row>
    <row r="18" ht="24" customHeight="1">
      <c r="A18" s="57" t="inlineStr">
        <is>
          <t>ZI</t>
        </is>
      </c>
      <c r="B18" s="58" t="inlineStr">
        <is>
          <t>CODE ACTIVITE PRINCIPALE</t>
        </is>
      </c>
      <c r="C18" s="59" t="n"/>
      <c r="D18" s="59" t="n"/>
      <c r="E18" s="59" t="n"/>
      <c r="F18" s="59" t="n"/>
      <c r="G18" s="60" t="inlineStr"/>
      <c r="H18" s="59" t="n"/>
      <c r="I18" s="59" t="n"/>
      <c r="J18" s="59" t="n"/>
    </row>
    <row r="19" ht="24" customHeight="1">
      <c r="A19" s="57" t="inlineStr">
        <is>
          <t>ZJ</t>
        </is>
      </c>
      <c r="B19" s="58" t="inlineStr">
        <is>
          <t>DESIGNATION DE L'ENTITE ET SIGLE</t>
        </is>
      </c>
      <c r="C19" s="59" t="n"/>
      <c r="D19" s="59" t="n"/>
      <c r="E19" s="59" t="n"/>
      <c r="F19" s="59" t="n"/>
      <c r="G19" s="60" t="inlineStr"/>
      <c r="H19" s="59" t="n"/>
      <c r="I19" s="59" t="n"/>
      <c r="J19" s="59" t="n"/>
    </row>
    <row r="20" ht="24" customHeight="1">
      <c r="A20" s="57" t="inlineStr">
        <is>
          <t>ZK</t>
        </is>
      </c>
      <c r="B20" s="58" t="inlineStr">
        <is>
          <t>N° DE TELEPHONE, ADRESSE E-MAIL, BOITE POSTALE, VILLE</t>
        </is>
      </c>
      <c r="C20" s="59" t="n"/>
      <c r="D20" s="59" t="n"/>
      <c r="E20" s="59" t="n"/>
      <c r="F20" s="59" t="n"/>
      <c r="G20" s="60" t="inlineStr"/>
      <c r="H20" s="59" t="n"/>
      <c r="I20" s="59" t="n"/>
      <c r="J20" s="59" t="n"/>
    </row>
    <row r="21" ht="24" customHeight="1">
      <c r="A21" s="57" t="inlineStr">
        <is>
          <t>ZL</t>
        </is>
      </c>
      <c r="B21" s="58" t="inlineStr">
        <is>
          <t>ADRESSE GEOGRAPHIQUE COMPLETE (IMMEUBLE, RUE, QUARTIER, VILLE, PAYS)</t>
        </is>
      </c>
      <c r="C21" s="59" t="n"/>
      <c r="D21" s="59" t="n"/>
      <c r="E21" s="59" t="n"/>
      <c r="F21" s="59" t="n"/>
      <c r="G21" s="60" t="inlineStr"/>
      <c r="H21" s="59" t="n"/>
      <c r="I21" s="59" t="n"/>
      <c r="J21" s="59" t="n"/>
    </row>
    <row r="22" ht="24" customHeight="1">
      <c r="A22" s="57" t="inlineStr">
        <is>
          <t>ZM</t>
        </is>
      </c>
      <c r="B22" s="58" t="inlineStr">
        <is>
          <t>DESIGNATION PRECISE DE L'ACTIVITE PRINCIPALE EXERCEE</t>
        </is>
      </c>
      <c r="C22" s="59" t="n"/>
      <c r="D22" s="59" t="n"/>
      <c r="E22" s="59" t="n"/>
      <c r="F22" s="59" t="n"/>
      <c r="G22" s="60" t="inlineStr"/>
      <c r="H22" s="59" t="n"/>
      <c r="I22" s="59" t="n"/>
      <c r="J22" s="59" t="n"/>
    </row>
    <row r="23" ht="24" customHeight="1">
      <c r="A23" s="57" t="inlineStr">
        <is>
          <t>ZN</t>
        </is>
      </c>
      <c r="B23" s="58" t="inlineStr">
        <is>
          <t>% DE CAPACITE DE PRODUCTION UTILE</t>
        </is>
      </c>
      <c r="C23" s="59" t="n"/>
      <c r="D23" s="59" t="n"/>
      <c r="E23" s="59" t="n"/>
      <c r="F23" s="59" t="n"/>
      <c r="G23" s="60" t="inlineStr"/>
      <c r="H23" s="59" t="n"/>
      <c r="I23" s="59" t="n"/>
      <c r="J23" s="59" t="n"/>
    </row>
    <row r="24" ht="24" customHeight="1">
      <c r="A24" s="57" t="inlineStr">
        <is>
          <t>ZO</t>
        </is>
      </c>
      <c r="B24" s="58" t="inlineStr">
        <is>
          <t>NOM, ADRESSE, TELEPHONE, E-MAIL ET QUALITE DE LA PERSONNE A CONTACTER EN CAS DE DEMANDE</t>
        </is>
      </c>
      <c r="C24" s="59" t="n"/>
      <c r="D24" s="59" t="n"/>
      <c r="E24" s="59" t="n"/>
      <c r="F24" s="59" t="n"/>
      <c r="G24" s="60" t="inlineStr"/>
      <c r="H24" s="59" t="n"/>
      <c r="I24" s="59" t="n"/>
      <c r="J24" s="59" t="n"/>
    </row>
    <row r="25" ht="24" customHeight="1">
      <c r="A25" s="57" t="inlineStr">
        <is>
          <t>ZP</t>
        </is>
      </c>
      <c r="B25" s="58" t="inlineStr">
        <is>
          <t>NOM, ADRESSE, TELEPHONE ET E-MAIL DU SALARIE OU DU PROFESSIONNEL COMPTABLE AYANT ETABLI LES ETATS FINANCIERS</t>
        </is>
      </c>
      <c r="C25" s="59" t="n"/>
      <c r="D25" s="59" t="n"/>
      <c r="E25" s="59" t="n"/>
      <c r="F25" s="59" t="n"/>
      <c r="G25" s="60" t="inlineStr"/>
      <c r="H25" s="59" t="n"/>
      <c r="I25" s="59" t="n"/>
      <c r="J25" s="59" t="n"/>
    </row>
    <row r="26" ht="24" customHeight="1">
      <c r="A26" s="57" t="inlineStr">
        <is>
          <t>ZQ</t>
        </is>
      </c>
      <c r="B26" s="58" t="inlineStr">
        <is>
          <t>NOM, ADRESSE, TELEPHONE, E-MAIL ET N° D'INSCRIPTION A L'ORDRE DE L'EXPERT-COMPTABLE AYANT DELIVRE L'ATTESTATION DE VISA</t>
        </is>
      </c>
      <c r="C26" s="59" t="n"/>
      <c r="D26" s="59" t="n"/>
      <c r="E26" s="59" t="n"/>
      <c r="F26" s="59" t="n"/>
      <c r="G26" s="60" t="inlineStr"/>
      <c r="H26" s="59" t="n"/>
      <c r="I26" s="59" t="n"/>
      <c r="J26" s="59" t="n"/>
    </row>
    <row r="27" ht="24" customHeight="1">
      <c r="A27" s="57" t="inlineStr">
        <is>
          <t>ZR</t>
        </is>
      </c>
      <c r="B27" s="58" t="inlineStr">
        <is>
          <t>NOM, ADRESSE, TELEPHONE, E-MAIL ET N° D'INSCRIPTION DU COMMISSAIRE AUX COMPTES, LE CAS ECHEANT</t>
        </is>
      </c>
      <c r="C27" s="59" t="n"/>
      <c r="D27" s="59" t="n"/>
      <c r="E27" s="59" t="n"/>
      <c r="F27" s="59" t="n"/>
      <c r="G27" s="60" t="inlineStr"/>
      <c r="H27" s="59" t="n"/>
      <c r="I27" s="59" t="n"/>
      <c r="J27" s="59" t="n"/>
    </row>
    <row r="28" ht="24" customHeight="1">
      <c r="A28" s="57" t="inlineStr">
        <is>
          <t>ZS</t>
        </is>
      </c>
      <c r="B28" s="58" t="inlineStr">
        <is>
          <t>ETATS FINANCIERS APPROUVES PAR L'ORGANE COMPETENT (OUI / NON)</t>
        </is>
      </c>
      <c r="C28" s="59" t="n"/>
      <c r="D28" s="59" t="n"/>
      <c r="E28" s="59" t="n"/>
      <c r="F28" s="59" t="n"/>
      <c r="G28" s="60" t="inlineStr"/>
      <c r="H28" s="59" t="n"/>
      <c r="I28" s="59" t="n"/>
      <c r="J28" s="59" t="n"/>
    </row>
    <row r="29" ht="24" customHeight="1">
      <c r="A29" s="57" t="inlineStr">
        <is>
          <t>ZT</t>
        </is>
      </c>
      <c r="B29" s="58" t="inlineStr">
        <is>
          <t>NOM DU SIGNATAIRE DES ETATS FINANCIERS</t>
        </is>
      </c>
      <c r="C29" s="59" t="n"/>
      <c r="D29" s="59" t="n"/>
      <c r="E29" s="59" t="n"/>
      <c r="F29" s="59" t="n"/>
      <c r="G29" s="60" t="inlineStr"/>
      <c r="H29" s="59" t="n"/>
      <c r="I29" s="59" t="n"/>
      <c r="J29" s="59" t="n"/>
    </row>
    <row r="30" ht="24" customHeight="1">
      <c r="A30" s="57" t="inlineStr">
        <is>
          <t>ZU</t>
        </is>
      </c>
      <c r="B30" s="58" t="inlineStr">
        <is>
          <t>QUALITE DU SIGNATAIRE DES ETATS FINANCIERS</t>
        </is>
      </c>
      <c r="C30" s="59" t="n"/>
      <c r="D30" s="59" t="n"/>
      <c r="E30" s="59" t="n"/>
      <c r="F30" s="59" t="n"/>
      <c r="G30" s="60" t="inlineStr"/>
      <c r="H30" s="59" t="n"/>
      <c r="I30" s="59" t="n"/>
      <c r="J30" s="59" t="n"/>
    </row>
    <row r="31" ht="24" customHeight="1">
      <c r="A31" s="57" t="inlineStr">
        <is>
          <t>ZV</t>
        </is>
      </c>
      <c r="B31" s="58" t="inlineStr">
        <is>
          <t>DATE DE SIGNATURE</t>
        </is>
      </c>
      <c r="C31" s="59" t="n"/>
      <c r="D31" s="59" t="n"/>
      <c r="E31" s="59" t="n"/>
      <c r="F31" s="59" t="n"/>
      <c r="G31" s="60" t="inlineStr"/>
      <c r="H31" s="59" t="n"/>
      <c r="I31" s="59" t="n"/>
      <c r="J31" s="59" t="n"/>
    </row>
    <row r="32" ht="24" customHeight="1">
      <c r="A32" s="57" t="inlineStr">
        <is>
          <t>ZW</t>
        </is>
      </c>
      <c r="B32" s="58" t="inlineStr">
        <is>
          <t>DOMICILIATIONS BANCAIRES (BANQUE ET NUMERO DE COMPTE)</t>
        </is>
      </c>
      <c r="C32" s="59" t="n"/>
      <c r="D32" s="59" t="n"/>
      <c r="E32" s="59" t="n"/>
      <c r="F32" s="59" t="n"/>
      <c r="G32" s="60" t="inlineStr"/>
      <c r="H32" s="59" t="n"/>
      <c r="I32" s="59" t="n"/>
      <c r="J32" s="59" t="n"/>
    </row>
    <row r="33"/>
    <row r="34">
      <c r="B34" s="61" t="inlineStr">
        <is>
          <t>Signature</t>
        </is>
      </c>
      <c r="C34" s="62" t="n"/>
      <c r="D34" s="62" t="n"/>
      <c r="E34" s="62" t="n"/>
    </row>
  </sheetData>
  <mergeCells count="51">
    <mergeCell ref="A8:J8"/>
    <mergeCell ref="G26:J26"/>
    <mergeCell ref="B16:F16"/>
    <mergeCell ref="I2:J2"/>
    <mergeCell ref="B25:F25"/>
    <mergeCell ref="G20:J20"/>
    <mergeCell ref="G29:J29"/>
    <mergeCell ref="B31:F31"/>
    <mergeCell ref="G16:J16"/>
    <mergeCell ref="B22:F22"/>
    <mergeCell ref="G25:J25"/>
    <mergeCell ref="B18:F18"/>
    <mergeCell ref="B27:F27"/>
    <mergeCell ref="G32:J32"/>
    <mergeCell ref="B21:F21"/>
    <mergeCell ref="G22:J22"/>
    <mergeCell ref="B12:F12"/>
    <mergeCell ref="G31:J31"/>
    <mergeCell ref="B11:F11"/>
    <mergeCell ref="G12:J12"/>
    <mergeCell ref="G21:J21"/>
    <mergeCell ref="B23:F23"/>
    <mergeCell ref="B14:F14"/>
    <mergeCell ref="G11:J11"/>
    <mergeCell ref="G27:J27"/>
    <mergeCell ref="B17:F17"/>
    <mergeCell ref="B13:F13"/>
    <mergeCell ref="B29:F29"/>
    <mergeCell ref="G17:J17"/>
    <mergeCell ref="G23:J23"/>
    <mergeCell ref="B10:F10"/>
    <mergeCell ref="B28:F28"/>
    <mergeCell ref="B19:F19"/>
    <mergeCell ref="B4:G4"/>
    <mergeCell ref="A7:J7"/>
    <mergeCell ref="G19:J19"/>
    <mergeCell ref="G10:J10"/>
    <mergeCell ref="G28:J28"/>
    <mergeCell ref="B30:F30"/>
    <mergeCell ref="G13:J13"/>
    <mergeCell ref="G18:J18"/>
    <mergeCell ref="B24:F24"/>
    <mergeCell ref="B20:F20"/>
    <mergeCell ref="B15:F15"/>
    <mergeCell ref="G24:J24"/>
    <mergeCell ref="G30:J30"/>
    <mergeCell ref="G15:J15"/>
    <mergeCell ref="B34:E34"/>
    <mergeCell ref="B32:F32"/>
    <mergeCell ref="B26:F26"/>
    <mergeCell ref="G14:J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3" customWidth="1" min="4" max="4"/>
    <col width="13" customWidth="1" min="5" max="5"/>
    <col width="8" customWidth="1" min="6" max="6"/>
    <col width="8" customWidth="1" min="7" max="7"/>
    <col width="11" customWidth="1" min="8" max="8"/>
    <col width="11" customWidth="1" min="9" max="9"/>
    <col width="11" customWidth="1" min="10" max="10"/>
  </cols>
  <sheetData>
    <row r="1" ht="12" customHeight="1">
      <c r="A1" s="50" t="inlineStr">
        <is>
          <t>- 2 -</t>
        </is>
      </c>
    </row>
    <row r="2" ht="26" customHeight="1">
      <c r="I2" s="51" t="inlineStr">
        <is>
          <t>FICHE 2</t>
        </is>
      </c>
      <c r="J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D4" s="41" t="n"/>
      <c r="E4" s="41" t="n"/>
      <c r="F4" s="41" t="n"/>
      <c r="G4" s="41" t="n"/>
      <c r="I4" s="54" t="inlineStr">
        <is>
          <t>Sigle usuel :</t>
        </is>
      </c>
      <c r="J4" s="53" t="inlineStr"/>
    </row>
    <row r="5" ht="15" customHeight="1">
      <c r="A5" s="39" t="inlineStr">
        <is>
          <t>N° de compte contribuable (NCC) :</t>
        </is>
      </c>
      <c r="G5" s="39" t="inlineStr">
        <is>
          <t>Exercice clos le</t>
        </is>
      </c>
      <c r="I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63" t="inlineStr">
        <is>
          <t>FICHE D'IDENTIFICATION ET RENSEIGNEMENTS DIVERS</t>
        </is>
      </c>
    </row>
    <row r="8">
      <c r="A8" s="64" t="inlineStr">
        <is>
          <t>EQUIPE DE L'ENTITE A BUT NON LUCRATIF</t>
        </is>
      </c>
    </row>
    <row r="9"/>
    <row r="10" ht="34" customHeight="1">
      <c r="A10" s="1" t="inlineStr">
        <is>
          <t>Nom et Prénoms</t>
        </is>
      </c>
      <c r="B10" s="2" t="n"/>
      <c r="C10" s="2" t="inlineStr">
        <is>
          <t>Nationalité</t>
        </is>
      </c>
      <c r="D10" s="2" t="inlineStr">
        <is>
          <t>Autres nationalités (à préciser) (2)</t>
        </is>
      </c>
      <c r="E10" s="2" t="inlineStr">
        <is>
          <t>Qualité</t>
        </is>
      </c>
      <c r="F10" s="2" t="inlineStr">
        <is>
          <t>N° d'identification fiscale</t>
        </is>
      </c>
      <c r="G10" s="2" t="n"/>
      <c r="H10" s="2" t="inlineStr">
        <is>
          <t>Adresse (BP, ville, pays, adresse géographique et adresse e-mail)</t>
        </is>
      </c>
      <c r="I10" s="2" t="n"/>
      <c r="J10" s="3" t="n"/>
    </row>
    <row r="11" ht="26" customHeight="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</row>
    <row r="12" ht="26" customHeight="1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</row>
    <row r="13" ht="26" customHeight="1">
      <c r="A13" s="47" t="n"/>
      <c r="B13" s="47" t="n"/>
      <c r="C13" s="47" t="n"/>
      <c r="D13" s="47" t="n"/>
      <c r="E13" s="47" t="n"/>
      <c r="F13" s="47" t="n"/>
      <c r="G13" s="47" t="n"/>
      <c r="H13" s="47" t="n"/>
      <c r="I13" s="47" t="n"/>
      <c r="J13" s="47" t="n"/>
    </row>
    <row r="14" ht="26" customHeight="1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</row>
    <row r="15" ht="26" customHeight="1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</row>
    <row r="16" ht="26" customHeight="1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</row>
    <row r="17" ht="26" customHeight="1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</row>
    <row r="18" ht="26" customHeight="1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</row>
    <row r="19" ht="26" customHeight="1">
      <c r="A19" s="47" t="n"/>
      <c r="B19" s="47" t="n"/>
      <c r="C19" s="47" t="n"/>
      <c r="D19" s="47" t="n"/>
      <c r="E19" s="47" t="n"/>
      <c r="F19" s="47" t="n"/>
      <c r="G19" s="47" t="n"/>
      <c r="H19" s="47" t="n"/>
      <c r="I19" s="47" t="n"/>
      <c r="J19" s="47" t="n"/>
    </row>
    <row r="20" ht="26" customHeight="1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</row>
    <row r="21" ht="26" customHeight="1">
      <c r="A21" s="47" t="n"/>
      <c r="B21" s="47" t="n"/>
      <c r="C21" s="47" t="n"/>
      <c r="D21" s="47" t="n"/>
      <c r="E21" s="47" t="n"/>
      <c r="F21" s="47" t="n"/>
      <c r="G21" s="47" t="n"/>
      <c r="H21" s="47" t="n"/>
      <c r="I21" s="47" t="n"/>
      <c r="J21" s="47" t="n"/>
    </row>
    <row r="22" ht="26" customHeight="1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</row>
    <row r="23" ht="26" customHeight="1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</row>
    <row r="24" ht="26" customHeight="1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</row>
    <row r="25" ht="26" customHeight="1">
      <c r="A25" s="47" t="n"/>
      <c r="B25" s="47" t="n"/>
      <c r="C25" s="47" t="n"/>
      <c r="D25" s="47" t="n"/>
      <c r="E25" s="47" t="n"/>
      <c r="F25" s="47" t="n"/>
      <c r="G25" s="47" t="n"/>
      <c r="H25" s="47" t="n"/>
      <c r="I25" s="47" t="n"/>
      <c r="J25" s="47" t="n"/>
    </row>
    <row r="26" ht="26" customHeight="1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</row>
    <row r="27" ht="26" customHeight="1">
      <c r="A27" s="47" t="n"/>
      <c r="B27" s="47" t="n"/>
      <c r="C27" s="47" t="n"/>
      <c r="D27" s="47" t="n"/>
      <c r="E27" s="47" t="n"/>
      <c r="F27" s="47" t="n"/>
      <c r="G27" s="47" t="n"/>
      <c r="H27" s="47" t="n"/>
      <c r="I27" s="47" t="n"/>
      <c r="J27" s="47" t="n"/>
    </row>
    <row r="28" ht="26" customHeight="1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</row>
    <row r="29" ht="26" customHeight="1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</row>
    <row r="30" ht="26" customHeight="1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</row>
    <row r="31"/>
    <row r="32">
      <c r="A32" s="65" t="inlineStr">
        <is>
          <t>(2) Mentionner les autres nationalités le cas échéant.</t>
        </is>
      </c>
    </row>
  </sheetData>
  <mergeCells count="67">
    <mergeCell ref="F11:G11"/>
    <mergeCell ref="A24:B24"/>
    <mergeCell ref="A30:B30"/>
    <mergeCell ref="A8:J8"/>
    <mergeCell ref="A15:B15"/>
    <mergeCell ref="F29:G29"/>
    <mergeCell ref="F10:G10"/>
    <mergeCell ref="F16:G16"/>
    <mergeCell ref="I2:J2"/>
    <mergeCell ref="A11:B11"/>
    <mergeCell ref="F19:G19"/>
    <mergeCell ref="F25:G25"/>
    <mergeCell ref="H17:J17"/>
    <mergeCell ref="H11:J11"/>
    <mergeCell ref="H16:J16"/>
    <mergeCell ref="F21:G21"/>
    <mergeCell ref="F12:G12"/>
    <mergeCell ref="A16:B16"/>
    <mergeCell ref="F24:G24"/>
    <mergeCell ref="F30:G30"/>
    <mergeCell ref="F15:G15"/>
    <mergeCell ref="H22:J22"/>
    <mergeCell ref="A25:B25"/>
    <mergeCell ref="H28:J28"/>
    <mergeCell ref="H13:J13"/>
    <mergeCell ref="H19:J19"/>
    <mergeCell ref="F20:G20"/>
    <mergeCell ref="F18:G18"/>
    <mergeCell ref="H27:J27"/>
    <mergeCell ref="H12:J12"/>
    <mergeCell ref="A18:B18"/>
    <mergeCell ref="F26:G26"/>
    <mergeCell ref="A27:B27"/>
    <mergeCell ref="F17:G17"/>
    <mergeCell ref="A12:B12"/>
    <mergeCell ref="H15:J15"/>
    <mergeCell ref="A26:B26"/>
    <mergeCell ref="A21:B21"/>
    <mergeCell ref="H24:J24"/>
    <mergeCell ref="H18:J18"/>
    <mergeCell ref="H14:J14"/>
    <mergeCell ref="H23:J23"/>
    <mergeCell ref="F23:G23"/>
    <mergeCell ref="H30:J30"/>
    <mergeCell ref="B4:G4"/>
    <mergeCell ref="A7:J7"/>
    <mergeCell ref="A14:B14"/>
    <mergeCell ref="F22:G22"/>
    <mergeCell ref="F28:G28"/>
    <mergeCell ref="F13:G13"/>
    <mergeCell ref="A17:B17"/>
    <mergeCell ref="A23:B23"/>
    <mergeCell ref="H26:J26"/>
    <mergeCell ref="F27:G27"/>
    <mergeCell ref="H29:J29"/>
    <mergeCell ref="A22:B22"/>
    <mergeCell ref="H20:J20"/>
    <mergeCell ref="A20:B20"/>
    <mergeCell ref="H10:J10"/>
    <mergeCell ref="A29:B29"/>
    <mergeCell ref="A19:B19"/>
    <mergeCell ref="A10:B10"/>
    <mergeCell ref="A28:B28"/>
    <mergeCell ref="A13:B13"/>
    <mergeCell ref="F14:G14"/>
    <mergeCell ref="H25:J25"/>
    <mergeCell ref="H21:J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6" customWidth="1" min="3" max="3"/>
    <col width="13.5" customWidth="1" min="4" max="4"/>
    <col width="13.5" customWidth="1" min="5" max="5"/>
    <col width="13.5" customWidth="1" min="6" max="6"/>
    <col width="13.5" customWidth="1" min="7" max="7"/>
    <col width="5" customWidth="1" min="8" max="8"/>
    <col width="34" customWidth="1" min="9" max="9"/>
    <col width="6" customWidth="1" min="10" max="10"/>
    <col width="13.5" customWidth="1" min="11" max="11"/>
    <col width="13.5" customWidth="1" min="12" max="12"/>
  </cols>
  <sheetData>
    <row r="1" ht="12" customHeight="1">
      <c r="A1" s="50" t="inlineStr">
        <is>
          <t>- 3 -</t>
        </is>
      </c>
    </row>
    <row r="2" ht="26" customHeight="1">
      <c r="K2" s="51" t="inlineStr">
        <is>
          <t>BILAN SYSTEME NORMAL
PAGE 1/1</t>
        </is>
      </c>
      <c r="L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D4" s="41" t="n"/>
      <c r="E4" s="41" t="n"/>
      <c r="F4" s="41" t="n"/>
      <c r="G4" s="41" t="n"/>
      <c r="H4" s="41" t="n"/>
      <c r="I4" s="41" t="n"/>
      <c r="K4" s="54" t="inlineStr">
        <is>
          <t>Sigle usuel :</t>
        </is>
      </c>
      <c r="L4" s="53" t="inlineStr"/>
    </row>
    <row r="5" ht="15" customHeight="1">
      <c r="A5" s="39" t="inlineStr">
        <is>
          <t>N° de compte contribuable (NCC) :</t>
        </is>
      </c>
      <c r="I5" s="39" t="inlineStr">
        <is>
          <t>Exercice clos le</t>
        </is>
      </c>
      <c r="K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C7" s="66" t="inlineStr">
        <is>
          <t>BILAN</t>
        </is>
      </c>
      <c r="D7" s="67" t="n"/>
      <c r="E7" s="67" t="n"/>
      <c r="F7" s="67" t="n"/>
      <c r="G7" s="67" t="n"/>
      <c r="H7" s="67" t="n"/>
      <c r="I7" s="67" t="n"/>
      <c r="J7" s="67" t="n"/>
    </row>
    <row r="8" ht="24" customHeight="1">
      <c r="A8" s="68" t="inlineStr">
        <is>
          <t>REF</t>
        </is>
      </c>
      <c r="B8" s="69" t="inlineStr">
        <is>
          <t>ACTIF</t>
        </is>
      </c>
      <c r="C8" s="69" t="inlineStr">
        <is>
          <t>NOTE</t>
        </is>
      </c>
      <c r="D8" s="69" t="inlineStr">
        <is>
          <t>BRUT</t>
        </is>
      </c>
      <c r="E8" s="69" t="inlineStr">
        <is>
          <t>AMORT et DEPREC.</t>
        </is>
      </c>
      <c r="F8" s="69" t="inlineStr">
        <is>
          <t>NET</t>
        </is>
      </c>
      <c r="G8" s="70" t="inlineStr">
        <is>
          <t>NET N-1</t>
        </is>
      </c>
      <c r="H8" s="68" t="inlineStr">
        <is>
          <t>REF</t>
        </is>
      </c>
      <c r="I8" s="69" t="inlineStr">
        <is>
          <t>PASSIF</t>
        </is>
      </c>
      <c r="J8" s="69" t="inlineStr">
        <is>
          <t>NOTE</t>
        </is>
      </c>
      <c r="K8" s="69" t="inlineStr">
        <is>
          <t>NET</t>
        </is>
      </c>
      <c r="L8" s="70" t="inlineStr">
        <is>
          <t>NET N-1</t>
        </is>
      </c>
    </row>
    <row r="9" ht="24" customHeight="1">
      <c r="A9" s="71" t="n"/>
      <c r="B9" s="72" t="n"/>
      <c r="C9" s="72" t="n"/>
      <c r="D9" s="72" t="n"/>
      <c r="E9" s="72" t="n"/>
      <c r="F9" s="72" t="n"/>
      <c r="G9" s="73" t="n"/>
      <c r="H9" s="71" t="n"/>
      <c r="I9" s="72" t="n"/>
      <c r="J9" s="72" t="n"/>
      <c r="K9" s="72" t="n"/>
      <c r="L9" s="73" t="n"/>
    </row>
    <row r="10" ht="18" customHeight="1">
      <c r="A10" s="74" t="inlineStr">
        <is>
          <t>AA</t>
        </is>
      </c>
      <c r="B10" s="75" t="inlineStr">
        <is>
          <t>IMMOBILISATIONS DESTINEES A LA VENTE PROVENANT DE DONS ET LEGS NON ENCORE RECUES ET USUFRUIT TEMPORAIRE</t>
        </is>
      </c>
      <c r="C10" s="75" t="inlineStr">
        <is>
          <t>note 5</t>
        </is>
      </c>
      <c r="D10" s="76">
        <f>'Bilan-Actif'!D10</f>
        <v/>
      </c>
      <c r="E10" s="76">
        <f>'Bilan-Actif'!E10</f>
        <v/>
      </c>
      <c r="F10" s="76">
        <f>'Bilan-Actif'!F10</f>
        <v/>
      </c>
      <c r="G10" s="77">
        <f>'Bilan-Actif'!G10</f>
        <v/>
      </c>
      <c r="H10" s="78" t="inlineStr">
        <is>
          <t>CA</t>
        </is>
      </c>
      <c r="I10" s="79" t="inlineStr">
        <is>
          <t>Donation non consomptible sans droit reprise</t>
        </is>
      </c>
      <c r="J10" s="79" t="inlineStr">
        <is>
          <t>note 15</t>
        </is>
      </c>
      <c r="K10" s="80">
        <f>'Bilan-Passif'!D10</f>
        <v/>
      </c>
      <c r="L10" s="81">
        <f>'Bilan-Passif'!E10</f>
        <v/>
      </c>
    </row>
    <row r="11" ht="18" customHeight="1">
      <c r="A11" s="78" t="inlineStr">
        <is>
          <t>AB</t>
        </is>
      </c>
      <c r="B11" s="79" t="inlineStr">
        <is>
          <t>Immobilisations incorporelles</t>
        </is>
      </c>
      <c r="C11" s="79" t="inlineStr"/>
      <c r="D11" s="80">
        <f>'Bilan-Actif'!D11</f>
        <v/>
      </c>
      <c r="E11" s="80">
        <f>'Bilan-Actif'!E11</f>
        <v/>
      </c>
      <c r="F11" s="80">
        <f>'Bilan-Actif'!F11</f>
        <v/>
      </c>
      <c r="G11" s="81">
        <f>'Bilan-Actif'!G11</f>
        <v/>
      </c>
      <c r="H11" s="78" t="inlineStr">
        <is>
          <t>CB</t>
        </is>
      </c>
      <c r="I11" s="79" t="inlineStr">
        <is>
          <t>Donation non consomptible avec droit reprise</t>
        </is>
      </c>
      <c r="J11" s="79" t="inlineStr">
        <is>
          <t>note 15</t>
        </is>
      </c>
      <c r="K11" s="80">
        <f>'Bilan-Passif'!D11</f>
        <v/>
      </c>
      <c r="L11" s="81">
        <f>'Bilan-Passif'!E11</f>
        <v/>
      </c>
    </row>
    <row r="12" ht="18" customHeight="1">
      <c r="A12" s="78" t="inlineStr">
        <is>
          <t>AC</t>
        </is>
      </c>
      <c r="B12" s="79" t="inlineStr">
        <is>
          <t>Immobilisations corporelles et financieres</t>
        </is>
      </c>
      <c r="C12" s="79" t="inlineStr"/>
      <c r="D12" s="80">
        <f>'Bilan-Actif'!D12</f>
        <v/>
      </c>
      <c r="E12" s="80">
        <f>'Bilan-Actif'!E12</f>
        <v/>
      </c>
      <c r="F12" s="80">
        <f>'Bilan-Actif'!F12</f>
        <v/>
      </c>
      <c r="G12" s="81">
        <f>'Bilan-Actif'!G12</f>
        <v/>
      </c>
      <c r="H12" s="78" t="inlineStr">
        <is>
          <t>CC</t>
        </is>
      </c>
      <c r="I12" s="79" t="inlineStr">
        <is>
          <t>Droit d'entree</t>
        </is>
      </c>
      <c r="J12" s="79" t="inlineStr">
        <is>
          <t>note 15</t>
        </is>
      </c>
      <c r="K12" s="80">
        <f>'Bilan-Passif'!D12</f>
        <v/>
      </c>
      <c r="L12" s="81">
        <f>'Bilan-Passif'!E12</f>
        <v/>
      </c>
    </row>
    <row r="13" ht="18" customHeight="1">
      <c r="A13" s="74" t="inlineStr">
        <is>
          <t>AD</t>
        </is>
      </c>
      <c r="B13" s="75" t="inlineStr">
        <is>
          <t>IMMOBILISATIONS INCORPORELLES</t>
        </is>
      </c>
      <c r="C13" s="75" t="inlineStr">
        <is>
          <t>note 5</t>
        </is>
      </c>
      <c r="D13" s="76">
        <f>'Bilan-Actif'!D13</f>
        <v/>
      </c>
      <c r="E13" s="76">
        <f>'Bilan-Actif'!E13</f>
        <v/>
      </c>
      <c r="F13" s="76">
        <f>'Bilan-Actif'!F13</f>
        <v/>
      </c>
      <c r="G13" s="77">
        <f>'Bilan-Actif'!G13</f>
        <v/>
      </c>
      <c r="H13" s="78" t="inlineStr">
        <is>
          <t>CD</t>
        </is>
      </c>
      <c r="I13" s="79" t="inlineStr">
        <is>
          <t>Donation consomptible</t>
        </is>
      </c>
      <c r="J13" s="79" t="inlineStr">
        <is>
          <t>note 15</t>
        </is>
      </c>
      <c r="K13" s="80">
        <f>'Bilan-Passif'!D13</f>
        <v/>
      </c>
      <c r="L13" s="81">
        <f>'Bilan-Passif'!E13</f>
        <v/>
      </c>
    </row>
    <row r="14" ht="18" customHeight="1">
      <c r="A14" s="78" t="inlineStr">
        <is>
          <t>AE</t>
        </is>
      </c>
      <c r="B14" s="79" t="inlineStr">
        <is>
          <t>Brevets, licences, logiciels et droits similaires</t>
        </is>
      </c>
      <c r="C14" s="79" t="inlineStr">
        <is>
          <t>note 5F</t>
        </is>
      </c>
      <c r="D14" s="80">
        <f>'Bilan-Actif'!D14</f>
        <v/>
      </c>
      <c r="E14" s="80">
        <f>'Bilan-Actif'!E14</f>
        <v/>
      </c>
      <c r="F14" s="80">
        <f>'Bilan-Actif'!F14</f>
        <v/>
      </c>
      <c r="G14" s="81">
        <f>'Bilan-Actif'!G14</f>
        <v/>
      </c>
      <c r="H14" s="78" t="inlineStr">
        <is>
          <t>CE</t>
        </is>
      </c>
      <c r="I14" s="79" t="inlineStr">
        <is>
          <t>Ecarts de reevaluation</t>
        </is>
      </c>
      <c r="J14" s="79" t="inlineStr">
        <is>
          <t>note 5F</t>
        </is>
      </c>
      <c r="K14" s="80">
        <f>'Bilan-Passif'!D14</f>
        <v/>
      </c>
      <c r="L14" s="81">
        <f>'Bilan-Passif'!E14</f>
        <v/>
      </c>
    </row>
    <row r="15" ht="18" customHeight="1">
      <c r="A15" s="78" t="inlineStr">
        <is>
          <t>AF</t>
        </is>
      </c>
      <c r="B15" s="79" t="inlineStr">
        <is>
          <t>Autres immobilisations incorporelles</t>
        </is>
      </c>
      <c r="C15" s="79" t="inlineStr"/>
      <c r="D15" s="80">
        <f>'Bilan-Actif'!D15</f>
        <v/>
      </c>
      <c r="E15" s="80">
        <f>'Bilan-Actif'!E15</f>
        <v/>
      </c>
      <c r="F15" s="80">
        <f>'Bilan-Actif'!F15</f>
        <v/>
      </c>
      <c r="G15" s="81">
        <f>'Bilan-Actif'!G15</f>
        <v/>
      </c>
      <c r="H15" s="78" t="inlineStr">
        <is>
          <t>CF</t>
        </is>
      </c>
      <c r="I15" s="79" t="inlineStr">
        <is>
          <t>Reserves</t>
        </is>
      </c>
      <c r="J15" s="79" t="inlineStr">
        <is>
          <t>note 16</t>
        </is>
      </c>
      <c r="K15" s="80">
        <f>'Bilan-Passif'!D15</f>
        <v/>
      </c>
      <c r="L15" s="81">
        <f>'Bilan-Passif'!E15</f>
        <v/>
      </c>
    </row>
    <row r="16" ht="18" customHeight="1">
      <c r="A16" s="78" t="inlineStr">
        <is>
          <t>AG</t>
        </is>
      </c>
      <c r="B16" s="79" t="inlineStr">
        <is>
          <t>Avances et acomptes verses sur immobilisations incorporelles</t>
        </is>
      </c>
      <c r="C16" s="79" t="inlineStr"/>
      <c r="D16" s="80">
        <f>'Bilan-Actif'!D16</f>
        <v/>
      </c>
      <c r="E16" s="80">
        <f>'Bilan-Actif'!E16</f>
        <v/>
      </c>
      <c r="F16" s="80">
        <f>'Bilan-Actif'!F16</f>
        <v/>
      </c>
      <c r="G16" s="81">
        <f>'Bilan-Actif'!G16</f>
        <v/>
      </c>
      <c r="H16" s="78" t="inlineStr">
        <is>
          <t>CG</t>
        </is>
      </c>
      <c r="I16" s="79" t="inlineStr">
        <is>
          <t>Report a nouveau (+ ou -)</t>
        </is>
      </c>
      <c r="J16" s="79" t="inlineStr">
        <is>
          <t>note 16</t>
        </is>
      </c>
      <c r="K16" s="80">
        <f>'Bilan-Passif'!D16</f>
        <v/>
      </c>
      <c r="L16" s="81">
        <f>'Bilan-Passif'!E16</f>
        <v/>
      </c>
    </row>
    <row r="17" ht="18" customHeight="1">
      <c r="A17" s="74" t="inlineStr">
        <is>
          <t>AH</t>
        </is>
      </c>
      <c r="B17" s="75" t="inlineStr">
        <is>
          <t>IMMOBILISATIONS CORPORELLES</t>
        </is>
      </c>
      <c r="C17" s="75" t="inlineStr">
        <is>
          <t>note 5</t>
        </is>
      </c>
      <c r="D17" s="76">
        <f>'Bilan-Actif'!D17</f>
        <v/>
      </c>
      <c r="E17" s="76">
        <f>'Bilan-Actif'!E17</f>
        <v/>
      </c>
      <c r="F17" s="76">
        <f>'Bilan-Actif'!F17</f>
        <v/>
      </c>
      <c r="G17" s="77">
        <f>'Bilan-Actif'!G17</f>
        <v/>
      </c>
      <c r="H17" s="78" t="inlineStr">
        <is>
          <t>CH</t>
        </is>
      </c>
      <c r="I17" s="79" t="inlineStr">
        <is>
          <t>Resultat net de l'exercice (excedent + ou deficit -)</t>
        </is>
      </c>
      <c r="J17" s="79" t="inlineStr"/>
      <c r="K17" s="80">
        <f>'Bilan-Passif'!D17</f>
        <v/>
      </c>
      <c r="L17" s="81">
        <f>'Bilan-Passif'!E17</f>
        <v/>
      </c>
    </row>
    <row r="18" ht="18" customHeight="1">
      <c r="A18" s="78" t="inlineStr">
        <is>
          <t>AI</t>
        </is>
      </c>
      <c r="B18" s="79" t="inlineStr">
        <is>
          <t>Terrains</t>
        </is>
      </c>
      <c r="C18" s="79" t="inlineStr"/>
      <c r="D18" s="80">
        <f>'Bilan-Actif'!D18</f>
        <v/>
      </c>
      <c r="E18" s="80">
        <f>'Bilan-Actif'!E18</f>
        <v/>
      </c>
      <c r="F18" s="80">
        <f>'Bilan-Actif'!F18</f>
        <v/>
      </c>
      <c r="G18" s="81">
        <f>'Bilan-Actif'!G18</f>
        <v/>
      </c>
      <c r="H18" s="78" t="inlineStr">
        <is>
          <t>CI</t>
        </is>
      </c>
      <c r="I18" s="79" t="inlineStr">
        <is>
          <t>Subventions d'investissement</t>
        </is>
      </c>
      <c r="J18" s="79" t="inlineStr">
        <is>
          <t>note 17A</t>
        </is>
      </c>
      <c r="K18" s="80">
        <f>'Bilan-Passif'!D18</f>
        <v/>
      </c>
      <c r="L18" s="81">
        <f>'Bilan-Passif'!E18</f>
        <v/>
      </c>
    </row>
    <row r="19" ht="18" customHeight="1">
      <c r="A19" s="78" t="inlineStr">
        <is>
          <t>AJ</t>
        </is>
      </c>
      <c r="B19" s="79" t="inlineStr">
        <is>
          <t>Batiments</t>
        </is>
      </c>
      <c r="C19" s="79" t="inlineStr"/>
      <c r="D19" s="80">
        <f>'Bilan-Actif'!D19</f>
        <v/>
      </c>
      <c r="E19" s="80">
        <f>'Bilan-Actif'!E19</f>
        <v/>
      </c>
      <c r="F19" s="80">
        <f>'Bilan-Actif'!F19</f>
        <v/>
      </c>
      <c r="G19" s="81">
        <f>'Bilan-Actif'!G19</f>
        <v/>
      </c>
      <c r="H19" s="78" t="inlineStr">
        <is>
          <t>CJ</t>
        </is>
      </c>
      <c r="I19" s="79" t="inlineStr">
        <is>
          <t>Provisions reglementees</t>
        </is>
      </c>
      <c r="J19" s="79" t="inlineStr">
        <is>
          <t>note 17A</t>
        </is>
      </c>
      <c r="K19" s="80">
        <f>'Bilan-Passif'!D19</f>
        <v/>
      </c>
      <c r="L19" s="81">
        <f>'Bilan-Passif'!E19</f>
        <v/>
      </c>
    </row>
    <row r="20" ht="18" customHeight="1">
      <c r="A20" s="78" t="inlineStr">
        <is>
          <t>AK</t>
        </is>
      </c>
      <c r="B20" s="79" t="inlineStr">
        <is>
          <t>Amenagements, agencements et installations</t>
        </is>
      </c>
      <c r="C20" s="79" t="inlineStr"/>
      <c r="D20" s="80">
        <f>'Bilan-Actif'!D20</f>
        <v/>
      </c>
      <c r="E20" s="80">
        <f>'Bilan-Actif'!E20</f>
        <v/>
      </c>
      <c r="F20" s="80">
        <f>'Bilan-Actif'!F20</f>
        <v/>
      </c>
      <c r="G20" s="81">
        <f>'Bilan-Actif'!G20</f>
        <v/>
      </c>
      <c r="H20" s="74" t="inlineStr">
        <is>
          <t>CK</t>
        </is>
      </c>
      <c r="I20" s="6" t="inlineStr">
        <is>
          <t>TOTAL FONDS PROPRES ET ASSIMILES</t>
        </is>
      </c>
      <c r="J20" s="6" t="inlineStr"/>
      <c r="K20" s="7">
        <f>'Bilan-Passif'!D20</f>
        <v/>
      </c>
      <c r="L20" s="82">
        <f>'Bilan-Passif'!E20</f>
        <v/>
      </c>
    </row>
    <row r="21" ht="18" customHeight="1">
      <c r="A21" s="78" t="inlineStr">
        <is>
          <t>AL</t>
        </is>
      </c>
      <c r="B21" s="79" t="inlineStr">
        <is>
          <t>Materiel, mobilier et actifs biologiques</t>
        </is>
      </c>
      <c r="C21" s="79" t="inlineStr"/>
      <c r="D21" s="80">
        <f>'Bilan-Actif'!D21</f>
        <v/>
      </c>
      <c r="E21" s="80">
        <f>'Bilan-Actif'!E21</f>
        <v/>
      </c>
      <c r="F21" s="80">
        <f>'Bilan-Actif'!F21</f>
        <v/>
      </c>
      <c r="G21" s="81">
        <f>'Bilan-Actif'!G21</f>
        <v/>
      </c>
      <c r="H21" s="78" t="inlineStr">
        <is>
          <t>CW</t>
        </is>
      </c>
      <c r="I21" s="79" t="inlineStr">
        <is>
          <t>Fonds affectes et provenant de dons et legs d'immobilisations</t>
        </is>
      </c>
      <c r="J21" s="79" t="inlineStr">
        <is>
          <t>note 17B</t>
        </is>
      </c>
      <c r="K21" s="80">
        <f>'Bilan-Passif'!D21</f>
        <v/>
      </c>
      <c r="L21" s="81">
        <f>'Bilan-Passif'!E21</f>
        <v/>
      </c>
    </row>
    <row r="22" ht="18" customHeight="1">
      <c r="A22" s="78" t="inlineStr">
        <is>
          <t>AM</t>
        </is>
      </c>
      <c r="B22" s="79" t="inlineStr">
        <is>
          <t>Materiel de transport</t>
        </is>
      </c>
      <c r="C22" s="79" t="inlineStr"/>
      <c r="D22" s="80">
        <f>'Bilan-Actif'!D22</f>
        <v/>
      </c>
      <c r="E22" s="80">
        <f>'Bilan-Actif'!E22</f>
        <v/>
      </c>
      <c r="F22" s="80">
        <f>'Bilan-Actif'!F22</f>
        <v/>
      </c>
      <c r="G22" s="81">
        <f>'Bilan-Actif'!G22</f>
        <v/>
      </c>
      <c r="H22" s="78" t="inlineStr">
        <is>
          <t>CX</t>
        </is>
      </c>
      <c r="I22" s="79" t="inlineStr">
        <is>
          <t>Fonds reportes</t>
        </is>
      </c>
      <c r="J22" s="79" t="inlineStr">
        <is>
          <t>note 17B</t>
        </is>
      </c>
      <c r="K22" s="80">
        <f>'Bilan-Passif'!D22</f>
        <v/>
      </c>
      <c r="L22" s="81">
        <f>'Bilan-Passif'!E22</f>
        <v/>
      </c>
    </row>
    <row r="23" ht="18" customHeight="1">
      <c r="A23" s="78" t="inlineStr">
        <is>
          <t>AN</t>
        </is>
      </c>
      <c r="B23" s="79" t="inlineStr">
        <is>
          <t>Avances et acomptes verses sur immobilisations corporelles</t>
        </is>
      </c>
      <c r="C23" s="79" t="inlineStr"/>
      <c r="D23" s="80">
        <f>'Bilan-Actif'!D23</f>
        <v/>
      </c>
      <c r="E23" s="80">
        <f>'Bilan-Actif'!E23</f>
        <v/>
      </c>
      <c r="F23" s="80">
        <f>'Bilan-Actif'!F23</f>
        <v/>
      </c>
      <c r="G23" s="81">
        <f>'Bilan-Actif'!G23</f>
        <v/>
      </c>
      <c r="H23" s="74" t="inlineStr">
        <is>
          <t>CY</t>
        </is>
      </c>
      <c r="I23" s="6" t="inlineStr">
        <is>
          <t>TOTAL FONDS AFFECTES ET REPORTES</t>
        </is>
      </c>
      <c r="J23" s="6" t="inlineStr"/>
      <c r="K23" s="7">
        <f>'Bilan-Passif'!D23</f>
        <v/>
      </c>
      <c r="L23" s="82">
        <f>'Bilan-Passif'!E23</f>
        <v/>
      </c>
    </row>
    <row r="24" ht="18" customHeight="1">
      <c r="A24" s="74" t="inlineStr">
        <is>
          <t>AO</t>
        </is>
      </c>
      <c r="B24" s="6" t="inlineStr">
        <is>
          <t>IMMOBILISATIONS FINANCIERES</t>
        </is>
      </c>
      <c r="C24" s="6" t="inlineStr">
        <is>
          <t>note 6</t>
        </is>
      </c>
      <c r="D24" s="7">
        <f>'Bilan-Actif'!D24</f>
        <v/>
      </c>
      <c r="E24" s="7">
        <f>'Bilan-Actif'!E24</f>
        <v/>
      </c>
      <c r="F24" s="7">
        <f>'Bilan-Actif'!F24</f>
        <v/>
      </c>
      <c r="G24" s="82">
        <f>'Bilan-Actif'!G24</f>
        <v/>
      </c>
      <c r="H24" s="74" t="inlineStr">
        <is>
          <t>CZ</t>
        </is>
      </c>
      <c r="I24" s="6" t="inlineStr">
        <is>
          <t>TOTAL RESSOURCES PROPRES ET ASSIMILEES</t>
        </is>
      </c>
      <c r="J24" s="6" t="inlineStr"/>
      <c r="K24" s="7">
        <f>'Bilan-Passif'!D24</f>
        <v/>
      </c>
      <c r="L24" s="82">
        <f>'Bilan-Passif'!E24</f>
        <v/>
      </c>
    </row>
    <row r="25" ht="18" customHeight="1">
      <c r="A25" s="78" t="inlineStr">
        <is>
          <t>AX</t>
        </is>
      </c>
      <c r="B25" s="79" t="inlineStr">
        <is>
          <t>Titres de participation</t>
        </is>
      </c>
      <c r="C25" s="79" t="inlineStr"/>
      <c r="D25" s="80">
        <f>'Bilan-Actif'!D25</f>
        <v/>
      </c>
      <c r="E25" s="80">
        <f>'Bilan-Actif'!E25</f>
        <v/>
      </c>
      <c r="F25" s="80">
        <f>'Bilan-Actif'!F25</f>
        <v/>
      </c>
      <c r="G25" s="81">
        <f>'Bilan-Actif'!G25</f>
        <v/>
      </c>
      <c r="H25" s="78" t="inlineStr">
        <is>
          <t>DA</t>
        </is>
      </c>
      <c r="I25" s="79" t="inlineStr">
        <is>
          <t>Emprunts et dettes financieres</t>
        </is>
      </c>
      <c r="J25" s="79" t="inlineStr">
        <is>
          <t>note 18A</t>
        </is>
      </c>
      <c r="K25" s="80">
        <f>'Bilan-Passif'!D25</f>
        <v/>
      </c>
      <c r="L25" s="81">
        <f>'Bilan-Passif'!E25</f>
        <v/>
      </c>
    </row>
    <row r="26" ht="18" customHeight="1">
      <c r="A26" s="78" t="inlineStr">
        <is>
          <t>AY</t>
        </is>
      </c>
      <c r="B26" s="79" t="inlineStr">
        <is>
          <t>Autres immobilisations financieres</t>
        </is>
      </c>
      <c r="C26" s="79" t="inlineStr"/>
      <c r="D26" s="80">
        <f>'Bilan-Actif'!D26</f>
        <v/>
      </c>
      <c r="E26" s="80">
        <f>'Bilan-Actif'!E26</f>
        <v/>
      </c>
      <c r="F26" s="80">
        <f>'Bilan-Actif'!F26</f>
        <v/>
      </c>
      <c r="G26" s="81">
        <f>'Bilan-Actif'!G26</f>
        <v/>
      </c>
      <c r="H26" s="78" t="inlineStr">
        <is>
          <t>DB</t>
        </is>
      </c>
      <c r="I26" s="79" t="inlineStr">
        <is>
          <t>Dettes de location-acquisition</t>
        </is>
      </c>
      <c r="J26" s="79" t="inlineStr">
        <is>
          <t>note 18A</t>
        </is>
      </c>
      <c r="K26" s="80">
        <f>'Bilan-Passif'!D26</f>
        <v/>
      </c>
      <c r="L26" s="81">
        <f>'Bilan-Passif'!E26</f>
        <v/>
      </c>
    </row>
    <row r="27" ht="18" customHeight="1">
      <c r="A27" s="74" t="inlineStr">
        <is>
          <t>AZ</t>
        </is>
      </c>
      <c r="B27" s="83" t="inlineStr">
        <is>
          <t>TOTAL ACTIF IMMOBILISE</t>
        </is>
      </c>
      <c r="C27" s="83" t="inlineStr"/>
      <c r="D27" s="84">
        <f>'Bilan-Actif'!D27</f>
        <v/>
      </c>
      <c r="E27" s="84">
        <f>'Bilan-Actif'!E27</f>
        <v/>
      </c>
      <c r="F27" s="84">
        <f>'Bilan-Actif'!F27</f>
        <v/>
      </c>
      <c r="G27" s="85">
        <f>'Bilan-Actif'!G27</f>
        <v/>
      </c>
      <c r="H27" s="78" t="inlineStr">
        <is>
          <t>DC</t>
        </is>
      </c>
      <c r="I27" s="79" t="inlineStr">
        <is>
          <t>Provisions pour risques et charges</t>
        </is>
      </c>
      <c r="J27" s="79" t="inlineStr">
        <is>
          <t>note 18A</t>
        </is>
      </c>
      <c r="K27" s="80">
        <f>'Bilan-Passif'!D27</f>
        <v/>
      </c>
      <c r="L27" s="81">
        <f>'Bilan-Passif'!E27</f>
        <v/>
      </c>
    </row>
    <row r="28" ht="18" customHeight="1">
      <c r="A28" s="78" t="inlineStr">
        <is>
          <t>BA</t>
        </is>
      </c>
      <c r="B28" s="79" t="inlineStr">
        <is>
          <t>Actif circulant HAO</t>
        </is>
      </c>
      <c r="C28" s="79" t="inlineStr">
        <is>
          <t>note 7</t>
        </is>
      </c>
      <c r="D28" s="80">
        <f>'Bilan-Actif'!D28</f>
        <v/>
      </c>
      <c r="E28" s="80">
        <f>'Bilan-Actif'!E28</f>
        <v/>
      </c>
      <c r="F28" s="80">
        <f>'Bilan-Actif'!F28</f>
        <v/>
      </c>
      <c r="G28" s="81">
        <f>'Bilan-Actif'!G28</f>
        <v/>
      </c>
      <c r="H28" s="74" t="inlineStr">
        <is>
          <t>DD</t>
        </is>
      </c>
      <c r="I28" s="6" t="inlineStr">
        <is>
          <t>TOTAL DETTES FINANCIERES ET RESSOURCES ASSIMILEES</t>
        </is>
      </c>
      <c r="J28" s="6" t="inlineStr"/>
      <c r="K28" s="7">
        <f>'Bilan-Passif'!D28</f>
        <v/>
      </c>
      <c r="L28" s="82">
        <f>'Bilan-Passif'!E28</f>
        <v/>
      </c>
    </row>
    <row r="29" ht="18" customHeight="1">
      <c r="A29" s="78" t="inlineStr">
        <is>
          <t>BB</t>
        </is>
      </c>
      <c r="B29" s="79" t="inlineStr">
        <is>
          <t>Stocks et encours</t>
        </is>
      </c>
      <c r="C29" s="79" t="inlineStr">
        <is>
          <t>note 8</t>
        </is>
      </c>
      <c r="D29" s="80">
        <f>'Bilan-Actif'!D29</f>
        <v/>
      </c>
      <c r="E29" s="80">
        <f>'Bilan-Actif'!E29</f>
        <v/>
      </c>
      <c r="F29" s="80">
        <f>'Bilan-Actif'!F29</f>
        <v/>
      </c>
      <c r="G29" s="81">
        <f>'Bilan-Actif'!G29</f>
        <v/>
      </c>
      <c r="H29" s="74" t="inlineStr">
        <is>
          <t>DE</t>
        </is>
      </c>
      <c r="I29" s="83" t="inlineStr">
        <is>
          <t>TOTAL RESSOURCES STABLES</t>
        </is>
      </c>
      <c r="J29" s="83" t="inlineStr"/>
      <c r="K29" s="84">
        <f>'Bilan-Passif'!D29</f>
        <v/>
      </c>
      <c r="L29" s="85">
        <f>'Bilan-Passif'!E29</f>
        <v/>
      </c>
    </row>
    <row r="30" ht="18" customHeight="1">
      <c r="A30" s="78" t="inlineStr">
        <is>
          <t>BC</t>
        </is>
      </c>
      <c r="B30" s="79" t="inlineStr">
        <is>
          <t>Fournisseurs debiteurs</t>
        </is>
      </c>
      <c r="C30" s="79" t="inlineStr">
        <is>
          <t>note 19</t>
        </is>
      </c>
      <c r="D30" s="80">
        <f>'Bilan-Actif'!D30</f>
        <v/>
      </c>
      <c r="E30" s="80">
        <f>'Bilan-Actif'!E30</f>
        <v/>
      </c>
      <c r="F30" s="80">
        <f>'Bilan-Actif'!F30</f>
        <v/>
      </c>
      <c r="G30" s="81">
        <f>'Bilan-Actif'!G30</f>
        <v/>
      </c>
      <c r="H30" s="78" t="inlineStr">
        <is>
          <t>DF</t>
        </is>
      </c>
      <c r="I30" s="79" t="inlineStr">
        <is>
          <t>Dettes circulantes HAO</t>
        </is>
      </c>
      <c r="J30" s="79" t="inlineStr">
        <is>
          <t>note 7</t>
        </is>
      </c>
      <c r="K30" s="80">
        <f>'Bilan-Passif'!D30</f>
        <v/>
      </c>
      <c r="L30" s="81">
        <f>'Bilan-Passif'!E30</f>
        <v/>
      </c>
    </row>
    <row r="31" ht="18" customHeight="1">
      <c r="A31" s="78" t="inlineStr">
        <is>
          <t>BD</t>
        </is>
      </c>
      <c r="B31" s="79" t="inlineStr">
        <is>
          <t>Adherents, Clients-usagers</t>
        </is>
      </c>
      <c r="C31" s="79" t="inlineStr">
        <is>
          <t>note 9</t>
        </is>
      </c>
      <c r="D31" s="80">
        <f>'Bilan-Actif'!D31</f>
        <v/>
      </c>
      <c r="E31" s="80">
        <f>'Bilan-Actif'!E31</f>
        <v/>
      </c>
      <c r="F31" s="80">
        <f>'Bilan-Actif'!F31</f>
        <v/>
      </c>
      <c r="G31" s="81">
        <f>'Bilan-Actif'!G31</f>
        <v/>
      </c>
      <c r="H31" s="78" t="inlineStr">
        <is>
          <t>DG</t>
        </is>
      </c>
      <c r="I31" s="79" t="inlineStr">
        <is>
          <t>Adherents, clients-usagers crediteurs</t>
        </is>
      </c>
      <c r="J31" s="79" t="inlineStr">
        <is>
          <t>note 9</t>
        </is>
      </c>
      <c r="K31" s="80">
        <f>'Bilan-Passif'!D31</f>
        <v/>
      </c>
      <c r="L31" s="81">
        <f>'Bilan-Passif'!E31</f>
        <v/>
      </c>
    </row>
    <row r="32" ht="18" customHeight="1">
      <c r="A32" s="78" t="inlineStr">
        <is>
          <t>BE</t>
        </is>
      </c>
      <c r="B32" s="79" t="inlineStr">
        <is>
          <t>Autres creances</t>
        </is>
      </c>
      <c r="C32" s="79" t="inlineStr">
        <is>
          <t>note 10</t>
        </is>
      </c>
      <c r="D32" s="80">
        <f>'Bilan-Actif'!D32</f>
        <v/>
      </c>
      <c r="E32" s="80">
        <f>'Bilan-Actif'!E32</f>
        <v/>
      </c>
      <c r="F32" s="80">
        <f>'Bilan-Actif'!F32</f>
        <v/>
      </c>
      <c r="G32" s="81">
        <f>'Bilan-Actif'!G32</f>
        <v/>
      </c>
      <c r="H32" s="78" t="inlineStr">
        <is>
          <t>DH</t>
        </is>
      </c>
      <c r="I32" s="79" t="inlineStr">
        <is>
          <t>Fournisseurs</t>
        </is>
      </c>
      <c r="J32" s="79" t="inlineStr">
        <is>
          <t>note 19</t>
        </is>
      </c>
      <c r="K32" s="80">
        <f>'Bilan-Passif'!D32</f>
        <v/>
      </c>
      <c r="L32" s="81">
        <f>'Bilan-Passif'!E32</f>
        <v/>
      </c>
    </row>
    <row r="33" ht="18" customHeight="1">
      <c r="A33" s="74" t="inlineStr">
        <is>
          <t>BT</t>
        </is>
      </c>
      <c r="B33" s="83" t="inlineStr">
        <is>
          <t>TOTAL ACTIF CIRCULANT</t>
        </is>
      </c>
      <c r="C33" s="83" t="inlineStr"/>
      <c r="D33" s="84">
        <f>'Bilan-Actif'!D33</f>
        <v/>
      </c>
      <c r="E33" s="84">
        <f>'Bilan-Actif'!E33</f>
        <v/>
      </c>
      <c r="F33" s="84">
        <f>'Bilan-Actif'!F33</f>
        <v/>
      </c>
      <c r="G33" s="85">
        <f>'Bilan-Actif'!G33</f>
        <v/>
      </c>
      <c r="H33" s="78" t="inlineStr">
        <is>
          <t>DI</t>
        </is>
      </c>
      <c r="I33" s="79" t="inlineStr">
        <is>
          <t>Autres dettes</t>
        </is>
      </c>
      <c r="J33" s="79" t="inlineStr">
        <is>
          <t>note 20 et 21</t>
        </is>
      </c>
      <c r="K33" s="80">
        <f>'Bilan-Passif'!D33</f>
        <v/>
      </c>
      <c r="L33" s="81">
        <f>'Bilan-Passif'!E33</f>
        <v/>
      </c>
    </row>
    <row r="34" ht="18" customHeight="1">
      <c r="A34" s="78" t="inlineStr">
        <is>
          <t>BU</t>
        </is>
      </c>
      <c r="B34" s="79" t="inlineStr">
        <is>
          <t>Titres de placement</t>
        </is>
      </c>
      <c r="C34" s="79" t="inlineStr">
        <is>
          <t>note 11</t>
        </is>
      </c>
      <c r="D34" s="80">
        <f>'Bilan-Actif'!D34</f>
        <v/>
      </c>
      <c r="E34" s="80">
        <f>'Bilan-Actif'!E34</f>
        <v/>
      </c>
      <c r="F34" s="80">
        <f>'Bilan-Actif'!F34</f>
        <v/>
      </c>
      <c r="G34" s="81">
        <f>'Bilan-Actif'!G34</f>
        <v/>
      </c>
      <c r="H34" s="74" t="inlineStr">
        <is>
          <t>DV</t>
        </is>
      </c>
      <c r="I34" s="83" t="inlineStr">
        <is>
          <t>TOTAL PASSIF CIRCULANT</t>
        </is>
      </c>
      <c r="J34" s="83" t="inlineStr"/>
      <c r="K34" s="84">
        <f>'Bilan-Passif'!D34</f>
        <v/>
      </c>
      <c r="L34" s="85">
        <f>'Bilan-Passif'!E34</f>
        <v/>
      </c>
    </row>
    <row r="35" ht="18" customHeight="1">
      <c r="A35" s="78" t="inlineStr">
        <is>
          <t>BV</t>
        </is>
      </c>
      <c r="B35" s="79" t="inlineStr">
        <is>
          <t>Valeurs a encaisser</t>
        </is>
      </c>
      <c r="C35" s="79" t="inlineStr">
        <is>
          <t>note 12</t>
        </is>
      </c>
      <c r="D35" s="80">
        <f>'Bilan-Actif'!D35</f>
        <v/>
      </c>
      <c r="E35" s="80">
        <f>'Bilan-Actif'!E35</f>
        <v/>
      </c>
      <c r="F35" s="80">
        <f>'Bilan-Actif'!F35</f>
        <v/>
      </c>
      <c r="G35" s="81">
        <f>'Bilan-Actif'!G35</f>
        <v/>
      </c>
      <c r="H35" s="78" t="inlineStr">
        <is>
          <t>DW</t>
        </is>
      </c>
      <c r="I35" s="79" t="inlineStr">
        <is>
          <t>Banques, etablissements financiers et credits de tresorerie</t>
        </is>
      </c>
      <c r="J35" s="79" t="inlineStr">
        <is>
          <t>note 22</t>
        </is>
      </c>
      <c r="K35" s="80">
        <f>'Bilan-Passif'!D35</f>
        <v/>
      </c>
      <c r="L35" s="81">
        <f>'Bilan-Passif'!E35</f>
        <v/>
      </c>
    </row>
    <row r="36" ht="18" customHeight="1">
      <c r="A36" s="78" t="inlineStr">
        <is>
          <t>BW</t>
        </is>
      </c>
      <c r="B36" s="79" t="inlineStr">
        <is>
          <t>Banques, etablissements financiers, caisses et assimiles</t>
        </is>
      </c>
      <c r="C36" s="79" t="inlineStr">
        <is>
          <t>note 13</t>
        </is>
      </c>
      <c r="D36" s="80">
        <f>'Bilan-Actif'!D36</f>
        <v/>
      </c>
      <c r="E36" s="80">
        <f>'Bilan-Actif'!E36</f>
        <v/>
      </c>
      <c r="F36" s="80">
        <f>'Bilan-Actif'!F36</f>
        <v/>
      </c>
      <c r="G36" s="81">
        <f>'Bilan-Actif'!G36</f>
        <v/>
      </c>
      <c r="H36" s="74" t="inlineStr">
        <is>
          <t>DX</t>
        </is>
      </c>
      <c r="I36" s="83" t="inlineStr">
        <is>
          <t>TOTAL TRESORERIE PASSIF</t>
        </is>
      </c>
      <c r="J36" s="83" t="inlineStr"/>
      <c r="K36" s="84">
        <f>'Bilan-Passif'!D36</f>
        <v/>
      </c>
      <c r="L36" s="85">
        <f>'Bilan-Passif'!E36</f>
        <v/>
      </c>
    </row>
    <row r="37" ht="18" customHeight="1">
      <c r="A37" s="74" t="inlineStr">
        <is>
          <t>BX</t>
        </is>
      </c>
      <c r="B37" s="83" t="inlineStr">
        <is>
          <t>TOTAL TRESORERIE ACTIF</t>
        </is>
      </c>
      <c r="C37" s="83" t="inlineStr"/>
      <c r="D37" s="84">
        <f>'Bilan-Actif'!D37</f>
        <v/>
      </c>
      <c r="E37" s="84">
        <f>'Bilan-Actif'!E37</f>
        <v/>
      </c>
      <c r="F37" s="84">
        <f>'Bilan-Actif'!F37</f>
        <v/>
      </c>
      <c r="G37" s="85">
        <f>'Bilan-Actif'!G37</f>
        <v/>
      </c>
      <c r="H37" s="78" t="inlineStr">
        <is>
          <t>DY</t>
        </is>
      </c>
      <c r="I37" s="79" t="inlineStr">
        <is>
          <t>Ecart de conversion-Passif</t>
        </is>
      </c>
      <c r="J37" s="79" t="inlineStr">
        <is>
          <t>note 14</t>
        </is>
      </c>
      <c r="K37" s="80">
        <f>'Bilan-Passif'!D37</f>
        <v/>
      </c>
      <c r="L37" s="81">
        <f>'Bilan-Passif'!E37</f>
        <v/>
      </c>
    </row>
    <row r="38" ht="18" customHeight="1">
      <c r="A38" s="78" t="inlineStr">
        <is>
          <t>BY</t>
        </is>
      </c>
      <c r="B38" s="79" t="inlineStr">
        <is>
          <t>Ecart de conversion-Actif</t>
        </is>
      </c>
      <c r="C38" s="79" t="inlineStr">
        <is>
          <t>note 14</t>
        </is>
      </c>
      <c r="D38" s="80">
        <f>'Bilan-Actif'!D38</f>
        <v/>
      </c>
      <c r="E38" s="80">
        <f>'Bilan-Actif'!E38</f>
        <v/>
      </c>
      <c r="F38" s="80">
        <f>'Bilan-Actif'!F38</f>
        <v/>
      </c>
      <c r="G38" s="81">
        <f>'Bilan-Actif'!G38</f>
        <v/>
      </c>
      <c r="H38" s="86" t="inlineStr">
        <is>
          <t>DZ</t>
        </is>
      </c>
      <c r="I38" s="4" t="inlineStr">
        <is>
          <t>TOTAL GENERAL</t>
        </is>
      </c>
      <c r="J38" s="4" t="inlineStr"/>
      <c r="K38" s="5">
        <f>'Bilan-Passif'!D38</f>
        <v/>
      </c>
      <c r="L38" s="87">
        <f>'Bilan-Passif'!E38</f>
        <v/>
      </c>
    </row>
    <row r="39" ht="18" customHeight="1">
      <c r="A39" s="86" t="inlineStr">
        <is>
          <t>BZ</t>
        </is>
      </c>
      <c r="B39" s="4" t="inlineStr">
        <is>
          <t>TOTAL GENERAL</t>
        </is>
      </c>
      <c r="C39" s="4" t="inlineStr"/>
      <c r="D39" s="5">
        <f>'Bilan-Actif'!D39</f>
        <v/>
      </c>
      <c r="E39" s="5">
        <f>'Bilan-Actif'!E39</f>
        <v/>
      </c>
      <c r="F39" s="5">
        <f>'Bilan-Actif'!F39</f>
        <v/>
      </c>
      <c r="G39" s="87">
        <f>'Bilan-Actif'!G39</f>
        <v/>
      </c>
      <c r="H39" s="17" t="n"/>
      <c r="I39" s="30" t="n"/>
      <c r="J39" s="30" t="n"/>
      <c r="K39" s="30" t="n"/>
      <c r="L39" s="31" t="n"/>
    </row>
  </sheetData>
  <mergeCells count="15">
    <mergeCell ref="A8:A9"/>
    <mergeCell ref="E8:E9"/>
    <mergeCell ref="C7:J7"/>
    <mergeCell ref="C8:C9"/>
    <mergeCell ref="F8:F9"/>
    <mergeCell ref="G8:G9"/>
    <mergeCell ref="K2:L2"/>
    <mergeCell ref="H8:H9"/>
    <mergeCell ref="I8:I9"/>
    <mergeCell ref="J8:J9"/>
    <mergeCell ref="K8:K9"/>
    <mergeCell ref="L8:L9"/>
    <mergeCell ref="D8:D9"/>
    <mergeCell ref="B8:B9"/>
    <mergeCell ref="B4:I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.5" customWidth="1" min="1" max="1"/>
    <col width="52" customWidth="1" min="2" max="2"/>
    <col width="6.5" customWidth="1" min="3" max="3"/>
    <col width="15.7" customWidth="1" min="4" max="4"/>
    <col width="15.7" customWidth="1" min="5" max="5"/>
    <col width="15.7" customWidth="1" min="6" max="6"/>
    <col width="15.7" customWidth="1" min="7" max="7"/>
  </cols>
  <sheetData>
    <row r="1" ht="12" customHeight="1">
      <c r="A1" s="50" t="inlineStr">
        <is>
          <t>- 4 -</t>
        </is>
      </c>
    </row>
    <row r="2" ht="26" customHeight="1">
      <c r="F2" s="51" t="inlineStr">
        <is>
          <t>BILAN SYSTEME NORMAL
PAGE 1/2</t>
        </is>
      </c>
      <c r="G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D4" s="41" t="n"/>
      <c r="F4" s="54" t="inlineStr">
        <is>
          <t>Sigle usuel :</t>
        </is>
      </c>
      <c r="G4" s="53" t="inlineStr"/>
    </row>
    <row r="5" ht="15" customHeight="1">
      <c r="A5" s="39" t="inlineStr">
        <is>
          <t>N° de compte contribuable (NCC) :</t>
        </is>
      </c>
      <c r="D5" s="39" t="inlineStr">
        <is>
          <t>Exercice clos le</t>
        </is>
      </c>
      <c r="F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B7" s="66" t="inlineStr">
        <is>
          <t>BILAN</t>
        </is>
      </c>
      <c r="C7" s="67" t="n"/>
      <c r="D7" s="67" t="n"/>
      <c r="E7" s="67" t="n"/>
      <c r="F7" s="67" t="n"/>
    </row>
    <row r="8" ht="22" customHeight="1">
      <c r="A8" s="68" t="inlineStr">
        <is>
          <t>REF</t>
        </is>
      </c>
      <c r="B8" s="88" t="inlineStr">
        <is>
          <t>ACTIF</t>
        </is>
      </c>
      <c r="C8" s="69" t="inlineStr">
        <is>
          <t>NOTE</t>
        </is>
      </c>
      <c r="D8" s="69" t="inlineStr">
        <is>
          <t>EXERCICE AU 31/12/N</t>
        </is>
      </c>
      <c r="E8" s="69" t="n"/>
      <c r="F8" s="69" t="n"/>
      <c r="G8" s="70" t="inlineStr">
        <is>
          <t>EXERCICE AU 31/12/N-1</t>
        </is>
      </c>
    </row>
    <row r="9" ht="22" customHeight="1">
      <c r="A9" s="71" t="n"/>
      <c r="B9" s="72" t="n"/>
      <c r="C9" s="72" t="n"/>
      <c r="D9" s="72" t="inlineStr">
        <is>
          <t>BRUT</t>
        </is>
      </c>
      <c r="E9" s="72" t="inlineStr">
        <is>
          <t>AMORT et DEPREC.</t>
        </is>
      </c>
      <c r="F9" s="72" t="inlineStr">
        <is>
          <t>NET</t>
        </is>
      </c>
      <c r="G9" s="73" t="inlineStr">
        <is>
          <t>NET</t>
        </is>
      </c>
    </row>
    <row r="10" ht="22" customHeight="1">
      <c r="A10" s="74" t="inlineStr">
        <is>
          <t>AA</t>
        </is>
      </c>
      <c r="B10" s="75" t="inlineStr">
        <is>
          <t>IMMOBILISATIONS DESTINEES A LA VENTE PROVENANT DE DONS ET LEGS NON ENCORE RECUES ET USUFRUIT TEMPORAIRE</t>
        </is>
      </c>
      <c r="C10" s="89" t="inlineStr">
        <is>
          <t>note 5</t>
        </is>
      </c>
      <c r="D10" s="76">
        <f>D11+D12</f>
        <v/>
      </c>
      <c r="E10" s="76">
        <f>E11+E12</f>
        <v/>
      </c>
      <c r="F10" s="76">
        <f>F11+F12</f>
        <v/>
      </c>
      <c r="G10" s="77">
        <f>G11+G12</f>
        <v/>
      </c>
    </row>
    <row r="11" ht="22" customHeight="1">
      <c r="A11" s="78" t="inlineStr">
        <is>
          <t>AB</t>
        </is>
      </c>
      <c r="B11" s="79" t="inlineStr">
        <is>
          <t>Immobilisations incorporelles</t>
        </is>
      </c>
      <c r="C11" s="90" t="inlineStr"/>
      <c r="D11" s="80">
        <f>(SUMIF('BALANCE N'!$A$2:$A$2000,"201*",'BALANCE N'!$G$2:$G$2000)-SUMIF('BALANCE N'!$A$2:$A$2000,"201*",'BALANCE N'!$H$2:$H$2000))</f>
        <v/>
      </c>
      <c r="E11" s="80">
        <f>(SUMIF('BALANCE N'!$A$2:$A$2000,"280*",'BALANCE N'!$H$2:$H$2000)-SUMIF('BALANCE N'!$A$2:$A$2000,"280*",'BALANCE N'!$G$2:$G$2000)+SUMIF('BALANCE N'!$A$2:$A$2000,"2901*",'BALANCE N'!$H$2:$H$2000)-SUMIF('BALANCE N'!$A$2:$A$2000,"2901*",'BALANCE N'!$G$2:$G$2000))</f>
        <v/>
      </c>
      <c r="F11" s="80">
        <f>D11-E11</f>
        <v/>
      </c>
      <c r="G11" s="81">
        <f>((SUMIF('BALANCE N-1'!$A$2:$A$2000,"201*",'BALANCE N-1'!$G$2:$G$2000)-SUMIF('BALANCE N-1'!$A$2:$A$2000,"201*",'BALANCE N-1'!$H$2:$H$2000)))-((SUMIF('BALANCE N-1'!$A$2:$A$2000,"280*",'BALANCE N-1'!$H$2:$H$2000)-SUMIF('BALANCE N-1'!$A$2:$A$2000,"280*",'BALANCE N-1'!$G$2:$G$2000)+SUMIF('BALANCE N-1'!$A$2:$A$2000,"2901*",'BALANCE N-1'!$H$2:$H$2000)-SUMIF('BALANCE N-1'!$A$2:$A$2000,"2901*",'BALANCE N-1'!$G$2:$G$2000)))</f>
        <v/>
      </c>
    </row>
    <row r="12" ht="22" customHeight="1">
      <c r="A12" s="78" t="inlineStr">
        <is>
          <t>AC</t>
        </is>
      </c>
      <c r="B12" s="79" t="inlineStr">
        <is>
          <t>Immobilisations corporelles et financieres</t>
        </is>
      </c>
      <c r="C12" s="90" t="inlineStr"/>
      <c r="D12" s="80">
        <f>(SUMIF('BALANCE N'!$A$2:$A$2000,"202*",'BALANCE N'!$G$2:$G$2000)-SUMIF('BALANCE N'!$A$2:$A$2000,"202*",'BALANCE N'!$H$2:$H$2000)+SUMIF('BALANCE N'!$A$2:$A$2000,"203*",'BALANCE N'!$G$2:$G$2000)-SUMIF('BALANCE N'!$A$2:$A$2000,"203*",'BALANCE N'!$H$2:$H$2000)+SUMIF('BALANCE N'!$A$2:$A$2000,"204*",'BALANCE N'!$G$2:$G$2000)-SUMIF('BALANCE N'!$A$2:$A$2000,"204*",'BALANCE N'!$H$2:$H$2000)+SUMIF('BALANCE N'!$A$2:$A$2000,"205*",'BALANCE N'!$G$2:$G$2000)-SUMIF('BALANCE N'!$A$2:$A$2000,"205*",'BALANCE N'!$H$2:$H$2000))</f>
        <v/>
      </c>
      <c r="E12" s="80">
        <f>(SUMIF('BALANCE N'!$A$2:$A$2000,"2902*",'BALANCE N'!$H$2:$H$2000)-SUMIF('BALANCE N'!$A$2:$A$2000,"2902*",'BALANCE N'!$G$2:$G$2000))</f>
        <v/>
      </c>
      <c r="F12" s="80">
        <f>D12-E12</f>
        <v/>
      </c>
      <c r="G12" s="81">
        <f>((SUMIF('BALANCE N-1'!$A$2:$A$2000,"202*",'BALANCE N-1'!$G$2:$G$2000)-SUMIF('BALANCE N-1'!$A$2:$A$2000,"202*",'BALANCE N-1'!$H$2:$H$2000)+SUMIF('BALANCE N-1'!$A$2:$A$2000,"203*",'BALANCE N-1'!$G$2:$G$2000)-SUMIF('BALANCE N-1'!$A$2:$A$2000,"203*",'BALANCE N-1'!$H$2:$H$2000)+SUMIF('BALANCE N-1'!$A$2:$A$2000,"204*",'BALANCE N-1'!$G$2:$G$2000)-SUMIF('BALANCE N-1'!$A$2:$A$2000,"204*",'BALANCE N-1'!$H$2:$H$2000)+SUMIF('BALANCE N-1'!$A$2:$A$2000,"205*",'BALANCE N-1'!$G$2:$G$2000)-SUMIF('BALANCE N-1'!$A$2:$A$2000,"205*",'BALANCE N-1'!$H$2:$H$2000)))-((SUMIF('BALANCE N-1'!$A$2:$A$2000,"2902*",'BALANCE N-1'!$H$2:$H$2000)-SUMIF('BALANCE N-1'!$A$2:$A$2000,"2902*",'BALANCE N-1'!$G$2:$G$2000)))</f>
        <v/>
      </c>
    </row>
    <row r="13" ht="22" customHeight="1">
      <c r="A13" s="74" t="inlineStr">
        <is>
          <t>AD</t>
        </is>
      </c>
      <c r="B13" s="75" t="inlineStr">
        <is>
          <t>IMMOBILISATIONS INCORPORELLES</t>
        </is>
      </c>
      <c r="C13" s="89" t="inlineStr">
        <is>
          <t>note 5</t>
        </is>
      </c>
      <c r="D13" s="76">
        <f>D14+D15+D16</f>
        <v/>
      </c>
      <c r="E13" s="76">
        <f>E14+E15+E16</f>
        <v/>
      </c>
      <c r="F13" s="76">
        <f>F14+F15+F16</f>
        <v/>
      </c>
      <c r="G13" s="77">
        <f>G14+G15+G16</f>
        <v/>
      </c>
    </row>
    <row r="14" ht="22" customHeight="1">
      <c r="A14" s="78" t="inlineStr">
        <is>
          <t>AE</t>
        </is>
      </c>
      <c r="B14" s="79" t="inlineStr">
        <is>
          <t>Brevets, licences, logiciels et droits similaires</t>
        </is>
      </c>
      <c r="C14" s="90" t="inlineStr">
        <is>
          <t>note 5F</t>
        </is>
      </c>
      <c r="D14" s="80">
        <f>(SUMIF('BALANCE N'!$A$2:$A$2000,"212*",'BALANCE N'!$G$2:$G$2000)-SUMIF('BALANCE N'!$A$2:$A$2000,"212*",'BALANCE N'!$H$2:$H$2000)+SUMIF('BALANCE N'!$A$2:$A$2000,"213*",'BALANCE N'!$G$2:$G$2000)-SUMIF('BALANCE N'!$A$2:$A$2000,"213*",'BALANCE N'!$H$2:$H$2000)+SUMIF('BALANCE N'!$A$2:$A$2000,"214*",'BALANCE N'!$G$2:$G$2000)-SUMIF('BALANCE N'!$A$2:$A$2000,"214*",'BALANCE N'!$H$2:$H$2000)+SUMIF('BALANCE N'!$A$2:$A$2000,"2193*",'BALANCE N'!$G$2:$G$2000)-SUMIF('BALANCE N'!$A$2:$A$2000,"2193*",'BALANCE N'!$H$2:$H$2000))</f>
        <v/>
      </c>
      <c r="E14" s="80">
        <f>(SUMIF('BALANCE N'!$A$2:$A$2000,"2812*",'BALANCE N'!$H$2:$H$2000)-SUMIF('BALANCE N'!$A$2:$A$2000,"2812*",'BALANCE N'!$G$2:$G$2000)+SUMIF('BALANCE N'!$A$2:$A$2000,"2813*",'BALANCE N'!$H$2:$H$2000)-SUMIF('BALANCE N'!$A$2:$A$2000,"2813*",'BALANCE N'!$G$2:$G$2000)+SUMIF('BALANCE N'!$A$2:$A$2000,"2814*",'BALANCE N'!$H$2:$H$2000)-SUMIF('BALANCE N'!$A$2:$A$2000,"2814*",'BALANCE N'!$G$2:$G$2000)+SUMIF('BALANCE N'!$A$2:$A$2000,"2912*",'BALANCE N'!$H$2:$H$2000)-SUMIF('BALANCE N'!$A$2:$A$2000,"2912*",'BALANCE N'!$G$2:$G$2000)+SUMIF('BALANCE N'!$A$2:$A$2000,"2913*",'BALANCE N'!$H$2:$H$2000)-SUMIF('BALANCE N'!$A$2:$A$2000,"2913*",'BALANCE N'!$G$2:$G$2000)+SUMIF('BALANCE N'!$A$2:$A$2000,"2919*",'BALANCE N'!$H$2:$H$2000)-SUMIF('BALANCE N'!$A$2:$A$2000,"2919*",'BALANCE N'!$G$2:$G$2000))</f>
        <v/>
      </c>
      <c r="F14" s="80">
        <f>D14-E14</f>
        <v/>
      </c>
      <c r="G14" s="81">
        <f>((SUMIF('BALANCE N-1'!$A$2:$A$2000,"212*",'BALANCE N-1'!$G$2:$G$2000)-SUMIF('BALANCE N-1'!$A$2:$A$2000,"212*",'BALANCE N-1'!$H$2:$H$2000)+SUMIF('BALANCE N-1'!$A$2:$A$2000,"213*",'BALANCE N-1'!$G$2:$G$2000)-SUMIF('BALANCE N-1'!$A$2:$A$2000,"213*",'BALANCE N-1'!$H$2:$H$2000)+SUMIF('BALANCE N-1'!$A$2:$A$2000,"214*",'BALANCE N-1'!$G$2:$G$2000)-SUMIF('BALANCE N-1'!$A$2:$A$2000,"214*",'BALANCE N-1'!$H$2:$H$2000)+SUMIF('BALANCE N-1'!$A$2:$A$2000,"2193*",'BALANCE N-1'!$G$2:$G$2000)-SUMIF('BALANCE N-1'!$A$2:$A$2000,"2193*",'BALANCE N-1'!$H$2:$H$2000)))-((SUMIF('BALANCE N-1'!$A$2:$A$2000,"2812*",'BALANCE N-1'!$H$2:$H$2000)-SUMIF('BALANCE N-1'!$A$2:$A$2000,"2812*",'BALANCE N-1'!$G$2:$G$2000)+SUMIF('BALANCE N-1'!$A$2:$A$2000,"2813*",'BALANCE N-1'!$H$2:$H$2000)-SUMIF('BALANCE N-1'!$A$2:$A$2000,"2813*",'BALANCE N-1'!$G$2:$G$2000)+SUMIF('BALANCE N-1'!$A$2:$A$2000,"2814*",'BALANCE N-1'!$H$2:$H$2000)-SUMIF('BALANCE N-1'!$A$2:$A$2000,"2814*",'BALANCE N-1'!$G$2:$G$2000)+SUMIF('BALANCE N-1'!$A$2:$A$2000,"2912*",'BALANCE N-1'!$H$2:$H$2000)-SUMIF('BALANCE N-1'!$A$2:$A$2000,"2912*",'BALANCE N-1'!$G$2:$G$2000)+SUMIF('BALANCE N-1'!$A$2:$A$2000,"2913*",'BALANCE N-1'!$H$2:$H$2000)-SUMIF('BALANCE N-1'!$A$2:$A$2000,"2913*",'BALANCE N-1'!$G$2:$G$2000)+SUMIF('BALANCE N-1'!$A$2:$A$2000,"2919*",'BALANCE N-1'!$H$2:$H$2000)-SUMIF('BALANCE N-1'!$A$2:$A$2000,"2919*",'BALANCE N-1'!$G$2:$G$2000)))</f>
        <v/>
      </c>
    </row>
    <row r="15" ht="22" customHeight="1">
      <c r="A15" s="78" t="inlineStr">
        <is>
          <t>AF</t>
        </is>
      </c>
      <c r="B15" s="79" t="inlineStr">
        <is>
          <t>Autres immobilisations incorporelles</t>
        </is>
      </c>
      <c r="C15" s="90" t="inlineStr"/>
      <c r="D15" s="80">
        <f>(SUMIF('BALANCE N'!$A$2:$A$2000,"218*",'BALANCE N'!$G$2:$G$2000)-SUMIF('BALANCE N'!$A$2:$A$2000,"218*",'BALANCE N'!$H$2:$H$2000)+SUMIF('BALANCE N'!$A$2:$A$2000,"2198*",'BALANCE N'!$G$2:$G$2000)-SUMIF('BALANCE N'!$A$2:$A$2000,"2198*",'BALANCE N'!$H$2:$H$2000))</f>
        <v/>
      </c>
      <c r="E15" s="80">
        <f>(SUMIF('BALANCE N'!$A$2:$A$2000,"2818*",'BALANCE N'!$H$2:$H$2000)-SUMIF('BALANCE N'!$A$2:$A$2000,"2818*",'BALANCE N'!$G$2:$G$2000)+SUMIF('BALANCE N'!$A$2:$A$2000,"2918*",'BALANCE N'!$H$2:$H$2000)-SUMIF('BALANCE N'!$A$2:$A$2000,"2918*",'BALANCE N'!$G$2:$G$2000)+SUMIF('BALANCE N'!$A$2:$A$2000,"2919*",'BALANCE N'!$H$2:$H$2000)-SUMIF('BALANCE N'!$A$2:$A$2000,"2919*",'BALANCE N'!$G$2:$G$2000))</f>
        <v/>
      </c>
      <c r="F15" s="80">
        <f>D15-E15</f>
        <v/>
      </c>
      <c r="G15" s="81">
        <f>((SUMIF('BALANCE N-1'!$A$2:$A$2000,"218*",'BALANCE N-1'!$G$2:$G$2000)-SUMIF('BALANCE N-1'!$A$2:$A$2000,"218*",'BALANCE N-1'!$H$2:$H$2000)+SUMIF('BALANCE N-1'!$A$2:$A$2000,"2198*",'BALANCE N-1'!$G$2:$G$2000)-SUMIF('BALANCE N-1'!$A$2:$A$2000,"2198*",'BALANCE N-1'!$H$2:$H$2000)))-((SUMIF('BALANCE N-1'!$A$2:$A$2000,"2818*",'BALANCE N-1'!$H$2:$H$2000)-SUMIF('BALANCE N-1'!$A$2:$A$2000,"2818*",'BALANCE N-1'!$G$2:$G$2000)+SUMIF('BALANCE N-1'!$A$2:$A$2000,"2918*",'BALANCE N-1'!$H$2:$H$2000)-SUMIF('BALANCE N-1'!$A$2:$A$2000,"2918*",'BALANCE N-1'!$G$2:$G$2000)+SUMIF('BALANCE N-1'!$A$2:$A$2000,"2919*",'BALANCE N-1'!$H$2:$H$2000)-SUMIF('BALANCE N-1'!$A$2:$A$2000,"2919*",'BALANCE N-1'!$G$2:$G$2000)))</f>
        <v/>
      </c>
    </row>
    <row r="16" ht="22" customHeight="1">
      <c r="A16" s="78" t="inlineStr">
        <is>
          <t>AG</t>
        </is>
      </c>
      <c r="B16" s="79" t="inlineStr">
        <is>
          <t>Avances et acomptes verses sur immobilisations incorporelles</t>
        </is>
      </c>
      <c r="C16" s="90" t="inlineStr"/>
      <c r="D16" s="80">
        <f>(SUMIF('BALANCE N'!$A$2:$A$2000,"251*",'BALANCE N'!$G$2:$G$2000)-SUMIF('BALANCE N'!$A$2:$A$2000,"251*",'BALANCE N'!$H$2:$H$2000))</f>
        <v/>
      </c>
      <c r="E16" s="80" t="n">
        <v>0</v>
      </c>
      <c r="F16" s="80">
        <f>D16-E16</f>
        <v/>
      </c>
      <c r="G16" s="81">
        <f>((SUMIF('BALANCE N-1'!$A$2:$A$2000,"251*",'BALANCE N-1'!$G$2:$G$2000)-SUMIF('BALANCE N-1'!$A$2:$A$2000,"251*",'BALANCE N-1'!$H$2:$H$2000)))-(0)</f>
        <v/>
      </c>
    </row>
    <row r="17" ht="22" customHeight="1">
      <c r="A17" s="74" t="inlineStr">
        <is>
          <t>AH</t>
        </is>
      </c>
      <c r="B17" s="75" t="inlineStr">
        <is>
          <t>IMMOBILISATIONS CORPORELLES</t>
        </is>
      </c>
      <c r="C17" s="89" t="inlineStr">
        <is>
          <t>note 5</t>
        </is>
      </c>
      <c r="D17" s="76">
        <f>D18+D19+D20+D21+D22+D23</f>
        <v/>
      </c>
      <c r="E17" s="76">
        <f>E18+E19+E20+E21+E22+E23</f>
        <v/>
      </c>
      <c r="F17" s="76">
        <f>F18+F19+F20+F21+F22+F23</f>
        <v/>
      </c>
      <c r="G17" s="77">
        <f>G18+G19+G20+G21+G22+G23</f>
        <v/>
      </c>
    </row>
    <row r="18" ht="22" customHeight="1">
      <c r="A18" s="78" t="inlineStr">
        <is>
          <t>AI</t>
        </is>
      </c>
      <c r="B18" s="79" t="inlineStr">
        <is>
          <t>Terrains</t>
        </is>
      </c>
      <c r="C18" s="90" t="inlineStr"/>
      <c r="D18" s="80">
        <f>(SUMIF('BALANCE N'!$A$2:$A$2000,"22*",'BALANCE N'!$G$2:$G$2000)-SUMIF('BALANCE N'!$A$2:$A$2000,"22*",'BALANCE N'!$H$2:$H$2000))</f>
        <v/>
      </c>
      <c r="E18" s="80">
        <f>(SUMIF('BALANCE N'!$A$2:$A$2000,"282*",'BALANCE N'!$H$2:$H$2000)-SUMIF('BALANCE N'!$A$2:$A$2000,"282*",'BALANCE N'!$G$2:$G$2000)+SUMIF('BALANCE N'!$A$2:$A$2000,"292*",'BALANCE N'!$H$2:$H$2000)-SUMIF('BALANCE N'!$A$2:$A$2000,"292*",'BALANCE N'!$G$2:$G$2000))</f>
        <v/>
      </c>
      <c r="F18" s="80">
        <f>D18-E18</f>
        <v/>
      </c>
      <c r="G18" s="81">
        <f>((SUMIF('BALANCE N-1'!$A$2:$A$2000,"22*",'BALANCE N-1'!$G$2:$G$2000)-SUMIF('BALANCE N-1'!$A$2:$A$2000,"22*",'BALANCE N-1'!$H$2:$H$2000)))-((SUMIF('BALANCE N-1'!$A$2:$A$2000,"282*",'BALANCE N-1'!$H$2:$H$2000)-SUMIF('BALANCE N-1'!$A$2:$A$2000,"282*",'BALANCE N-1'!$G$2:$G$2000)+SUMIF('BALANCE N-1'!$A$2:$A$2000,"292*",'BALANCE N-1'!$H$2:$H$2000)-SUMIF('BALANCE N-1'!$A$2:$A$2000,"292*",'BALANCE N-1'!$G$2:$G$2000)))</f>
        <v/>
      </c>
    </row>
    <row r="19" ht="22" customHeight="1">
      <c r="A19" s="78" t="inlineStr">
        <is>
          <t>AJ</t>
        </is>
      </c>
      <c r="B19" s="79" t="inlineStr">
        <is>
          <t>Batiments</t>
        </is>
      </c>
      <c r="C19" s="90" t="inlineStr"/>
      <c r="D19" s="80">
        <f>(SUMIF('BALANCE N'!$A$2:$A$2000,"231*",'BALANCE N'!$G$2:$G$2000)-SUMIF('BALANCE N'!$A$2:$A$2000,"231*",'BALANCE N'!$H$2:$H$2000)+SUMIF('BALANCE N'!$A$2:$A$2000,"232*",'BALANCE N'!$G$2:$G$2000)-SUMIF('BALANCE N'!$A$2:$A$2000,"232*",'BALANCE N'!$H$2:$H$2000)+SUMIF('BALANCE N'!$A$2:$A$2000,"233*",'BALANCE N'!$G$2:$G$2000)-SUMIF('BALANCE N'!$A$2:$A$2000,"233*",'BALANCE N'!$H$2:$H$2000)+SUMIF('BALANCE N'!$A$2:$A$2000,"2391*",'BALANCE N'!$G$2:$G$2000)-SUMIF('BALANCE N'!$A$2:$A$2000,"2391*",'BALANCE N'!$H$2:$H$2000)+SUMIF('BALANCE N'!$A$2:$A$2000,"2392*",'BALANCE N'!$G$2:$G$2000)-SUMIF('BALANCE N'!$A$2:$A$2000,"2392*",'BALANCE N'!$H$2:$H$2000)+SUMIF('BALANCE N'!$A$2:$A$2000,"2393*",'BALANCE N'!$G$2:$G$2000)-SUMIF('BALANCE N'!$A$2:$A$2000,"2393*",'BALANCE N'!$H$2:$H$2000)+SUMIF('BALANCE N'!$A$2:$A$2000,"2396*",'BALANCE N'!$G$2:$G$2000)-SUMIF('BALANCE N'!$A$2:$A$2000,"2396*",'BALANCE N'!$H$2:$H$2000))</f>
        <v/>
      </c>
      <c r="E19" s="80">
        <f>(SUMIF('BALANCE N'!$A$2:$A$2000,"2831*",'BALANCE N'!$H$2:$H$2000)-SUMIF('BALANCE N'!$A$2:$A$2000,"2831*",'BALANCE N'!$G$2:$G$2000)+SUMIF('BALANCE N'!$A$2:$A$2000,"2832*",'BALANCE N'!$H$2:$H$2000)-SUMIF('BALANCE N'!$A$2:$A$2000,"2832*",'BALANCE N'!$G$2:$G$2000)+SUMIF('BALANCE N'!$A$2:$A$2000,"2833*",'BALANCE N'!$H$2:$H$2000)-SUMIF('BALANCE N'!$A$2:$A$2000,"2833*",'BALANCE N'!$G$2:$G$2000)+SUMIF('BALANCE N'!$A$2:$A$2000,"2931*",'BALANCE N'!$H$2:$H$2000)-SUMIF('BALANCE N'!$A$2:$A$2000,"2931*",'BALANCE N'!$G$2:$G$2000)+SUMIF('BALANCE N'!$A$2:$A$2000,"2932*",'BALANCE N'!$H$2:$H$2000)-SUMIF('BALANCE N'!$A$2:$A$2000,"2932*",'BALANCE N'!$G$2:$G$2000)+SUMIF('BALANCE N'!$A$2:$A$2000,"2933*",'BALANCE N'!$H$2:$H$2000)-SUMIF('BALANCE N'!$A$2:$A$2000,"2933*",'BALANCE N'!$G$2:$G$2000)+SUMIF('BALANCE N'!$A$2:$A$2000,"2939*",'BALANCE N'!$H$2:$H$2000)-SUMIF('BALANCE N'!$A$2:$A$2000,"2939*",'BALANCE N'!$G$2:$G$2000))</f>
        <v/>
      </c>
      <c r="F19" s="80">
        <f>D19-E19</f>
        <v/>
      </c>
      <c r="G19" s="81">
        <f>((SUMIF('BALANCE N-1'!$A$2:$A$2000,"231*",'BALANCE N-1'!$G$2:$G$2000)-SUMIF('BALANCE N-1'!$A$2:$A$2000,"231*",'BALANCE N-1'!$H$2:$H$2000)+SUMIF('BALANCE N-1'!$A$2:$A$2000,"232*",'BALANCE N-1'!$G$2:$G$2000)-SUMIF('BALANCE N-1'!$A$2:$A$2000,"232*",'BALANCE N-1'!$H$2:$H$2000)+SUMIF('BALANCE N-1'!$A$2:$A$2000,"233*",'BALANCE N-1'!$G$2:$G$2000)-SUMIF('BALANCE N-1'!$A$2:$A$2000,"233*",'BALANCE N-1'!$H$2:$H$2000)+SUMIF('BALANCE N-1'!$A$2:$A$2000,"2391*",'BALANCE N-1'!$G$2:$G$2000)-SUMIF('BALANCE N-1'!$A$2:$A$2000,"2391*",'BALANCE N-1'!$H$2:$H$2000)+SUMIF('BALANCE N-1'!$A$2:$A$2000,"2392*",'BALANCE N-1'!$G$2:$G$2000)-SUMIF('BALANCE N-1'!$A$2:$A$2000,"2392*",'BALANCE N-1'!$H$2:$H$2000)+SUMIF('BALANCE N-1'!$A$2:$A$2000,"2393*",'BALANCE N-1'!$G$2:$G$2000)-SUMIF('BALANCE N-1'!$A$2:$A$2000,"2393*",'BALANCE N-1'!$H$2:$H$2000)+SUMIF('BALANCE N-1'!$A$2:$A$2000,"2396*",'BALANCE N-1'!$G$2:$G$2000)-SUMIF('BALANCE N-1'!$A$2:$A$2000,"2396*",'BALANCE N-1'!$H$2:$H$2000)))-((SUMIF('BALANCE N-1'!$A$2:$A$2000,"2831*",'BALANCE N-1'!$H$2:$H$2000)-SUMIF('BALANCE N-1'!$A$2:$A$2000,"2831*",'BALANCE N-1'!$G$2:$G$2000)+SUMIF('BALANCE N-1'!$A$2:$A$2000,"2832*",'BALANCE N-1'!$H$2:$H$2000)-SUMIF('BALANCE N-1'!$A$2:$A$2000,"2832*",'BALANCE N-1'!$G$2:$G$2000)+SUMIF('BALANCE N-1'!$A$2:$A$2000,"2833*",'BALANCE N-1'!$H$2:$H$2000)-SUMIF('BALANCE N-1'!$A$2:$A$2000,"2833*",'BALANCE N-1'!$G$2:$G$2000)+SUMIF('BALANCE N-1'!$A$2:$A$2000,"2931*",'BALANCE N-1'!$H$2:$H$2000)-SUMIF('BALANCE N-1'!$A$2:$A$2000,"2931*",'BALANCE N-1'!$G$2:$G$2000)+SUMIF('BALANCE N-1'!$A$2:$A$2000,"2932*",'BALANCE N-1'!$H$2:$H$2000)-SUMIF('BALANCE N-1'!$A$2:$A$2000,"2932*",'BALANCE N-1'!$G$2:$G$2000)+SUMIF('BALANCE N-1'!$A$2:$A$2000,"2933*",'BALANCE N-1'!$H$2:$H$2000)-SUMIF('BALANCE N-1'!$A$2:$A$2000,"2933*",'BALANCE N-1'!$G$2:$G$2000)+SUMIF('BALANCE N-1'!$A$2:$A$2000,"2939*",'BALANCE N-1'!$H$2:$H$2000)-SUMIF('BALANCE N-1'!$A$2:$A$2000,"2939*",'BALANCE N-1'!$G$2:$G$2000)))</f>
        <v/>
      </c>
    </row>
    <row r="20" ht="22" customHeight="1">
      <c r="A20" s="78" t="inlineStr">
        <is>
          <t>AK</t>
        </is>
      </c>
      <c r="B20" s="79" t="inlineStr">
        <is>
          <t>Amenagements, agencements et installations</t>
        </is>
      </c>
      <c r="C20" s="90" t="inlineStr"/>
      <c r="D20" s="80">
        <f>(SUMIF('BALANCE N'!$A$2:$A$2000,"234*",'BALANCE N'!$G$2:$G$2000)-SUMIF('BALANCE N'!$A$2:$A$2000,"234*",'BALANCE N'!$H$2:$H$2000)+SUMIF('BALANCE N'!$A$2:$A$2000,"235*",'BALANCE N'!$G$2:$G$2000)-SUMIF('BALANCE N'!$A$2:$A$2000,"235*",'BALANCE N'!$H$2:$H$2000)+SUMIF('BALANCE N'!$A$2:$A$2000,"238*",'BALANCE N'!$G$2:$G$2000)-SUMIF('BALANCE N'!$A$2:$A$2000,"238*",'BALANCE N'!$H$2:$H$2000)+SUMIF('BALANCE N'!$A$2:$A$2000,"2394*",'BALANCE N'!$G$2:$G$2000)-SUMIF('BALANCE N'!$A$2:$A$2000,"2394*",'BALANCE N'!$H$2:$H$2000)+SUMIF('BALANCE N'!$A$2:$A$2000,"2395*",'BALANCE N'!$G$2:$G$2000)-SUMIF('BALANCE N'!$A$2:$A$2000,"2395*",'BALANCE N'!$H$2:$H$2000)+SUMIF('BALANCE N'!$A$2:$A$2000,"2398*",'BALANCE N'!$G$2:$G$2000)-SUMIF('BALANCE N'!$A$2:$A$2000,"2398*",'BALANCE N'!$H$2:$H$2000))</f>
        <v/>
      </c>
      <c r="E20" s="80">
        <f>(SUMIF('BALANCE N'!$A$2:$A$2000,"2834*",'BALANCE N'!$H$2:$H$2000)-SUMIF('BALANCE N'!$A$2:$A$2000,"2834*",'BALANCE N'!$G$2:$G$2000)+SUMIF('BALANCE N'!$A$2:$A$2000,"2835*",'BALANCE N'!$H$2:$H$2000)-SUMIF('BALANCE N'!$A$2:$A$2000,"2835*",'BALANCE N'!$G$2:$G$2000)+SUMIF('BALANCE N'!$A$2:$A$2000,"2838*",'BALANCE N'!$H$2:$H$2000)-SUMIF('BALANCE N'!$A$2:$A$2000,"2838*",'BALANCE N'!$G$2:$G$2000)+SUMIF('BALANCE N'!$A$2:$A$2000,"2934*",'BALANCE N'!$H$2:$H$2000)-SUMIF('BALANCE N'!$A$2:$A$2000,"2934*",'BALANCE N'!$G$2:$G$2000)+SUMIF('BALANCE N'!$A$2:$A$2000,"2935*",'BALANCE N'!$H$2:$H$2000)-SUMIF('BALANCE N'!$A$2:$A$2000,"2935*",'BALANCE N'!$G$2:$G$2000)+SUMIF('BALANCE N'!$A$2:$A$2000,"2938*",'BALANCE N'!$H$2:$H$2000)-SUMIF('BALANCE N'!$A$2:$A$2000,"2938*",'BALANCE N'!$G$2:$G$2000)+SUMIF('BALANCE N'!$A$2:$A$2000,"2939*",'BALANCE N'!$H$2:$H$2000)-SUMIF('BALANCE N'!$A$2:$A$2000,"2939*",'BALANCE N'!$G$2:$G$2000))</f>
        <v/>
      </c>
      <c r="F20" s="80">
        <f>D20-E20</f>
        <v/>
      </c>
      <c r="G20" s="81">
        <f>((SUMIF('BALANCE N-1'!$A$2:$A$2000,"234*",'BALANCE N-1'!$G$2:$G$2000)-SUMIF('BALANCE N-1'!$A$2:$A$2000,"234*",'BALANCE N-1'!$H$2:$H$2000)+SUMIF('BALANCE N-1'!$A$2:$A$2000,"235*",'BALANCE N-1'!$G$2:$G$2000)-SUMIF('BALANCE N-1'!$A$2:$A$2000,"235*",'BALANCE N-1'!$H$2:$H$2000)+SUMIF('BALANCE N-1'!$A$2:$A$2000,"238*",'BALANCE N-1'!$G$2:$G$2000)-SUMIF('BALANCE N-1'!$A$2:$A$2000,"238*",'BALANCE N-1'!$H$2:$H$2000)+SUMIF('BALANCE N-1'!$A$2:$A$2000,"2394*",'BALANCE N-1'!$G$2:$G$2000)-SUMIF('BALANCE N-1'!$A$2:$A$2000,"2394*",'BALANCE N-1'!$H$2:$H$2000)+SUMIF('BALANCE N-1'!$A$2:$A$2000,"2395*",'BALANCE N-1'!$G$2:$G$2000)-SUMIF('BALANCE N-1'!$A$2:$A$2000,"2395*",'BALANCE N-1'!$H$2:$H$2000)+SUMIF('BALANCE N-1'!$A$2:$A$2000,"2398*",'BALANCE N-1'!$G$2:$G$2000)-SUMIF('BALANCE N-1'!$A$2:$A$2000,"2398*",'BALANCE N-1'!$H$2:$H$2000)))-((SUMIF('BALANCE N-1'!$A$2:$A$2000,"2834*",'BALANCE N-1'!$H$2:$H$2000)-SUMIF('BALANCE N-1'!$A$2:$A$2000,"2834*",'BALANCE N-1'!$G$2:$G$2000)+SUMIF('BALANCE N-1'!$A$2:$A$2000,"2835*",'BALANCE N-1'!$H$2:$H$2000)-SUMIF('BALANCE N-1'!$A$2:$A$2000,"2835*",'BALANCE N-1'!$G$2:$G$2000)+SUMIF('BALANCE N-1'!$A$2:$A$2000,"2838*",'BALANCE N-1'!$H$2:$H$2000)-SUMIF('BALANCE N-1'!$A$2:$A$2000,"2838*",'BALANCE N-1'!$G$2:$G$2000)+SUMIF('BALANCE N-1'!$A$2:$A$2000,"2934*",'BALANCE N-1'!$H$2:$H$2000)-SUMIF('BALANCE N-1'!$A$2:$A$2000,"2934*",'BALANCE N-1'!$G$2:$G$2000)+SUMIF('BALANCE N-1'!$A$2:$A$2000,"2935*",'BALANCE N-1'!$H$2:$H$2000)-SUMIF('BALANCE N-1'!$A$2:$A$2000,"2935*",'BALANCE N-1'!$G$2:$G$2000)+SUMIF('BALANCE N-1'!$A$2:$A$2000,"2938*",'BALANCE N-1'!$H$2:$H$2000)-SUMIF('BALANCE N-1'!$A$2:$A$2000,"2938*",'BALANCE N-1'!$G$2:$G$2000)+SUMIF('BALANCE N-1'!$A$2:$A$2000,"2939*",'BALANCE N-1'!$H$2:$H$2000)-SUMIF('BALANCE N-1'!$A$2:$A$2000,"2939*",'BALANCE N-1'!$G$2:$G$2000)))</f>
        <v/>
      </c>
    </row>
    <row r="21" ht="22" customHeight="1">
      <c r="A21" s="78" t="inlineStr">
        <is>
          <t>AL</t>
        </is>
      </c>
      <c r="B21" s="79" t="inlineStr">
        <is>
          <t>Materiel, mobilier et actifs biologiques</t>
        </is>
      </c>
      <c r="C21" s="90" t="inlineStr"/>
      <c r="D21" s="80">
        <f>(SUMIF('BALANCE N'!$A$2:$A$2000,"24*",'BALANCE N'!$G$2:$G$2000)-SUMIF('BALANCE N'!$A$2:$A$2000,"24*",'BALANCE N'!$H$2:$H$2000)-SUMIF('BALANCE N'!$A$2:$A$2000,"245*",'BALANCE N'!$G$2:$G$2000)+SUMIF('BALANCE N'!$A$2:$A$2000,"245*",'BALANCE N'!$H$2:$H$2000)-SUMIF('BALANCE N'!$A$2:$A$2000,"2495*",'BALANCE N'!$G$2:$G$2000)+SUMIF('BALANCE N'!$A$2:$A$2000,"2495*",'BALANCE N'!$H$2:$H$2000))</f>
        <v/>
      </c>
      <c r="E21" s="80">
        <f>(SUMIF('BALANCE N'!$A$2:$A$2000,"284*",'BALANCE N'!$H$2:$H$2000)-SUMIF('BALANCE N'!$A$2:$A$2000,"284*",'BALANCE N'!$G$2:$G$2000)+SUMIF('BALANCE N'!$A$2:$A$2000,"294*",'BALANCE N'!$H$2:$H$2000)-SUMIF('BALANCE N'!$A$2:$A$2000,"294*",'BALANCE N'!$G$2:$G$2000)-SUMIF('BALANCE N'!$A$2:$A$2000,"2845*",'BALANCE N'!$H$2:$H$2000)+SUMIF('BALANCE N'!$A$2:$A$2000,"2845*",'BALANCE N'!$G$2:$G$2000)-SUMIF('BALANCE N'!$A$2:$A$2000,"2945*",'BALANCE N'!$H$2:$H$2000)+SUMIF('BALANCE N'!$A$2:$A$2000,"2945*",'BALANCE N'!$G$2:$G$2000)-SUMIF('BALANCE N'!$A$2:$A$2000,"2949*",'BALANCE N'!$H$2:$H$2000)+SUMIF('BALANCE N'!$A$2:$A$2000,"2949*",'BALANCE N'!$G$2:$G$2000))</f>
        <v/>
      </c>
      <c r="F21" s="80">
        <f>D21-E21</f>
        <v/>
      </c>
      <c r="G21" s="81">
        <f>((SUMIF('BALANCE N-1'!$A$2:$A$2000,"24*",'BALANCE N-1'!$G$2:$G$2000)-SUMIF('BALANCE N-1'!$A$2:$A$2000,"24*",'BALANCE N-1'!$H$2:$H$2000)-SUMIF('BALANCE N-1'!$A$2:$A$2000,"245*",'BALANCE N-1'!$G$2:$G$2000)+SUMIF('BALANCE N-1'!$A$2:$A$2000,"245*",'BALANCE N-1'!$H$2:$H$2000)-SUMIF('BALANCE N-1'!$A$2:$A$2000,"2495*",'BALANCE N-1'!$G$2:$G$2000)+SUMIF('BALANCE N-1'!$A$2:$A$2000,"2495*",'BALANCE N-1'!$H$2:$H$2000)))-((SUMIF('BALANCE N-1'!$A$2:$A$2000,"284*",'BALANCE N-1'!$H$2:$H$2000)-SUMIF('BALANCE N-1'!$A$2:$A$2000,"284*",'BALANCE N-1'!$G$2:$G$2000)+SUMIF('BALANCE N-1'!$A$2:$A$2000,"294*",'BALANCE N-1'!$H$2:$H$2000)-SUMIF('BALANCE N-1'!$A$2:$A$2000,"294*",'BALANCE N-1'!$G$2:$G$2000)-SUMIF('BALANCE N-1'!$A$2:$A$2000,"2845*",'BALANCE N-1'!$H$2:$H$2000)+SUMIF('BALANCE N-1'!$A$2:$A$2000,"2845*",'BALANCE N-1'!$G$2:$G$2000)-SUMIF('BALANCE N-1'!$A$2:$A$2000,"2945*",'BALANCE N-1'!$H$2:$H$2000)+SUMIF('BALANCE N-1'!$A$2:$A$2000,"2945*",'BALANCE N-1'!$G$2:$G$2000)-SUMIF('BALANCE N-1'!$A$2:$A$2000,"2949*",'BALANCE N-1'!$H$2:$H$2000)+SUMIF('BALANCE N-1'!$A$2:$A$2000,"2949*",'BALANCE N-1'!$G$2:$G$2000)))</f>
        <v/>
      </c>
    </row>
    <row r="22" ht="22" customHeight="1">
      <c r="A22" s="78" t="inlineStr">
        <is>
          <t>AM</t>
        </is>
      </c>
      <c r="B22" s="79" t="inlineStr">
        <is>
          <t>Materiel de transport</t>
        </is>
      </c>
      <c r="C22" s="90" t="inlineStr"/>
      <c r="D22" s="80">
        <f>(SUMIF('BALANCE N'!$A$2:$A$2000,"245*",'BALANCE N'!$G$2:$G$2000)-SUMIF('BALANCE N'!$A$2:$A$2000,"245*",'BALANCE N'!$H$2:$H$2000)+SUMIF('BALANCE N'!$A$2:$A$2000,"2495*",'BALANCE N'!$G$2:$G$2000)-SUMIF('BALANCE N'!$A$2:$A$2000,"2495*",'BALANCE N'!$H$2:$H$2000))</f>
        <v/>
      </c>
      <c r="E22" s="80">
        <f>(SUMIF('BALANCE N'!$A$2:$A$2000,"2845*",'BALANCE N'!$H$2:$H$2000)-SUMIF('BALANCE N'!$A$2:$A$2000,"2845*",'BALANCE N'!$G$2:$G$2000)+SUMIF('BALANCE N'!$A$2:$A$2000,"2945*",'BALANCE N'!$H$2:$H$2000)-SUMIF('BALANCE N'!$A$2:$A$2000,"2945*",'BALANCE N'!$G$2:$G$2000)+SUMIF('BALANCE N'!$A$2:$A$2000,"2949*",'BALANCE N'!$H$2:$H$2000)-SUMIF('BALANCE N'!$A$2:$A$2000,"2949*",'BALANCE N'!$G$2:$G$2000))</f>
        <v/>
      </c>
      <c r="F22" s="80">
        <f>D22-E22</f>
        <v/>
      </c>
      <c r="G22" s="81">
        <f>((SUMIF('BALANCE N-1'!$A$2:$A$2000,"245*",'BALANCE N-1'!$G$2:$G$2000)-SUMIF('BALANCE N-1'!$A$2:$A$2000,"245*",'BALANCE N-1'!$H$2:$H$2000)+SUMIF('BALANCE N-1'!$A$2:$A$2000,"2495*",'BALANCE N-1'!$G$2:$G$2000)-SUMIF('BALANCE N-1'!$A$2:$A$2000,"2495*",'BALANCE N-1'!$H$2:$H$2000)))-((SUMIF('BALANCE N-1'!$A$2:$A$2000,"2845*",'BALANCE N-1'!$H$2:$H$2000)-SUMIF('BALANCE N-1'!$A$2:$A$2000,"2845*",'BALANCE N-1'!$G$2:$G$2000)+SUMIF('BALANCE N-1'!$A$2:$A$2000,"2945*",'BALANCE N-1'!$H$2:$H$2000)-SUMIF('BALANCE N-1'!$A$2:$A$2000,"2945*",'BALANCE N-1'!$G$2:$G$2000)+SUMIF('BALANCE N-1'!$A$2:$A$2000,"2949*",'BALANCE N-1'!$H$2:$H$2000)-SUMIF('BALANCE N-1'!$A$2:$A$2000,"2949*",'BALANCE N-1'!$G$2:$G$2000)))</f>
        <v/>
      </c>
    </row>
    <row r="23" ht="22" customHeight="1">
      <c r="A23" s="78" t="inlineStr">
        <is>
          <t>AN</t>
        </is>
      </c>
      <c r="B23" s="79" t="inlineStr">
        <is>
          <t>Avances et acomptes verses sur immobilisations corporelles</t>
        </is>
      </c>
      <c r="C23" s="90" t="inlineStr"/>
      <c r="D23" s="80">
        <f>(SUMIF('BALANCE N'!$A$2:$A$2000,"252*",'BALANCE N'!$G$2:$G$2000)-SUMIF('BALANCE N'!$A$2:$A$2000,"252*",'BALANCE N'!$H$2:$H$2000))</f>
        <v/>
      </c>
      <c r="E23" s="80">
        <f>(SUMIF('BALANCE N'!$A$2:$A$2000,"2952*",'BALANCE N'!$H$2:$H$2000)-SUMIF('BALANCE N'!$A$2:$A$2000,"2952*",'BALANCE N'!$G$2:$G$2000))</f>
        <v/>
      </c>
      <c r="F23" s="80">
        <f>D23-E23</f>
        <v/>
      </c>
      <c r="G23" s="81">
        <f>((SUMIF('BALANCE N-1'!$A$2:$A$2000,"252*",'BALANCE N-1'!$G$2:$G$2000)-SUMIF('BALANCE N-1'!$A$2:$A$2000,"252*",'BALANCE N-1'!$H$2:$H$2000)))-((SUMIF('BALANCE N-1'!$A$2:$A$2000,"2952*",'BALANCE N-1'!$H$2:$H$2000)-SUMIF('BALANCE N-1'!$A$2:$A$2000,"2952*",'BALANCE N-1'!$G$2:$G$2000)))</f>
        <v/>
      </c>
    </row>
    <row r="24" ht="22" customHeight="1">
      <c r="A24" s="74" t="inlineStr">
        <is>
          <t>AO</t>
        </is>
      </c>
      <c r="B24" s="6" t="inlineStr">
        <is>
          <t>IMMOBILISATIONS FINANCIERES</t>
        </is>
      </c>
      <c r="C24" s="91" t="inlineStr">
        <is>
          <t>note 6</t>
        </is>
      </c>
      <c r="D24" s="7">
        <f>D25+D26</f>
        <v/>
      </c>
      <c r="E24" s="7">
        <f>E25+E26</f>
        <v/>
      </c>
      <c r="F24" s="7">
        <f>F25+F26</f>
        <v/>
      </c>
      <c r="G24" s="82">
        <f>G25+G26</f>
        <v/>
      </c>
    </row>
    <row r="25" ht="22" customHeight="1">
      <c r="A25" s="78" t="inlineStr">
        <is>
          <t>AX</t>
        </is>
      </c>
      <c r="B25" s="79" t="inlineStr">
        <is>
          <t>Titres de participation</t>
        </is>
      </c>
      <c r="C25" s="90" t="inlineStr"/>
      <c r="D25" s="80">
        <f>(SUMIF('BALANCE N'!$A$2:$A$2000,"26*",'BALANCE N'!$G$2:$G$2000)-SUMIF('BALANCE N'!$A$2:$A$2000,"26*",'BALANCE N'!$H$2:$H$2000))</f>
        <v/>
      </c>
      <c r="E25" s="80">
        <f>(SUMIF('BALANCE N'!$A$2:$A$2000,"296*",'BALANCE N'!$H$2:$H$2000)-SUMIF('BALANCE N'!$A$2:$A$2000,"296*",'BALANCE N'!$G$2:$G$2000))</f>
        <v/>
      </c>
      <c r="F25" s="80">
        <f>D25-E25</f>
        <v/>
      </c>
      <c r="G25" s="81">
        <f>((SUMIF('BALANCE N-1'!$A$2:$A$2000,"26*",'BALANCE N-1'!$G$2:$G$2000)-SUMIF('BALANCE N-1'!$A$2:$A$2000,"26*",'BALANCE N-1'!$H$2:$H$2000)))-((SUMIF('BALANCE N-1'!$A$2:$A$2000,"296*",'BALANCE N-1'!$H$2:$H$2000)-SUMIF('BALANCE N-1'!$A$2:$A$2000,"296*",'BALANCE N-1'!$G$2:$G$2000)))</f>
        <v/>
      </c>
    </row>
    <row r="26" ht="22" customHeight="1">
      <c r="A26" s="78" t="inlineStr">
        <is>
          <t>AY</t>
        </is>
      </c>
      <c r="B26" s="79" t="inlineStr">
        <is>
          <t>Autres immobilisations financieres</t>
        </is>
      </c>
      <c r="C26" s="90" t="inlineStr"/>
      <c r="D26" s="80">
        <f>(SUMIF('BALANCE N'!$A$2:$A$2000,"27*",'BALANCE N'!$G$2:$G$2000)-SUMIF('BALANCE N'!$A$2:$A$2000,"27*",'BALANCE N'!$H$2:$H$2000))</f>
        <v/>
      </c>
      <c r="E26" s="80">
        <f>(SUMIF('BALANCE N'!$A$2:$A$2000,"297*",'BALANCE N'!$H$2:$H$2000)-SUMIF('BALANCE N'!$A$2:$A$2000,"297*",'BALANCE N'!$G$2:$G$2000))</f>
        <v/>
      </c>
      <c r="F26" s="80">
        <f>D26-E26</f>
        <v/>
      </c>
      <c r="G26" s="81">
        <f>((SUMIF('BALANCE N-1'!$A$2:$A$2000,"27*",'BALANCE N-1'!$G$2:$G$2000)-SUMIF('BALANCE N-1'!$A$2:$A$2000,"27*",'BALANCE N-1'!$H$2:$H$2000)))-((SUMIF('BALANCE N-1'!$A$2:$A$2000,"297*",'BALANCE N-1'!$H$2:$H$2000)-SUMIF('BALANCE N-1'!$A$2:$A$2000,"297*",'BALANCE N-1'!$G$2:$G$2000)))</f>
        <v/>
      </c>
    </row>
    <row r="27" ht="22" customHeight="1">
      <c r="A27" s="74" t="inlineStr">
        <is>
          <t>AZ</t>
        </is>
      </c>
      <c r="B27" s="83" t="inlineStr">
        <is>
          <t>TOTAL ACTIF IMMOBILISE</t>
        </is>
      </c>
      <c r="C27" s="92" t="inlineStr"/>
      <c r="D27" s="84">
        <f>D10+D13+D17+D24</f>
        <v/>
      </c>
      <c r="E27" s="84">
        <f>E10+E13+E17+E24</f>
        <v/>
      </c>
      <c r="F27" s="84">
        <f>F10+F13+F17+F24</f>
        <v/>
      </c>
      <c r="G27" s="85">
        <f>G10+G13+G17+G24</f>
        <v/>
      </c>
    </row>
    <row r="28" ht="22" customHeight="1">
      <c r="A28" s="78" t="inlineStr">
        <is>
          <t>BA</t>
        </is>
      </c>
      <c r="B28" s="79" t="inlineStr">
        <is>
          <t>Actif circulant HAO</t>
        </is>
      </c>
      <c r="C28" s="90" t="inlineStr">
        <is>
          <t>note 7</t>
        </is>
      </c>
      <c r="D28" s="80">
        <f>(SUMIF('BALANCE N'!$A$2:$A$2000,"485*",'BALANCE N'!$G$2:$G$2000)-SUMIF('BALANCE N'!$A$2:$A$2000,"485*",'BALANCE N'!$H$2:$H$2000)+SUMIF('BALANCE N'!$A$2:$A$2000,"4865*",'BALANCE N'!$G$2:$G$2000)-SUMIF('BALANCE N'!$A$2:$A$2000,"4865*",'BALANCE N'!$H$2:$H$2000))</f>
        <v/>
      </c>
      <c r="E28" s="80">
        <f>(SUMIF('BALANCE N'!$A$2:$A$2000,"498*",'BALANCE N'!$H$2:$H$2000)-SUMIF('BALANCE N'!$A$2:$A$2000,"498*",'BALANCE N'!$G$2:$G$2000))</f>
        <v/>
      </c>
      <c r="F28" s="80">
        <f>D28-E28</f>
        <v/>
      </c>
      <c r="G28" s="81">
        <f>((SUMIF('BALANCE N-1'!$A$2:$A$2000,"485*",'BALANCE N-1'!$G$2:$G$2000)-SUMIF('BALANCE N-1'!$A$2:$A$2000,"485*",'BALANCE N-1'!$H$2:$H$2000)+SUMIF('BALANCE N-1'!$A$2:$A$2000,"4865*",'BALANCE N-1'!$G$2:$G$2000)-SUMIF('BALANCE N-1'!$A$2:$A$2000,"4865*",'BALANCE N-1'!$H$2:$H$2000)))-((SUMIF('BALANCE N-1'!$A$2:$A$2000,"498*",'BALANCE N-1'!$H$2:$H$2000)-SUMIF('BALANCE N-1'!$A$2:$A$2000,"498*",'BALANCE N-1'!$G$2:$G$2000)))</f>
        <v/>
      </c>
    </row>
    <row r="29" ht="22" customHeight="1">
      <c r="A29" s="78" t="inlineStr">
        <is>
          <t>BB</t>
        </is>
      </c>
      <c r="B29" s="79" t="inlineStr">
        <is>
          <t>Stocks et encours</t>
        </is>
      </c>
      <c r="C29" s="90" t="inlineStr">
        <is>
          <t>note 8</t>
        </is>
      </c>
      <c r="D29" s="80">
        <f>(SUMIF('BALANCE N'!$A$2:$A$2000,"31*",'BALANCE N'!$G$2:$G$2000)-SUMIF('BALANCE N'!$A$2:$A$2000,"31*",'BALANCE N'!$H$2:$H$2000)+SUMIF('BALANCE N'!$A$2:$A$2000,"32*",'BALANCE N'!$G$2:$G$2000)-SUMIF('BALANCE N'!$A$2:$A$2000,"32*",'BALANCE N'!$H$2:$H$2000)+SUMIF('BALANCE N'!$A$2:$A$2000,"33*",'BALANCE N'!$G$2:$G$2000)-SUMIF('BALANCE N'!$A$2:$A$2000,"33*",'BALANCE N'!$H$2:$H$2000)+SUMIF('BALANCE N'!$A$2:$A$2000,"34*",'BALANCE N'!$G$2:$G$2000)-SUMIF('BALANCE N'!$A$2:$A$2000,"34*",'BALANCE N'!$H$2:$H$2000)+SUMIF('BALANCE N'!$A$2:$A$2000,"36*",'BALANCE N'!$G$2:$G$2000)-SUMIF('BALANCE N'!$A$2:$A$2000,"36*",'BALANCE N'!$H$2:$H$2000)+SUMIF('BALANCE N'!$A$2:$A$2000,"37*",'BALANCE N'!$G$2:$G$2000)-SUMIF('BALANCE N'!$A$2:$A$2000,"37*",'BALANCE N'!$H$2:$H$2000)+SUMIF('BALANCE N'!$A$2:$A$2000,"38*",'BALANCE N'!$G$2:$G$2000)-SUMIF('BALANCE N'!$A$2:$A$2000,"38*",'BALANCE N'!$H$2:$H$2000))</f>
        <v/>
      </c>
      <c r="E29" s="80">
        <f>(SUMIF('BALANCE N'!$A$2:$A$2000,"39*",'BALANCE N'!$H$2:$H$2000)-SUMIF('BALANCE N'!$A$2:$A$2000,"39*",'BALANCE N'!$G$2:$G$2000))</f>
        <v/>
      </c>
      <c r="F29" s="80">
        <f>D29-E29</f>
        <v/>
      </c>
      <c r="G29" s="81">
        <f>((SUMIF('BALANCE N-1'!$A$2:$A$2000,"31*",'BALANCE N-1'!$G$2:$G$2000)-SUMIF('BALANCE N-1'!$A$2:$A$2000,"31*",'BALANCE N-1'!$H$2:$H$2000)+SUMIF('BALANCE N-1'!$A$2:$A$2000,"32*",'BALANCE N-1'!$G$2:$G$2000)-SUMIF('BALANCE N-1'!$A$2:$A$2000,"32*",'BALANCE N-1'!$H$2:$H$2000)+SUMIF('BALANCE N-1'!$A$2:$A$2000,"33*",'BALANCE N-1'!$G$2:$G$2000)-SUMIF('BALANCE N-1'!$A$2:$A$2000,"33*",'BALANCE N-1'!$H$2:$H$2000)+SUMIF('BALANCE N-1'!$A$2:$A$2000,"34*",'BALANCE N-1'!$G$2:$G$2000)-SUMIF('BALANCE N-1'!$A$2:$A$2000,"34*",'BALANCE N-1'!$H$2:$H$2000)+SUMIF('BALANCE N-1'!$A$2:$A$2000,"36*",'BALANCE N-1'!$G$2:$G$2000)-SUMIF('BALANCE N-1'!$A$2:$A$2000,"36*",'BALANCE N-1'!$H$2:$H$2000)+SUMIF('BALANCE N-1'!$A$2:$A$2000,"37*",'BALANCE N-1'!$G$2:$G$2000)-SUMIF('BALANCE N-1'!$A$2:$A$2000,"37*",'BALANCE N-1'!$H$2:$H$2000)+SUMIF('BALANCE N-1'!$A$2:$A$2000,"38*",'BALANCE N-1'!$G$2:$G$2000)-SUMIF('BALANCE N-1'!$A$2:$A$2000,"38*",'BALANCE N-1'!$H$2:$H$2000)))-((SUMIF('BALANCE N-1'!$A$2:$A$2000,"39*",'BALANCE N-1'!$H$2:$H$2000)-SUMIF('BALANCE N-1'!$A$2:$A$2000,"39*",'BALANCE N-1'!$G$2:$G$2000)))</f>
        <v/>
      </c>
    </row>
    <row r="30" ht="22" customHeight="1">
      <c r="A30" s="78" t="inlineStr">
        <is>
          <t>BC</t>
        </is>
      </c>
      <c r="B30" s="79" t="inlineStr">
        <is>
          <t>Fournisseurs debiteurs</t>
        </is>
      </c>
      <c r="C30" s="90" t="inlineStr">
        <is>
          <t>note 19</t>
        </is>
      </c>
      <c r="D30" s="80">
        <f>(SUMIF('BALANCE N'!$A$2:$A$2000,"409*",'BALANCE N'!$G$2:$G$2000)-SUMIF('BALANCE N'!$A$2:$A$2000,"409*",'BALANCE N'!$H$2:$H$2000))</f>
        <v/>
      </c>
      <c r="E30" s="80">
        <f>(SUMIF('BALANCE N'!$A$2:$A$2000,"490*",'BALANCE N'!$H$2:$H$2000)-SUMIF('BALANCE N'!$A$2:$A$2000,"490*",'BALANCE N'!$G$2:$G$2000))</f>
        <v/>
      </c>
      <c r="F30" s="80">
        <f>D30-E30</f>
        <v/>
      </c>
      <c r="G30" s="81">
        <f>((SUMIF('BALANCE N-1'!$A$2:$A$2000,"409*",'BALANCE N-1'!$G$2:$G$2000)-SUMIF('BALANCE N-1'!$A$2:$A$2000,"409*",'BALANCE N-1'!$H$2:$H$2000)))-((SUMIF('BALANCE N-1'!$A$2:$A$2000,"490*",'BALANCE N-1'!$H$2:$H$2000)-SUMIF('BALANCE N-1'!$A$2:$A$2000,"490*",'BALANCE N-1'!$G$2:$G$2000)))</f>
        <v/>
      </c>
    </row>
    <row r="31" ht="22" customHeight="1">
      <c r="A31" s="78" t="inlineStr">
        <is>
          <t>BD</t>
        </is>
      </c>
      <c r="B31" s="79" t="inlineStr">
        <is>
          <t>Adherents, Clients-usagers</t>
        </is>
      </c>
      <c r="C31" s="90" t="inlineStr">
        <is>
          <t>note 9</t>
        </is>
      </c>
      <c r="D31" s="80">
        <f>(SUMIF('BALANCE N'!$A$2:$A$2000,"41*",'BALANCE N'!$G$2:$G$2000)-SUMIF('BALANCE N'!$A$2:$A$2000,"41*",'BALANCE N'!$H$2:$H$2000)-SUMIF('BALANCE N'!$A$2:$A$2000,"419*",'BALANCE N'!$G$2:$G$2000)+SUMIF('BALANCE N'!$A$2:$A$2000,"419*",'BALANCE N'!$H$2:$H$2000))</f>
        <v/>
      </c>
      <c r="E31" s="80">
        <f>(SUMIF('BALANCE N'!$A$2:$A$2000,"491*",'BALANCE N'!$H$2:$H$2000)-SUMIF('BALANCE N'!$A$2:$A$2000,"491*",'BALANCE N'!$G$2:$G$2000))</f>
        <v/>
      </c>
      <c r="F31" s="80">
        <f>D31-E31</f>
        <v/>
      </c>
      <c r="G31" s="81">
        <f>((SUMIF('BALANCE N-1'!$A$2:$A$2000,"41*",'BALANCE N-1'!$G$2:$G$2000)-SUMIF('BALANCE N-1'!$A$2:$A$2000,"41*",'BALANCE N-1'!$H$2:$H$2000)-SUMIF('BALANCE N-1'!$A$2:$A$2000,"419*",'BALANCE N-1'!$G$2:$G$2000)+SUMIF('BALANCE N-1'!$A$2:$A$2000,"419*",'BALANCE N-1'!$H$2:$H$2000)))-((SUMIF('BALANCE N-1'!$A$2:$A$2000,"491*",'BALANCE N-1'!$H$2:$H$2000)-SUMIF('BALANCE N-1'!$A$2:$A$2000,"491*",'BALANCE N-1'!$G$2:$G$2000)))</f>
        <v/>
      </c>
    </row>
    <row r="32" ht="22" customHeight="1">
      <c r="A32" s="78" t="inlineStr">
        <is>
          <t>BE</t>
        </is>
      </c>
      <c r="B32" s="79" t="inlineStr">
        <is>
          <t>Autres creances</t>
        </is>
      </c>
      <c r="C32" s="90" t="inlineStr">
        <is>
          <t>note 10</t>
        </is>
      </c>
      <c r="D32" s="80">
        <f>(SUMIF('BALANCE N'!$A$2:$A$2000,"42*",'BALANCE N'!$G$2:$G$2000)+SUMIF('BALANCE N'!$A$2:$A$2000,"43*",'BALANCE N'!$G$2:$G$2000)+SUMIF('BALANCE N'!$A$2:$A$2000,"44*",'BALANCE N'!$G$2:$G$2000)+SUMIF('BALANCE N'!$A$2:$A$2000,"45*",'BALANCE N'!$G$2:$G$2000)+SUMIF('BALANCE N'!$A$2:$A$2000,"46*",'BALANCE N'!$G$2:$G$2000)+SUMIF('BALANCE N'!$A$2:$A$2000,"47*",'BALANCE N'!$G$2:$G$2000)-SUMIF('BALANCE N'!$A$2:$A$2000,"478*",'BALANCE N'!$G$2:$G$2000))</f>
        <v/>
      </c>
      <c r="E32" s="80">
        <f>(SUMIF('BALANCE N'!$A$2:$A$2000,"492*",'BALANCE N'!$H$2:$H$2000)-SUMIF('BALANCE N'!$A$2:$A$2000,"492*",'BALANCE N'!$G$2:$G$2000)+SUMIF('BALANCE N'!$A$2:$A$2000,"493*",'BALANCE N'!$H$2:$H$2000)-SUMIF('BALANCE N'!$A$2:$A$2000,"493*",'BALANCE N'!$G$2:$G$2000)+SUMIF('BALANCE N'!$A$2:$A$2000,"494*",'BALANCE N'!$H$2:$H$2000)-SUMIF('BALANCE N'!$A$2:$A$2000,"494*",'BALANCE N'!$G$2:$G$2000)+SUMIF('BALANCE N'!$A$2:$A$2000,"497*",'BALANCE N'!$H$2:$H$2000)-SUMIF('BALANCE N'!$A$2:$A$2000,"497*",'BALANCE N'!$G$2:$G$2000))</f>
        <v/>
      </c>
      <c r="F32" s="80">
        <f>D32-E32</f>
        <v/>
      </c>
      <c r="G32" s="81">
        <f>((SUMIF('BALANCE N-1'!$A$2:$A$2000,"42*",'BALANCE N-1'!$G$2:$G$2000)+SUMIF('BALANCE N-1'!$A$2:$A$2000,"43*",'BALANCE N-1'!$G$2:$G$2000)+SUMIF('BALANCE N-1'!$A$2:$A$2000,"44*",'BALANCE N-1'!$G$2:$G$2000)+SUMIF('BALANCE N-1'!$A$2:$A$2000,"45*",'BALANCE N-1'!$G$2:$G$2000)+SUMIF('BALANCE N-1'!$A$2:$A$2000,"46*",'BALANCE N-1'!$G$2:$G$2000)+SUMIF('BALANCE N-1'!$A$2:$A$2000,"47*",'BALANCE N-1'!$G$2:$G$2000)-SUMIF('BALANCE N-1'!$A$2:$A$2000,"478*",'BALANCE N-1'!$G$2:$G$2000)))-((SUMIF('BALANCE N-1'!$A$2:$A$2000,"492*",'BALANCE N-1'!$H$2:$H$2000)-SUMIF('BALANCE N-1'!$A$2:$A$2000,"492*",'BALANCE N-1'!$G$2:$G$2000)+SUMIF('BALANCE N-1'!$A$2:$A$2000,"493*",'BALANCE N-1'!$H$2:$H$2000)-SUMIF('BALANCE N-1'!$A$2:$A$2000,"493*",'BALANCE N-1'!$G$2:$G$2000)+SUMIF('BALANCE N-1'!$A$2:$A$2000,"494*",'BALANCE N-1'!$H$2:$H$2000)-SUMIF('BALANCE N-1'!$A$2:$A$2000,"494*",'BALANCE N-1'!$G$2:$G$2000)+SUMIF('BALANCE N-1'!$A$2:$A$2000,"497*",'BALANCE N-1'!$H$2:$H$2000)-SUMIF('BALANCE N-1'!$A$2:$A$2000,"497*",'BALANCE N-1'!$G$2:$G$2000)))</f>
        <v/>
      </c>
    </row>
    <row r="33" ht="22" customHeight="1">
      <c r="A33" s="74" t="inlineStr">
        <is>
          <t>BT</t>
        </is>
      </c>
      <c r="B33" s="83" t="inlineStr">
        <is>
          <t>TOTAL ACTIF CIRCULANT</t>
        </is>
      </c>
      <c r="C33" s="92" t="inlineStr"/>
      <c r="D33" s="84">
        <f>D28+D29+D30+D31+D32</f>
        <v/>
      </c>
      <c r="E33" s="84">
        <f>E28+E29+E30+E31+E32</f>
        <v/>
      </c>
      <c r="F33" s="84">
        <f>F28+F29+F30+F31+F32</f>
        <v/>
      </c>
      <c r="G33" s="85">
        <f>G28+G29+G30+G31+G32</f>
        <v/>
      </c>
    </row>
    <row r="34" ht="22" customHeight="1">
      <c r="A34" s="78" t="inlineStr">
        <is>
          <t>BU</t>
        </is>
      </c>
      <c r="B34" s="79" t="inlineStr">
        <is>
          <t>Titres de placement</t>
        </is>
      </c>
      <c r="C34" s="90" t="inlineStr">
        <is>
          <t>note 11</t>
        </is>
      </c>
      <c r="D34" s="80">
        <f>(SUMIF('BALANCE N'!$A$2:$A$2000,"50*",'BALANCE N'!$G$2:$G$2000)-SUMIF('BALANCE N'!$A$2:$A$2000,"50*",'BALANCE N'!$H$2:$H$2000))</f>
        <v/>
      </c>
      <c r="E34" s="80">
        <f>(SUMIF('BALANCE N'!$A$2:$A$2000,"590*",'BALANCE N'!$H$2:$H$2000)-SUMIF('BALANCE N'!$A$2:$A$2000,"590*",'BALANCE N'!$G$2:$G$2000))</f>
        <v/>
      </c>
      <c r="F34" s="80">
        <f>D34-E34</f>
        <v/>
      </c>
      <c r="G34" s="81">
        <f>((SUMIF('BALANCE N-1'!$A$2:$A$2000,"50*",'BALANCE N-1'!$G$2:$G$2000)-SUMIF('BALANCE N-1'!$A$2:$A$2000,"50*",'BALANCE N-1'!$H$2:$H$2000)))-((SUMIF('BALANCE N-1'!$A$2:$A$2000,"590*",'BALANCE N-1'!$H$2:$H$2000)-SUMIF('BALANCE N-1'!$A$2:$A$2000,"590*",'BALANCE N-1'!$G$2:$G$2000)))</f>
        <v/>
      </c>
    </row>
    <row r="35" ht="22" customHeight="1">
      <c r="A35" s="78" t="inlineStr">
        <is>
          <t>BV</t>
        </is>
      </c>
      <c r="B35" s="79" t="inlineStr">
        <is>
          <t>Valeurs a encaisser</t>
        </is>
      </c>
      <c r="C35" s="90" t="inlineStr">
        <is>
          <t>note 12</t>
        </is>
      </c>
      <c r="D35" s="80">
        <f>(SUMIF('BALANCE N'!$A$2:$A$2000,"51*",'BALANCE N'!$G$2:$G$2000)-SUMIF('BALANCE N'!$A$2:$A$2000,"51*",'BALANCE N'!$H$2:$H$2000))</f>
        <v/>
      </c>
      <c r="E35" s="80">
        <f>(SUMIF('BALANCE N'!$A$2:$A$2000,"591*",'BALANCE N'!$H$2:$H$2000)-SUMIF('BALANCE N'!$A$2:$A$2000,"591*",'BALANCE N'!$G$2:$G$2000))</f>
        <v/>
      </c>
      <c r="F35" s="80">
        <f>D35-E35</f>
        <v/>
      </c>
      <c r="G35" s="81">
        <f>((SUMIF('BALANCE N-1'!$A$2:$A$2000,"51*",'BALANCE N-1'!$G$2:$G$2000)-SUMIF('BALANCE N-1'!$A$2:$A$2000,"51*",'BALANCE N-1'!$H$2:$H$2000)))-((SUMIF('BALANCE N-1'!$A$2:$A$2000,"591*",'BALANCE N-1'!$H$2:$H$2000)-SUMIF('BALANCE N-1'!$A$2:$A$2000,"591*",'BALANCE N-1'!$G$2:$G$2000)))</f>
        <v/>
      </c>
    </row>
    <row r="36" ht="22" customHeight="1">
      <c r="A36" s="78" t="inlineStr">
        <is>
          <t>BW</t>
        </is>
      </c>
      <c r="B36" s="79" t="inlineStr">
        <is>
          <t>Banques, etablissements financiers, caisses et assimiles</t>
        </is>
      </c>
      <c r="C36" s="90" t="inlineStr">
        <is>
          <t>note 13</t>
        </is>
      </c>
      <c r="D36" s="80">
        <f>(SUMIF('BALANCE N'!$A$2:$A$2000,"52*",'BALANCE N'!$G$2:$G$2000)-SUMIF('BALANCE N'!$A$2:$A$2000,"52*",'BALANCE N'!$H$2:$H$2000)+SUMIF('BALANCE N'!$A$2:$A$2000,"53*",'BALANCE N'!$G$2:$G$2000)-SUMIF('BALANCE N'!$A$2:$A$2000,"53*",'BALANCE N'!$H$2:$H$2000)+SUMIF('BALANCE N'!$A$2:$A$2000,"55*",'BALANCE N'!$G$2:$G$2000)-SUMIF('BALANCE N'!$A$2:$A$2000,"55*",'BALANCE N'!$H$2:$H$2000)+SUMIF('BALANCE N'!$A$2:$A$2000,"57*",'BALANCE N'!$G$2:$G$2000)-SUMIF('BALANCE N'!$A$2:$A$2000,"57*",'BALANCE N'!$H$2:$H$2000))</f>
        <v/>
      </c>
      <c r="E36" s="80">
        <f>(SUMIF('BALANCE N'!$A$2:$A$2000,"592*",'BALANCE N'!$H$2:$H$2000)-SUMIF('BALANCE N'!$A$2:$A$2000,"592*",'BALANCE N'!$G$2:$G$2000)+SUMIF('BALANCE N'!$A$2:$A$2000,"593*",'BALANCE N'!$H$2:$H$2000)-SUMIF('BALANCE N'!$A$2:$A$2000,"593*",'BALANCE N'!$G$2:$G$2000)+SUMIF('BALANCE N'!$A$2:$A$2000,"595*",'BALANCE N'!$H$2:$H$2000)-SUMIF('BALANCE N'!$A$2:$A$2000,"595*",'BALANCE N'!$G$2:$G$2000))</f>
        <v/>
      </c>
      <c r="F36" s="80">
        <f>D36-E36</f>
        <v/>
      </c>
      <c r="G36" s="81">
        <f>((SUMIF('BALANCE N-1'!$A$2:$A$2000,"52*",'BALANCE N-1'!$G$2:$G$2000)-SUMIF('BALANCE N-1'!$A$2:$A$2000,"52*",'BALANCE N-1'!$H$2:$H$2000)+SUMIF('BALANCE N-1'!$A$2:$A$2000,"53*",'BALANCE N-1'!$G$2:$G$2000)-SUMIF('BALANCE N-1'!$A$2:$A$2000,"53*",'BALANCE N-1'!$H$2:$H$2000)+SUMIF('BALANCE N-1'!$A$2:$A$2000,"55*",'BALANCE N-1'!$G$2:$G$2000)-SUMIF('BALANCE N-1'!$A$2:$A$2000,"55*",'BALANCE N-1'!$H$2:$H$2000)+SUMIF('BALANCE N-1'!$A$2:$A$2000,"57*",'BALANCE N-1'!$G$2:$G$2000)-SUMIF('BALANCE N-1'!$A$2:$A$2000,"57*",'BALANCE N-1'!$H$2:$H$2000)))-((SUMIF('BALANCE N-1'!$A$2:$A$2000,"592*",'BALANCE N-1'!$H$2:$H$2000)-SUMIF('BALANCE N-1'!$A$2:$A$2000,"592*",'BALANCE N-1'!$G$2:$G$2000)+SUMIF('BALANCE N-1'!$A$2:$A$2000,"593*",'BALANCE N-1'!$H$2:$H$2000)-SUMIF('BALANCE N-1'!$A$2:$A$2000,"593*",'BALANCE N-1'!$G$2:$G$2000)+SUMIF('BALANCE N-1'!$A$2:$A$2000,"595*",'BALANCE N-1'!$H$2:$H$2000)-SUMIF('BALANCE N-1'!$A$2:$A$2000,"595*",'BALANCE N-1'!$G$2:$G$2000)))</f>
        <v/>
      </c>
    </row>
    <row r="37" ht="22" customHeight="1">
      <c r="A37" s="74" t="inlineStr">
        <is>
          <t>BX</t>
        </is>
      </c>
      <c r="B37" s="83" t="inlineStr">
        <is>
          <t>TOTAL TRESORERIE ACTIF</t>
        </is>
      </c>
      <c r="C37" s="92" t="inlineStr"/>
      <c r="D37" s="84">
        <f>D34+D35+D36</f>
        <v/>
      </c>
      <c r="E37" s="84">
        <f>E34+E35+E36</f>
        <v/>
      </c>
      <c r="F37" s="84">
        <f>F34+F35+F36</f>
        <v/>
      </c>
      <c r="G37" s="85">
        <f>G34+G35+G36</f>
        <v/>
      </c>
    </row>
    <row r="38" ht="22" customHeight="1">
      <c r="A38" s="78" t="inlineStr">
        <is>
          <t>BY</t>
        </is>
      </c>
      <c r="B38" s="79" t="inlineStr">
        <is>
          <t>Ecart de conversion-Actif</t>
        </is>
      </c>
      <c r="C38" s="90" t="inlineStr">
        <is>
          <t>note 14</t>
        </is>
      </c>
      <c r="D38" s="80">
        <f>(SUMIF('BALANCE N'!$A$2:$A$2000,"478*",'BALANCE N'!$G$2:$G$2000)-SUMIF('BALANCE N'!$A$2:$A$2000,"478*",'BALANCE N'!$H$2:$H$2000))</f>
        <v/>
      </c>
      <c r="E38" s="80" t="n">
        <v>0</v>
      </c>
      <c r="F38" s="80">
        <f>D38-E38</f>
        <v/>
      </c>
      <c r="G38" s="81">
        <f>((SUMIF('BALANCE N-1'!$A$2:$A$2000,"478*",'BALANCE N-1'!$G$2:$G$2000)-SUMIF('BALANCE N-1'!$A$2:$A$2000,"478*",'BALANCE N-1'!$H$2:$H$2000)))-(0)</f>
        <v/>
      </c>
    </row>
    <row r="39" ht="22" customHeight="1">
      <c r="A39" s="86" t="inlineStr">
        <is>
          <t>BZ</t>
        </is>
      </c>
      <c r="B39" s="4" t="inlineStr">
        <is>
          <t>TOTAL GENERAL</t>
        </is>
      </c>
      <c r="C39" s="93" t="inlineStr"/>
      <c r="D39" s="5">
        <f>D27+D33+D37+D38</f>
        <v/>
      </c>
      <c r="E39" s="5">
        <f>E27+E33+E37+E38</f>
        <v/>
      </c>
      <c r="F39" s="5">
        <f>F27+F33+F37+F38</f>
        <v/>
      </c>
      <c r="G39" s="87">
        <f>G27+G33+G37+G38</f>
        <v/>
      </c>
    </row>
  </sheetData>
  <mergeCells count="7">
    <mergeCell ref="F2:G2"/>
    <mergeCell ref="A8:A9"/>
    <mergeCell ref="B7:F7"/>
    <mergeCell ref="C8:C9"/>
    <mergeCell ref="B4:D4"/>
    <mergeCell ref="B8:B9"/>
    <mergeCell ref="D8:F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.5" customWidth="1" min="1" max="1"/>
    <col width="52" customWidth="1" min="2" max="2"/>
    <col width="6.5" customWidth="1" min="3" max="3"/>
    <col width="15.7" customWidth="1" min="4" max="4"/>
    <col width="15.7" customWidth="1" min="5" max="5"/>
    <col width="15.7" customWidth="1" min="6" max="6"/>
    <col width="15.7" customWidth="1" min="7" max="7"/>
  </cols>
  <sheetData>
    <row r="1" ht="12" customHeight="1">
      <c r="A1" s="50" t="inlineStr">
        <is>
          <t>- 5 -</t>
        </is>
      </c>
    </row>
    <row r="2" ht="26" customHeight="1">
      <c r="D2" s="51" t="inlineStr">
        <is>
          <t>BILAN SYSTEME NORMAL
PAGE 2/2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B7" s="66" t="inlineStr">
        <is>
          <t>BILAN</t>
        </is>
      </c>
      <c r="C7" s="67" t="n"/>
      <c r="D7" s="67" t="n"/>
    </row>
    <row r="8" ht="22" customHeight="1">
      <c r="A8" s="68" t="inlineStr">
        <is>
          <t>REF</t>
        </is>
      </c>
      <c r="B8" s="88" t="inlineStr">
        <is>
          <t>PASSIF</t>
        </is>
      </c>
      <c r="C8" s="69" t="inlineStr">
        <is>
          <t>NOTE</t>
        </is>
      </c>
      <c r="D8" s="69" t="inlineStr">
        <is>
          <t>EXERCICE AU 31/12/N</t>
        </is>
      </c>
      <c r="E8" s="70" t="inlineStr">
        <is>
          <t>EXERCICE AU 31/12/N-1</t>
        </is>
      </c>
    </row>
    <row r="9" ht="22" customHeight="1">
      <c r="A9" s="71" t="n"/>
      <c r="B9" s="72" t="n"/>
      <c r="C9" s="72" t="n"/>
      <c r="D9" s="72" t="inlineStr">
        <is>
          <t>NET</t>
        </is>
      </c>
      <c r="E9" s="73" t="inlineStr">
        <is>
          <t>NET</t>
        </is>
      </c>
    </row>
    <row r="10" ht="22" customHeight="1">
      <c r="A10" s="78" t="inlineStr">
        <is>
          <t>CA</t>
        </is>
      </c>
      <c r="B10" s="79" t="inlineStr">
        <is>
          <t>Donation non consomptible sans droit reprise</t>
        </is>
      </c>
      <c r="C10" s="90" t="inlineStr">
        <is>
          <t>note 15</t>
        </is>
      </c>
      <c r="D10" s="80">
        <f>(SUMIF('BALANCE N'!$A$2:$A$2000,"101*",'BALANCE N'!$H$2:$H$2000)-SUMIF('BALANCE N'!$A$2:$A$2000,"101*",'BALANCE N'!$G$2:$G$2000))</f>
        <v/>
      </c>
      <c r="E10" s="81">
        <f>(SUMIF('BALANCE N-1'!$A$2:$A$2000,"101*",'BALANCE N-1'!$H$2:$H$2000)-SUMIF('BALANCE N-1'!$A$2:$A$2000,"101*",'BALANCE N-1'!$G$2:$G$2000))</f>
        <v/>
      </c>
    </row>
    <row r="11" ht="22" customHeight="1">
      <c r="A11" s="78" t="inlineStr">
        <is>
          <t>CB</t>
        </is>
      </c>
      <c r="B11" s="79" t="inlineStr">
        <is>
          <t>Donation non consomptible avec droit reprise</t>
        </is>
      </c>
      <c r="C11" s="90" t="inlineStr">
        <is>
          <t>note 15</t>
        </is>
      </c>
      <c r="D11" s="80">
        <f>(SUMIF('BALANCE N'!$A$2:$A$2000,"102*",'BALANCE N'!$H$2:$H$2000)-SUMIF('BALANCE N'!$A$2:$A$2000,"102*",'BALANCE N'!$G$2:$G$2000))</f>
        <v/>
      </c>
      <c r="E11" s="81">
        <f>(SUMIF('BALANCE N-1'!$A$2:$A$2000,"102*",'BALANCE N-1'!$H$2:$H$2000)-SUMIF('BALANCE N-1'!$A$2:$A$2000,"102*",'BALANCE N-1'!$G$2:$G$2000))</f>
        <v/>
      </c>
    </row>
    <row r="12" ht="22" customHeight="1">
      <c r="A12" s="78" t="inlineStr">
        <is>
          <t>CC</t>
        </is>
      </c>
      <c r="B12" s="79" t="inlineStr">
        <is>
          <t>Droit d'entree</t>
        </is>
      </c>
      <c r="C12" s="90" t="inlineStr">
        <is>
          <t>note 15</t>
        </is>
      </c>
      <c r="D12" s="80">
        <f>(SUMIF('BALANCE N'!$A$2:$A$2000,"103*",'BALANCE N'!$H$2:$H$2000)-SUMIF('BALANCE N'!$A$2:$A$2000,"103*",'BALANCE N'!$G$2:$G$2000))</f>
        <v/>
      </c>
      <c r="E12" s="81">
        <f>(SUMIF('BALANCE N-1'!$A$2:$A$2000,"103*",'BALANCE N-1'!$H$2:$H$2000)-SUMIF('BALANCE N-1'!$A$2:$A$2000,"103*",'BALANCE N-1'!$G$2:$G$2000))</f>
        <v/>
      </c>
    </row>
    <row r="13" ht="22" customHeight="1">
      <c r="A13" s="78" t="inlineStr">
        <is>
          <t>CD</t>
        </is>
      </c>
      <c r="B13" s="79" t="inlineStr">
        <is>
          <t>Donation consomptible</t>
        </is>
      </c>
      <c r="C13" s="90" t="inlineStr">
        <is>
          <t>note 15</t>
        </is>
      </c>
      <c r="D13" s="80">
        <f>(SUMIF('BALANCE N'!$A$2:$A$2000,"104*",'BALANCE N'!$H$2:$H$2000)-SUMIF('BALANCE N'!$A$2:$A$2000,"104*",'BALANCE N'!$G$2:$G$2000))</f>
        <v/>
      </c>
      <c r="E13" s="81">
        <f>(SUMIF('BALANCE N-1'!$A$2:$A$2000,"104*",'BALANCE N-1'!$H$2:$H$2000)-SUMIF('BALANCE N-1'!$A$2:$A$2000,"104*",'BALANCE N-1'!$G$2:$G$2000))</f>
        <v/>
      </c>
    </row>
    <row r="14" ht="22" customHeight="1">
      <c r="A14" s="78" t="inlineStr">
        <is>
          <t>CE</t>
        </is>
      </c>
      <c r="B14" s="79" t="inlineStr">
        <is>
          <t>Ecarts de reevaluation</t>
        </is>
      </c>
      <c r="C14" s="90" t="inlineStr">
        <is>
          <t>note 5F</t>
        </is>
      </c>
      <c r="D14" s="80">
        <f>(SUMIF('BALANCE N'!$A$2:$A$2000,"106*",'BALANCE N'!$H$2:$H$2000)-SUMIF('BALANCE N'!$A$2:$A$2000,"106*",'BALANCE N'!$G$2:$G$2000))</f>
        <v/>
      </c>
      <c r="E14" s="81">
        <f>(SUMIF('BALANCE N-1'!$A$2:$A$2000,"106*",'BALANCE N-1'!$H$2:$H$2000)-SUMIF('BALANCE N-1'!$A$2:$A$2000,"106*",'BALANCE N-1'!$G$2:$G$2000))</f>
        <v/>
      </c>
    </row>
    <row r="15" ht="22" customHeight="1">
      <c r="A15" s="78" t="inlineStr">
        <is>
          <t>CF</t>
        </is>
      </c>
      <c r="B15" s="79" t="inlineStr">
        <is>
          <t>Reserves</t>
        </is>
      </c>
      <c r="C15" s="90" t="inlineStr">
        <is>
          <t>note 16</t>
        </is>
      </c>
      <c r="D15" s="80">
        <f>(SUMIF('BALANCE N'!$A$2:$A$2000,"11*",'BALANCE N'!$H$2:$H$2000)-SUMIF('BALANCE N'!$A$2:$A$2000,"11*",'BALANCE N'!$G$2:$G$2000))</f>
        <v/>
      </c>
      <c r="E15" s="81">
        <f>(SUMIF('BALANCE N-1'!$A$2:$A$2000,"11*",'BALANCE N-1'!$H$2:$H$2000)-SUMIF('BALANCE N-1'!$A$2:$A$2000,"11*",'BALANCE N-1'!$G$2:$G$2000))</f>
        <v/>
      </c>
    </row>
    <row r="16" ht="22" customHeight="1">
      <c r="A16" s="78" t="inlineStr">
        <is>
          <t>CG</t>
        </is>
      </c>
      <c r="B16" s="79" t="inlineStr">
        <is>
          <t>Report a nouveau (+ ou -)</t>
        </is>
      </c>
      <c r="C16" s="90" t="inlineStr">
        <is>
          <t>note 16</t>
        </is>
      </c>
      <c r="D16" s="80">
        <f>(SUMIF('BALANCE N'!$A$2:$A$2000,"12*",'BALANCE N'!$H$2:$H$2000)-SUMIF('BALANCE N'!$A$2:$A$2000,"12*",'BALANCE N'!$G$2:$G$2000))</f>
        <v/>
      </c>
      <c r="E16" s="81">
        <f>(SUMIF('BALANCE N-1'!$A$2:$A$2000,"12*",'BALANCE N-1'!$H$2:$H$2000)-SUMIF('BALANCE N-1'!$A$2:$A$2000,"12*",'BALANCE N-1'!$G$2:$G$2000))</f>
        <v/>
      </c>
    </row>
    <row r="17" ht="22" customHeight="1">
      <c r="A17" s="78" t="inlineStr">
        <is>
          <t>CH</t>
        </is>
      </c>
      <c r="B17" s="79" t="inlineStr">
        <is>
          <t>Resultat net de l'exercice (excedent + ou deficit -)</t>
        </is>
      </c>
      <c r="C17" s="90" t="inlineStr"/>
      <c r="D17" s="80">
        <f>'Résultat'!D36+(SUMIF('BALANCE N'!$A$2:$A$2000,"13*",'BALANCE N'!$H$2:$H$2000)-SUMIF('BALANCE N'!$A$2:$A$2000,"13*",'BALANCE N'!$G$2:$G$2000))</f>
        <v/>
      </c>
      <c r="E17" s="81">
        <f>'Résultat'!E36+(SUMIF('BALANCE N-1'!$A$2:$A$2000,"13*",'BALANCE N-1'!$H$2:$H$2000)-SUMIF('BALANCE N-1'!$A$2:$A$2000,"13*",'BALANCE N-1'!$G$2:$G$2000))</f>
        <v/>
      </c>
    </row>
    <row r="18" ht="22" customHeight="1">
      <c r="A18" s="78" t="inlineStr">
        <is>
          <t>CI</t>
        </is>
      </c>
      <c r="B18" s="79" t="inlineStr">
        <is>
          <t>Subventions d'investissement</t>
        </is>
      </c>
      <c r="C18" s="90" t="inlineStr">
        <is>
          <t>note 17A</t>
        </is>
      </c>
      <c r="D18" s="80">
        <f>(SUMIF('BALANCE N'!$A$2:$A$2000,"14*",'BALANCE N'!$H$2:$H$2000)-SUMIF('BALANCE N'!$A$2:$A$2000,"14*",'BALANCE N'!$G$2:$G$2000))</f>
        <v/>
      </c>
      <c r="E18" s="81">
        <f>(SUMIF('BALANCE N-1'!$A$2:$A$2000,"14*",'BALANCE N-1'!$H$2:$H$2000)-SUMIF('BALANCE N-1'!$A$2:$A$2000,"14*",'BALANCE N-1'!$G$2:$G$2000))</f>
        <v/>
      </c>
    </row>
    <row r="19" ht="22" customHeight="1">
      <c r="A19" s="78" t="inlineStr">
        <is>
          <t>CJ</t>
        </is>
      </c>
      <c r="B19" s="79" t="inlineStr">
        <is>
          <t>Provisions reglementees</t>
        </is>
      </c>
      <c r="C19" s="90" t="inlineStr">
        <is>
          <t>note 17A</t>
        </is>
      </c>
      <c r="D19" s="80">
        <f>(SUMIF('BALANCE N'!$A$2:$A$2000,"15*",'BALANCE N'!$H$2:$H$2000)-SUMIF('BALANCE N'!$A$2:$A$2000,"15*",'BALANCE N'!$G$2:$G$2000))</f>
        <v/>
      </c>
      <c r="E19" s="81">
        <f>(SUMIF('BALANCE N-1'!$A$2:$A$2000,"15*",'BALANCE N-1'!$H$2:$H$2000)-SUMIF('BALANCE N-1'!$A$2:$A$2000,"15*",'BALANCE N-1'!$G$2:$G$2000))</f>
        <v/>
      </c>
    </row>
    <row r="20" ht="22" customHeight="1">
      <c r="A20" s="74" t="inlineStr">
        <is>
          <t>CK</t>
        </is>
      </c>
      <c r="B20" s="6" t="inlineStr">
        <is>
          <t>TOTAL FONDS PROPRES ET ASSIMILES</t>
        </is>
      </c>
      <c r="C20" s="91" t="inlineStr"/>
      <c r="D20" s="7">
        <f>D10+D11+D12+D13+D14+D15+D16+D17+D18+D19</f>
        <v/>
      </c>
      <c r="E20" s="82">
        <f>E10+E11+E12+E13+E14+E15+E16+E17+E18+E19</f>
        <v/>
      </c>
    </row>
    <row r="21" ht="22" customHeight="1">
      <c r="A21" s="78" t="inlineStr">
        <is>
          <t>CW</t>
        </is>
      </c>
      <c r="B21" s="79" t="inlineStr">
        <is>
          <t>Fonds affectes et provenant de dons et legs d'immobilisations</t>
        </is>
      </c>
      <c r="C21" s="90" t="inlineStr">
        <is>
          <t>note 17B</t>
        </is>
      </c>
      <c r="D21" s="80">
        <f>(SUMIF('BALANCE N'!$A$2:$A$2000,"16*",'BALANCE N'!$H$2:$H$2000)-SUMIF('BALANCE N'!$A$2:$A$2000,"16*",'BALANCE N'!$G$2:$G$2000))</f>
        <v/>
      </c>
      <c r="E21" s="81">
        <f>(SUMIF('BALANCE N-1'!$A$2:$A$2000,"16*",'BALANCE N-1'!$H$2:$H$2000)-SUMIF('BALANCE N-1'!$A$2:$A$2000,"16*",'BALANCE N-1'!$G$2:$G$2000))</f>
        <v/>
      </c>
    </row>
    <row r="22" ht="22" customHeight="1">
      <c r="A22" s="78" t="inlineStr">
        <is>
          <t>CX</t>
        </is>
      </c>
      <c r="B22" s="79" t="inlineStr">
        <is>
          <t>Fonds reportes</t>
        </is>
      </c>
      <c r="C22" s="90" t="inlineStr">
        <is>
          <t>note 17B</t>
        </is>
      </c>
      <c r="D22" s="80">
        <f>(SUMIF('BALANCE N'!$A$2:$A$2000,"17*",'BALANCE N'!$H$2:$H$2000)-SUMIF('BALANCE N'!$A$2:$A$2000,"17*",'BALANCE N'!$G$2:$G$2000))</f>
        <v/>
      </c>
      <c r="E22" s="81">
        <f>(SUMIF('BALANCE N-1'!$A$2:$A$2000,"17*",'BALANCE N-1'!$H$2:$H$2000)-SUMIF('BALANCE N-1'!$A$2:$A$2000,"17*",'BALANCE N-1'!$G$2:$G$2000))</f>
        <v/>
      </c>
    </row>
    <row r="23" ht="22" customHeight="1">
      <c r="A23" s="74" t="inlineStr">
        <is>
          <t>CY</t>
        </is>
      </c>
      <c r="B23" s="6" t="inlineStr">
        <is>
          <t>TOTAL FONDS AFFECTES ET REPORTES</t>
        </is>
      </c>
      <c r="C23" s="91" t="inlineStr"/>
      <c r="D23" s="7">
        <f>D21+D22</f>
        <v/>
      </c>
      <c r="E23" s="82">
        <f>E21+E22</f>
        <v/>
      </c>
    </row>
    <row r="24" ht="22" customHeight="1">
      <c r="A24" s="74" t="inlineStr">
        <is>
          <t>CZ</t>
        </is>
      </c>
      <c r="B24" s="6" t="inlineStr">
        <is>
          <t>TOTAL RESSOURCES PROPRES ET ASSIMILEES</t>
        </is>
      </c>
      <c r="C24" s="91" t="inlineStr"/>
      <c r="D24" s="7">
        <f>D20+D23</f>
        <v/>
      </c>
      <c r="E24" s="82">
        <f>E20+E23</f>
        <v/>
      </c>
    </row>
    <row r="25" ht="22" customHeight="1">
      <c r="A25" s="78" t="inlineStr">
        <is>
          <t>DA</t>
        </is>
      </c>
      <c r="B25" s="79" t="inlineStr">
        <is>
          <t>Emprunts et dettes financieres</t>
        </is>
      </c>
      <c r="C25" s="90" t="inlineStr">
        <is>
          <t>note 18A</t>
        </is>
      </c>
      <c r="D25" s="80">
        <f>(SUMIF('BALANCE N'!$A$2:$A$2000,"181*",'BALANCE N'!$H$2:$H$2000)-SUMIF('BALANCE N'!$A$2:$A$2000,"181*",'BALANCE N'!$G$2:$G$2000)+SUMIF('BALANCE N'!$A$2:$A$2000,"182*",'BALANCE N'!$H$2:$H$2000)-SUMIF('BALANCE N'!$A$2:$A$2000,"182*",'BALANCE N'!$G$2:$G$2000)+SUMIF('BALANCE N'!$A$2:$A$2000,"183*",'BALANCE N'!$H$2:$H$2000)-SUMIF('BALANCE N'!$A$2:$A$2000,"183*",'BALANCE N'!$G$2:$G$2000)+SUMIF('BALANCE N'!$A$2:$A$2000,"185*",'BALANCE N'!$H$2:$H$2000)-SUMIF('BALANCE N'!$A$2:$A$2000,"185*",'BALANCE N'!$G$2:$G$2000)+SUMIF('BALANCE N'!$A$2:$A$2000,"186*",'BALANCE N'!$H$2:$H$2000)-SUMIF('BALANCE N'!$A$2:$A$2000,"186*",'BALANCE N'!$G$2:$G$2000)+SUMIF('BALANCE N'!$A$2:$A$2000,"188*",'BALANCE N'!$H$2:$H$2000)-SUMIF('BALANCE N'!$A$2:$A$2000,"188*",'BALANCE N'!$G$2:$G$2000))</f>
        <v/>
      </c>
      <c r="E25" s="81">
        <f>(SUMIF('BALANCE N-1'!$A$2:$A$2000,"181*",'BALANCE N-1'!$H$2:$H$2000)-SUMIF('BALANCE N-1'!$A$2:$A$2000,"181*",'BALANCE N-1'!$G$2:$G$2000)+SUMIF('BALANCE N-1'!$A$2:$A$2000,"182*",'BALANCE N-1'!$H$2:$H$2000)-SUMIF('BALANCE N-1'!$A$2:$A$2000,"182*",'BALANCE N-1'!$G$2:$G$2000)+SUMIF('BALANCE N-1'!$A$2:$A$2000,"183*",'BALANCE N-1'!$H$2:$H$2000)-SUMIF('BALANCE N-1'!$A$2:$A$2000,"183*",'BALANCE N-1'!$G$2:$G$2000)+SUMIF('BALANCE N-1'!$A$2:$A$2000,"185*",'BALANCE N-1'!$H$2:$H$2000)-SUMIF('BALANCE N-1'!$A$2:$A$2000,"185*",'BALANCE N-1'!$G$2:$G$2000)+SUMIF('BALANCE N-1'!$A$2:$A$2000,"186*",'BALANCE N-1'!$H$2:$H$2000)-SUMIF('BALANCE N-1'!$A$2:$A$2000,"186*",'BALANCE N-1'!$G$2:$G$2000)+SUMIF('BALANCE N-1'!$A$2:$A$2000,"188*",'BALANCE N-1'!$H$2:$H$2000)-SUMIF('BALANCE N-1'!$A$2:$A$2000,"188*",'BALANCE N-1'!$G$2:$G$2000))</f>
        <v/>
      </c>
    </row>
    <row r="26" ht="22" customHeight="1">
      <c r="A26" s="78" t="inlineStr">
        <is>
          <t>DB</t>
        </is>
      </c>
      <c r="B26" s="79" t="inlineStr">
        <is>
          <t>Dettes de location-acquisition</t>
        </is>
      </c>
      <c r="C26" s="90" t="inlineStr">
        <is>
          <t>note 18A</t>
        </is>
      </c>
      <c r="D26" s="80">
        <f>(SUMIF('BALANCE N'!$A$2:$A$2000,"187*",'BALANCE N'!$H$2:$H$2000)-SUMIF('BALANCE N'!$A$2:$A$2000,"187*",'BALANCE N'!$G$2:$G$2000))</f>
        <v/>
      </c>
      <c r="E26" s="81">
        <f>(SUMIF('BALANCE N-1'!$A$2:$A$2000,"187*",'BALANCE N-1'!$H$2:$H$2000)-SUMIF('BALANCE N-1'!$A$2:$A$2000,"187*",'BALANCE N-1'!$G$2:$G$2000))</f>
        <v/>
      </c>
    </row>
    <row r="27" ht="22" customHeight="1">
      <c r="A27" s="78" t="inlineStr">
        <is>
          <t>DC</t>
        </is>
      </c>
      <c r="B27" s="79" t="inlineStr">
        <is>
          <t>Provisions pour risques et charges</t>
        </is>
      </c>
      <c r="C27" s="90" t="inlineStr">
        <is>
          <t>note 18A</t>
        </is>
      </c>
      <c r="D27" s="80">
        <f>(SUMIF('BALANCE N'!$A$2:$A$2000,"19*",'BALANCE N'!$H$2:$H$2000)-SUMIF('BALANCE N'!$A$2:$A$2000,"19*",'BALANCE N'!$G$2:$G$2000))</f>
        <v/>
      </c>
      <c r="E27" s="81">
        <f>(SUMIF('BALANCE N-1'!$A$2:$A$2000,"19*",'BALANCE N-1'!$H$2:$H$2000)-SUMIF('BALANCE N-1'!$A$2:$A$2000,"19*",'BALANCE N-1'!$G$2:$G$2000))</f>
        <v/>
      </c>
    </row>
    <row r="28" ht="22" customHeight="1">
      <c r="A28" s="74" t="inlineStr">
        <is>
          <t>DD</t>
        </is>
      </c>
      <c r="B28" s="6" t="inlineStr">
        <is>
          <t>TOTAL DETTES FINANCIERES ET RESSOURCES ASSIMILEES</t>
        </is>
      </c>
      <c r="C28" s="91" t="inlineStr"/>
      <c r="D28" s="7">
        <f>D25+D26+D27</f>
        <v/>
      </c>
      <c r="E28" s="82">
        <f>E25+E26+E27</f>
        <v/>
      </c>
    </row>
    <row r="29" ht="22" customHeight="1">
      <c r="A29" s="74" t="inlineStr">
        <is>
          <t>DE</t>
        </is>
      </c>
      <c r="B29" s="83" t="inlineStr">
        <is>
          <t>TOTAL RESSOURCES STABLES</t>
        </is>
      </c>
      <c r="C29" s="92" t="inlineStr"/>
      <c r="D29" s="84">
        <f>D24+D28</f>
        <v/>
      </c>
      <c r="E29" s="85">
        <f>E24+E28</f>
        <v/>
      </c>
    </row>
    <row r="30" ht="22" customHeight="1">
      <c r="A30" s="78" t="inlineStr">
        <is>
          <t>DF</t>
        </is>
      </c>
      <c r="B30" s="79" t="inlineStr">
        <is>
          <t>Dettes circulantes HAO</t>
        </is>
      </c>
      <c r="C30" s="90" t="inlineStr">
        <is>
          <t>note 7</t>
        </is>
      </c>
      <c r="D30" s="80">
        <f>(SUMIF('BALANCE N'!$A$2:$A$2000,"481*",'BALANCE N'!$H$2:$H$2000)-SUMIF('BALANCE N'!$A$2:$A$2000,"481*",'BALANCE N'!$G$2:$G$2000)+SUMIF('BALANCE N'!$A$2:$A$2000,"484*",'BALANCE N'!$H$2:$H$2000)-SUMIF('BALANCE N'!$A$2:$A$2000,"484*",'BALANCE N'!$G$2:$G$2000)+SUMIF('BALANCE N'!$A$2:$A$2000,"488*",'BALANCE N'!$H$2:$H$2000)-SUMIF('BALANCE N'!$A$2:$A$2000,"488*",'BALANCE N'!$G$2:$G$2000)+SUMIF('BALANCE N'!$A$2:$A$2000,"4861*",'BALANCE N'!$H$2:$H$2000)-SUMIF('BALANCE N'!$A$2:$A$2000,"4861*",'BALANCE N'!$G$2:$G$2000)+SUMIF('BALANCE N'!$A$2:$A$2000,"4998*",'BALANCE N'!$H$2:$H$2000)-SUMIF('BALANCE N'!$A$2:$A$2000,"4998*",'BALANCE N'!$G$2:$G$2000))</f>
        <v/>
      </c>
      <c r="E30" s="81">
        <f>(SUMIF('BALANCE N-1'!$A$2:$A$2000,"481*",'BALANCE N-1'!$H$2:$H$2000)-SUMIF('BALANCE N-1'!$A$2:$A$2000,"481*",'BALANCE N-1'!$G$2:$G$2000)+SUMIF('BALANCE N-1'!$A$2:$A$2000,"484*",'BALANCE N-1'!$H$2:$H$2000)-SUMIF('BALANCE N-1'!$A$2:$A$2000,"484*",'BALANCE N-1'!$G$2:$G$2000)+SUMIF('BALANCE N-1'!$A$2:$A$2000,"488*",'BALANCE N-1'!$H$2:$H$2000)-SUMIF('BALANCE N-1'!$A$2:$A$2000,"488*",'BALANCE N-1'!$G$2:$G$2000)+SUMIF('BALANCE N-1'!$A$2:$A$2000,"4861*",'BALANCE N-1'!$H$2:$H$2000)-SUMIF('BALANCE N-1'!$A$2:$A$2000,"4861*",'BALANCE N-1'!$G$2:$G$2000)+SUMIF('BALANCE N-1'!$A$2:$A$2000,"4998*",'BALANCE N-1'!$H$2:$H$2000)-SUMIF('BALANCE N-1'!$A$2:$A$2000,"4998*",'BALANCE N-1'!$G$2:$G$2000))</f>
        <v/>
      </c>
    </row>
    <row r="31" ht="22" customHeight="1">
      <c r="A31" s="78" t="inlineStr">
        <is>
          <t>DG</t>
        </is>
      </c>
      <c r="B31" s="79" t="inlineStr">
        <is>
          <t>Adherents, clients-usagers crediteurs</t>
        </is>
      </c>
      <c r="C31" s="90" t="inlineStr">
        <is>
          <t>note 9</t>
        </is>
      </c>
      <c r="D31" s="80">
        <f>(SUMIF('BALANCE N'!$A$2:$A$2000,"419*",'BALANCE N'!$H$2:$H$2000)-SUMIF('BALANCE N'!$A$2:$A$2000,"419*",'BALANCE N'!$G$2:$G$2000))</f>
        <v/>
      </c>
      <c r="E31" s="81">
        <f>(SUMIF('BALANCE N-1'!$A$2:$A$2000,"419*",'BALANCE N-1'!$H$2:$H$2000)-SUMIF('BALANCE N-1'!$A$2:$A$2000,"419*",'BALANCE N-1'!$G$2:$G$2000))</f>
        <v/>
      </c>
    </row>
    <row r="32" ht="22" customHeight="1">
      <c r="A32" s="78" t="inlineStr">
        <is>
          <t>DH</t>
        </is>
      </c>
      <c r="B32" s="79" t="inlineStr">
        <is>
          <t>Fournisseurs</t>
        </is>
      </c>
      <c r="C32" s="90" t="inlineStr">
        <is>
          <t>note 19</t>
        </is>
      </c>
      <c r="D32" s="80">
        <f>(SUMIF('BALANCE N'!$A$2:$A$2000,"40*",'BALANCE N'!$H$2:$H$2000)-SUMIF('BALANCE N'!$A$2:$A$2000,"40*",'BALANCE N'!$G$2:$G$2000)-SUMIF('BALANCE N'!$A$2:$A$2000,"409*",'BALANCE N'!$H$2:$H$2000)+SUMIF('BALANCE N'!$A$2:$A$2000,"409*",'BALANCE N'!$G$2:$G$2000))</f>
        <v/>
      </c>
      <c r="E32" s="81">
        <f>(SUMIF('BALANCE N-1'!$A$2:$A$2000,"40*",'BALANCE N-1'!$H$2:$H$2000)-SUMIF('BALANCE N-1'!$A$2:$A$2000,"40*",'BALANCE N-1'!$G$2:$G$2000)-SUMIF('BALANCE N-1'!$A$2:$A$2000,"409*",'BALANCE N-1'!$H$2:$H$2000)+SUMIF('BALANCE N-1'!$A$2:$A$2000,"409*",'BALANCE N-1'!$G$2:$G$2000))</f>
        <v/>
      </c>
    </row>
    <row r="33" ht="22" customHeight="1">
      <c r="A33" s="78" t="inlineStr">
        <is>
          <t>DI</t>
        </is>
      </c>
      <c r="B33" s="79" t="inlineStr">
        <is>
          <t>Autres dettes</t>
        </is>
      </c>
      <c r="C33" s="90" t="inlineStr">
        <is>
          <t>note 20 et 21</t>
        </is>
      </c>
      <c r="D33" s="80">
        <f>(SUMIF('BALANCE N'!$A$2:$A$2000,"42*",'BALANCE N'!$H$2:$H$2000)+SUMIF('BALANCE N'!$A$2:$A$2000,"43*",'BALANCE N'!$H$2:$H$2000)+SUMIF('BALANCE N'!$A$2:$A$2000,"44*",'BALANCE N'!$H$2:$H$2000)+SUMIF('BALANCE N'!$A$2:$A$2000,"45*",'BALANCE N'!$H$2:$H$2000)+SUMIF('BALANCE N'!$A$2:$A$2000,"46*",'BALANCE N'!$H$2:$H$2000)+SUMIF('BALANCE N'!$A$2:$A$2000,"47*",'BALANCE N'!$H$2:$H$2000)+SUMIF('BALANCE N'!$A$2:$A$2000,"499*",'BALANCE N'!$H$2:$H$2000)+SUMIF('BALANCE N'!$A$2:$A$2000,"599*",'BALANCE N'!$H$2:$H$2000)-SUMIF('BALANCE N'!$A$2:$A$2000,"479*",'BALANCE N'!$H$2:$H$2000)-SUMIF('BALANCE N'!$A$2:$A$2000,"4998*",'BALANCE N'!$H$2:$H$2000))</f>
        <v/>
      </c>
      <c r="E33" s="81">
        <f>(SUMIF('BALANCE N-1'!$A$2:$A$2000,"42*",'BALANCE N-1'!$H$2:$H$2000)+SUMIF('BALANCE N-1'!$A$2:$A$2000,"43*",'BALANCE N-1'!$H$2:$H$2000)+SUMIF('BALANCE N-1'!$A$2:$A$2000,"44*",'BALANCE N-1'!$H$2:$H$2000)+SUMIF('BALANCE N-1'!$A$2:$A$2000,"45*",'BALANCE N-1'!$H$2:$H$2000)+SUMIF('BALANCE N-1'!$A$2:$A$2000,"46*",'BALANCE N-1'!$H$2:$H$2000)+SUMIF('BALANCE N-1'!$A$2:$A$2000,"47*",'BALANCE N-1'!$H$2:$H$2000)+SUMIF('BALANCE N-1'!$A$2:$A$2000,"499*",'BALANCE N-1'!$H$2:$H$2000)+SUMIF('BALANCE N-1'!$A$2:$A$2000,"599*",'BALANCE N-1'!$H$2:$H$2000)-SUMIF('BALANCE N-1'!$A$2:$A$2000,"479*",'BALANCE N-1'!$H$2:$H$2000)-SUMIF('BALANCE N-1'!$A$2:$A$2000,"4998*",'BALANCE N-1'!$H$2:$H$2000))</f>
        <v/>
      </c>
    </row>
    <row r="34" ht="22" customHeight="1">
      <c r="A34" s="74" t="inlineStr">
        <is>
          <t>DV</t>
        </is>
      </c>
      <c r="B34" s="83" t="inlineStr">
        <is>
          <t>TOTAL PASSIF CIRCULANT</t>
        </is>
      </c>
      <c r="C34" s="92" t="inlineStr"/>
      <c r="D34" s="84">
        <f>D30+D31+D32+D33</f>
        <v/>
      </c>
      <c r="E34" s="85">
        <f>E30+E31+E32+E33</f>
        <v/>
      </c>
    </row>
    <row r="35" ht="22" customHeight="1">
      <c r="A35" s="78" t="inlineStr">
        <is>
          <t>DW</t>
        </is>
      </c>
      <c r="B35" s="79" t="inlineStr">
        <is>
          <t>Banques, etablissements financiers et credits de tresorerie</t>
        </is>
      </c>
      <c r="C35" s="90" t="inlineStr">
        <is>
          <t>note 22</t>
        </is>
      </c>
      <c r="D35" s="80">
        <f>(SUMIF('BALANCE N'!$A$2:$A$2000,"564*",'BALANCE N'!$H$2:$H$2000)-SUMIF('BALANCE N'!$A$2:$A$2000,"564*",'BALANCE N'!$G$2:$G$2000)+SUMIF('BALANCE N'!$A$2:$A$2000,"565*",'BALANCE N'!$H$2:$H$2000)-SUMIF('BALANCE N'!$A$2:$A$2000,"565*",'BALANCE N'!$G$2:$G$2000))+(SUMIF('BALANCE N'!$A$2:$A$2000,"52*",'BALANCE N'!$H$2:$H$2000)+SUMIF('BALANCE N'!$A$2:$A$2000,"53*",'BALANCE N'!$H$2:$H$2000))</f>
        <v/>
      </c>
      <c r="E35" s="81">
        <f>(SUMIF('BALANCE N-1'!$A$2:$A$2000,"564*",'BALANCE N-1'!$H$2:$H$2000)-SUMIF('BALANCE N-1'!$A$2:$A$2000,"564*",'BALANCE N-1'!$G$2:$G$2000)+SUMIF('BALANCE N-1'!$A$2:$A$2000,"565*",'BALANCE N-1'!$H$2:$H$2000)-SUMIF('BALANCE N-1'!$A$2:$A$2000,"565*",'BALANCE N-1'!$G$2:$G$2000))+(SUMIF('BALANCE N-1'!$A$2:$A$2000,"52*",'BALANCE N-1'!$H$2:$H$2000)+SUMIF('BALANCE N-1'!$A$2:$A$2000,"53*",'BALANCE N-1'!$H$2:$H$2000))</f>
        <v/>
      </c>
    </row>
    <row r="36" ht="22" customHeight="1">
      <c r="A36" s="74" t="inlineStr">
        <is>
          <t>DX</t>
        </is>
      </c>
      <c r="B36" s="83" t="inlineStr">
        <is>
          <t>TOTAL TRESORERIE PASSIF</t>
        </is>
      </c>
      <c r="C36" s="92" t="inlineStr"/>
      <c r="D36" s="84">
        <f>D35</f>
        <v/>
      </c>
      <c r="E36" s="85">
        <f>E35</f>
        <v/>
      </c>
    </row>
    <row r="37" ht="22" customHeight="1">
      <c r="A37" s="78" t="inlineStr">
        <is>
          <t>DY</t>
        </is>
      </c>
      <c r="B37" s="79" t="inlineStr">
        <is>
          <t>Ecart de conversion-Passif</t>
        </is>
      </c>
      <c r="C37" s="90" t="inlineStr">
        <is>
          <t>note 14</t>
        </is>
      </c>
      <c r="D37" s="80">
        <f>(SUMIF('BALANCE N'!$A$2:$A$2000,"479*",'BALANCE N'!$H$2:$H$2000)-SUMIF('BALANCE N'!$A$2:$A$2000,"479*",'BALANCE N'!$G$2:$G$2000))</f>
        <v/>
      </c>
      <c r="E37" s="81">
        <f>(SUMIF('BALANCE N-1'!$A$2:$A$2000,"479*",'BALANCE N-1'!$H$2:$H$2000)-SUMIF('BALANCE N-1'!$A$2:$A$2000,"479*",'BALANCE N-1'!$G$2:$G$2000))</f>
        <v/>
      </c>
    </row>
    <row r="38" ht="22" customHeight="1">
      <c r="A38" s="86" t="inlineStr">
        <is>
          <t>DZ</t>
        </is>
      </c>
      <c r="B38" s="4" t="inlineStr">
        <is>
          <t>TOTAL GENERAL</t>
        </is>
      </c>
      <c r="C38" s="93" t="inlineStr"/>
      <c r="D38" s="5">
        <f>D29+D34+D36+D37</f>
        <v/>
      </c>
      <c r="E38" s="87">
        <f>E29+E34+E36+E37</f>
        <v/>
      </c>
    </row>
  </sheetData>
  <mergeCells count="5">
    <mergeCell ref="A8:A9"/>
    <mergeCell ref="C8:C9"/>
    <mergeCell ref="D2:E2"/>
    <mergeCell ref="B8:B9"/>
    <mergeCell ref="B7:D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.5" customWidth="1" min="1" max="1"/>
    <col width="52" customWidth="1" min="2" max="2"/>
    <col width="6.5" customWidth="1" min="3" max="3"/>
    <col width="15.7" customWidth="1" min="4" max="4"/>
    <col width="15.7" customWidth="1" min="5" max="5"/>
    <col width="15.7" customWidth="1" min="6" max="6"/>
    <col width="15.7" customWidth="1" min="7" max="7"/>
  </cols>
  <sheetData>
    <row r="1" ht="12" customHeight="1">
      <c r="A1" s="50" t="inlineStr">
        <is>
          <t>- 6 -</t>
        </is>
      </c>
    </row>
    <row r="2" ht="26" customHeight="1">
      <c r="D2" s="51" t="inlineStr">
        <is>
          <t>COMPTE DE RESULTAT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B7" s="94" t="inlineStr">
        <is>
          <t>COMPTE DE RESULTAT</t>
        </is>
      </c>
      <c r="C7" s="67" t="n"/>
      <c r="D7" s="67" t="n"/>
    </row>
    <row r="8" ht="22" customHeight="1">
      <c r="A8" s="68" t="inlineStr">
        <is>
          <t>REF</t>
        </is>
      </c>
      <c r="B8" s="88" t="inlineStr">
        <is>
          <t>LIBELLES</t>
        </is>
      </c>
      <c r="C8" s="69" t="inlineStr">
        <is>
          <t>NOTE</t>
        </is>
      </c>
      <c r="D8" s="69" t="inlineStr">
        <is>
          <t>EXERCICE AU 31/12/N</t>
        </is>
      </c>
      <c r="E8" s="70" t="inlineStr">
        <is>
          <t>EXERCICE AU 31/12/N-1</t>
        </is>
      </c>
    </row>
    <row r="9" ht="22" customHeight="1">
      <c r="A9" s="71" t="n"/>
      <c r="B9" s="72" t="n"/>
      <c r="C9" s="72" t="n"/>
      <c r="D9" s="72" t="inlineStr">
        <is>
          <t>NET</t>
        </is>
      </c>
      <c r="E9" s="73" t="inlineStr">
        <is>
          <t>NET</t>
        </is>
      </c>
    </row>
    <row r="10" ht="22" customHeight="1">
      <c r="A10" s="78" t="inlineStr">
        <is>
          <t>RA</t>
        </is>
      </c>
      <c r="B10" s="79" t="inlineStr">
        <is>
          <t>Cotisations</t>
        </is>
      </c>
      <c r="C10" s="90" t="inlineStr">
        <is>
          <t>note 23</t>
        </is>
      </c>
      <c r="D10" s="80">
        <f>(SUMIF('BALANCE N'!$A$2:$A$2000,"701*",'BALANCE N'!$H$2:$H$2000)-SUMIF('BALANCE N'!$A$2:$A$2000,"701*",'BALANCE N'!$G$2:$G$2000))</f>
        <v/>
      </c>
      <c r="E10" s="81">
        <f>(SUMIF('BALANCE N-1'!$A$2:$A$2000,"701*",'BALANCE N-1'!$H$2:$H$2000)-SUMIF('BALANCE N-1'!$A$2:$A$2000,"701*",'BALANCE N-1'!$G$2:$G$2000))</f>
        <v/>
      </c>
    </row>
    <row r="11" ht="22" customHeight="1">
      <c r="A11" s="78" t="inlineStr">
        <is>
          <t>RB</t>
        </is>
      </c>
      <c r="B11" s="79" t="inlineStr">
        <is>
          <t>Dotations consomptibles transferees au compte de resultat</t>
        </is>
      </c>
      <c r="C11" s="90" t="inlineStr">
        <is>
          <t>note 23</t>
        </is>
      </c>
      <c r="D11" s="80">
        <f>(SUMIF('BALANCE N'!$A$2:$A$2000,"703*",'BALANCE N'!$H$2:$H$2000)-SUMIF('BALANCE N'!$A$2:$A$2000,"703*",'BALANCE N'!$G$2:$G$2000))</f>
        <v/>
      </c>
      <c r="E11" s="81">
        <f>(SUMIF('BALANCE N-1'!$A$2:$A$2000,"703*",'BALANCE N-1'!$H$2:$H$2000)-SUMIF('BALANCE N-1'!$A$2:$A$2000,"703*",'BALANCE N-1'!$G$2:$G$2000))</f>
        <v/>
      </c>
    </row>
    <row r="12" ht="22" customHeight="1">
      <c r="A12" s="78" t="inlineStr">
        <is>
          <t>RC</t>
        </is>
      </c>
      <c r="B12" s="79" t="inlineStr">
        <is>
          <t>Revenus lies a la generosite</t>
        </is>
      </c>
      <c r="C12" s="90" t="inlineStr">
        <is>
          <t>note 23</t>
        </is>
      </c>
      <c r="D12" s="80">
        <f>(SUMIF('BALANCE N'!$A$2:$A$2000,"704*",'BALANCE N'!$H$2:$H$2000)-SUMIF('BALANCE N'!$A$2:$A$2000,"704*",'BALANCE N'!$G$2:$G$2000))</f>
        <v/>
      </c>
      <c r="E12" s="81">
        <f>(SUMIF('BALANCE N-1'!$A$2:$A$2000,"704*",'BALANCE N-1'!$H$2:$H$2000)-SUMIF('BALANCE N-1'!$A$2:$A$2000,"704*",'BALANCE N-1'!$G$2:$G$2000))</f>
        <v/>
      </c>
    </row>
    <row r="13" ht="22" customHeight="1">
      <c r="A13" s="78" t="inlineStr">
        <is>
          <t>RD</t>
        </is>
      </c>
      <c r="B13" s="79" t="inlineStr">
        <is>
          <t>Ventes de marchandises</t>
        </is>
      </c>
      <c r="C13" s="90" t="inlineStr">
        <is>
          <t>note 23</t>
        </is>
      </c>
      <c r="D13" s="80">
        <f>(SUMIF('BALANCE N'!$A$2:$A$2000,"7051*",'BALANCE N'!$H$2:$H$2000)-SUMIF('BALANCE N'!$A$2:$A$2000,"7051*",'BALANCE N'!$G$2:$G$2000))</f>
        <v/>
      </c>
      <c r="E13" s="81">
        <f>(SUMIF('BALANCE N-1'!$A$2:$A$2000,"7051*",'BALANCE N-1'!$H$2:$H$2000)-SUMIF('BALANCE N-1'!$A$2:$A$2000,"7051*",'BALANCE N-1'!$G$2:$G$2000))</f>
        <v/>
      </c>
    </row>
    <row r="14" ht="22" customHeight="1">
      <c r="A14" s="78" t="inlineStr">
        <is>
          <t>RE</t>
        </is>
      </c>
      <c r="B14" s="79" t="inlineStr">
        <is>
          <t>Ventes de services et produits finis</t>
        </is>
      </c>
      <c r="C14" s="90" t="inlineStr">
        <is>
          <t>note 23</t>
        </is>
      </c>
      <c r="D14" s="80">
        <f>(SUMIF('BALANCE N'!$A$2:$A$2000,"7052*",'BALANCE N'!$H$2:$H$2000)-SUMIF('BALANCE N'!$A$2:$A$2000,"7052*",'BALANCE N'!$G$2:$G$2000)+SUMIF('BALANCE N'!$A$2:$A$2000,"7053*",'BALANCE N'!$H$2:$H$2000)-SUMIF('BALANCE N'!$A$2:$A$2000,"7053*",'BALANCE N'!$G$2:$G$2000))</f>
        <v/>
      </c>
      <c r="E14" s="81">
        <f>(SUMIF('BALANCE N-1'!$A$2:$A$2000,"7052*",'BALANCE N-1'!$H$2:$H$2000)-SUMIF('BALANCE N-1'!$A$2:$A$2000,"7052*",'BALANCE N-1'!$G$2:$G$2000)+SUMIF('BALANCE N-1'!$A$2:$A$2000,"7053*",'BALANCE N-1'!$H$2:$H$2000)-SUMIF('BALANCE N-1'!$A$2:$A$2000,"7053*",'BALANCE N-1'!$G$2:$G$2000))</f>
        <v/>
      </c>
    </row>
    <row r="15" ht="22" customHeight="1">
      <c r="A15" s="78" t="inlineStr">
        <is>
          <t>RF</t>
        </is>
      </c>
      <c r="B15" s="79" t="inlineStr">
        <is>
          <t>Subventions d'exploitation</t>
        </is>
      </c>
      <c r="C15" s="90" t="inlineStr">
        <is>
          <t>note 23</t>
        </is>
      </c>
      <c r="D15" s="80">
        <f>(SUMIF('BALANCE N'!$A$2:$A$2000,"71*",'BALANCE N'!$H$2:$H$2000)-SUMIF('BALANCE N'!$A$2:$A$2000,"71*",'BALANCE N'!$G$2:$G$2000))</f>
        <v/>
      </c>
      <c r="E15" s="81">
        <f>(SUMIF('BALANCE N-1'!$A$2:$A$2000,"71*",'BALANCE N-1'!$H$2:$H$2000)-SUMIF('BALANCE N-1'!$A$2:$A$2000,"71*",'BALANCE N-1'!$G$2:$G$2000))</f>
        <v/>
      </c>
    </row>
    <row r="16" ht="22" customHeight="1">
      <c r="A16" s="78" t="inlineStr">
        <is>
          <t>RG</t>
        </is>
      </c>
      <c r="B16" s="79" t="inlineStr">
        <is>
          <t>Autres produits et transferts de charges</t>
        </is>
      </c>
      <c r="C16" s="90" t="inlineStr">
        <is>
          <t>note 23</t>
        </is>
      </c>
      <c r="D16" s="80">
        <f>(SUMIF('BALANCE N'!$A$2:$A$2000,"72*",'BALANCE N'!$H$2:$H$2000)-SUMIF('BALANCE N'!$A$2:$A$2000,"72*",'BALANCE N'!$G$2:$G$2000)+SUMIF('BALANCE N'!$A$2:$A$2000,"73*",'BALANCE N'!$H$2:$H$2000)-SUMIF('BALANCE N'!$A$2:$A$2000,"73*",'BALANCE N'!$G$2:$G$2000)+SUMIF('BALANCE N'!$A$2:$A$2000,"75*",'BALANCE N'!$H$2:$H$2000)-SUMIF('BALANCE N'!$A$2:$A$2000,"75*",'BALANCE N'!$G$2:$G$2000)+SUMIF('BALANCE N'!$A$2:$A$2000,"77*",'BALANCE N'!$H$2:$H$2000)-SUMIF('BALANCE N'!$A$2:$A$2000,"77*",'BALANCE N'!$G$2:$G$2000)+SUMIF('BALANCE N'!$A$2:$A$2000,"78*",'BALANCE N'!$H$2:$H$2000)-SUMIF('BALANCE N'!$A$2:$A$2000,"78*",'BALANCE N'!$G$2:$G$2000)+SUMIF('BALANCE N'!$A$2:$A$2000,"706*",'BALANCE N'!$H$2:$H$2000)-SUMIF('BALANCE N'!$A$2:$A$2000,"706*",'BALANCE N'!$G$2:$G$2000)+SUMIF('BALANCE N'!$A$2:$A$2000,"707*",'BALANCE N'!$H$2:$H$2000)-SUMIF('BALANCE N'!$A$2:$A$2000,"707*",'BALANCE N'!$G$2:$G$2000)+SUMIF('BALANCE N'!$A$2:$A$2000,"708*",'BALANCE N'!$H$2:$H$2000)-SUMIF('BALANCE N'!$A$2:$A$2000,"708*",'BALANCE N'!$G$2:$G$2000))</f>
        <v/>
      </c>
      <c r="E16" s="81">
        <f>(SUMIF('BALANCE N-1'!$A$2:$A$2000,"72*",'BALANCE N-1'!$H$2:$H$2000)-SUMIF('BALANCE N-1'!$A$2:$A$2000,"72*",'BALANCE N-1'!$G$2:$G$2000)+SUMIF('BALANCE N-1'!$A$2:$A$2000,"73*",'BALANCE N-1'!$H$2:$H$2000)-SUMIF('BALANCE N-1'!$A$2:$A$2000,"73*",'BALANCE N-1'!$G$2:$G$2000)+SUMIF('BALANCE N-1'!$A$2:$A$2000,"75*",'BALANCE N-1'!$H$2:$H$2000)-SUMIF('BALANCE N-1'!$A$2:$A$2000,"75*",'BALANCE N-1'!$G$2:$G$2000)+SUMIF('BALANCE N-1'!$A$2:$A$2000,"77*",'BALANCE N-1'!$H$2:$H$2000)-SUMIF('BALANCE N-1'!$A$2:$A$2000,"77*",'BALANCE N-1'!$G$2:$G$2000)+SUMIF('BALANCE N-1'!$A$2:$A$2000,"78*",'BALANCE N-1'!$H$2:$H$2000)-SUMIF('BALANCE N-1'!$A$2:$A$2000,"78*",'BALANCE N-1'!$G$2:$G$2000)+SUMIF('BALANCE N-1'!$A$2:$A$2000,"706*",'BALANCE N-1'!$H$2:$H$2000)-SUMIF('BALANCE N-1'!$A$2:$A$2000,"706*",'BALANCE N-1'!$G$2:$G$2000)+SUMIF('BALANCE N-1'!$A$2:$A$2000,"707*",'BALANCE N-1'!$H$2:$H$2000)-SUMIF('BALANCE N-1'!$A$2:$A$2000,"707*",'BALANCE N-1'!$G$2:$G$2000)+SUMIF('BALANCE N-1'!$A$2:$A$2000,"708*",'BALANCE N-1'!$H$2:$H$2000)-SUMIF('BALANCE N-1'!$A$2:$A$2000,"708*",'BALANCE N-1'!$G$2:$G$2000))</f>
        <v/>
      </c>
    </row>
    <row r="17" ht="22" customHeight="1">
      <c r="A17" s="78" t="inlineStr">
        <is>
          <t>RH</t>
        </is>
      </c>
      <c r="B17" s="79" t="inlineStr">
        <is>
          <t>Reprises de provisions, depreciations, subventions et autres reprises</t>
        </is>
      </c>
      <c r="C17" s="90" t="inlineStr">
        <is>
          <t>note 5D et 30</t>
        </is>
      </c>
      <c r="D17" s="80">
        <f>(SUMIF('BALANCE N'!$A$2:$A$2000,"79*",'BALANCE N'!$H$2:$H$2000)-SUMIF('BALANCE N'!$A$2:$A$2000,"79*",'BALANCE N'!$G$2:$G$2000))</f>
        <v/>
      </c>
      <c r="E17" s="81">
        <f>(SUMIF('BALANCE N-1'!$A$2:$A$2000,"79*",'BALANCE N-1'!$H$2:$H$2000)-SUMIF('BALANCE N-1'!$A$2:$A$2000,"79*",'BALANCE N-1'!$G$2:$G$2000))</f>
        <v/>
      </c>
    </row>
    <row r="18" ht="22" customHeight="1">
      <c r="A18" s="74" t="inlineStr">
        <is>
          <t>XA</t>
        </is>
      </c>
      <c r="B18" s="83" t="inlineStr">
        <is>
          <t>REVENUS DES ACTIVITES ORDINAIRES</t>
        </is>
      </c>
      <c r="C18" s="92" t="inlineStr"/>
      <c r="D18" s="84">
        <f>D10+D11+D12+D13+D14+D15+D16+D17</f>
        <v/>
      </c>
      <c r="E18" s="85">
        <f>E10+E11+E12+E13+E14+E15+E16+E17</f>
        <v/>
      </c>
    </row>
    <row r="19" ht="22" customHeight="1">
      <c r="A19" s="78" t="inlineStr">
        <is>
          <t>TA</t>
        </is>
      </c>
      <c r="B19" s="79" t="inlineStr">
        <is>
          <t>Achats de biens et services lies a l'activite</t>
        </is>
      </c>
      <c r="C19" s="90" t="inlineStr">
        <is>
          <t>note 24</t>
        </is>
      </c>
      <c r="D19" s="80">
        <f>(SUMIF('BALANCE N'!$A$2:$A$2000,"601*",'BALANCE N'!$H$2:$H$2000)-SUMIF('BALANCE N'!$A$2:$A$2000,"601*",'BALANCE N'!$G$2:$G$2000))</f>
        <v/>
      </c>
      <c r="E19" s="81">
        <f>(SUMIF('BALANCE N-1'!$A$2:$A$2000,"601*",'BALANCE N-1'!$H$2:$H$2000)-SUMIF('BALANCE N-1'!$A$2:$A$2000,"601*",'BALANCE N-1'!$G$2:$G$2000))</f>
        <v/>
      </c>
    </row>
    <row r="20" ht="22" customHeight="1">
      <c r="A20" s="78" t="inlineStr">
        <is>
          <t>TB</t>
        </is>
      </c>
      <c r="B20" s="79" t="inlineStr">
        <is>
          <t>Variation de stocks des achats de biens et services lies a l'activite</t>
        </is>
      </c>
      <c r="C20" s="90" t="inlineStr">
        <is>
          <t>note 8</t>
        </is>
      </c>
      <c r="D20" s="80">
        <f>(SUMIF('BALANCE N'!$A$2:$A$2000,"6031*",'BALANCE N'!$H$2:$H$2000)-SUMIF('BALANCE N'!$A$2:$A$2000,"6031*",'BALANCE N'!$G$2:$G$2000))</f>
        <v/>
      </c>
      <c r="E20" s="81">
        <f>(SUMIF('BALANCE N-1'!$A$2:$A$2000,"6031*",'BALANCE N-1'!$H$2:$H$2000)-SUMIF('BALANCE N-1'!$A$2:$A$2000,"6031*",'BALANCE N-1'!$G$2:$G$2000))</f>
        <v/>
      </c>
    </row>
    <row r="21" ht="22" customHeight="1">
      <c r="A21" s="78" t="inlineStr">
        <is>
          <t>TC</t>
        </is>
      </c>
      <c r="B21" s="79" t="inlineStr">
        <is>
          <t>Achats de marchandises et matieres premieres</t>
        </is>
      </c>
      <c r="C21" s="90" t="inlineStr">
        <is>
          <t>note 24</t>
        </is>
      </c>
      <c r="D21" s="80">
        <f>(SUMIF('BALANCE N'!$A$2:$A$2000,"602*",'BALANCE N'!$H$2:$H$2000)-SUMIF('BALANCE N'!$A$2:$A$2000,"602*",'BALANCE N'!$G$2:$G$2000))</f>
        <v/>
      </c>
      <c r="E21" s="81">
        <f>(SUMIF('BALANCE N-1'!$A$2:$A$2000,"602*",'BALANCE N-1'!$H$2:$H$2000)-SUMIF('BALANCE N-1'!$A$2:$A$2000,"602*",'BALANCE N-1'!$G$2:$G$2000))</f>
        <v/>
      </c>
    </row>
    <row r="22" ht="22" customHeight="1">
      <c r="A22" s="78" t="inlineStr">
        <is>
          <t>TD</t>
        </is>
      </c>
      <c r="B22" s="79" t="inlineStr">
        <is>
          <t>Autres achats</t>
        </is>
      </c>
      <c r="C22" s="90" t="inlineStr">
        <is>
          <t>note 24</t>
        </is>
      </c>
      <c r="D22" s="80">
        <f>(SUMIF('BALANCE N'!$A$2:$A$2000,"604*",'BALANCE N'!$H$2:$H$2000)-SUMIF('BALANCE N'!$A$2:$A$2000,"604*",'BALANCE N'!$G$2:$G$2000)+SUMIF('BALANCE N'!$A$2:$A$2000,"605*",'BALANCE N'!$H$2:$H$2000)-SUMIF('BALANCE N'!$A$2:$A$2000,"605*",'BALANCE N'!$G$2:$G$2000)+SUMIF('BALANCE N'!$A$2:$A$2000,"606*",'BALANCE N'!$H$2:$H$2000)-SUMIF('BALANCE N'!$A$2:$A$2000,"606*",'BALANCE N'!$G$2:$G$2000)+SUMIF('BALANCE N'!$A$2:$A$2000,"608*",'BALANCE N'!$H$2:$H$2000)-SUMIF('BALANCE N'!$A$2:$A$2000,"608*",'BALANCE N'!$G$2:$G$2000))</f>
        <v/>
      </c>
      <c r="E22" s="81">
        <f>(SUMIF('BALANCE N-1'!$A$2:$A$2000,"604*",'BALANCE N-1'!$H$2:$H$2000)-SUMIF('BALANCE N-1'!$A$2:$A$2000,"604*",'BALANCE N-1'!$G$2:$G$2000)+SUMIF('BALANCE N-1'!$A$2:$A$2000,"605*",'BALANCE N-1'!$H$2:$H$2000)-SUMIF('BALANCE N-1'!$A$2:$A$2000,"605*",'BALANCE N-1'!$G$2:$G$2000)+SUMIF('BALANCE N-1'!$A$2:$A$2000,"606*",'BALANCE N-1'!$H$2:$H$2000)-SUMIF('BALANCE N-1'!$A$2:$A$2000,"606*",'BALANCE N-1'!$G$2:$G$2000)+SUMIF('BALANCE N-1'!$A$2:$A$2000,"608*",'BALANCE N-1'!$H$2:$H$2000)-SUMIF('BALANCE N-1'!$A$2:$A$2000,"608*",'BALANCE N-1'!$G$2:$G$2000))</f>
        <v/>
      </c>
    </row>
    <row r="23" ht="22" customHeight="1">
      <c r="A23" s="78" t="inlineStr">
        <is>
          <t>TE</t>
        </is>
      </c>
      <c r="B23" s="79" t="inlineStr">
        <is>
          <t>Variation de stocks de marchandises, de matieres premieres et autres</t>
        </is>
      </c>
      <c r="C23" s="90" t="inlineStr">
        <is>
          <t>note 8</t>
        </is>
      </c>
      <c r="D23" s="80">
        <f>(SUMIF('BALANCE N'!$A$2:$A$2000,"6032*",'BALANCE N'!$H$2:$H$2000)-SUMIF('BALANCE N'!$A$2:$A$2000,"6032*",'BALANCE N'!$G$2:$G$2000)+SUMIF('BALANCE N'!$A$2:$A$2000,"6033*",'BALANCE N'!$H$2:$H$2000)-SUMIF('BALANCE N'!$A$2:$A$2000,"6033*",'BALANCE N'!$G$2:$G$2000)+SUMIF('BALANCE N'!$A$2:$A$2000,"6034*",'BALANCE N'!$H$2:$H$2000)-SUMIF('BALANCE N'!$A$2:$A$2000,"6034*",'BALANCE N'!$G$2:$G$2000)+SUMIF('BALANCE N'!$A$2:$A$2000,"6035*",'BALANCE N'!$H$2:$H$2000)-SUMIF('BALANCE N'!$A$2:$A$2000,"6035*",'BALANCE N'!$G$2:$G$2000))</f>
        <v/>
      </c>
      <c r="E23" s="81">
        <f>(SUMIF('BALANCE N-1'!$A$2:$A$2000,"6032*",'BALANCE N-1'!$H$2:$H$2000)-SUMIF('BALANCE N-1'!$A$2:$A$2000,"6032*",'BALANCE N-1'!$G$2:$G$2000)+SUMIF('BALANCE N-1'!$A$2:$A$2000,"6033*",'BALANCE N-1'!$H$2:$H$2000)-SUMIF('BALANCE N-1'!$A$2:$A$2000,"6033*",'BALANCE N-1'!$G$2:$G$2000)+SUMIF('BALANCE N-1'!$A$2:$A$2000,"6034*",'BALANCE N-1'!$H$2:$H$2000)-SUMIF('BALANCE N-1'!$A$2:$A$2000,"6034*",'BALANCE N-1'!$G$2:$G$2000)+SUMIF('BALANCE N-1'!$A$2:$A$2000,"6035*",'BALANCE N-1'!$H$2:$H$2000)-SUMIF('BALANCE N-1'!$A$2:$A$2000,"6035*",'BALANCE N-1'!$G$2:$G$2000))</f>
        <v/>
      </c>
    </row>
    <row r="24" ht="22" customHeight="1">
      <c r="A24" s="78" t="inlineStr">
        <is>
          <t>TF</t>
        </is>
      </c>
      <c r="B24" s="79" t="inlineStr">
        <is>
          <t>Transports</t>
        </is>
      </c>
      <c r="C24" s="90" t="inlineStr">
        <is>
          <t>note 25</t>
        </is>
      </c>
      <c r="D24" s="80">
        <f>(SUMIF('BALANCE N'!$A$2:$A$2000,"61*",'BALANCE N'!$H$2:$H$2000)-SUMIF('BALANCE N'!$A$2:$A$2000,"61*",'BALANCE N'!$G$2:$G$2000))</f>
        <v/>
      </c>
      <c r="E24" s="81">
        <f>(SUMIF('BALANCE N-1'!$A$2:$A$2000,"61*",'BALANCE N-1'!$H$2:$H$2000)-SUMIF('BALANCE N-1'!$A$2:$A$2000,"61*",'BALANCE N-1'!$G$2:$G$2000))</f>
        <v/>
      </c>
    </row>
    <row r="25" ht="22" customHeight="1">
      <c r="A25" s="78" t="inlineStr">
        <is>
          <t>TG</t>
        </is>
      </c>
      <c r="B25" s="79" t="inlineStr">
        <is>
          <t>Services exterieurs</t>
        </is>
      </c>
      <c r="C25" s="90" t="inlineStr">
        <is>
          <t>note 26</t>
        </is>
      </c>
      <c r="D25" s="80">
        <f>(SUMIF('BALANCE N'!$A$2:$A$2000,"62*",'BALANCE N'!$H$2:$H$2000)-SUMIF('BALANCE N'!$A$2:$A$2000,"62*",'BALANCE N'!$G$2:$G$2000)+SUMIF('BALANCE N'!$A$2:$A$2000,"63*",'BALANCE N'!$H$2:$H$2000)-SUMIF('BALANCE N'!$A$2:$A$2000,"63*",'BALANCE N'!$G$2:$G$2000))</f>
        <v/>
      </c>
      <c r="E25" s="81">
        <f>(SUMIF('BALANCE N-1'!$A$2:$A$2000,"62*",'BALANCE N-1'!$H$2:$H$2000)-SUMIF('BALANCE N-1'!$A$2:$A$2000,"62*",'BALANCE N-1'!$G$2:$G$2000)+SUMIF('BALANCE N-1'!$A$2:$A$2000,"63*",'BALANCE N-1'!$H$2:$H$2000)-SUMIF('BALANCE N-1'!$A$2:$A$2000,"63*",'BALANCE N-1'!$G$2:$G$2000))</f>
        <v/>
      </c>
    </row>
    <row r="26" ht="22" customHeight="1">
      <c r="A26" s="78" t="inlineStr">
        <is>
          <t>TH</t>
        </is>
      </c>
      <c r="B26" s="79" t="inlineStr">
        <is>
          <t>Impots et taxes</t>
        </is>
      </c>
      <c r="C26" s="90" t="inlineStr">
        <is>
          <t>note 27</t>
        </is>
      </c>
      <c r="D26" s="80">
        <f>(SUMIF('BALANCE N'!$A$2:$A$2000,"64*",'BALANCE N'!$H$2:$H$2000)-SUMIF('BALANCE N'!$A$2:$A$2000,"64*",'BALANCE N'!$G$2:$G$2000))</f>
        <v/>
      </c>
      <c r="E26" s="81">
        <f>(SUMIF('BALANCE N-1'!$A$2:$A$2000,"64*",'BALANCE N-1'!$H$2:$H$2000)-SUMIF('BALANCE N-1'!$A$2:$A$2000,"64*",'BALANCE N-1'!$G$2:$G$2000))</f>
        <v/>
      </c>
    </row>
    <row r="27" ht="22" customHeight="1">
      <c r="A27" s="78" t="inlineStr">
        <is>
          <t>TI</t>
        </is>
      </c>
      <c r="B27" s="79" t="inlineStr">
        <is>
          <t>Autres charges</t>
        </is>
      </c>
      <c r="C27" s="90" t="inlineStr">
        <is>
          <t>note 28</t>
        </is>
      </c>
      <c r="D27" s="80">
        <f>(SUMIF('BALANCE N'!$A$2:$A$2000,"65*",'BALANCE N'!$H$2:$H$2000)-SUMIF('BALANCE N'!$A$2:$A$2000,"65*",'BALANCE N'!$G$2:$G$2000))</f>
        <v/>
      </c>
      <c r="E27" s="81">
        <f>(SUMIF('BALANCE N-1'!$A$2:$A$2000,"65*",'BALANCE N-1'!$H$2:$H$2000)-SUMIF('BALANCE N-1'!$A$2:$A$2000,"65*",'BALANCE N-1'!$G$2:$G$2000))</f>
        <v/>
      </c>
    </row>
    <row r="28" ht="22" customHeight="1">
      <c r="A28" s="78" t="inlineStr">
        <is>
          <t>TJ</t>
        </is>
      </c>
      <c r="B28" s="79" t="inlineStr">
        <is>
          <t>Charges de personnel</t>
        </is>
      </c>
      <c r="C28" s="90" t="inlineStr">
        <is>
          <t>note 29</t>
        </is>
      </c>
      <c r="D28" s="80">
        <f>(SUMIF('BALANCE N'!$A$2:$A$2000,"66*",'BALANCE N'!$H$2:$H$2000)-SUMIF('BALANCE N'!$A$2:$A$2000,"66*",'BALANCE N'!$G$2:$G$2000))</f>
        <v/>
      </c>
      <c r="E28" s="81">
        <f>(SUMIF('BALANCE N-1'!$A$2:$A$2000,"66*",'BALANCE N-1'!$H$2:$H$2000)-SUMIF('BALANCE N-1'!$A$2:$A$2000,"66*",'BALANCE N-1'!$G$2:$G$2000))</f>
        <v/>
      </c>
    </row>
    <row r="29" ht="22" customHeight="1">
      <c r="A29" s="78" t="inlineStr">
        <is>
          <t>TK</t>
        </is>
      </c>
      <c r="B29" s="79" t="inlineStr">
        <is>
          <t>Frais financiers et charges assimilees</t>
        </is>
      </c>
      <c r="C29" s="90" t="inlineStr">
        <is>
          <t>note 31</t>
        </is>
      </c>
      <c r="D29" s="80">
        <f>(SUMIF('BALANCE N'!$A$2:$A$2000,"67*",'BALANCE N'!$H$2:$H$2000)-SUMIF('BALANCE N'!$A$2:$A$2000,"67*",'BALANCE N'!$G$2:$G$2000))</f>
        <v/>
      </c>
      <c r="E29" s="81">
        <f>(SUMIF('BALANCE N-1'!$A$2:$A$2000,"67*",'BALANCE N-1'!$H$2:$H$2000)-SUMIF('BALANCE N-1'!$A$2:$A$2000,"67*",'BALANCE N-1'!$G$2:$G$2000))</f>
        <v/>
      </c>
    </row>
    <row r="30" ht="22" customHeight="1">
      <c r="A30" s="78" t="inlineStr">
        <is>
          <t>TL</t>
        </is>
      </c>
      <c r="B30" s="79" t="inlineStr">
        <is>
          <t>Dotations aux amortissements, aux provisions, aux depreciations et autres</t>
        </is>
      </c>
      <c r="C30" s="90" t="inlineStr">
        <is>
          <t>note 5D et 30</t>
        </is>
      </c>
      <c r="D30" s="80">
        <f>(SUMIF('BALANCE N'!$A$2:$A$2000,"68*",'BALANCE N'!$H$2:$H$2000)-SUMIF('BALANCE N'!$A$2:$A$2000,"68*",'BALANCE N'!$G$2:$G$2000)+SUMIF('BALANCE N'!$A$2:$A$2000,"69*",'BALANCE N'!$H$2:$H$2000)-SUMIF('BALANCE N'!$A$2:$A$2000,"69*",'BALANCE N'!$G$2:$G$2000))</f>
        <v/>
      </c>
      <c r="E30" s="81">
        <f>(SUMIF('BALANCE N-1'!$A$2:$A$2000,"68*",'BALANCE N-1'!$H$2:$H$2000)-SUMIF('BALANCE N-1'!$A$2:$A$2000,"68*",'BALANCE N-1'!$G$2:$G$2000)+SUMIF('BALANCE N-1'!$A$2:$A$2000,"69*",'BALANCE N-1'!$H$2:$H$2000)-SUMIF('BALANCE N-1'!$A$2:$A$2000,"69*",'BALANCE N-1'!$G$2:$G$2000))</f>
        <v/>
      </c>
    </row>
    <row r="31" ht="22" customHeight="1">
      <c r="A31" s="74" t="inlineStr">
        <is>
          <t>XB</t>
        </is>
      </c>
      <c r="B31" s="83" t="inlineStr">
        <is>
          <t>CHARGES DES ACTIVITES ORDINAIRES</t>
        </is>
      </c>
      <c r="C31" s="92" t="inlineStr"/>
      <c r="D31" s="84">
        <f>D19+D20+D21+D22+D23+D24+D25+D26+D27+D28+D29+D30</f>
        <v/>
      </c>
      <c r="E31" s="85">
        <f>E19+E20+E21+E22+E23+E24+E25+E26+E27+E28+E29+E30</f>
        <v/>
      </c>
    </row>
    <row r="32" ht="22" customHeight="1">
      <c r="A32" s="74" t="inlineStr">
        <is>
          <t>XC</t>
        </is>
      </c>
      <c r="B32" s="6" t="inlineStr">
        <is>
          <t>RESULTAT DES ACTIVITES ORDINAIRES</t>
        </is>
      </c>
      <c r="C32" s="91" t="inlineStr"/>
      <c r="D32" s="7">
        <f>D18+D31</f>
        <v/>
      </c>
      <c r="E32" s="82">
        <f>E18+E31</f>
        <v/>
      </c>
    </row>
    <row r="33" ht="22" customHeight="1">
      <c r="A33" s="78" t="inlineStr">
        <is>
          <t>TM</t>
        </is>
      </c>
      <c r="B33" s="79" t="inlineStr">
        <is>
          <t>Produits H.A.O.</t>
        </is>
      </c>
      <c r="C33" s="90" t="inlineStr">
        <is>
          <t>note 32</t>
        </is>
      </c>
      <c r="D33" s="80">
        <f>(SUMIF('BALANCE N'!$A$2:$A$2000,"82*",'BALANCE N'!$H$2:$H$2000)-SUMIF('BALANCE N'!$A$2:$A$2000,"82*",'BALANCE N'!$G$2:$G$2000)+SUMIF('BALANCE N'!$A$2:$A$2000,"84*",'BALANCE N'!$H$2:$H$2000)-SUMIF('BALANCE N'!$A$2:$A$2000,"84*",'BALANCE N'!$G$2:$G$2000)+SUMIF('BALANCE N'!$A$2:$A$2000,"86*",'BALANCE N'!$H$2:$H$2000)-SUMIF('BALANCE N'!$A$2:$A$2000,"86*",'BALANCE N'!$G$2:$G$2000)+SUMIF('BALANCE N'!$A$2:$A$2000,"88*",'BALANCE N'!$H$2:$H$2000)-SUMIF('BALANCE N'!$A$2:$A$2000,"88*",'BALANCE N'!$G$2:$G$2000))</f>
        <v/>
      </c>
      <c r="E33" s="81">
        <f>(SUMIF('BALANCE N-1'!$A$2:$A$2000,"82*",'BALANCE N-1'!$H$2:$H$2000)-SUMIF('BALANCE N-1'!$A$2:$A$2000,"82*",'BALANCE N-1'!$G$2:$G$2000)+SUMIF('BALANCE N-1'!$A$2:$A$2000,"84*",'BALANCE N-1'!$H$2:$H$2000)-SUMIF('BALANCE N-1'!$A$2:$A$2000,"84*",'BALANCE N-1'!$G$2:$G$2000)+SUMIF('BALANCE N-1'!$A$2:$A$2000,"86*",'BALANCE N-1'!$H$2:$H$2000)-SUMIF('BALANCE N-1'!$A$2:$A$2000,"86*",'BALANCE N-1'!$G$2:$G$2000)+SUMIF('BALANCE N-1'!$A$2:$A$2000,"88*",'BALANCE N-1'!$H$2:$H$2000)-SUMIF('BALANCE N-1'!$A$2:$A$2000,"88*",'BALANCE N-1'!$G$2:$G$2000))</f>
        <v/>
      </c>
    </row>
    <row r="34" ht="22" customHeight="1">
      <c r="A34" s="78" t="inlineStr">
        <is>
          <t>TN</t>
        </is>
      </c>
      <c r="B34" s="79" t="inlineStr">
        <is>
          <t>Charges H.A.O.</t>
        </is>
      </c>
      <c r="C34" s="90" t="inlineStr">
        <is>
          <t>note 32</t>
        </is>
      </c>
      <c r="D34" s="80">
        <f>(SUMIF('BALANCE N'!$A$2:$A$2000,"81*",'BALANCE N'!$H$2:$H$2000)-SUMIF('BALANCE N'!$A$2:$A$2000,"81*",'BALANCE N'!$G$2:$G$2000)+SUMIF('BALANCE N'!$A$2:$A$2000,"83*",'BALANCE N'!$H$2:$H$2000)-SUMIF('BALANCE N'!$A$2:$A$2000,"83*",'BALANCE N'!$G$2:$G$2000)+SUMIF('BALANCE N'!$A$2:$A$2000,"85*",'BALANCE N'!$H$2:$H$2000)-SUMIF('BALANCE N'!$A$2:$A$2000,"85*",'BALANCE N'!$G$2:$G$2000)+SUMIF('BALANCE N'!$A$2:$A$2000,"87*",'BALANCE N'!$H$2:$H$2000)-SUMIF('BALANCE N'!$A$2:$A$2000,"87*",'BALANCE N'!$G$2:$G$2000))</f>
        <v/>
      </c>
      <c r="E34" s="81">
        <f>(SUMIF('BALANCE N-1'!$A$2:$A$2000,"81*",'BALANCE N-1'!$H$2:$H$2000)-SUMIF('BALANCE N-1'!$A$2:$A$2000,"81*",'BALANCE N-1'!$G$2:$G$2000)+SUMIF('BALANCE N-1'!$A$2:$A$2000,"83*",'BALANCE N-1'!$H$2:$H$2000)-SUMIF('BALANCE N-1'!$A$2:$A$2000,"83*",'BALANCE N-1'!$G$2:$G$2000)+SUMIF('BALANCE N-1'!$A$2:$A$2000,"85*",'BALANCE N-1'!$H$2:$H$2000)-SUMIF('BALANCE N-1'!$A$2:$A$2000,"85*",'BALANCE N-1'!$G$2:$G$2000)+SUMIF('BALANCE N-1'!$A$2:$A$2000,"87*",'BALANCE N-1'!$H$2:$H$2000)-SUMIF('BALANCE N-1'!$A$2:$A$2000,"87*",'BALANCE N-1'!$G$2:$G$2000))</f>
        <v/>
      </c>
    </row>
    <row r="35" ht="22" customHeight="1">
      <c r="A35" s="74" t="inlineStr">
        <is>
          <t>XD</t>
        </is>
      </c>
      <c r="B35" s="6" t="inlineStr">
        <is>
          <t>RESULTAT H.A.O.</t>
        </is>
      </c>
      <c r="C35" s="91" t="inlineStr"/>
      <c r="D35" s="7">
        <f>D33+D34</f>
        <v/>
      </c>
      <c r="E35" s="82">
        <f>E33+E34</f>
        <v/>
      </c>
    </row>
    <row r="36" ht="22" customHeight="1">
      <c r="A36" s="86" t="inlineStr">
        <is>
          <t>XE</t>
        </is>
      </c>
      <c r="B36" s="95" t="inlineStr">
        <is>
          <t>RESULTAT NET DE L'EXERCICE (+excedent, -deficit)</t>
        </is>
      </c>
      <c r="C36" s="96" t="inlineStr"/>
      <c r="D36" s="97">
        <f>D32+D35</f>
        <v/>
      </c>
      <c r="E36" s="98">
        <f>E32+E35</f>
        <v/>
      </c>
    </row>
  </sheetData>
  <mergeCells count="5">
    <mergeCell ref="A8:A9"/>
    <mergeCell ref="C8:C9"/>
    <mergeCell ref="D2:E2"/>
    <mergeCell ref="B8:B9"/>
    <mergeCell ref="B7:D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5.5" customWidth="1" min="1" max="1"/>
    <col width="72" customWidth="1" min="2" max="2"/>
    <col width="6" customWidth="1" min="3" max="3"/>
    <col width="15.7" customWidth="1" min="4" max="4"/>
    <col width="15.7" customWidth="1" min="5" max="5"/>
  </cols>
  <sheetData>
    <row r="1" ht="12" customHeight="1">
      <c r="A1" s="50" t="inlineStr">
        <is>
          <t>- 7 -</t>
        </is>
      </c>
    </row>
    <row r="2" ht="26" customHeight="1">
      <c r="D2" s="51" t="inlineStr">
        <is>
          <t>TABLEAU DES FLUX
DE TRESORERIE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94" t="inlineStr">
        <is>
          <t>TABLEAU DES FLUX DE TRESORERIE</t>
        </is>
      </c>
      <c r="B7" s="67" t="n"/>
      <c r="C7" s="67" t="n"/>
      <c r="D7" s="67" t="n"/>
      <c r="E7" s="67" t="n"/>
    </row>
    <row r="8" ht="22" customHeight="1">
      <c r="A8" s="1" t="inlineStr">
        <is>
          <t>REF</t>
        </is>
      </c>
      <c r="B8" s="2" t="inlineStr">
        <is>
          <t>LIBELLES</t>
        </is>
      </c>
      <c r="C8" s="2" t="inlineStr">
        <is>
          <t>Rep.</t>
        </is>
      </c>
      <c r="D8" s="2" t="inlineStr">
        <is>
          <t>EXERCICE N</t>
        </is>
      </c>
      <c r="E8" s="3" t="inlineStr">
        <is>
          <t>EXERCICE N-1</t>
        </is>
      </c>
    </row>
    <row r="9" ht="22" customHeight="1">
      <c r="A9" s="74" t="inlineStr">
        <is>
          <t>ZA</t>
        </is>
      </c>
      <c r="B9" s="99" t="inlineStr">
        <is>
          <t>Trésorerie nette au 1er janvier (Trésorerie actif N-1 - Trésorerie passif N-1)</t>
        </is>
      </c>
      <c r="C9" s="100" t="inlineStr">
        <is>
          <t>A</t>
        </is>
      </c>
      <c r="D9" s="101">
        <f>((((SUMIF('BALANCE N-1'!$A$2:$A$2000,"50*",'BALANCE N-1'!$G$2:$G$2000)-SUMIF('BALANCE N-1'!$A$2:$A$2000,"50*",'BALANCE N-1'!$H$2:$H$2000)))-((SUMIF('BALANCE N-1'!$A$2:$A$2000,"590*",'BALANCE N-1'!$H$2:$H$2000)-SUMIF('BALANCE N-1'!$A$2:$A$2000,"590*",'BALANCE N-1'!$G$2:$G$2000))))+(((SUMIF('BALANCE N-1'!$A$2:$A$2000,"51*",'BALANCE N-1'!$G$2:$G$2000)-SUMIF('BALANCE N-1'!$A$2:$A$2000,"51*",'BALANCE N-1'!$H$2:$H$2000)))-((SUMIF('BALANCE N-1'!$A$2:$A$2000,"591*",'BALANCE N-1'!$H$2:$H$2000)-SUMIF('BALANCE N-1'!$A$2:$A$2000,"591*",'BALANCE N-1'!$G$2:$G$2000))))+(((SUMIF('BALANCE N-1'!$A$2:$A$2000,"52*",'BALANCE N-1'!$G$2:$G$2000)-SUMIF('BALANCE N-1'!$A$2:$A$2000,"52*",'BALANCE N-1'!$H$2:$H$2000)+SUMIF('BALANCE N-1'!$A$2:$A$2000,"53*",'BALANCE N-1'!$G$2:$G$2000)-SUMIF('BALANCE N-1'!$A$2:$A$2000,"53*",'BALANCE N-1'!$H$2:$H$2000)+SUMIF('BALANCE N-1'!$A$2:$A$2000,"55*",'BALANCE N-1'!$G$2:$G$2000)-SUMIF('BALANCE N-1'!$A$2:$A$2000,"55*",'BALANCE N-1'!$H$2:$H$2000)+SUMIF('BALANCE N-1'!$A$2:$A$2000,"57*",'BALANCE N-1'!$G$2:$G$2000)-SUMIF('BALANCE N-1'!$A$2:$A$2000,"57*",'BALANCE N-1'!$H$2:$H$2000)))-((SUMIF('BALANCE N-1'!$A$2:$A$2000,"592*",'BALANCE N-1'!$H$2:$H$2000)-SUMIF('BALANCE N-1'!$A$2:$A$2000,"592*",'BALANCE N-1'!$G$2:$G$2000)+SUMIF('BALANCE N-1'!$A$2:$A$2000,"593*",'BALANCE N-1'!$H$2:$H$2000)-SUMIF('BALANCE N-1'!$A$2:$A$2000,"593*",'BALANCE N-1'!$G$2:$G$2000)+SUMIF('BALANCE N-1'!$A$2:$A$2000,"595*",'BALANCE N-1'!$H$2:$H$2000)-SUMIF('BALANCE N-1'!$A$2:$A$2000,"595*",'BALANCE N-1'!$G$2:$G$2000)))))-((SUMIF('BALANCE N-1'!$A$2:$A$2000,"564*",'BALANCE N-1'!$H$2:$H$2000)-SUMIF('BALANCE N-1'!$A$2:$A$2000,"564*",'BALANCE N-1'!$G$2:$G$2000)+SUMIF('BALANCE N-1'!$A$2:$A$2000,"565*",'BALANCE N-1'!$H$2:$H$2000)-SUMIF('BALANCE N-1'!$A$2:$A$2000,"565*",'BALANCE N-1'!$G$2:$G$2000))+(SUMIF('BALANCE N-1'!$A$2:$A$2000,"52*",'BALANCE N-1'!$H$2:$H$2000)+SUMIF('BALANCE N-1'!$A$2:$A$2000,"53*",'BALANCE N-1'!$H$2:$H$2000)))</f>
        <v/>
      </c>
      <c r="E9" s="102" t="n"/>
    </row>
    <row r="10" ht="22" customHeight="1">
      <c r="A10" s="103" t="n"/>
      <c r="B10" s="6" t="inlineStr">
        <is>
          <t>Flux de trésorerie provenant des activités opérationnelles</t>
        </is>
      </c>
      <c r="C10" s="6" t="n"/>
      <c r="D10" s="7" t="n"/>
      <c r="E10" s="82" t="n"/>
    </row>
    <row r="11" ht="22" customHeight="1">
      <c r="A11" s="78" t="inlineStr">
        <is>
          <t>FA</t>
        </is>
      </c>
      <c r="B11" s="79" t="inlineStr">
        <is>
          <t>+ Encaissement des cotisations</t>
        </is>
      </c>
      <c r="C11" s="90" t="inlineStr"/>
      <c r="D11" s="80" t="n"/>
      <c r="E11" s="81" t="n"/>
    </row>
    <row r="12" ht="22" customHeight="1">
      <c r="A12" s="78" t="inlineStr">
        <is>
          <t>FB</t>
        </is>
      </c>
      <c r="B12" s="79" t="inlineStr">
        <is>
          <t>+ Encaissement des subventions d'exploitation et d'équilibre</t>
        </is>
      </c>
      <c r="C12" s="90" t="inlineStr"/>
      <c r="D12" s="80" t="n"/>
      <c r="E12" s="81" t="n"/>
    </row>
    <row r="13" ht="22" customHeight="1">
      <c r="A13" s="78" t="inlineStr">
        <is>
          <t>FC</t>
        </is>
      </c>
      <c r="B13" s="79" t="inlineStr">
        <is>
          <t>+ Encaissement des revenus liés à la générosité</t>
        </is>
      </c>
      <c r="C13" s="90" t="inlineStr"/>
      <c r="D13" s="80" t="n"/>
      <c r="E13" s="81" t="n"/>
    </row>
    <row r="14" ht="22" customHeight="1">
      <c r="A14" s="78" t="inlineStr">
        <is>
          <t>FD</t>
        </is>
      </c>
      <c r="B14" s="79" t="inlineStr">
        <is>
          <t>+ Encaissement des revenus des manifestations</t>
        </is>
      </c>
      <c r="C14" s="90" t="inlineStr"/>
      <c r="D14" s="80" t="n"/>
      <c r="E14" s="81" t="n"/>
    </row>
    <row r="15" ht="22" customHeight="1">
      <c r="A15" s="78" t="inlineStr">
        <is>
          <t>FE</t>
        </is>
      </c>
      <c r="B15" s="79" t="inlineStr">
        <is>
          <t>+ Encaissement des autres revenus</t>
        </is>
      </c>
      <c r="C15" s="90" t="inlineStr"/>
      <c r="D15" s="80" t="n"/>
      <c r="E15" s="81" t="n"/>
    </row>
    <row r="16" ht="22" customHeight="1">
      <c r="A16" s="78" t="inlineStr">
        <is>
          <t>FF</t>
        </is>
      </c>
      <c r="B16" s="79" t="inlineStr">
        <is>
          <t>- Décaissement des sommes versées aux fournisseurs (1)</t>
        </is>
      </c>
      <c r="C16" s="90" t="inlineStr"/>
      <c r="D16" s="80" t="n"/>
      <c r="E16" s="81" t="n"/>
    </row>
    <row r="17" ht="22" customHeight="1">
      <c r="A17" s="78" t="inlineStr">
        <is>
          <t>FG</t>
        </is>
      </c>
      <c r="B17" s="79" t="inlineStr">
        <is>
          <t>- Décaissement des sommes versées au personnel</t>
        </is>
      </c>
      <c r="C17" s="90" t="inlineStr"/>
      <c r="D17" s="80" t="n"/>
      <c r="E17" s="81" t="n"/>
    </row>
    <row r="18" ht="22" customHeight="1">
      <c r="A18" s="78" t="inlineStr">
        <is>
          <t>FH</t>
        </is>
      </c>
      <c r="B18" s="79" t="inlineStr">
        <is>
          <t>- Autres décaissements</t>
        </is>
      </c>
      <c r="C18" s="90" t="inlineStr"/>
      <c r="D18" s="80" t="n"/>
      <c r="E18" s="81" t="n"/>
    </row>
    <row r="19" ht="22" customHeight="1">
      <c r="A19" s="74" t="inlineStr">
        <is>
          <t>ZB</t>
        </is>
      </c>
      <c r="B19" s="83" t="inlineStr">
        <is>
          <t>FLUX DE TRÉSORERIE PROVENANT DES ACTIVITÉS OPÉRATIONNELLES - calculé en résidu (voir README)</t>
        </is>
      </c>
      <c r="C19" s="92" t="inlineStr">
        <is>
          <t>B</t>
        </is>
      </c>
      <c r="D19" s="84">
        <f>D35-D25-D30-D34</f>
        <v/>
      </c>
      <c r="E19" s="85" t="n"/>
    </row>
    <row r="20" ht="22" customHeight="1">
      <c r="A20" s="103" t="n"/>
      <c r="B20" s="6" t="inlineStr">
        <is>
          <t>Flux de trésorerie provenant des activités d'investissement</t>
        </is>
      </c>
      <c r="C20" s="6" t="n"/>
      <c r="D20" s="7" t="n"/>
      <c r="E20" s="82" t="n"/>
    </row>
    <row r="21" ht="22" customHeight="1">
      <c r="A21" s="78" t="inlineStr">
        <is>
          <t>FI</t>
        </is>
      </c>
      <c r="B21" s="79" t="inlineStr">
        <is>
          <t>- Décaissements liés aux acquisitions d'immobilisations incorporelles et corporelles</t>
        </is>
      </c>
      <c r="C21" s="90" t="inlineStr"/>
      <c r="D21" s="80" t="n"/>
      <c r="E21" s="81" t="n"/>
    </row>
    <row r="22" ht="22" customHeight="1">
      <c r="A22" s="78" t="inlineStr">
        <is>
          <t>FJ</t>
        </is>
      </c>
      <c r="B22" s="79" t="inlineStr">
        <is>
          <t>- Décaissements liés aux acquisitions d'immobilisations financières</t>
        </is>
      </c>
      <c r="C22" s="90" t="inlineStr"/>
      <c r="D22" s="80" t="n"/>
      <c r="E22" s="81" t="n"/>
    </row>
    <row r="23" ht="22" customHeight="1">
      <c r="A23" s="78" t="inlineStr">
        <is>
          <t>FK</t>
        </is>
      </c>
      <c r="B23" s="79" t="inlineStr">
        <is>
          <t>+ Encaissements liés aux cessions d'immobilisations incorporelles et corporelles</t>
        </is>
      </c>
      <c r="C23" s="90" t="inlineStr"/>
      <c r="D23" s="80" t="n"/>
      <c r="E23" s="81" t="n"/>
    </row>
    <row r="24" ht="22" customHeight="1">
      <c r="A24" s="78" t="inlineStr">
        <is>
          <t>FL</t>
        </is>
      </c>
      <c r="B24" s="79" t="inlineStr">
        <is>
          <t>+ Encaissements liés aux cessions d'immobilisations financières</t>
        </is>
      </c>
      <c r="C24" s="90" t="inlineStr"/>
      <c r="D24" s="80" t="n"/>
      <c r="E24" s="81" t="n"/>
    </row>
    <row r="25" ht="22" customHeight="1">
      <c r="A25" s="74" t="inlineStr">
        <is>
          <t>ZC</t>
        </is>
      </c>
      <c r="B25" s="83" t="inlineStr">
        <is>
          <t>FLUX DE TRÉSORERIE PROVENANT DES ACTIVITÉS D'INVESTISSEMENT</t>
        </is>
      </c>
      <c r="C25" s="92" t="inlineStr">
        <is>
          <t>C</t>
        </is>
      </c>
      <c r="D25" s="84">
        <f>-((((SUMIF('BALANCE N'!$A$2:$A$2000,"201*",'BALANCE N'!$G$2:$G$2000)-SUMIF('BALANCE N'!$A$2:$A$2000,"201*",'BALANCE N'!$H$2:$H$2000)))+((SUMIF('BALANCE N'!$A$2:$A$2000,"202*",'BALANCE N'!$G$2:$G$2000)-SUMIF('BALANCE N'!$A$2:$A$2000,"202*",'BALANCE N'!$H$2:$H$2000)+SUMIF('BALANCE N'!$A$2:$A$2000,"203*",'BALANCE N'!$G$2:$G$2000)-SUMIF('BALANCE N'!$A$2:$A$2000,"203*",'BALANCE N'!$H$2:$H$2000)+SUMIF('BALANCE N'!$A$2:$A$2000,"204*",'BALANCE N'!$G$2:$G$2000)-SUMIF('BALANCE N'!$A$2:$A$2000,"204*",'BALANCE N'!$H$2:$H$2000)+SUMIF('BALANCE N'!$A$2:$A$2000,"205*",'BALANCE N'!$G$2:$G$2000)-SUMIF('BALANCE N'!$A$2:$A$2000,"205*",'BALANCE N'!$H$2:$H$2000)))+((SUMIF('BALANCE N'!$A$2:$A$2000,"212*",'BALANCE N'!$G$2:$G$2000)-SUMIF('BALANCE N'!$A$2:$A$2000,"212*",'BALANCE N'!$H$2:$H$2000)+SUMIF('BALANCE N'!$A$2:$A$2000,"213*",'BALANCE N'!$G$2:$G$2000)-SUMIF('BALANCE N'!$A$2:$A$2000,"213*",'BALANCE N'!$H$2:$H$2000)+SUMIF('BALANCE N'!$A$2:$A$2000,"214*",'BALANCE N'!$G$2:$G$2000)-SUMIF('BALANCE N'!$A$2:$A$2000,"214*",'BALANCE N'!$H$2:$H$2000)+SUMIF('BALANCE N'!$A$2:$A$2000,"2193*",'BALANCE N'!$G$2:$G$2000)-SUMIF('BALANCE N'!$A$2:$A$2000,"2193*",'BALANCE N'!$H$2:$H$2000)))+((SUMIF('BALANCE N'!$A$2:$A$2000,"218*",'BALANCE N'!$G$2:$G$2000)-SUMIF('BALANCE N'!$A$2:$A$2000,"218*",'BALANCE N'!$H$2:$H$2000)+SUMIF('BALANCE N'!$A$2:$A$2000,"2198*",'BALANCE N'!$G$2:$G$2000)-SUMIF('BALANCE N'!$A$2:$A$2000,"2198*",'BALANCE N'!$H$2:$H$2000)))+((SUMIF('BALANCE N'!$A$2:$A$2000,"251*",'BALANCE N'!$G$2:$G$2000)-SUMIF('BALANCE N'!$A$2:$A$2000,"251*",'BALANCE N'!$H$2:$H$2000)))+((SUMIF('BALANCE N'!$A$2:$A$2000,"22*",'BALANCE N'!$G$2:$G$2000)-SUMIF('BALANCE N'!$A$2:$A$2000,"22*",'BALANCE N'!$H$2:$H$2000)))+((SUMIF('BALANCE N'!$A$2:$A$2000,"231*",'BALANCE N'!$G$2:$G$2000)-SUMIF('BALANCE N'!$A$2:$A$2000,"231*",'BALANCE N'!$H$2:$H$2000)+SUMIF('BALANCE N'!$A$2:$A$2000,"232*",'BALANCE N'!$G$2:$G$2000)-SUMIF('BALANCE N'!$A$2:$A$2000,"232*",'BALANCE N'!$H$2:$H$2000)+SUMIF('BALANCE N'!$A$2:$A$2000,"233*",'BALANCE N'!$G$2:$G$2000)-SUMIF('BALANCE N'!$A$2:$A$2000,"233*",'BALANCE N'!$H$2:$H$2000)+SUMIF('BALANCE N'!$A$2:$A$2000,"2391*",'BALANCE N'!$G$2:$G$2000)-SUMIF('BALANCE N'!$A$2:$A$2000,"2391*",'BALANCE N'!$H$2:$H$2000)+SUMIF('BALANCE N'!$A$2:$A$2000,"2392*",'BALANCE N'!$G$2:$G$2000)-SUMIF('BALANCE N'!$A$2:$A$2000,"2392*",'BALANCE N'!$H$2:$H$2000)+SUMIF('BALANCE N'!$A$2:$A$2000,"2393*",'BALANCE N'!$G$2:$G$2000)-SUMIF('BALANCE N'!$A$2:$A$2000,"2393*",'BALANCE N'!$H$2:$H$2000)+SUMIF('BALANCE N'!$A$2:$A$2000,"2396*",'BALANCE N'!$G$2:$G$2000)-SUMIF('BALANCE N'!$A$2:$A$2000,"2396*",'BALANCE N'!$H$2:$H$2000)))+((SUMIF('BALANCE N'!$A$2:$A$2000,"234*",'BALANCE N'!$G$2:$G$2000)-SUMIF('BALANCE N'!$A$2:$A$2000,"234*",'BALANCE N'!$H$2:$H$2000)+SUMIF('BALANCE N'!$A$2:$A$2000,"235*",'BALANCE N'!$G$2:$G$2000)-SUMIF('BALANCE N'!$A$2:$A$2000,"235*",'BALANCE N'!$H$2:$H$2000)+SUMIF('BALANCE N'!$A$2:$A$2000,"238*",'BALANCE N'!$G$2:$G$2000)-SUMIF('BALANCE N'!$A$2:$A$2000,"238*",'BALANCE N'!$H$2:$H$2000)+SUMIF('BALANCE N'!$A$2:$A$2000,"2394*",'BALANCE N'!$G$2:$G$2000)-SUMIF('BALANCE N'!$A$2:$A$2000,"2394*",'BALANCE N'!$H$2:$H$2000)+SUMIF('BALANCE N'!$A$2:$A$2000,"2395*",'BALANCE N'!$G$2:$G$2000)-SUMIF('BALANCE N'!$A$2:$A$2000,"2395*",'BALANCE N'!$H$2:$H$2000)+SUMIF('BALANCE N'!$A$2:$A$2000,"2398*",'BALANCE N'!$G$2:$G$2000)-SUMIF('BALANCE N'!$A$2:$A$2000,"2398*",'BALANCE N'!$H$2:$H$2000)))+((SUMIF('BALANCE N'!$A$2:$A$2000,"24*",'BALANCE N'!$G$2:$G$2000)-SUMIF('BALANCE N'!$A$2:$A$2000,"24*",'BALANCE N'!$H$2:$H$2000)-SUMIF('BALANCE N'!$A$2:$A$2000,"245*",'BALANCE N'!$G$2:$G$2000)+SUMIF('BALANCE N'!$A$2:$A$2000,"245*",'BALANCE N'!$H$2:$H$2000)-SUMIF('BALANCE N'!$A$2:$A$2000,"2495*",'BALANCE N'!$G$2:$G$2000)+SUMIF('BALANCE N'!$A$2:$A$2000,"2495*",'BALANCE N'!$H$2:$H$2000)))+((SUMIF('BALANCE N'!$A$2:$A$2000,"245*",'BALANCE N'!$G$2:$G$2000)-SUMIF('BALANCE N'!$A$2:$A$2000,"245*",'BALANCE N'!$H$2:$H$2000)+SUMIF('BALANCE N'!$A$2:$A$2000,"2495*",'BALANCE N'!$G$2:$G$2000)-SUMIF('BALANCE N'!$A$2:$A$2000,"2495*",'BALANCE N'!$H$2:$H$2000)))+((SUMIF('BALANCE N'!$A$2:$A$2000,"252*",'BALANCE N'!$G$2:$G$2000)-SUMIF('BALANCE N'!$A$2:$A$2000,"252*",'BALANCE N'!$H$2:$H$2000)))+((SUMIF('BALANCE N'!$A$2:$A$2000,"26*",'BALANCE N'!$G$2:$G$2000)-SUMIF('BALANCE N'!$A$2:$A$2000,"26*",'BALANCE N'!$H$2:$H$2000)))+((SUMIF('BALANCE N'!$A$2:$A$2000,"27*",'BALANCE N'!$G$2:$G$2000)-SUMIF('BALANCE N'!$A$2:$A$2000,"27*",'BALANCE N'!$H$2:$H$2000))))-(((SUMIF('BALANCE N-1'!$A$2:$A$2000,"201*",'BALANCE N-1'!$G$2:$G$2000)-SUMIF('BALANCE N-1'!$A$2:$A$2000,"201*",'BALANCE N-1'!$H$2:$H$2000)))+((SUMIF('BALANCE N-1'!$A$2:$A$2000,"202*",'BALANCE N-1'!$G$2:$G$2000)-SUMIF('BALANCE N-1'!$A$2:$A$2000,"202*",'BALANCE N-1'!$H$2:$H$2000)+SUMIF('BALANCE N-1'!$A$2:$A$2000,"203*",'BALANCE N-1'!$G$2:$G$2000)-SUMIF('BALANCE N-1'!$A$2:$A$2000,"203*",'BALANCE N-1'!$H$2:$H$2000)+SUMIF('BALANCE N-1'!$A$2:$A$2000,"204*",'BALANCE N-1'!$G$2:$G$2000)-SUMIF('BALANCE N-1'!$A$2:$A$2000,"204*",'BALANCE N-1'!$H$2:$H$2000)+SUMIF('BALANCE N-1'!$A$2:$A$2000,"205*",'BALANCE N-1'!$G$2:$G$2000)-SUMIF('BALANCE N-1'!$A$2:$A$2000,"205*",'BALANCE N-1'!$H$2:$H$2000)))+((SUMIF('BALANCE N-1'!$A$2:$A$2000,"212*",'BALANCE N-1'!$G$2:$G$2000)-SUMIF('BALANCE N-1'!$A$2:$A$2000,"212*",'BALANCE N-1'!$H$2:$H$2000)+SUMIF('BALANCE N-1'!$A$2:$A$2000,"213*",'BALANCE N-1'!$G$2:$G$2000)-SUMIF('BALANCE N-1'!$A$2:$A$2000,"213*",'BALANCE N-1'!$H$2:$H$2000)+SUMIF('BALANCE N-1'!$A$2:$A$2000,"214*",'BALANCE N-1'!$G$2:$G$2000)-SUMIF('BALANCE N-1'!$A$2:$A$2000,"214*",'BALANCE N-1'!$H$2:$H$2000)+SUMIF('BALANCE N-1'!$A$2:$A$2000,"2193*",'BALANCE N-1'!$G$2:$G$2000)-SUMIF('BALANCE N-1'!$A$2:$A$2000,"2193*",'BALANCE N-1'!$H$2:$H$2000)))+((SUMIF('BALANCE N-1'!$A$2:$A$2000,"218*",'BALANCE N-1'!$G$2:$G$2000)-SUMIF('BALANCE N-1'!$A$2:$A$2000,"218*",'BALANCE N-1'!$H$2:$H$2000)+SUMIF('BALANCE N-1'!$A$2:$A$2000,"2198*",'BALANCE N-1'!$G$2:$G$2000)-SUMIF('BALANCE N-1'!$A$2:$A$2000,"2198*",'BALANCE N-1'!$H$2:$H$2000)))+((SUMIF('BALANCE N-1'!$A$2:$A$2000,"251*",'BALANCE N-1'!$G$2:$G$2000)-SUMIF('BALANCE N-1'!$A$2:$A$2000,"251*",'BALANCE N-1'!$H$2:$H$2000)))+((SUMIF('BALANCE N-1'!$A$2:$A$2000,"22*",'BALANCE N-1'!$G$2:$G$2000)-SUMIF('BALANCE N-1'!$A$2:$A$2000,"22*",'BALANCE N-1'!$H$2:$H$2000)))+((SUMIF('BALANCE N-1'!$A$2:$A$2000,"231*",'BALANCE N-1'!$G$2:$G$2000)-SUMIF('BALANCE N-1'!$A$2:$A$2000,"231*",'BALANCE N-1'!$H$2:$H$2000)+SUMIF('BALANCE N-1'!$A$2:$A$2000,"232*",'BALANCE N-1'!$G$2:$G$2000)-SUMIF('BALANCE N-1'!$A$2:$A$2000,"232*",'BALANCE N-1'!$H$2:$H$2000)+SUMIF('BALANCE N-1'!$A$2:$A$2000,"233*",'BALANCE N-1'!$G$2:$G$2000)-SUMIF('BALANCE N-1'!$A$2:$A$2000,"233*",'BALANCE N-1'!$H$2:$H$2000)+SUMIF('BALANCE N-1'!$A$2:$A$2000,"2391*",'BALANCE N-1'!$G$2:$G$2000)-SUMIF('BALANCE N-1'!$A$2:$A$2000,"2391*",'BALANCE N-1'!$H$2:$H$2000)+SUMIF('BALANCE N-1'!$A$2:$A$2000,"2392*",'BALANCE N-1'!$G$2:$G$2000)-SUMIF('BALANCE N-1'!$A$2:$A$2000,"2392*",'BALANCE N-1'!$H$2:$H$2000)+SUMIF('BALANCE N-1'!$A$2:$A$2000,"2393*",'BALANCE N-1'!$G$2:$G$2000)-SUMIF('BALANCE N-1'!$A$2:$A$2000,"2393*",'BALANCE N-1'!$H$2:$H$2000)+SUMIF('BALANCE N-1'!$A$2:$A$2000,"2396*",'BALANCE N-1'!$G$2:$G$2000)-SUMIF('BALANCE N-1'!$A$2:$A$2000,"2396*",'BALANCE N-1'!$H$2:$H$2000)))+((SUMIF('BALANCE N-1'!$A$2:$A$2000,"234*",'BALANCE N-1'!$G$2:$G$2000)-SUMIF('BALANCE N-1'!$A$2:$A$2000,"234*",'BALANCE N-1'!$H$2:$H$2000)+SUMIF('BALANCE N-1'!$A$2:$A$2000,"235*",'BALANCE N-1'!$G$2:$G$2000)-SUMIF('BALANCE N-1'!$A$2:$A$2000,"235*",'BALANCE N-1'!$H$2:$H$2000)+SUMIF('BALANCE N-1'!$A$2:$A$2000,"238*",'BALANCE N-1'!$G$2:$G$2000)-SUMIF('BALANCE N-1'!$A$2:$A$2000,"238*",'BALANCE N-1'!$H$2:$H$2000)+SUMIF('BALANCE N-1'!$A$2:$A$2000,"2394*",'BALANCE N-1'!$G$2:$G$2000)-SUMIF('BALANCE N-1'!$A$2:$A$2000,"2394*",'BALANCE N-1'!$H$2:$H$2000)+SUMIF('BALANCE N-1'!$A$2:$A$2000,"2395*",'BALANCE N-1'!$G$2:$G$2000)-SUMIF('BALANCE N-1'!$A$2:$A$2000,"2395*",'BALANCE N-1'!$H$2:$H$2000)+SUMIF('BALANCE N-1'!$A$2:$A$2000,"2398*",'BALANCE N-1'!$G$2:$G$2000)-SUMIF('BALANCE N-1'!$A$2:$A$2000,"2398*",'BALANCE N-1'!$H$2:$H$2000)))+((SUMIF('BALANCE N-1'!$A$2:$A$2000,"24*",'BALANCE N-1'!$G$2:$G$2000)-SUMIF('BALANCE N-1'!$A$2:$A$2000,"24*",'BALANCE N-1'!$H$2:$H$2000)-SUMIF('BALANCE N-1'!$A$2:$A$2000,"245*",'BALANCE N-1'!$G$2:$G$2000)+SUMIF('BALANCE N-1'!$A$2:$A$2000,"245*",'BALANCE N-1'!$H$2:$H$2000)-SUMIF('BALANCE N-1'!$A$2:$A$2000,"2495*",'BALANCE N-1'!$G$2:$G$2000)+SUMIF('BALANCE N-1'!$A$2:$A$2000,"2495*",'BALANCE N-1'!$H$2:$H$2000)))+((SUMIF('BALANCE N-1'!$A$2:$A$2000,"245*",'BALANCE N-1'!$G$2:$G$2000)-SUMIF('BALANCE N-1'!$A$2:$A$2000,"245*",'BALANCE N-1'!$H$2:$H$2000)+SUMIF('BALANCE N-1'!$A$2:$A$2000,"2495*",'BALANCE N-1'!$G$2:$G$2000)-SUMIF('BALANCE N-1'!$A$2:$A$2000,"2495*",'BALANCE N-1'!$H$2:$H$2000)))+((SUMIF('BALANCE N-1'!$A$2:$A$2000,"252*",'BALANCE N-1'!$G$2:$G$2000)-SUMIF('BALANCE N-1'!$A$2:$A$2000,"252*",'BALANCE N-1'!$H$2:$H$2000)))+((SUMIF('BALANCE N-1'!$A$2:$A$2000,"26*",'BALANCE N-1'!$G$2:$G$2000)-SUMIF('BALANCE N-1'!$A$2:$A$2000,"26*",'BALANCE N-1'!$H$2:$H$2000)))+((SUMIF('BALANCE N-1'!$A$2:$A$2000,"27*",'BALANCE N-1'!$G$2:$G$2000)-SUMIF('BALANCE N-1'!$A$2:$A$2000,"27*",'BALANCE N-1'!$H$2:$H$2000)))))</f>
        <v/>
      </c>
      <c r="E25" s="85" t="n"/>
    </row>
    <row r="26" ht="22" customHeight="1">
      <c r="A26" s="103" t="n"/>
      <c r="B26" s="6" t="inlineStr">
        <is>
          <t>Flux de trésorerie provenant du financement par les fonds propres</t>
        </is>
      </c>
      <c r="C26" s="6" t="n"/>
      <c r="D26" s="7" t="n"/>
      <c r="E26" s="82" t="n"/>
    </row>
    <row r="27" ht="22" customHeight="1">
      <c r="A27" s="78" t="inlineStr">
        <is>
          <t>FM</t>
        </is>
      </c>
      <c r="B27" s="79" t="inlineStr">
        <is>
          <t>+ Encaissement des dotations et autres fonds propres</t>
        </is>
      </c>
      <c r="C27" s="90" t="inlineStr"/>
      <c r="D27" s="80" t="n"/>
      <c r="E27" s="81" t="n"/>
    </row>
    <row r="28" ht="22" customHeight="1">
      <c r="A28" s="78" t="inlineStr">
        <is>
          <t>FN</t>
        </is>
      </c>
      <c r="B28" s="79" t="inlineStr">
        <is>
          <t>+ Subventions d'investissement reçues</t>
        </is>
      </c>
      <c r="C28" s="90" t="inlineStr"/>
      <c r="D28" s="80" t="n"/>
      <c r="E28" s="81" t="n"/>
    </row>
    <row r="29" ht="22" customHeight="1">
      <c r="A29" s="78" t="inlineStr">
        <is>
          <t>FO</t>
        </is>
      </c>
      <c r="B29" s="79" t="inlineStr">
        <is>
          <t>- Décaissement des dotations et autres fonds propres</t>
        </is>
      </c>
      <c r="C29" s="90" t="inlineStr"/>
      <c r="D29" s="80" t="n"/>
      <c r="E29" s="81" t="n"/>
    </row>
    <row r="30" ht="22" customHeight="1">
      <c r="A30" s="74" t="inlineStr">
        <is>
          <t>ZD</t>
        </is>
      </c>
      <c r="B30" s="6" t="inlineStr">
        <is>
          <t>FLUX DE TRÉSORERIE PROVENANT DES FONDS PROPRES</t>
        </is>
      </c>
      <c r="C30" s="91" t="inlineStr">
        <is>
          <t>D</t>
        </is>
      </c>
      <c r="D30" s="7">
        <f>(((SUMIF('BALANCE N'!$A$2:$A$2000,"101*",'BALANCE N'!$H$2:$H$2000)-SUMIF('BALANCE N'!$A$2:$A$2000,"101*",'BALANCE N'!$G$2:$G$2000)))+((SUMIF('BALANCE N'!$A$2:$A$2000,"102*",'BALANCE N'!$H$2:$H$2000)-SUMIF('BALANCE N'!$A$2:$A$2000,"102*",'BALANCE N'!$G$2:$G$2000)))+((SUMIF('BALANCE N'!$A$2:$A$2000,"103*",'BALANCE N'!$H$2:$H$2000)-SUMIF('BALANCE N'!$A$2:$A$2000,"103*",'BALANCE N'!$G$2:$G$2000)))+((SUMIF('BALANCE N'!$A$2:$A$2000,"104*",'BALANCE N'!$H$2:$H$2000)-SUMIF('BALANCE N'!$A$2:$A$2000,"104*",'BALANCE N'!$G$2:$G$2000)))+((SUMIF('BALANCE N'!$A$2:$A$2000,"14*",'BALANCE N'!$H$2:$H$2000)-SUMIF('BALANCE N'!$A$2:$A$2000,"14*",'BALANCE N'!$G$2:$G$2000)))+((SUMIF('BALANCE N'!$A$2:$A$2000,"16*",'BALANCE N'!$H$2:$H$2000)-SUMIF('BALANCE N'!$A$2:$A$2000,"16*",'BALANCE N'!$G$2:$G$2000)))+((SUMIF('BALANCE N'!$A$2:$A$2000,"17*",'BALANCE N'!$H$2:$H$2000)-SUMIF('BALANCE N'!$A$2:$A$2000,"17*",'BALANCE N'!$G$2:$G$2000))))-(((SUMIF('BALANCE N-1'!$A$2:$A$2000,"101*",'BALANCE N-1'!$H$2:$H$2000)-SUMIF('BALANCE N-1'!$A$2:$A$2000,"101*",'BALANCE N-1'!$G$2:$G$2000)))+((SUMIF('BALANCE N-1'!$A$2:$A$2000,"102*",'BALANCE N-1'!$H$2:$H$2000)-SUMIF('BALANCE N-1'!$A$2:$A$2000,"102*",'BALANCE N-1'!$G$2:$G$2000)))+((SUMIF('BALANCE N-1'!$A$2:$A$2000,"103*",'BALANCE N-1'!$H$2:$H$2000)-SUMIF('BALANCE N-1'!$A$2:$A$2000,"103*",'BALANCE N-1'!$G$2:$G$2000)))+((SUMIF('BALANCE N-1'!$A$2:$A$2000,"104*",'BALANCE N-1'!$H$2:$H$2000)-SUMIF('BALANCE N-1'!$A$2:$A$2000,"104*",'BALANCE N-1'!$G$2:$G$2000)))+((SUMIF('BALANCE N-1'!$A$2:$A$2000,"14*",'BALANCE N-1'!$H$2:$H$2000)-SUMIF('BALANCE N-1'!$A$2:$A$2000,"14*",'BALANCE N-1'!$G$2:$G$2000)))+((SUMIF('BALANCE N-1'!$A$2:$A$2000,"16*",'BALANCE N-1'!$H$2:$H$2000)-SUMIF('BALANCE N-1'!$A$2:$A$2000,"16*",'BALANCE N-1'!$G$2:$G$2000)))+((SUMIF('BALANCE N-1'!$A$2:$A$2000,"17*",'BALANCE N-1'!$H$2:$H$2000)-SUMIF('BALANCE N-1'!$A$2:$A$2000,"17*",'BALANCE N-1'!$G$2:$G$2000))))</f>
        <v/>
      </c>
      <c r="E30" s="82" t="n"/>
    </row>
    <row r="31" ht="22" customHeight="1">
      <c r="A31" s="103" t="n"/>
      <c r="B31" s="6" t="inlineStr">
        <is>
          <t>Trésorerie provenant du financement par les fonds étrangers</t>
        </is>
      </c>
      <c r="C31" s="6" t="n"/>
      <c r="D31" s="7" t="n"/>
      <c r="E31" s="82" t="n"/>
    </row>
    <row r="32" ht="22" customHeight="1">
      <c r="A32" s="78" t="inlineStr">
        <is>
          <t>FP</t>
        </is>
      </c>
      <c r="B32" s="79" t="inlineStr">
        <is>
          <t>+ Encaissement provenant des emprunts et des autres dettes financières</t>
        </is>
      </c>
      <c r="C32" s="90" t="inlineStr"/>
      <c r="D32" s="80" t="n"/>
      <c r="E32" s="81" t="n"/>
    </row>
    <row r="33" ht="22" customHeight="1">
      <c r="A33" s="78" t="inlineStr">
        <is>
          <t>FQ</t>
        </is>
      </c>
      <c r="B33" s="79" t="inlineStr">
        <is>
          <t>- Remboursements des emprunts et autres dettes financières</t>
        </is>
      </c>
      <c r="C33" s="90" t="inlineStr"/>
      <c r="D33" s="80" t="n"/>
      <c r="E33" s="81" t="n"/>
    </row>
    <row r="34" ht="22" customHeight="1">
      <c r="A34" s="74" t="inlineStr">
        <is>
          <t>ZE</t>
        </is>
      </c>
      <c r="B34" s="6" t="inlineStr">
        <is>
          <t>TRÉSORERIE PROVENANT DES FONDS ÉTRANGERS</t>
        </is>
      </c>
      <c r="C34" s="91" t="inlineStr">
        <is>
          <t>E</t>
        </is>
      </c>
      <c r="D34" s="7">
        <f>(((SUMIF('BALANCE N'!$A$2:$A$2000,"181*",'BALANCE N'!$H$2:$H$2000)-SUMIF('BALANCE N'!$A$2:$A$2000,"181*",'BALANCE N'!$G$2:$G$2000)+SUMIF('BALANCE N'!$A$2:$A$2000,"182*",'BALANCE N'!$H$2:$H$2000)-SUMIF('BALANCE N'!$A$2:$A$2000,"182*",'BALANCE N'!$G$2:$G$2000)+SUMIF('BALANCE N'!$A$2:$A$2000,"183*",'BALANCE N'!$H$2:$H$2000)-SUMIF('BALANCE N'!$A$2:$A$2000,"183*",'BALANCE N'!$G$2:$G$2000)+SUMIF('BALANCE N'!$A$2:$A$2000,"185*",'BALANCE N'!$H$2:$H$2000)-SUMIF('BALANCE N'!$A$2:$A$2000,"185*",'BALANCE N'!$G$2:$G$2000)+SUMIF('BALANCE N'!$A$2:$A$2000,"186*",'BALANCE N'!$H$2:$H$2000)-SUMIF('BALANCE N'!$A$2:$A$2000,"186*",'BALANCE N'!$G$2:$G$2000)+SUMIF('BALANCE N'!$A$2:$A$2000,"188*",'BALANCE N'!$H$2:$H$2000)-SUMIF('BALANCE N'!$A$2:$A$2000,"188*",'BALANCE N'!$G$2:$G$2000)))+((SUMIF('BALANCE N'!$A$2:$A$2000,"187*",'BALANCE N'!$H$2:$H$2000)-SUMIF('BALANCE N'!$A$2:$A$2000,"187*",'BALANCE N'!$G$2:$G$2000)))+((SUMIF('BALANCE N'!$A$2:$A$2000,"19*",'BALANCE N'!$H$2:$H$2000)-SUMIF('BALANCE N'!$A$2:$A$2000,"19*",'BALANCE N'!$G$2:$G$2000))))-(((SUMIF('BALANCE N-1'!$A$2:$A$2000,"181*",'BALANCE N-1'!$H$2:$H$2000)-SUMIF('BALANCE N-1'!$A$2:$A$2000,"181*",'BALANCE N-1'!$G$2:$G$2000)+SUMIF('BALANCE N-1'!$A$2:$A$2000,"182*",'BALANCE N-1'!$H$2:$H$2000)-SUMIF('BALANCE N-1'!$A$2:$A$2000,"182*",'BALANCE N-1'!$G$2:$G$2000)+SUMIF('BALANCE N-1'!$A$2:$A$2000,"183*",'BALANCE N-1'!$H$2:$H$2000)-SUMIF('BALANCE N-1'!$A$2:$A$2000,"183*",'BALANCE N-1'!$G$2:$G$2000)+SUMIF('BALANCE N-1'!$A$2:$A$2000,"185*",'BALANCE N-1'!$H$2:$H$2000)-SUMIF('BALANCE N-1'!$A$2:$A$2000,"185*",'BALANCE N-1'!$G$2:$G$2000)+SUMIF('BALANCE N-1'!$A$2:$A$2000,"186*",'BALANCE N-1'!$H$2:$H$2000)-SUMIF('BALANCE N-1'!$A$2:$A$2000,"186*",'BALANCE N-1'!$G$2:$G$2000)+SUMIF('BALANCE N-1'!$A$2:$A$2000,"188*",'BALANCE N-1'!$H$2:$H$2000)-SUMIF('BALANCE N-1'!$A$2:$A$2000,"188*",'BALANCE N-1'!$G$2:$G$2000)))+((SUMIF('BALANCE N-1'!$A$2:$A$2000,"187*",'BALANCE N-1'!$H$2:$H$2000)-SUMIF('BALANCE N-1'!$A$2:$A$2000,"187*",'BALANCE N-1'!$G$2:$G$2000)))+((SUMIF('BALANCE N-1'!$A$2:$A$2000,"19*",'BALANCE N-1'!$H$2:$H$2000)-SUMIF('BALANCE N-1'!$A$2:$A$2000,"19*",'BALANCE N-1'!$G$2:$G$2000))))</f>
        <v/>
      </c>
      <c r="E34" s="82" t="n"/>
    </row>
    <row r="35" ht="22" customHeight="1">
      <c r="A35" s="74" t="inlineStr">
        <is>
          <t>ZF</t>
        </is>
      </c>
      <c r="B35" s="99" t="inlineStr">
        <is>
          <t>VARIATION DE LA TRÉSORERIE NETTE DE LA PÉRIODE (B+C+D+E)</t>
        </is>
      </c>
      <c r="C35" s="100" t="inlineStr">
        <is>
          <t>G</t>
        </is>
      </c>
      <c r="D35" s="101">
        <f>(((((SUMIF('BALANCE N'!$A$2:$A$2000,"50*",'BALANCE N'!$G$2:$G$2000)-SUMIF('BALANCE N'!$A$2:$A$2000,"50*",'BALANCE N'!$H$2:$H$2000)))-((SUMIF('BALANCE N'!$A$2:$A$2000,"590*",'BALANCE N'!$H$2:$H$2000)-SUMIF('BALANCE N'!$A$2:$A$2000,"590*",'BALANCE N'!$G$2:$G$2000))))+(((SUMIF('BALANCE N'!$A$2:$A$2000,"51*",'BALANCE N'!$G$2:$G$2000)-SUMIF('BALANCE N'!$A$2:$A$2000,"51*",'BALANCE N'!$H$2:$H$2000)))-((SUMIF('BALANCE N'!$A$2:$A$2000,"591*",'BALANCE N'!$H$2:$H$2000)-SUMIF('BALANCE N'!$A$2:$A$2000,"591*",'BALANCE N'!$G$2:$G$2000))))+(((SUMIF('BALANCE N'!$A$2:$A$2000,"52*",'BALANCE N'!$G$2:$G$2000)-SUMIF('BALANCE N'!$A$2:$A$2000,"52*",'BALANCE N'!$H$2:$H$2000)+SUMIF('BALANCE N'!$A$2:$A$2000,"53*",'BALANCE N'!$G$2:$G$2000)-SUMIF('BALANCE N'!$A$2:$A$2000,"53*",'BALANCE N'!$H$2:$H$2000)+SUMIF('BALANCE N'!$A$2:$A$2000,"55*",'BALANCE N'!$G$2:$G$2000)-SUMIF('BALANCE N'!$A$2:$A$2000,"55*",'BALANCE N'!$H$2:$H$2000)+SUMIF('BALANCE N'!$A$2:$A$2000,"57*",'BALANCE N'!$G$2:$G$2000)-SUMIF('BALANCE N'!$A$2:$A$2000,"57*",'BALANCE N'!$H$2:$H$2000)))-((SUMIF('BALANCE N'!$A$2:$A$2000,"592*",'BALANCE N'!$H$2:$H$2000)-SUMIF('BALANCE N'!$A$2:$A$2000,"592*",'BALANCE N'!$G$2:$G$2000)+SUMIF('BALANCE N'!$A$2:$A$2000,"593*",'BALANCE N'!$H$2:$H$2000)-SUMIF('BALANCE N'!$A$2:$A$2000,"593*",'BALANCE N'!$G$2:$G$2000)+SUMIF('BALANCE N'!$A$2:$A$2000,"595*",'BALANCE N'!$H$2:$H$2000)-SUMIF('BALANCE N'!$A$2:$A$2000,"595*",'BALANCE N'!$G$2:$G$2000)))))-((SUMIF('BALANCE N'!$A$2:$A$2000,"564*",'BALANCE N'!$H$2:$H$2000)-SUMIF('BALANCE N'!$A$2:$A$2000,"564*",'BALANCE N'!$G$2:$G$2000)+SUMIF('BALANCE N'!$A$2:$A$2000,"565*",'BALANCE N'!$H$2:$H$2000)-SUMIF('BALANCE N'!$A$2:$A$2000,"565*",'BALANCE N'!$G$2:$G$2000))+(SUMIF('BALANCE N'!$A$2:$A$2000,"52*",'BALANCE N'!$H$2:$H$2000)+SUMIF('BALANCE N'!$A$2:$A$2000,"53*",'BALANCE N'!$H$2:$H$2000))))-D9</f>
        <v/>
      </c>
      <c r="E35" s="102" t="n"/>
    </row>
    <row r="36" ht="22" customHeight="1">
      <c r="A36" s="86" t="inlineStr">
        <is>
          <t>ZG</t>
        </is>
      </c>
      <c r="B36" s="104" t="inlineStr">
        <is>
          <t>TRÉSORERIE NETTE AU 31 DÉCEMBRE (G+A) - contrôle : trésorerie actif N - trésorerie passif N</t>
        </is>
      </c>
      <c r="C36" s="105" t="inlineStr">
        <is>
          <t>H</t>
        </is>
      </c>
      <c r="D36" s="106">
        <f>D35+D9</f>
        <v/>
      </c>
      <c r="E36" s="107" t="n"/>
    </row>
    <row r="37"/>
    <row r="38">
      <c r="A38" s="39" t="inlineStr">
        <is>
          <t>(1) à l'exclusion des fournisseurs d'investissements. Les lignes FA à FH (ventilation par nature des encaissements/décaissements) se saisissent depuis le journal de trésorerie : une balance de clôture ne porte pas cette information.</t>
        </is>
      </c>
    </row>
  </sheetData>
  <mergeCells count="2">
    <mergeCell ref="A7:E7"/>
    <mergeCell ref="D2:E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9" customWidth="1" min="2" max="2"/>
    <col width="10" customWidth="1" min="3" max="3"/>
    <col width="8" customWidth="1" min="4" max="4"/>
    <col width="17" customWidth="1" min="5" max="5"/>
    <col width="9.5" customWidth="1" min="6" max="6"/>
    <col width="8" customWidth="1" min="7" max="7"/>
    <col width="21.5" customWidth="1" min="8" max="8"/>
    <col width="6.3" customWidth="1" min="9" max="9"/>
    <col width="6.3" customWidth="1" min="10" max="10"/>
  </cols>
  <sheetData>
    <row r="1" ht="12" customHeight="1">
      <c r="A1" s="50" t="inlineStr">
        <is>
          <t>- 8 -</t>
        </is>
      </c>
    </row>
    <row r="2" ht="26" customHeight="1">
      <c r="I2" s="51" t="inlineStr">
        <is>
          <t>NOTES ANNEXES</t>
        </is>
      </c>
      <c r="J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D4" s="41" t="n"/>
      <c r="E4" s="41" t="n"/>
      <c r="F4" s="41" t="n"/>
      <c r="G4" s="41" t="n"/>
      <c r="I4" s="54" t="inlineStr">
        <is>
          <t>Sigle usuel :</t>
        </is>
      </c>
      <c r="J4" s="53" t="inlineStr"/>
    </row>
    <row r="5" ht="15" customHeight="1">
      <c r="A5" s="39" t="inlineStr">
        <is>
          <t>N° de compte contribuable (NCC) :</t>
        </is>
      </c>
      <c r="G5" s="39" t="inlineStr">
        <is>
          <t>Exercice clos le</t>
        </is>
      </c>
      <c r="I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2" customHeight="1">
      <c r="A7" s="108" t="inlineStr">
        <is>
          <t>FICHE RECAPITULATIVE NOTES ANNEXES PRESENTEES (1)</t>
        </is>
      </c>
    </row>
    <row r="8" ht="19" customHeight="1">
      <c r="A8" s="1" t="inlineStr">
        <is>
          <t>NOTES</t>
        </is>
      </c>
      <c r="B8" s="2" t="inlineStr">
        <is>
          <t>INTITULES</t>
        </is>
      </c>
      <c r="C8" s="2" t="n"/>
      <c r="D8" s="2" t="n"/>
      <c r="E8" s="2" t="n"/>
      <c r="F8" s="2" t="n"/>
      <c r="G8" s="2" t="n"/>
      <c r="H8" s="2" t="n"/>
      <c r="I8" s="2" t="inlineStr">
        <is>
          <t>A (2)</t>
        </is>
      </c>
      <c r="J8" s="3" t="inlineStr">
        <is>
          <t>N/A (2)</t>
        </is>
      </c>
    </row>
    <row r="9" ht="16" customHeight="1">
      <c r="A9" s="109" t="inlineStr">
        <is>
          <t>Partie 1 : Informations générales</t>
        </is>
      </c>
      <c r="B9" s="110" t="n"/>
      <c r="C9" s="110" t="n"/>
      <c r="D9" s="110" t="n"/>
      <c r="E9" s="110" t="n"/>
      <c r="F9" s="110" t="n"/>
      <c r="G9" s="110" t="n"/>
      <c r="H9" s="110" t="n"/>
      <c r="I9" s="110" t="n"/>
      <c r="J9" s="110" t="n"/>
    </row>
    <row r="10">
      <c r="A10" s="111" t="inlineStr">
        <is>
          <t>Note 1</t>
        </is>
      </c>
      <c r="B10" s="112" t="inlineStr">
        <is>
          <t>DETTES GARANTIES PAR DES SÛRETÉS RÉELLES, ENGAGEMENTS FINANCIERS ET CONTRIBUTIONS VOLONTAIRES EN NATURE</t>
        </is>
      </c>
      <c r="C10" s="47" t="n"/>
      <c r="D10" s="47" t="n"/>
      <c r="E10" s="47" t="n"/>
      <c r="F10" s="47" t="n"/>
      <c r="G10" s="47" t="n"/>
      <c r="H10" s="47" t="n"/>
      <c r="I10" s="47" t="n"/>
      <c r="J10" s="47" t="n"/>
    </row>
    <row r="11">
      <c r="A11" s="111" t="inlineStr">
        <is>
          <t>Note 2</t>
        </is>
      </c>
      <c r="B11" s="112" t="inlineStr">
        <is>
          <t>INFORMATIONS OBLIGATOIRES</t>
        </is>
      </c>
      <c r="C11" s="47" t="n"/>
      <c r="D11" s="47" t="n"/>
      <c r="E11" s="47" t="n"/>
      <c r="F11" s="47" t="n"/>
      <c r="G11" s="47" t="n"/>
      <c r="H11" s="47" t="n"/>
      <c r="I11" s="47" t="n"/>
      <c r="J11" s="47" t="n"/>
    </row>
    <row r="12">
      <c r="A12" s="111" t="inlineStr">
        <is>
          <t>Note 3</t>
        </is>
      </c>
      <c r="B12" s="112" t="inlineStr">
        <is>
          <t>ÉVÈNEMENTS POSTÉRIEURS À LA CLÔTURE DE L'EXERCICE</t>
        </is>
      </c>
      <c r="C12" s="47" t="n"/>
      <c r="D12" s="47" t="n"/>
      <c r="E12" s="47" t="n"/>
      <c r="F12" s="47" t="n"/>
      <c r="G12" s="47" t="n"/>
      <c r="H12" s="47" t="n"/>
      <c r="I12" s="47" t="n"/>
      <c r="J12" s="47" t="n"/>
    </row>
    <row r="13">
      <c r="A13" s="111" t="inlineStr">
        <is>
          <t>Note 4</t>
        </is>
      </c>
      <c r="B13" s="112" t="inlineStr">
        <is>
          <t>CHANGEMENTS DE MÉTHODES COMPTABLES, D'ESTIMATIONS ET CORRECTIONS D'ERREURS</t>
        </is>
      </c>
      <c r="C13" s="47" t="n"/>
      <c r="D13" s="47" t="n"/>
      <c r="E13" s="47" t="n"/>
      <c r="F13" s="47" t="n"/>
      <c r="G13" s="47" t="n"/>
      <c r="H13" s="47" t="n"/>
      <c r="I13" s="47" t="n"/>
      <c r="J13" s="47" t="n"/>
    </row>
    <row r="14" ht="16" customHeight="1">
      <c r="A14" s="109" t="inlineStr">
        <is>
          <t>Partie 2 : Notes sur le bilan</t>
        </is>
      </c>
      <c r="B14" s="110" t="n"/>
      <c r="C14" s="110" t="n"/>
      <c r="D14" s="110" t="n"/>
      <c r="E14" s="110" t="n"/>
      <c r="F14" s="110" t="n"/>
      <c r="G14" s="110" t="n"/>
      <c r="H14" s="110" t="n"/>
      <c r="I14" s="110" t="n"/>
      <c r="J14" s="110" t="n"/>
    </row>
    <row r="15">
      <c r="A15" s="111" t="inlineStr">
        <is>
          <t>Note 5A</t>
        </is>
      </c>
      <c r="B15" s="112" t="inlineStr">
        <is>
          <t>DONS ET LEGS D'IMMOBILISATIONS NON REÇUS DESTINÉS À LA VENTE ET USUFRUIT TEMPORAIRE</t>
        </is>
      </c>
      <c r="C15" s="47" t="n"/>
      <c r="D15" s="47" t="n"/>
      <c r="E15" s="47" t="n"/>
      <c r="F15" s="47" t="n"/>
      <c r="G15" s="47" t="n"/>
      <c r="H15" s="47" t="n"/>
      <c r="I15" s="47" t="n"/>
      <c r="J15" s="47" t="n"/>
    </row>
    <row r="16">
      <c r="A16" s="111" t="inlineStr">
        <is>
          <t>Note 5B</t>
        </is>
      </c>
      <c r="B16" s="112" t="inlineStr">
        <is>
          <t>IMMOBILISATIONS BRUTES</t>
        </is>
      </c>
      <c r="C16" s="47" t="n"/>
      <c r="D16" s="47" t="n"/>
      <c r="E16" s="47" t="n"/>
      <c r="F16" s="47" t="n"/>
      <c r="G16" s="47" t="n"/>
      <c r="H16" s="47" t="n"/>
      <c r="I16" s="47" t="n"/>
      <c r="J16" s="47" t="n"/>
    </row>
    <row r="17">
      <c r="A17" s="111" t="inlineStr">
        <is>
          <t>Note 5C</t>
        </is>
      </c>
      <c r="B17" s="112" t="inlineStr">
        <is>
          <t>BIENS PRIS EN LOCATION-ACQUISITION</t>
        </is>
      </c>
      <c r="C17" s="47" t="n"/>
      <c r="D17" s="47" t="n"/>
      <c r="E17" s="47" t="n"/>
      <c r="F17" s="47" t="n"/>
      <c r="G17" s="47" t="n"/>
      <c r="H17" s="47" t="n"/>
      <c r="I17" s="47" t="n"/>
      <c r="J17" s="47" t="n"/>
    </row>
    <row r="18">
      <c r="A18" s="111" t="inlineStr">
        <is>
          <t>Note 5D</t>
        </is>
      </c>
      <c r="B18" s="112" t="inlineStr">
        <is>
          <t>DONS ET LEGS D'IMMOBILISATIONS NON REÇUS DESTINÉS À LA VENTE ET USUFRUIT TEMPORAIRE (AMORTISSEMENTS ET DÉPRÉCIATIONS)</t>
        </is>
      </c>
      <c r="C18" s="47" t="n"/>
      <c r="D18" s="47" t="n"/>
      <c r="E18" s="47" t="n"/>
      <c r="F18" s="47" t="n"/>
      <c r="G18" s="47" t="n"/>
      <c r="H18" s="47" t="n"/>
      <c r="I18" s="47" t="n"/>
      <c r="J18" s="47" t="n"/>
    </row>
    <row r="19">
      <c r="A19" s="111" t="inlineStr">
        <is>
          <t>Note 5E</t>
        </is>
      </c>
      <c r="B19" s="112" t="inlineStr">
        <is>
          <t>IMMOBILISATIONS : AMORTISSEMENTS</t>
        </is>
      </c>
      <c r="C19" s="47" t="n"/>
      <c r="D19" s="47" t="n"/>
      <c r="E19" s="47" t="n"/>
      <c r="F19" s="47" t="n"/>
      <c r="G19" s="47" t="n"/>
      <c r="H19" s="47" t="n"/>
      <c r="I19" s="47" t="n"/>
      <c r="J19" s="47" t="n"/>
    </row>
    <row r="20">
      <c r="A20" s="111" t="inlineStr">
        <is>
          <t>Note 5F</t>
        </is>
      </c>
      <c r="B20" s="112" t="inlineStr">
        <is>
          <t>IMMOBILISATIONS : DÉPRÉCIATIONS</t>
        </is>
      </c>
      <c r="C20" s="47" t="n"/>
      <c r="D20" s="47" t="n"/>
      <c r="E20" s="47" t="n"/>
      <c r="F20" s="47" t="n"/>
      <c r="G20" s="47" t="n"/>
      <c r="H20" s="47" t="n"/>
      <c r="I20" s="47" t="n"/>
      <c r="J20" s="47" t="n"/>
    </row>
    <row r="21">
      <c r="A21" s="111" t="inlineStr">
        <is>
          <t>Note 5G</t>
        </is>
      </c>
      <c r="B21" s="112" t="inlineStr">
        <is>
          <t>IMMOBILISATIONS : PLUS-VALUES ET MOINS-VALUES DE CESSION</t>
        </is>
      </c>
      <c r="C21" s="47" t="n"/>
      <c r="D21" s="47" t="n"/>
      <c r="E21" s="47" t="n"/>
      <c r="F21" s="47" t="n"/>
      <c r="G21" s="47" t="n"/>
      <c r="H21" s="47" t="n"/>
      <c r="I21" s="47" t="n"/>
      <c r="J21" s="47" t="n"/>
    </row>
    <row r="22">
      <c r="A22" s="111" t="inlineStr">
        <is>
          <t>Note 5H</t>
        </is>
      </c>
      <c r="B22" s="112" t="inlineStr">
        <is>
          <t>INFORMATIONS SUR LES RÉÉVALUATIONS EFFECTUÉES PAR L'ENTITÉ</t>
        </is>
      </c>
      <c r="C22" s="47" t="n"/>
      <c r="D22" s="47" t="n"/>
      <c r="E22" s="47" t="n"/>
      <c r="F22" s="47" t="n"/>
      <c r="G22" s="47" t="n"/>
      <c r="H22" s="47" t="n"/>
      <c r="I22" s="47" t="n"/>
      <c r="J22" s="47" t="n"/>
    </row>
    <row r="23">
      <c r="A23" s="111" t="inlineStr">
        <is>
          <t>Note 6</t>
        </is>
      </c>
      <c r="B23" s="112" t="inlineStr">
        <is>
          <t>IMMOBILISATIONS FINANCIÈRES</t>
        </is>
      </c>
      <c r="C23" s="47" t="n"/>
      <c r="D23" s="47" t="n"/>
      <c r="E23" s="47" t="n"/>
      <c r="F23" s="47" t="n"/>
      <c r="G23" s="47" t="n"/>
      <c r="H23" s="47" t="n"/>
      <c r="I23" s="47" t="n"/>
      <c r="J23" s="47" t="n"/>
    </row>
    <row r="24">
      <c r="A24" s="111" t="inlineStr">
        <is>
          <t>Note 7</t>
        </is>
      </c>
      <c r="B24" s="112" t="inlineStr">
        <is>
          <t>ACTIF CIRCULANT ET DETTES CIRCULANTES HAO</t>
        </is>
      </c>
      <c r="C24" s="47" t="n"/>
      <c r="D24" s="47" t="n"/>
      <c r="E24" s="47" t="n"/>
      <c r="F24" s="47" t="n"/>
      <c r="G24" s="47" t="n"/>
      <c r="H24" s="47" t="n"/>
      <c r="I24" s="47" t="n"/>
      <c r="J24" s="47" t="n"/>
    </row>
    <row r="25">
      <c r="A25" s="111" t="inlineStr">
        <is>
          <t>Note 8</t>
        </is>
      </c>
      <c r="B25" s="112" t="inlineStr">
        <is>
          <t>STOCKS ET ENCOURS</t>
        </is>
      </c>
      <c r="C25" s="47" t="n"/>
      <c r="D25" s="47" t="n"/>
      <c r="E25" s="47" t="n"/>
      <c r="F25" s="47" t="n"/>
      <c r="G25" s="47" t="n"/>
      <c r="H25" s="47" t="n"/>
      <c r="I25" s="47" t="n"/>
      <c r="J25" s="47" t="n"/>
    </row>
    <row r="26">
      <c r="A26" s="111" t="inlineStr">
        <is>
          <t>Note 9</t>
        </is>
      </c>
      <c r="B26" s="112" t="inlineStr">
        <is>
          <t>ADHÉRENTS, CLIENTS-USAGERS</t>
        </is>
      </c>
      <c r="C26" s="47" t="n"/>
      <c r="D26" s="47" t="n"/>
      <c r="E26" s="47" t="n"/>
      <c r="F26" s="47" t="n"/>
      <c r="G26" s="47" t="n"/>
      <c r="H26" s="47" t="n"/>
      <c r="I26" s="47" t="n"/>
      <c r="J26" s="47" t="n"/>
    </row>
    <row r="27">
      <c r="A27" s="111" t="inlineStr">
        <is>
          <t>Note 10</t>
        </is>
      </c>
      <c r="B27" s="112" t="inlineStr">
        <is>
          <t>AUTRES CRÉANCES</t>
        </is>
      </c>
      <c r="C27" s="47" t="n"/>
      <c r="D27" s="47" t="n"/>
      <c r="E27" s="47" t="n"/>
      <c r="F27" s="47" t="n"/>
      <c r="G27" s="47" t="n"/>
      <c r="H27" s="47" t="n"/>
      <c r="I27" s="47" t="n"/>
      <c r="J27" s="47" t="n"/>
    </row>
    <row r="28">
      <c r="A28" s="111" t="inlineStr">
        <is>
          <t>Note 11</t>
        </is>
      </c>
      <c r="B28" s="112" t="inlineStr">
        <is>
          <t>TITRES DE PLACEMENT</t>
        </is>
      </c>
      <c r="C28" s="47" t="n"/>
      <c r="D28" s="47" t="n"/>
      <c r="E28" s="47" t="n"/>
      <c r="F28" s="47" t="n"/>
      <c r="G28" s="47" t="n"/>
      <c r="H28" s="47" t="n"/>
      <c r="I28" s="47" t="n"/>
      <c r="J28" s="47" t="n"/>
    </row>
    <row r="29">
      <c r="A29" s="111" t="inlineStr">
        <is>
          <t>Note 12</t>
        </is>
      </c>
      <c r="B29" s="112" t="inlineStr">
        <is>
          <t>VALEURS À ENCAISSER</t>
        </is>
      </c>
      <c r="C29" s="47" t="n"/>
      <c r="D29" s="47" t="n"/>
      <c r="E29" s="47" t="n"/>
      <c r="F29" s="47" t="n"/>
      <c r="G29" s="47" t="n"/>
      <c r="H29" s="47" t="n"/>
      <c r="I29" s="47" t="n"/>
      <c r="J29" s="47" t="n"/>
    </row>
    <row r="30">
      <c r="A30" s="111" t="inlineStr">
        <is>
          <t>Note 13</t>
        </is>
      </c>
      <c r="B30" s="112" t="inlineStr">
        <is>
          <t>DISPONIBILITÉS</t>
        </is>
      </c>
      <c r="C30" s="47" t="n"/>
      <c r="D30" s="47" t="n"/>
      <c r="E30" s="47" t="n"/>
      <c r="F30" s="47" t="n"/>
      <c r="G30" s="47" t="n"/>
      <c r="H30" s="47" t="n"/>
      <c r="I30" s="47" t="n"/>
      <c r="J30" s="47" t="n"/>
    </row>
    <row r="31">
      <c r="A31" s="111" t="inlineStr">
        <is>
          <t>Note 14</t>
        </is>
      </c>
      <c r="B31" s="112" t="inlineStr">
        <is>
          <t>ÉCARTS DE CONVERSION</t>
        </is>
      </c>
      <c r="C31" s="47" t="n"/>
      <c r="D31" s="47" t="n"/>
      <c r="E31" s="47" t="n"/>
      <c r="F31" s="47" t="n"/>
      <c r="G31" s="47" t="n"/>
      <c r="H31" s="47" t="n"/>
      <c r="I31" s="47" t="n"/>
      <c r="J31" s="47" t="n"/>
    </row>
    <row r="32">
      <c r="A32" s="111" t="inlineStr">
        <is>
          <t>Note 15</t>
        </is>
      </c>
      <c r="B32" s="112" t="inlineStr">
        <is>
          <t>DOTATION</t>
        </is>
      </c>
      <c r="C32" s="47" t="n"/>
      <c r="D32" s="47" t="n"/>
      <c r="E32" s="47" t="n"/>
      <c r="F32" s="47" t="n"/>
      <c r="G32" s="47" t="n"/>
      <c r="H32" s="47" t="n"/>
      <c r="I32" s="47" t="n"/>
      <c r="J32" s="47" t="n"/>
    </row>
    <row r="33">
      <c r="A33" s="111" t="inlineStr">
        <is>
          <t>Note 16</t>
        </is>
      </c>
      <c r="B33" s="112" t="inlineStr">
        <is>
          <t>RÉSERVES</t>
        </is>
      </c>
      <c r="C33" s="47" t="n"/>
      <c r="D33" s="47" t="n"/>
      <c r="E33" s="47" t="n"/>
      <c r="F33" s="47" t="n"/>
      <c r="G33" s="47" t="n"/>
      <c r="H33" s="47" t="n"/>
      <c r="I33" s="47" t="n"/>
      <c r="J33" s="47" t="n"/>
    </row>
    <row r="34">
      <c r="A34" s="111" t="inlineStr">
        <is>
          <t>Note 17A</t>
        </is>
      </c>
      <c r="B34" s="112" t="inlineStr">
        <is>
          <t>SUBVENTIONS ET PROVISIONS RÉGLEMENTÉES</t>
        </is>
      </c>
      <c r="C34" s="47" t="n"/>
      <c r="D34" s="47" t="n"/>
      <c r="E34" s="47" t="n"/>
      <c r="F34" s="47" t="n"/>
      <c r="G34" s="47" t="n"/>
      <c r="H34" s="47" t="n"/>
      <c r="I34" s="47" t="n"/>
      <c r="J34" s="47" t="n"/>
    </row>
    <row r="35">
      <c r="A35" s="111" t="inlineStr">
        <is>
          <t>Note 17B</t>
        </is>
      </c>
      <c r="B35" s="112" t="inlineStr">
        <is>
          <t>FONDS AFFECTÉS ET REPORTÉS</t>
        </is>
      </c>
      <c r="C35" s="47" t="n"/>
      <c r="D35" s="47" t="n"/>
      <c r="E35" s="47" t="n"/>
      <c r="F35" s="47" t="n"/>
      <c r="G35" s="47" t="n"/>
      <c r="H35" s="47" t="n"/>
      <c r="I35" s="47" t="n"/>
      <c r="J35" s="47" t="n"/>
    </row>
    <row r="36">
      <c r="A36" s="111" t="inlineStr">
        <is>
          <t>Note 18A</t>
        </is>
      </c>
      <c r="B36" s="112" t="inlineStr">
        <is>
          <t>DETTES FINANCIÈRES ET RESSOURCES ASSIMILÉES</t>
        </is>
      </c>
      <c r="C36" s="47" t="n"/>
      <c r="D36" s="47" t="n"/>
      <c r="E36" s="47" t="n"/>
      <c r="F36" s="47" t="n"/>
      <c r="G36" s="47" t="n"/>
      <c r="H36" s="47" t="n"/>
      <c r="I36" s="47" t="n"/>
      <c r="J36" s="47" t="n"/>
    </row>
    <row r="37">
      <c r="A37" s="111" t="inlineStr">
        <is>
          <t>Note 18B</t>
        </is>
      </c>
      <c r="B37" s="112" t="inlineStr">
        <is>
          <t>ACTIFS ET PASSIFS ÉVENTUELS</t>
        </is>
      </c>
      <c r="C37" s="47" t="n"/>
      <c r="D37" s="47" t="n"/>
      <c r="E37" s="47" t="n"/>
      <c r="F37" s="47" t="n"/>
      <c r="G37" s="47" t="n"/>
      <c r="H37" s="47" t="n"/>
      <c r="I37" s="47" t="n"/>
      <c r="J37" s="47" t="n"/>
    </row>
    <row r="38">
      <c r="A38" s="111" t="inlineStr">
        <is>
          <t>Note 19</t>
        </is>
      </c>
      <c r="B38" s="112" t="inlineStr">
        <is>
          <t>FOURNISSEURS D'EXPLOITATION</t>
        </is>
      </c>
      <c r="C38" s="47" t="n"/>
      <c r="D38" s="47" t="n"/>
      <c r="E38" s="47" t="n"/>
      <c r="F38" s="47" t="n"/>
      <c r="G38" s="47" t="n"/>
      <c r="H38" s="47" t="n"/>
      <c r="I38" s="47" t="n"/>
      <c r="J38" s="47" t="n"/>
    </row>
    <row r="39">
      <c r="A39" s="111" t="inlineStr">
        <is>
          <t>Note 20</t>
        </is>
      </c>
      <c r="B39" s="112" t="inlineStr">
        <is>
          <t>DETTES FISCALES ET SOCIALES</t>
        </is>
      </c>
      <c r="C39" s="47" t="n"/>
      <c r="D39" s="47" t="n"/>
      <c r="E39" s="47" t="n"/>
      <c r="F39" s="47" t="n"/>
      <c r="G39" s="47" t="n"/>
      <c r="H39" s="47" t="n"/>
      <c r="I39" s="47" t="n"/>
      <c r="J39" s="47" t="n"/>
    </row>
    <row r="40">
      <c r="A40" s="111" t="inlineStr">
        <is>
          <t>Note 21</t>
        </is>
      </c>
      <c r="B40" s="112" t="inlineStr">
        <is>
          <t>AUTRES DETTES ET PROVISIONS POUR RISQUES ET CHARGES À COURT TERME</t>
        </is>
      </c>
      <c r="C40" s="47" t="n"/>
      <c r="D40" s="47" t="n"/>
      <c r="E40" s="47" t="n"/>
      <c r="F40" s="47" t="n"/>
      <c r="G40" s="47" t="n"/>
      <c r="H40" s="47" t="n"/>
      <c r="I40" s="47" t="n"/>
      <c r="J40" s="47" t="n"/>
    </row>
    <row r="41">
      <c r="A41" s="111" t="inlineStr">
        <is>
          <t>Note 22</t>
        </is>
      </c>
      <c r="B41" s="112" t="inlineStr">
        <is>
          <t>BANQUES, CRÉDIT D'ESCOMPTE ET DE TRÉSORERIE</t>
        </is>
      </c>
      <c r="C41" s="47" t="n"/>
      <c r="D41" s="47" t="n"/>
      <c r="E41" s="47" t="n"/>
      <c r="F41" s="47" t="n"/>
      <c r="G41" s="47" t="n"/>
      <c r="H41" s="47" t="n"/>
      <c r="I41" s="47" t="n"/>
      <c r="J41" s="47" t="n"/>
    </row>
    <row r="42" ht="16" customHeight="1">
      <c r="A42" s="109" t="inlineStr">
        <is>
          <t>Partie 3 : Notes sur le compte de résultat</t>
        </is>
      </c>
      <c r="B42" s="110" t="n"/>
      <c r="C42" s="110" t="n"/>
      <c r="D42" s="110" t="n"/>
      <c r="E42" s="110" t="n"/>
      <c r="F42" s="110" t="n"/>
      <c r="G42" s="110" t="n"/>
      <c r="H42" s="110" t="n"/>
      <c r="I42" s="110" t="n"/>
      <c r="J42" s="110" t="n"/>
    </row>
    <row r="43">
      <c r="A43" s="111" t="inlineStr">
        <is>
          <t>Note 23</t>
        </is>
      </c>
      <c r="B43" s="112" t="inlineStr">
        <is>
          <t>REVENUS ET AUTRES PRODUITS</t>
        </is>
      </c>
      <c r="C43" s="47" t="n"/>
      <c r="D43" s="47" t="n"/>
      <c r="E43" s="47" t="n"/>
      <c r="F43" s="47" t="n"/>
      <c r="G43" s="47" t="n"/>
      <c r="H43" s="47" t="n"/>
      <c r="I43" s="47" t="n"/>
      <c r="J43" s="47" t="n"/>
    </row>
    <row r="44">
      <c r="A44" s="111" t="inlineStr">
        <is>
          <t>Note 24</t>
        </is>
      </c>
      <c r="B44" s="112" t="inlineStr">
        <is>
          <t>ACHATS</t>
        </is>
      </c>
      <c r="C44" s="47" t="n"/>
      <c r="D44" s="47" t="n"/>
      <c r="E44" s="47" t="n"/>
      <c r="F44" s="47" t="n"/>
      <c r="G44" s="47" t="n"/>
      <c r="H44" s="47" t="n"/>
      <c r="I44" s="47" t="n"/>
      <c r="J44" s="47" t="n"/>
    </row>
    <row r="45">
      <c r="A45" s="111" t="inlineStr">
        <is>
          <t>Note 25</t>
        </is>
      </c>
      <c r="B45" s="112" t="inlineStr">
        <is>
          <t>TRANSPORTS</t>
        </is>
      </c>
      <c r="C45" s="47" t="n"/>
      <c r="D45" s="47" t="n"/>
      <c r="E45" s="47" t="n"/>
      <c r="F45" s="47" t="n"/>
      <c r="G45" s="47" t="n"/>
      <c r="H45" s="47" t="n"/>
      <c r="I45" s="47" t="n"/>
      <c r="J45" s="47" t="n"/>
    </row>
    <row r="46">
      <c r="A46" s="111" t="inlineStr">
        <is>
          <t>Note 26</t>
        </is>
      </c>
      <c r="B46" s="112" t="inlineStr">
        <is>
          <t>SERVICES EXTÉRIEURS</t>
        </is>
      </c>
      <c r="C46" s="47" t="n"/>
      <c r="D46" s="47" t="n"/>
      <c r="E46" s="47" t="n"/>
      <c r="F46" s="47" t="n"/>
      <c r="G46" s="47" t="n"/>
      <c r="H46" s="47" t="n"/>
      <c r="I46" s="47" t="n"/>
      <c r="J46" s="47" t="n"/>
    </row>
    <row r="47">
      <c r="A47" s="111" t="inlineStr">
        <is>
          <t>Note 27</t>
        </is>
      </c>
      <c r="B47" s="112" t="inlineStr">
        <is>
          <t>IMPÔTS ET TAXES</t>
        </is>
      </c>
      <c r="C47" s="47" t="n"/>
      <c r="D47" s="47" t="n"/>
      <c r="E47" s="47" t="n"/>
      <c r="F47" s="47" t="n"/>
      <c r="G47" s="47" t="n"/>
      <c r="H47" s="47" t="n"/>
      <c r="I47" s="47" t="n"/>
      <c r="J47" s="47" t="n"/>
    </row>
    <row r="48">
      <c r="A48" s="111" t="inlineStr">
        <is>
          <t>Note 28</t>
        </is>
      </c>
      <c r="B48" s="112" t="inlineStr">
        <is>
          <t>AUTRES CHARGES</t>
        </is>
      </c>
      <c r="C48" s="47" t="n"/>
      <c r="D48" s="47" t="n"/>
      <c r="E48" s="47" t="n"/>
      <c r="F48" s="47" t="n"/>
      <c r="G48" s="47" t="n"/>
      <c r="H48" s="47" t="n"/>
      <c r="I48" s="47" t="n"/>
      <c r="J48" s="47" t="n"/>
    </row>
    <row r="49">
      <c r="A49" s="111" t="inlineStr">
        <is>
          <t>Note 29A</t>
        </is>
      </c>
      <c r="B49" s="112" t="inlineStr">
        <is>
          <t>CHARGES DE PERSONNEL</t>
        </is>
      </c>
      <c r="C49" s="47" t="n"/>
      <c r="D49" s="47" t="n"/>
      <c r="E49" s="47" t="n"/>
      <c r="F49" s="47" t="n"/>
      <c r="G49" s="47" t="n"/>
      <c r="H49" s="47" t="n"/>
      <c r="I49" s="47" t="n"/>
      <c r="J49" s="47" t="n"/>
    </row>
    <row r="50">
      <c r="A50" s="111" t="inlineStr">
        <is>
          <t>Note 29B</t>
        </is>
      </c>
      <c r="B50" s="112" t="inlineStr">
        <is>
          <t>EFFECTIFS, MASSE SALARIALE ET PERSONNEL EXTÉRIEUR</t>
        </is>
      </c>
      <c r="C50" s="47" t="n"/>
      <c r="D50" s="47" t="n"/>
      <c r="E50" s="47" t="n"/>
      <c r="F50" s="47" t="n"/>
      <c r="G50" s="47" t="n"/>
      <c r="H50" s="47" t="n"/>
      <c r="I50" s="47" t="n"/>
      <c r="J50" s="47" t="n"/>
    </row>
    <row r="51">
      <c r="A51" s="111" t="inlineStr">
        <is>
          <t>Note 30</t>
        </is>
      </c>
      <c r="B51" s="112" t="inlineStr">
        <is>
          <t>DOTATIONS ET CHARGES POUR PROVISIONS ET DÉPRÉCIATIONS</t>
        </is>
      </c>
      <c r="C51" s="47" t="n"/>
      <c r="D51" s="47" t="n"/>
      <c r="E51" s="47" t="n"/>
      <c r="F51" s="47" t="n"/>
      <c r="G51" s="47" t="n"/>
      <c r="H51" s="47" t="n"/>
      <c r="I51" s="47" t="n"/>
      <c r="J51" s="47" t="n"/>
    </row>
    <row r="52">
      <c r="A52" s="111" t="inlineStr">
        <is>
          <t>Note 31</t>
        </is>
      </c>
      <c r="B52" s="112" t="inlineStr">
        <is>
          <t>CHARGES ET REVENUS FINANCIERS</t>
        </is>
      </c>
      <c r="C52" s="47" t="n"/>
      <c r="D52" s="47" t="n"/>
      <c r="E52" s="47" t="n"/>
      <c r="F52" s="47" t="n"/>
      <c r="G52" s="47" t="n"/>
      <c r="H52" s="47" t="n"/>
      <c r="I52" s="47" t="n"/>
      <c r="J52" s="47" t="n"/>
    </row>
    <row r="53">
      <c r="A53" s="111" t="inlineStr">
        <is>
          <t>Note 32</t>
        </is>
      </c>
      <c r="B53" s="112" t="inlineStr">
        <is>
          <t>AUTRES CHARGES ET PRODUITS HAO</t>
        </is>
      </c>
      <c r="C53" s="47" t="n"/>
      <c r="D53" s="47" t="n"/>
      <c r="E53" s="47" t="n"/>
      <c r="F53" s="47" t="n"/>
      <c r="G53" s="47" t="n"/>
      <c r="H53" s="47" t="n"/>
      <c r="I53" s="47" t="n"/>
      <c r="J53" s="47" t="n"/>
    </row>
    <row r="54" ht="16" customHeight="1">
      <c r="A54" s="109" t="inlineStr">
        <is>
          <t>Partie 4 : Autres informations</t>
        </is>
      </c>
      <c r="B54" s="110" t="n"/>
      <c r="C54" s="110" t="n"/>
      <c r="D54" s="110" t="n"/>
      <c r="E54" s="110" t="n"/>
      <c r="F54" s="110" t="n"/>
      <c r="G54" s="110" t="n"/>
      <c r="H54" s="110" t="n"/>
      <c r="I54" s="110" t="n"/>
      <c r="J54" s="110" t="n"/>
    </row>
    <row r="55">
      <c r="A55" s="111" t="inlineStr">
        <is>
          <t>Note 33</t>
        </is>
      </c>
      <c r="B55" s="112" t="inlineStr">
        <is>
          <t>FICHE DE SYNTHÈSE DES PRINCIPAUX INDICATEURS FINANCIERS</t>
        </is>
      </c>
      <c r="C55" s="47" t="n"/>
      <c r="D55" s="47" t="n"/>
      <c r="E55" s="47" t="n"/>
      <c r="F55" s="47" t="n"/>
      <c r="G55" s="47" t="n"/>
      <c r="H55" s="47" t="n"/>
      <c r="I55" s="47" t="n"/>
      <c r="J55" s="47" t="n"/>
    </row>
    <row r="56">
      <c r="A56" s="111" t="inlineStr">
        <is>
          <t>Note 34</t>
        </is>
      </c>
      <c r="B56" s="112" t="inlineStr">
        <is>
          <t>LISTE DES INFORMATIONS SOCIALES, ENVIRONNEMENTALES ET SOCIÉTALES</t>
        </is>
      </c>
      <c r="C56" s="47" t="n"/>
      <c r="D56" s="47" t="n"/>
      <c r="E56" s="47" t="n"/>
      <c r="F56" s="47" t="n"/>
      <c r="G56" s="47" t="n"/>
      <c r="H56" s="47" t="n"/>
      <c r="I56" s="47" t="n"/>
      <c r="J56" s="47" t="n"/>
    </row>
    <row r="57">
      <c r="A57" s="111" t="inlineStr">
        <is>
          <t>Note 35</t>
        </is>
      </c>
      <c r="B57" s="112" t="inlineStr">
        <is>
          <t>TABLEAU D'EXÉCUTION BUDGÉTAIRE</t>
        </is>
      </c>
      <c r="C57" s="47" t="n"/>
      <c r="D57" s="47" t="n"/>
      <c r="E57" s="47" t="n"/>
      <c r="F57" s="47" t="n"/>
      <c r="G57" s="47" t="n"/>
      <c r="H57" s="47" t="n"/>
      <c r="I57" s="47" t="n"/>
      <c r="J57" s="47" t="n"/>
    </row>
    <row r="58"/>
    <row r="59" ht="30" customHeight="1">
      <c r="A59" s="113" t="inlineStr">
        <is>
          <t>(1) Les notes non documentées ne doivent pas être jointes aux états financiers ; dans une note, les lignes non chiffrées doivent être supprimées.</t>
        </is>
      </c>
    </row>
    <row r="60">
      <c r="A60" s="113" t="inlineStr">
        <is>
          <t>(2) A : applicable ; N/A : non applicable. Cocher la colonne correspondante pour chaque note.</t>
        </is>
      </c>
    </row>
    <row r="61"/>
    <row r="62" ht="26" customHeight="1">
      <c r="A62" s="114" t="inlineStr">
        <is>
          <t>NOTE À COMPLÉTER</t>
        </is>
      </c>
    </row>
    <row r="63" ht="26" customHeight="1"/>
    <row r="64" ht="26" customHeight="1"/>
  </sheetData>
  <mergeCells count="56">
    <mergeCell ref="A14:J14"/>
    <mergeCell ref="B40:H40"/>
    <mergeCell ref="B49:H49"/>
    <mergeCell ref="I2:J2"/>
    <mergeCell ref="A42:J42"/>
    <mergeCell ref="B55:H55"/>
    <mergeCell ref="B24:H24"/>
    <mergeCell ref="B30:H30"/>
    <mergeCell ref="B15:H15"/>
    <mergeCell ref="B33:H33"/>
    <mergeCell ref="B51:H51"/>
    <mergeCell ref="B20:H20"/>
    <mergeCell ref="B37:H37"/>
    <mergeCell ref="B45:H45"/>
    <mergeCell ref="B36:H36"/>
    <mergeCell ref="B32:H32"/>
    <mergeCell ref="B50:H50"/>
    <mergeCell ref="B26:H26"/>
    <mergeCell ref="B41:H41"/>
    <mergeCell ref="B35:H35"/>
    <mergeCell ref="A9:J9"/>
    <mergeCell ref="A62:J64"/>
    <mergeCell ref="B47:H47"/>
    <mergeCell ref="B16:H16"/>
    <mergeCell ref="A59:J59"/>
    <mergeCell ref="B25:H25"/>
    <mergeCell ref="A60:J60"/>
    <mergeCell ref="B31:H31"/>
    <mergeCell ref="B46:H46"/>
    <mergeCell ref="B22:H22"/>
    <mergeCell ref="B18:H18"/>
    <mergeCell ref="B27:H27"/>
    <mergeCell ref="B56:H56"/>
    <mergeCell ref="B52:H52"/>
    <mergeCell ref="B21:H21"/>
    <mergeCell ref="B43:H43"/>
    <mergeCell ref="B12:H12"/>
    <mergeCell ref="B39:H39"/>
    <mergeCell ref="B4:G4"/>
    <mergeCell ref="A7:J7"/>
    <mergeCell ref="B48:H48"/>
    <mergeCell ref="B11:H11"/>
    <mergeCell ref="A54:J54"/>
    <mergeCell ref="B23:H23"/>
    <mergeCell ref="B8:H8"/>
    <mergeCell ref="B17:H17"/>
    <mergeCell ref="B13:H13"/>
    <mergeCell ref="B57:H57"/>
    <mergeCell ref="B44:H44"/>
    <mergeCell ref="B53:H53"/>
    <mergeCell ref="B38:H38"/>
    <mergeCell ref="B29:H29"/>
    <mergeCell ref="B10:H10"/>
    <mergeCell ref="B19:H19"/>
    <mergeCell ref="B34:H34"/>
    <mergeCell ref="B28:H2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</cols>
  <sheetData>
    <row r="1" ht="12" customHeight="1">
      <c r="A1" s="50" t="inlineStr">
        <is>
          <t>- 9 -</t>
        </is>
      </c>
    </row>
    <row r="2" ht="26" customHeight="1">
      <c r="E2" s="51" t="inlineStr">
        <is>
          <t>NOTE 1
SYSTEME NORMAL</t>
        </is>
      </c>
      <c r="F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E4" s="54" t="inlineStr">
        <is>
          <t>Sigle usuel :</t>
        </is>
      </c>
      <c r="F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E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1 : DETTES GARANTIES PAR DES SÛRETÉS RÉELLES, ENGAGEMENTS FINANCIERS ET CONTRIBUTIONS VOLONTAIRES EN NATURE</t>
        </is>
      </c>
    </row>
    <row r="8">
      <c r="A8" s="115" t="inlineStr">
        <is>
          <t>DETTES GARANTIES PAR DES SÛRETÉS RÉELLES</t>
        </is>
      </c>
      <c r="B8" s="116" t="n"/>
      <c r="C8" s="116" t="n"/>
      <c r="D8" s="116" t="n"/>
      <c r="E8" s="116" t="n"/>
      <c r="F8" s="116" t="n"/>
    </row>
    <row r="9">
      <c r="A9" s="1" t="inlineStr">
        <is>
          <t>Libellés</t>
        </is>
      </c>
      <c r="B9" s="2" t="inlineStr">
        <is>
          <t>Note</t>
        </is>
      </c>
      <c r="C9" s="2" t="inlineStr">
        <is>
          <t>Montant brut</t>
        </is>
      </c>
      <c r="D9" s="2" t="inlineStr">
        <is>
          <t>Hypothèques</t>
        </is>
      </c>
      <c r="E9" s="2" t="inlineStr">
        <is>
          <t>Nantissements</t>
        </is>
      </c>
      <c r="F9" s="3" t="inlineStr">
        <is>
          <t>Gages / autres</t>
        </is>
      </c>
    </row>
    <row r="10">
      <c r="A10" s="117" t="inlineStr">
        <is>
          <t>Emprunts et dettes financières diverses :</t>
        </is>
      </c>
      <c r="B10" s="117" t="inlineStr">
        <is>
          <t>18A</t>
        </is>
      </c>
      <c r="C10" s="118" t="n"/>
      <c r="D10" s="118" t="n"/>
      <c r="E10" s="118" t="n"/>
      <c r="F10" s="118" t="n"/>
    </row>
    <row r="11">
      <c r="A11" s="119" t="inlineStr">
        <is>
          <t>Emprunts obligataires</t>
        </is>
      </c>
      <c r="B11" s="119" t="inlineStr"/>
      <c r="C11" s="120">
        <f>SUMIF('BALANCE N'!$A$2:$A$2000,"181*",'BALANCE N'!$H$2:$H$2000)-SUMIF('BALANCE N'!$A$2:$A$2000,"181*",'BALANCE N'!$G$2:$G$2000)</f>
        <v/>
      </c>
      <c r="D11" s="120" t="n"/>
      <c r="E11" s="120" t="n"/>
      <c r="F11" s="120" t="n"/>
    </row>
    <row r="12">
      <c r="A12" s="119" t="inlineStr">
        <is>
          <t>Emprunts et dettes des établissements de crédit</t>
        </is>
      </c>
      <c r="B12" s="119" t="inlineStr"/>
      <c r="C12" s="120">
        <f>SUMIF('BALANCE N'!$A$2:$A$2000,"182*",'BALANCE N'!$H$2:$H$2000)-SUMIF('BALANCE N'!$A$2:$A$2000,"182*",'BALANCE N'!$G$2:$G$2000)</f>
        <v/>
      </c>
      <c r="D12" s="120" t="n"/>
      <c r="E12" s="120" t="n"/>
      <c r="F12" s="120" t="n"/>
    </row>
    <row r="13">
      <c r="A13" s="119" t="inlineStr">
        <is>
          <t>Autres dettes financières</t>
        </is>
      </c>
      <c r="B13" s="119" t="inlineStr"/>
      <c r="C13" s="120">
        <f>SUMIF('BALANCE N'!$A$2:$A$2000,"183*",'BALANCE N'!$H$2:$H$2000)-SUMIF('BALANCE N'!$A$2:$A$2000,"183*",'BALANCE N'!$G$2:$G$2000)+SUMIF('BALANCE N'!$A$2:$A$2000,"185*",'BALANCE N'!$H$2:$H$2000)-SUMIF('BALANCE N'!$A$2:$A$2000,"185*",'BALANCE N'!$G$2:$G$2000)+SUMIF('BALANCE N'!$A$2:$A$2000,"186*",'BALANCE N'!$H$2:$H$2000)-SUMIF('BALANCE N'!$A$2:$A$2000,"186*",'BALANCE N'!$G$2:$G$2000)+SUMIF('BALANCE N'!$A$2:$A$2000,"188*",'BALANCE N'!$H$2:$H$2000)-SUMIF('BALANCE N'!$A$2:$A$2000,"188*",'BALANCE N'!$G$2:$G$2000)</f>
        <v/>
      </c>
      <c r="D13" s="120" t="n"/>
      <c r="E13" s="120" t="n"/>
      <c r="F13" s="120" t="n"/>
    </row>
    <row r="14">
      <c r="A14" s="117" t="inlineStr">
        <is>
          <t>Dettes de location-acquisition :</t>
        </is>
      </c>
      <c r="B14" s="117" t="inlineStr">
        <is>
          <t>18A</t>
        </is>
      </c>
      <c r="C14" s="118" t="n"/>
      <c r="D14" s="118" t="n"/>
      <c r="E14" s="118" t="n"/>
      <c r="F14" s="118" t="n"/>
    </row>
    <row r="15">
      <c r="A15" s="119" t="inlineStr">
        <is>
          <t>Dettes de crédit-bail immobilier</t>
        </is>
      </c>
      <c r="B15" s="119" t="inlineStr"/>
      <c r="C15" s="120">
        <f>SUMIF('BALANCE N'!$A$2:$A$2000,"1871*",'BALANCE N'!$H$2:$H$2000)-SUMIF('BALANCE N'!$A$2:$A$2000,"1871*",'BALANCE N'!$G$2:$G$2000)</f>
        <v/>
      </c>
      <c r="D15" s="120" t="n"/>
      <c r="E15" s="120" t="n"/>
      <c r="F15" s="120" t="n"/>
    </row>
    <row r="16">
      <c r="A16" s="119" t="inlineStr">
        <is>
          <t>Dettes de crédit-bail mobilier</t>
        </is>
      </c>
      <c r="B16" s="119" t="inlineStr"/>
      <c r="C16" s="120">
        <f>SUMIF('BALANCE N'!$A$2:$A$2000,"1872*",'BALANCE N'!$H$2:$H$2000)-SUMIF('BALANCE N'!$A$2:$A$2000,"1872*",'BALANCE N'!$G$2:$G$2000)</f>
        <v/>
      </c>
      <c r="D16" s="120" t="n"/>
      <c r="E16" s="120" t="n"/>
      <c r="F16" s="120" t="n"/>
    </row>
    <row r="17">
      <c r="A17" s="119" t="inlineStr">
        <is>
          <t>Dettes sur contrats de location-vente et autres</t>
        </is>
      </c>
      <c r="B17" s="119" t="inlineStr"/>
      <c r="C17" s="120">
        <f>SUMIF('BALANCE N'!$A$2:$A$2000,"187*",'BALANCE N'!$H$2:$H$2000)-SUMIF('BALANCE N'!$A$2:$A$2000,"187*",'BALANCE N'!$G$2:$G$2000)-SUMIF('BALANCE N'!$A$2:$A$2000,"1871*",'BALANCE N'!$H$2:$H$2000)+SUMIF('BALANCE N'!$A$2:$A$2000,"1871*",'BALANCE N'!$G$2:$G$2000)-SUMIF('BALANCE N'!$A$2:$A$2000,"1872*",'BALANCE N'!$H$2:$H$2000)+SUMIF('BALANCE N'!$A$2:$A$2000,"1872*",'BALANCE N'!$G$2:$G$2000)-SUMIF('BALANCE N'!$A$2:$A$2000,"1873*",'BALANCE N'!$H$2:$H$2000)+SUMIF('BALANCE N'!$A$2:$A$2000,"1873*",'BALANCE N'!$G$2:$G$2000)-SUMIF('BALANCE N'!$A$2:$A$2000,"1876*",'BALANCE N'!$H$2:$H$2000)+SUMIF('BALANCE N'!$A$2:$A$2000,"1876*",'BALANCE N'!$G$2:$G$2000)</f>
        <v/>
      </c>
      <c r="D17" s="120" t="n"/>
      <c r="E17" s="120" t="n"/>
      <c r="F17" s="120" t="n"/>
    </row>
    <row r="18">
      <c r="A18" s="117" t="inlineStr">
        <is>
          <t>Dettes du passif circulant :</t>
        </is>
      </c>
      <c r="B18" s="117" t="inlineStr"/>
      <c r="C18" s="118" t="n"/>
      <c r="D18" s="118" t="n"/>
      <c r="E18" s="118" t="n"/>
      <c r="F18" s="118" t="n"/>
    </row>
    <row r="19">
      <c r="A19" s="119" t="inlineStr">
        <is>
          <t>Fournisseurs et comptes rattachés</t>
        </is>
      </c>
      <c r="B19" s="119" t="inlineStr">
        <is>
          <t>19</t>
        </is>
      </c>
      <c r="C19" s="120">
        <f>SUMIF('BALANCE N'!$A$2:$A$2000,"40*",'BALANCE N'!$H$2:$H$2000)-SUMIF('BALANCE N'!$A$2:$A$2000,"409*",'BALANCE N'!$H$2:$H$2000)</f>
        <v/>
      </c>
      <c r="D19" s="120" t="n"/>
      <c r="E19" s="120" t="n"/>
      <c r="F19" s="120" t="n"/>
    </row>
    <row r="20">
      <c r="A20" s="119" t="inlineStr">
        <is>
          <t>Adhérents, clients-usagers créditeurs</t>
        </is>
      </c>
      <c r="B20" s="119" t="inlineStr">
        <is>
          <t>9</t>
        </is>
      </c>
      <c r="C20" s="120">
        <f>SUMIF('BALANCE N'!$A$2:$A$2000,"419*",'BALANCE N'!$H$2:$H$2000)</f>
        <v/>
      </c>
      <c r="D20" s="120" t="n"/>
      <c r="E20" s="120" t="n"/>
      <c r="F20" s="120" t="n"/>
    </row>
    <row r="21">
      <c r="A21" s="119" t="inlineStr">
        <is>
          <t>Personnel</t>
        </is>
      </c>
      <c r="B21" s="119" t="inlineStr">
        <is>
          <t>20</t>
        </is>
      </c>
      <c r="C21" s="120">
        <f>SUMIF('BALANCE N'!$A$2:$A$2000,"42*",'BALANCE N'!$H$2:$H$2000)</f>
        <v/>
      </c>
      <c r="D21" s="120" t="n"/>
      <c r="E21" s="120" t="n"/>
      <c r="F21" s="120" t="n"/>
    </row>
    <row r="22">
      <c r="A22" s="119" t="inlineStr">
        <is>
          <t>Organismes sociaux</t>
        </is>
      </c>
      <c r="B22" s="119" t="inlineStr">
        <is>
          <t>20</t>
        </is>
      </c>
      <c r="C22" s="120">
        <f>SUMIF('BALANCE N'!$A$2:$A$2000,"43*",'BALANCE N'!$H$2:$H$2000)</f>
        <v/>
      </c>
      <c r="D22" s="120" t="n"/>
      <c r="E22" s="120" t="n"/>
      <c r="F22" s="120" t="n"/>
    </row>
    <row r="23">
      <c r="A23" s="119" t="inlineStr">
        <is>
          <t>État et collectivités</t>
        </is>
      </c>
      <c r="B23" s="119" t="inlineStr">
        <is>
          <t>20</t>
        </is>
      </c>
      <c r="C23" s="120">
        <f>SUMIF('BALANCE N'!$A$2:$A$2000,"44*",'BALANCE N'!$H$2:$H$2000)</f>
        <v/>
      </c>
      <c r="D23" s="120" t="n"/>
      <c r="E23" s="120" t="n"/>
      <c r="F23" s="120" t="n"/>
    </row>
    <row r="24">
      <c r="A24" s="119" t="inlineStr">
        <is>
          <t>Fondateurs, apporteurs et comptes rattachés</t>
        </is>
      </c>
      <c r="B24" s="119" t="inlineStr">
        <is>
          <t>21</t>
        </is>
      </c>
      <c r="C24" s="120">
        <f>SUMIF('BALANCE N'!$A$2:$A$2000,"45*",'BALANCE N'!$H$2:$H$2000)</f>
        <v/>
      </c>
      <c r="D24" s="120" t="n"/>
      <c r="E24" s="120" t="n"/>
      <c r="F24" s="120" t="n"/>
    </row>
    <row r="25">
      <c r="A25" s="119" t="inlineStr">
        <is>
          <t>Bailleurs, État et autres organismes, fonds d'administration</t>
        </is>
      </c>
      <c r="B25" s="119" t="inlineStr">
        <is>
          <t>21</t>
        </is>
      </c>
      <c r="C25" s="120">
        <f>SUMIF('BALANCE N'!$A$2:$A$2000,"46*",'BALANCE N'!$H$2:$H$2000)</f>
        <v/>
      </c>
      <c r="D25" s="120" t="n"/>
      <c r="E25" s="120" t="n"/>
      <c r="F25" s="120" t="n"/>
    </row>
    <row r="26">
      <c r="A26" s="119" t="inlineStr">
        <is>
          <t>Créditeurs divers</t>
        </is>
      </c>
      <c r="B26" s="119" t="inlineStr">
        <is>
          <t>21</t>
        </is>
      </c>
      <c r="C26" s="120">
        <f>SUMIF('BALANCE N'!$A$2:$A$2000,"47*",'BALANCE N'!$H$2:$H$2000)-SUMIF('BALANCE N'!$A$2:$A$2000,"478*",'BALANCE N'!$H$2:$H$2000)-SUMIF('BALANCE N'!$A$2:$A$2000,"479*",'BALANCE N'!$H$2:$H$2000)</f>
        <v/>
      </c>
      <c r="D26" s="120" t="n"/>
      <c r="E26" s="120" t="n"/>
      <c r="F26" s="120" t="n"/>
    </row>
    <row r="27">
      <c r="A27" s="6" t="inlineStr">
        <is>
          <t>TOTAL</t>
        </is>
      </c>
      <c r="B27" s="6" t="n"/>
      <c r="C27" s="7">
        <f>C11+C12+C13+C15+C16+C17+C19+C20+C21+C22+C23+C24+C25+C26</f>
        <v/>
      </c>
      <c r="D27" s="6" t="n"/>
      <c r="E27" s="6" t="n"/>
      <c r="F27" s="6" t="n"/>
    </row>
    <row r="28"/>
    <row r="29">
      <c r="A29" s="121" t="inlineStr">
        <is>
          <t>Colonnes hypothèques / nantissements / gages : à servir depuis les actes de sûretés - la balance ne les porte pas. Indiquer la raison d'être des sûretés.</t>
        </is>
      </c>
    </row>
    <row r="30"/>
    <row r="31">
      <c r="A31" s="45" t="inlineStr">
        <is>
          <t>ENGAGEMENTS FINANCIERS</t>
        </is>
      </c>
    </row>
    <row r="32">
      <c r="A32" s="1" t="inlineStr">
        <is>
          <t>Libellés</t>
        </is>
      </c>
      <c r="B32" s="2" t="inlineStr">
        <is>
          <t>Engagements réciproques</t>
        </is>
      </c>
      <c r="C32" s="2" t="inlineStr">
        <is>
          <t>Engagements donnés</t>
        </is>
      </c>
      <c r="D32" s="3" t="inlineStr">
        <is>
          <t>Engagements reçus</t>
        </is>
      </c>
    </row>
    <row r="33">
      <c r="A33" s="119" t="inlineStr">
        <is>
          <t>Avals, cautions, garanties</t>
        </is>
      </c>
      <c r="B33" s="120" t="n"/>
      <c r="C33" s="120" t="n"/>
      <c r="D33" s="120" t="n"/>
    </row>
    <row r="34">
      <c r="A34" s="119" t="inlineStr">
        <is>
          <t>Hypothèques, nantissements, gages, autres</t>
        </is>
      </c>
      <c r="B34" s="120" t="n"/>
      <c r="C34" s="120" t="n"/>
      <c r="D34" s="120" t="n"/>
    </row>
    <row r="35">
      <c r="A35" s="119" t="inlineStr">
        <is>
          <t>Effets escomptés non échus</t>
        </is>
      </c>
      <c r="B35" s="120" t="n"/>
      <c r="C35" s="120" t="n"/>
      <c r="D35" s="120" t="n"/>
    </row>
    <row r="36">
      <c r="A36" s="6" t="inlineStr">
        <is>
          <t>TOTAL</t>
        </is>
      </c>
      <c r="B36" s="7">
        <f>SUM(B33:B35)</f>
        <v/>
      </c>
      <c r="C36" s="7">
        <f>SUM(C33:C35)</f>
        <v/>
      </c>
      <c r="D36" s="7">
        <f>SUM(D33:D35)</f>
        <v/>
      </c>
    </row>
    <row r="37"/>
    <row r="38">
      <c r="A38" s="45" t="inlineStr">
        <is>
          <t>CONTRIBUTIONS VOLONTAIRES EN NATURE (classe 9)</t>
        </is>
      </c>
    </row>
    <row r="39">
      <c r="A39" s="1" t="inlineStr">
        <is>
          <t>Libellés</t>
        </is>
      </c>
      <c r="B39" s="2" t="inlineStr">
        <is>
          <t>Ressources (91)</t>
        </is>
      </c>
      <c r="C39" s="3" t="inlineStr">
        <is>
          <t>Emplois (90)</t>
        </is>
      </c>
    </row>
    <row r="40">
      <c r="A40" s="119" t="inlineStr">
        <is>
          <t>Dons en nature</t>
        </is>
      </c>
      <c r="B40" s="120">
        <f>SUMIF('BALANCE N'!$A$2:$A$2000,"910*",'BALANCE N'!$H$2:$H$2000)-SUMIF('BALANCE N'!$A$2:$A$2000,"910*",'BALANCE N'!$G$2:$G$2000)</f>
        <v/>
      </c>
      <c r="C40" s="120">
        <f>SUMIF('BALANCE N'!$A$2:$A$2000,"900*",'BALANCE N'!$G$2:$G$2000)-SUMIF('BALANCE N'!$A$2:$A$2000,"900*",'BALANCE N'!$H$2:$H$2000)</f>
        <v/>
      </c>
    </row>
    <row r="41">
      <c r="A41" s="119" t="inlineStr">
        <is>
          <t>Mises à disposition gratuite des biens</t>
        </is>
      </c>
      <c r="B41" s="120" t="n"/>
      <c r="C41" s="120">
        <f>SUMIF('BALANCE N'!$A$2:$A$2000,"901*",'BALANCE N'!$G$2:$G$2000)-SUMIF('BALANCE N'!$A$2:$A$2000,"901*",'BALANCE N'!$H$2:$H$2000)</f>
        <v/>
      </c>
    </row>
    <row r="42">
      <c r="A42" s="119" t="inlineStr">
        <is>
          <t>Prestations en nature</t>
        </is>
      </c>
      <c r="B42" s="120">
        <f>SUMIF('BALANCE N'!$A$2:$A$2000,"911*",'BALANCE N'!$H$2:$H$2000)-SUMIF('BALANCE N'!$A$2:$A$2000,"911*",'BALANCE N'!$G$2:$G$2000)</f>
        <v/>
      </c>
      <c r="C42" s="120">
        <f>SUMIF('BALANCE N'!$A$2:$A$2000,"902*",'BALANCE N'!$G$2:$G$2000)-SUMIF('BALANCE N'!$A$2:$A$2000,"902*",'BALANCE N'!$H$2:$H$2000)</f>
        <v/>
      </c>
    </row>
    <row r="43">
      <c r="A43" s="119" t="inlineStr">
        <is>
          <t>Personnel bénévole</t>
        </is>
      </c>
      <c r="B43" s="120">
        <f>SUMIF('BALANCE N'!$A$2:$A$2000,"914*",'BALANCE N'!$H$2:$H$2000)-SUMIF('BALANCE N'!$A$2:$A$2000,"914*",'BALANCE N'!$G$2:$G$2000)</f>
        <v/>
      </c>
      <c r="C43" s="120">
        <f>SUMIF('BALANCE N'!$A$2:$A$2000,"904*",'BALANCE N'!$G$2:$G$2000)-SUMIF('BALANCE N'!$A$2:$A$2000,"904*",'BALANCE N'!$H$2:$H$2000)</f>
        <v/>
      </c>
    </row>
    <row r="44">
      <c r="A44" s="6" t="inlineStr">
        <is>
          <t>TOTAL</t>
        </is>
      </c>
      <c r="B44" s="7">
        <f>SUM(B40:B43)</f>
        <v/>
      </c>
      <c r="C44" s="7">
        <f>SUM(C40:C43)</f>
        <v/>
      </c>
    </row>
    <row r="45"/>
    <row r="46">
      <c r="A46" s="121" t="inlineStr">
        <is>
          <t>Évaluer les contributions volontaires à la valeur actuelle (cadre conceptuel SYCEBNL).</t>
        </is>
      </c>
    </row>
    <row r="47"/>
    <row r="48" ht="34" customHeight="1">
      <c r="A48" s="122">
        <f>IF(SUM(B33:B44,C10:C44,D10:D36,E10:E26,F10:F26)=0,"NÉANT","")</f>
        <v/>
      </c>
    </row>
    <row r="49" ht="34" customHeight="1"/>
    <row r="50" ht="34" customHeight="1"/>
  </sheetData>
  <mergeCells count="4">
    <mergeCell ref="E2:F2"/>
    <mergeCell ref="B4:C4"/>
    <mergeCell ref="A7:F7"/>
    <mergeCell ref="A48:F5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2" customHeight="1">
      <c r="A1" s="50" t="inlineStr">
        <is>
          <t>- 10 -</t>
        </is>
      </c>
    </row>
    <row r="2" ht="26" customHeight="1">
      <c r="E2" s="51" t="inlineStr">
        <is>
          <t>NOTE 2
SYSTEME NORMAL</t>
        </is>
      </c>
      <c r="F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E4" s="54" t="inlineStr">
        <is>
          <t>Sigle usuel :</t>
        </is>
      </c>
      <c r="F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E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2 : INFORMATIONS OBLIGATOIRES</t>
        </is>
      </c>
    </row>
    <row r="8"/>
    <row r="9">
      <c r="A9" s="123" t="inlineStr">
        <is>
          <t>A - IDENTITÉ, ORGANISATION : décrire brièvement l'identité de l'entité (date de création, nature du projet associatif, mission) et l'organisation avec des données chiffrées (effectifs, nombre de bénévoles, total des revenus, moyens utilisés).</t>
        </is>
      </c>
    </row>
    <row r="10"/>
    <row r="11"/>
    <row r="12">
      <c r="A12" s="123" t="inlineStr">
        <is>
          <t>B - DÉCLARATION DE CONFORMITÉ AU SYSTÈME COMPTABLE DES ENTITÉS À BUT NON LUCRATIF ET FAITS MARQUANTS DE L'EXERCICE.</t>
        </is>
      </c>
    </row>
    <row r="13"/>
    <row r="14"/>
    <row r="15">
      <c r="A15" s="123" t="inlineStr">
        <is>
          <t>C - RÈGLES, MÉTHODES COMPTABLES ET DÉROGATION AUX PRINCIPES COMPTABLES.</t>
        </is>
      </c>
    </row>
    <row r="16"/>
    <row r="17"/>
    <row r="18">
      <c r="A18" s="123" t="inlineStr">
        <is>
          <t>D - INFORMATIONS COMPLÉMENTAIRES RELATIVES AU BILAN, AU COMPTE DE RÉSULTAT ET AU TABLEAU DES FLUX DE TRÉSORERIE.</t>
        </is>
      </c>
    </row>
    <row r="19"/>
    <row r="20"/>
    <row r="21" ht="26" customHeight="1">
      <c r="A21" s="114" t="inlineStr">
        <is>
          <t>NOTE À COMPLÉTER</t>
        </is>
      </c>
    </row>
    <row r="22" ht="26" customHeight="1"/>
    <row r="23" ht="26" customHeight="1"/>
  </sheetData>
  <mergeCells count="8">
    <mergeCell ref="A18:F19"/>
    <mergeCell ref="E2:F2"/>
    <mergeCell ref="A21:F23"/>
    <mergeCell ref="A9:F10"/>
    <mergeCell ref="A12:F13"/>
    <mergeCell ref="B4:C4"/>
    <mergeCell ref="A7:F7"/>
    <mergeCell ref="A15:F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2" customHeight="1">
      <c r="A1" s="50" t="inlineStr">
        <is>
          <t>- 11 -</t>
        </is>
      </c>
    </row>
    <row r="2" ht="26" customHeight="1">
      <c r="E2" s="51" t="inlineStr">
        <is>
          <t>NOTE 3
SYSTEME NORMAL</t>
        </is>
      </c>
      <c r="F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E4" s="54" t="inlineStr">
        <is>
          <t>Sigle usuel :</t>
        </is>
      </c>
      <c r="F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E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3 : ÉVÈNEMENTS POSTÉRIEURS À LA CLÔTURE DE L'EXERCICE</t>
        </is>
      </c>
    </row>
    <row r="8"/>
    <row r="9">
      <c r="A9" s="123" t="inlineStr">
        <is>
          <t xml:space="preserve">Date d'arrêté des états financiers : </t>
        </is>
      </c>
    </row>
    <row r="10"/>
    <row r="11"/>
    <row r="12">
      <c r="A12" s="123" t="inlineStr">
        <is>
          <t xml:space="preserve">Organe ayant autorisé la publication des comptes : </t>
        </is>
      </c>
    </row>
    <row r="13"/>
    <row r="14"/>
    <row r="15">
      <c r="A15" s="123" t="inlineStr">
        <is>
          <t>A - ÉVÈNEMENTS POSTÉRIEURS DONNANT LIEU À AJUSTEMENTS : nature des évènements et précisions sur les comptes ajustés.</t>
        </is>
      </c>
    </row>
    <row r="16"/>
    <row r="17"/>
    <row r="18">
      <c r="A18" s="123" t="inlineStr">
        <is>
          <t>B - ÉVÈNEMENTS POSTÉRIEURS NE DONNANT PAS LIEU À AJUSTEMENTS : estimation de l'impact financier ou indication que l'estimation ne peut être fournie.</t>
        </is>
      </c>
    </row>
    <row r="19"/>
    <row r="20"/>
    <row r="21">
      <c r="A21" s="123" t="inlineStr">
        <is>
          <t>C - ÉVÈNEMENTS REMETTANT EN CAUSE LA CONTINUITÉ DE L'EXPLOITATION : nature de l'évènement, valeurs liquidatives retenues.</t>
        </is>
      </c>
    </row>
    <row r="22"/>
    <row r="23"/>
    <row r="24" ht="26" customHeight="1">
      <c r="A24" s="114" t="inlineStr">
        <is>
          <t>NOTE À COMPLÉTER</t>
        </is>
      </c>
    </row>
    <row r="25" ht="26" customHeight="1"/>
    <row r="26" ht="26" customHeight="1"/>
  </sheetData>
  <mergeCells count="9">
    <mergeCell ref="A24:F26"/>
    <mergeCell ref="A18:F19"/>
    <mergeCell ref="E2:F2"/>
    <mergeCell ref="A21:F22"/>
    <mergeCell ref="A9:F10"/>
    <mergeCell ref="A12:F13"/>
    <mergeCell ref="B4:C4"/>
    <mergeCell ref="A7:F7"/>
    <mergeCell ref="A15:F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2" customHeight="1">
      <c r="A1" s="50" t="inlineStr">
        <is>
          <t>- 12 -</t>
        </is>
      </c>
    </row>
    <row r="2" ht="26" customHeight="1">
      <c r="E2" s="51" t="inlineStr">
        <is>
          <t>NOTE 4
SYSTEME NORMAL</t>
        </is>
      </c>
      <c r="F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E4" s="54" t="inlineStr">
        <is>
          <t>Sigle usuel :</t>
        </is>
      </c>
      <c r="F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E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4 : CHANGEMENTS DE MÉTHODES COMPTABLES, D'ESTIMATIONS ET CORRECTIONS D'ERREURS</t>
        </is>
      </c>
    </row>
    <row r="8"/>
    <row r="9">
      <c r="A9" s="123" t="inlineStr">
        <is>
          <t>A - CHANGEMENTS DE MÉTHODES COMPTABLES : 1. changement de réglementation comptable ; 2. changement à l'initiative de l'entité (impact à l'ouverture, retraitement rétrospectif ou application prospective).</t>
        </is>
      </c>
    </row>
    <row r="10"/>
    <row r="11"/>
    <row r="12">
      <c r="A12" s="123" t="inlineStr">
        <is>
          <t>B - CHANGEMENTS D'ESTIMATIONS : indiquer et justifier le changement d'estimation.</t>
        </is>
      </c>
    </row>
    <row r="13"/>
    <row r="14"/>
    <row r="15">
      <c r="A15" s="123" t="inlineStr">
        <is>
          <t>C - CORRECTIONS D'ERREURS : nature des erreurs corrigées et principaux postes retraités.</t>
        </is>
      </c>
    </row>
    <row r="16"/>
    <row r="17"/>
    <row r="18" ht="26" customHeight="1">
      <c r="A18" s="114" t="inlineStr">
        <is>
          <t>NOTE À COMPLÉTER</t>
        </is>
      </c>
    </row>
    <row r="19" ht="26" customHeight="1"/>
    <row r="20" ht="26" customHeight="1"/>
  </sheetData>
  <mergeCells count="7">
    <mergeCell ref="E2:F2"/>
    <mergeCell ref="A18:F20"/>
    <mergeCell ref="A9:F10"/>
    <mergeCell ref="A12:F13"/>
    <mergeCell ref="B4:C4"/>
    <mergeCell ref="A7:F7"/>
    <mergeCell ref="A15:F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12" customHeight="1">
      <c r="A1" s="50" t="inlineStr">
        <is>
          <t>- 13 -</t>
        </is>
      </c>
    </row>
    <row r="2" ht="26" customHeight="1">
      <c r="D2" s="51" t="inlineStr">
        <is>
          <t>NOTE 5A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5A : DONS ET LEGS D'IMMOBILISATIONS NON REÇUS DESTINÉS À LA VENTE ET USUFRUIT TEMPORAIRE</t>
        </is>
      </c>
    </row>
    <row r="8">
      <c r="A8" s="1" t="inlineStr">
        <is>
          <t>RUBRIQUES</t>
        </is>
      </c>
      <c r="B8" s="2" t="inlineStr">
        <is>
          <t>Montant brut à l'ouverture (A)</t>
        </is>
      </c>
      <c r="C8" s="2" t="inlineStr">
        <is>
          <t>Augmentations (B)</t>
        </is>
      </c>
      <c r="D8" s="2" t="inlineStr">
        <is>
          <t>Diminutions (C)</t>
        </is>
      </c>
      <c r="E8" s="3" t="inlineStr">
        <is>
          <t>Montant brut à la clôture (D = A + B - C)</t>
        </is>
      </c>
    </row>
    <row r="9">
      <c r="A9" s="124" t="inlineStr">
        <is>
          <t>IMMOBILISATIONS INCORPORELLES</t>
        </is>
      </c>
      <c r="B9" s="125" t="n"/>
      <c r="C9" s="125" t="n"/>
      <c r="D9" s="125" t="n"/>
      <c r="E9" s="125" t="n"/>
    </row>
    <row r="10">
      <c r="A10" s="119" t="inlineStr">
        <is>
          <t>Usufruit</t>
        </is>
      </c>
      <c r="B10" s="120">
        <f>SUMIF('BALANCE N-1'!$A$2:$A$2000,"2011*",'BALANCE N-1'!$G$2:$G$2000)-SUMIF('BALANCE N-1'!$A$2:$A$2000,"2011*",'BALANCE N-1'!$H$2:$H$2000)</f>
        <v/>
      </c>
      <c r="C10" s="120">
        <f>MAX(0,(SUMIF('BALANCE N'!$A$2:$A$2000,"2011*",'BALANCE N'!$G$2:$G$2000)-SUMIF('BALANCE N'!$A$2:$A$2000,"2011*",'BALANCE N'!$H$2:$H$2000))-(SUMIF('BALANCE N-1'!$A$2:$A$2000,"2011*",'BALANCE N-1'!$G$2:$G$2000)-SUMIF('BALANCE N-1'!$A$2:$A$2000,"2011*",'BALANCE N-1'!$H$2:$H$2000)))</f>
        <v/>
      </c>
      <c r="D10" s="120">
        <f>MAX(0,(SUMIF('BALANCE N-1'!$A$2:$A$2000,"2011*",'BALANCE N-1'!$G$2:$G$2000)-SUMIF('BALANCE N-1'!$A$2:$A$2000,"2011*",'BALANCE N-1'!$H$2:$H$2000))-(SUMIF('BALANCE N'!$A$2:$A$2000,"2011*",'BALANCE N'!$G$2:$G$2000)-SUMIF('BALANCE N'!$A$2:$A$2000,"2011*",'BALANCE N'!$H$2:$H$2000)))</f>
        <v/>
      </c>
      <c r="E10" s="120">
        <f>B10+C10-D10</f>
        <v/>
      </c>
    </row>
    <row r="11">
      <c r="A11" s="119" t="inlineStr">
        <is>
          <t>Brevets, licences, logiciels et droits similaires</t>
        </is>
      </c>
      <c r="B11" s="120">
        <f>SUMIF('BALANCE N-1'!$A$2:$A$2000,"2012*",'BALANCE N-1'!$G$2:$G$2000)-SUMIF('BALANCE N-1'!$A$2:$A$2000,"2012*",'BALANCE N-1'!$H$2:$H$2000)+SUMIF('BALANCE N-1'!$A$2:$A$2000,"2013*",'BALANCE N-1'!$G$2:$G$2000)-SUMIF('BALANCE N-1'!$A$2:$A$2000,"2013*",'BALANCE N-1'!$H$2:$H$2000)</f>
        <v/>
      </c>
      <c r="C11" s="120">
        <f>MAX(0,(SUMIF('BALANCE N'!$A$2:$A$2000,"2012*",'BALANCE N'!$G$2:$G$2000)-SUMIF('BALANCE N'!$A$2:$A$2000,"2012*",'BALANCE N'!$H$2:$H$2000)+SUMIF('BALANCE N'!$A$2:$A$2000,"2013*",'BALANCE N'!$G$2:$G$2000)-SUMIF('BALANCE N'!$A$2:$A$2000,"2013*",'BALANCE N'!$H$2:$H$2000))-(SUMIF('BALANCE N-1'!$A$2:$A$2000,"2012*",'BALANCE N-1'!$G$2:$G$2000)-SUMIF('BALANCE N-1'!$A$2:$A$2000,"2012*",'BALANCE N-1'!$H$2:$H$2000)+SUMIF('BALANCE N-1'!$A$2:$A$2000,"2013*",'BALANCE N-1'!$G$2:$G$2000)-SUMIF('BALANCE N-1'!$A$2:$A$2000,"2013*",'BALANCE N-1'!$H$2:$H$2000)))</f>
        <v/>
      </c>
      <c r="D11" s="120">
        <f>MAX(0,(SUMIF('BALANCE N-1'!$A$2:$A$2000,"2012*",'BALANCE N-1'!$G$2:$G$2000)-SUMIF('BALANCE N-1'!$A$2:$A$2000,"2012*",'BALANCE N-1'!$H$2:$H$2000)+SUMIF('BALANCE N-1'!$A$2:$A$2000,"2013*",'BALANCE N-1'!$G$2:$G$2000)-SUMIF('BALANCE N-1'!$A$2:$A$2000,"2013*",'BALANCE N-1'!$H$2:$H$2000))-(SUMIF('BALANCE N'!$A$2:$A$2000,"2012*",'BALANCE N'!$G$2:$G$2000)-SUMIF('BALANCE N'!$A$2:$A$2000,"2012*",'BALANCE N'!$H$2:$H$2000)+SUMIF('BALANCE N'!$A$2:$A$2000,"2013*",'BALANCE N'!$G$2:$G$2000)-SUMIF('BALANCE N'!$A$2:$A$2000,"2013*",'BALANCE N'!$H$2:$H$2000)))</f>
        <v/>
      </c>
      <c r="E11" s="120">
        <f>B11+C11-D11</f>
        <v/>
      </c>
    </row>
    <row r="12">
      <c r="A12" s="119" t="inlineStr">
        <is>
          <t>Autres immobilisations incorporelles</t>
        </is>
      </c>
      <c r="B12" s="120">
        <f>SUMIF('BALANCE N-1'!$A$2:$A$2000,"2014*",'BALANCE N-1'!$G$2:$G$2000)-SUMIF('BALANCE N-1'!$A$2:$A$2000,"2014*",'BALANCE N-1'!$H$2:$H$2000)+SUMIF('BALANCE N-1'!$A$2:$A$2000,"2017*",'BALANCE N-1'!$G$2:$G$2000)-SUMIF('BALANCE N-1'!$A$2:$A$2000,"2017*",'BALANCE N-1'!$H$2:$H$2000)</f>
        <v/>
      </c>
      <c r="C12" s="120">
        <f>MAX(0,(SUMIF('BALANCE N'!$A$2:$A$2000,"2014*",'BALANCE N'!$G$2:$G$2000)-SUMIF('BALANCE N'!$A$2:$A$2000,"2014*",'BALANCE N'!$H$2:$H$2000)+SUMIF('BALANCE N'!$A$2:$A$2000,"2017*",'BALANCE N'!$G$2:$G$2000)-SUMIF('BALANCE N'!$A$2:$A$2000,"2017*",'BALANCE N'!$H$2:$H$2000))-(SUMIF('BALANCE N-1'!$A$2:$A$2000,"2014*",'BALANCE N-1'!$G$2:$G$2000)-SUMIF('BALANCE N-1'!$A$2:$A$2000,"2014*",'BALANCE N-1'!$H$2:$H$2000)+SUMIF('BALANCE N-1'!$A$2:$A$2000,"2017*",'BALANCE N-1'!$G$2:$G$2000)-SUMIF('BALANCE N-1'!$A$2:$A$2000,"2017*",'BALANCE N-1'!$H$2:$H$2000)))</f>
        <v/>
      </c>
      <c r="D12" s="120">
        <f>MAX(0,(SUMIF('BALANCE N-1'!$A$2:$A$2000,"2014*",'BALANCE N-1'!$G$2:$G$2000)-SUMIF('BALANCE N-1'!$A$2:$A$2000,"2014*",'BALANCE N-1'!$H$2:$H$2000)+SUMIF('BALANCE N-1'!$A$2:$A$2000,"2017*",'BALANCE N-1'!$G$2:$G$2000)-SUMIF('BALANCE N-1'!$A$2:$A$2000,"2017*",'BALANCE N-1'!$H$2:$H$2000))-(SUMIF('BALANCE N'!$A$2:$A$2000,"2014*",'BALANCE N'!$G$2:$G$2000)-SUMIF('BALANCE N'!$A$2:$A$2000,"2014*",'BALANCE N'!$H$2:$H$2000)+SUMIF('BALANCE N'!$A$2:$A$2000,"2017*",'BALANCE N'!$G$2:$G$2000)-SUMIF('BALANCE N'!$A$2:$A$2000,"2017*",'BALANCE N'!$H$2:$H$2000)))</f>
        <v/>
      </c>
      <c r="E12" s="120">
        <f>B12+C12-D12</f>
        <v/>
      </c>
    </row>
    <row r="13">
      <c r="A13" s="124" t="inlineStr">
        <is>
          <t>IMMOBILISATIONS CORPORELLES</t>
        </is>
      </c>
      <c r="B13" s="125" t="n"/>
      <c r="C13" s="125" t="n"/>
      <c r="D13" s="125" t="n"/>
      <c r="E13" s="125" t="n"/>
    </row>
    <row r="14">
      <c r="A14" s="119" t="inlineStr">
        <is>
          <t>Terrains</t>
        </is>
      </c>
      <c r="B14" s="120">
        <f>SUMIF('BALANCE N-1'!$A$2:$A$2000,"202*",'BALANCE N-1'!$G$2:$G$2000)-SUMIF('BALANCE N-1'!$A$2:$A$2000,"202*",'BALANCE N-1'!$H$2:$H$2000)</f>
        <v/>
      </c>
      <c r="C14" s="120">
        <f>MAX(0,(SUMIF('BALANCE N'!$A$2:$A$2000,"202*",'BALANCE N'!$G$2:$G$2000)-SUMIF('BALANCE N'!$A$2:$A$2000,"202*",'BALANCE N'!$H$2:$H$2000))-(SUMIF('BALANCE N-1'!$A$2:$A$2000,"202*",'BALANCE N-1'!$G$2:$G$2000)-SUMIF('BALANCE N-1'!$A$2:$A$2000,"202*",'BALANCE N-1'!$H$2:$H$2000)))</f>
        <v/>
      </c>
      <c r="D14" s="120">
        <f>MAX(0,(SUMIF('BALANCE N-1'!$A$2:$A$2000,"202*",'BALANCE N-1'!$G$2:$G$2000)-SUMIF('BALANCE N-1'!$A$2:$A$2000,"202*",'BALANCE N-1'!$H$2:$H$2000))-(SUMIF('BALANCE N'!$A$2:$A$2000,"202*",'BALANCE N'!$G$2:$G$2000)-SUMIF('BALANCE N'!$A$2:$A$2000,"202*",'BALANCE N'!$H$2:$H$2000)))</f>
        <v/>
      </c>
      <c r="E14" s="120">
        <f>B14+C14-D14</f>
        <v/>
      </c>
    </row>
    <row r="15">
      <c r="A15" s="119" t="inlineStr">
        <is>
          <t>Bâtiments</t>
        </is>
      </c>
      <c r="B15" s="120">
        <f>SUMIF('BALANCE N-1'!$A$2:$A$2000,"203*",'BALANCE N-1'!$G$2:$G$2000)-SUMIF('BALANCE N-1'!$A$2:$A$2000,"203*",'BALANCE N-1'!$H$2:$H$2000)</f>
        <v/>
      </c>
      <c r="C15" s="120">
        <f>MAX(0,(SUMIF('BALANCE N'!$A$2:$A$2000,"203*",'BALANCE N'!$G$2:$G$2000)-SUMIF('BALANCE N'!$A$2:$A$2000,"203*",'BALANCE N'!$H$2:$H$2000))-(SUMIF('BALANCE N-1'!$A$2:$A$2000,"203*",'BALANCE N-1'!$G$2:$G$2000)-SUMIF('BALANCE N-1'!$A$2:$A$2000,"203*",'BALANCE N-1'!$H$2:$H$2000)))</f>
        <v/>
      </c>
      <c r="D15" s="120">
        <f>MAX(0,(SUMIF('BALANCE N-1'!$A$2:$A$2000,"203*",'BALANCE N-1'!$G$2:$G$2000)-SUMIF('BALANCE N-1'!$A$2:$A$2000,"203*",'BALANCE N-1'!$H$2:$H$2000))-(SUMIF('BALANCE N'!$A$2:$A$2000,"203*",'BALANCE N'!$G$2:$G$2000)-SUMIF('BALANCE N'!$A$2:$A$2000,"203*",'BALANCE N'!$H$2:$H$2000)))</f>
        <v/>
      </c>
      <c r="E15" s="120">
        <f>B15+C15-D15</f>
        <v/>
      </c>
    </row>
    <row r="16">
      <c r="A16" s="119" t="inlineStr">
        <is>
          <t>Matériels et mobiliers</t>
        </is>
      </c>
      <c r="B16" s="120">
        <f>SUMIF('BALANCE N-1'!$A$2:$A$2000,"204*",'BALANCE N-1'!$G$2:$G$2000)-SUMIF('BALANCE N-1'!$A$2:$A$2000,"204*",'BALANCE N-1'!$H$2:$H$2000)</f>
        <v/>
      </c>
      <c r="C16" s="120">
        <f>MAX(0,(SUMIF('BALANCE N'!$A$2:$A$2000,"204*",'BALANCE N'!$G$2:$G$2000)-SUMIF('BALANCE N'!$A$2:$A$2000,"204*",'BALANCE N'!$H$2:$H$2000))-(SUMIF('BALANCE N-1'!$A$2:$A$2000,"204*",'BALANCE N-1'!$G$2:$G$2000)-SUMIF('BALANCE N-1'!$A$2:$A$2000,"204*",'BALANCE N-1'!$H$2:$H$2000)))</f>
        <v/>
      </c>
      <c r="D16" s="120">
        <f>MAX(0,(SUMIF('BALANCE N-1'!$A$2:$A$2000,"204*",'BALANCE N-1'!$G$2:$G$2000)-SUMIF('BALANCE N-1'!$A$2:$A$2000,"204*",'BALANCE N-1'!$H$2:$H$2000))-(SUMIF('BALANCE N'!$A$2:$A$2000,"204*",'BALANCE N'!$G$2:$G$2000)-SUMIF('BALANCE N'!$A$2:$A$2000,"204*",'BALANCE N'!$H$2:$H$2000)))</f>
        <v/>
      </c>
      <c r="E16" s="120">
        <f>B16+C16-D16</f>
        <v/>
      </c>
    </row>
    <row r="17">
      <c r="A17" s="124" t="inlineStr">
        <is>
          <t>IMMOBILISATIONS FINANCIÈRES</t>
        </is>
      </c>
      <c r="B17" s="125" t="n"/>
      <c r="C17" s="125" t="n"/>
      <c r="D17" s="125" t="n"/>
      <c r="E17" s="125" t="n"/>
    </row>
    <row r="18">
      <c r="A18" s="119" t="inlineStr">
        <is>
          <t>Titres de participation</t>
        </is>
      </c>
      <c r="B18" s="120">
        <f>SUMIF('BALANCE N-1'!$A$2:$A$2000,"205*",'BALANCE N-1'!$G$2:$G$2000)-SUMIF('BALANCE N-1'!$A$2:$A$2000,"205*",'BALANCE N-1'!$H$2:$H$2000)</f>
        <v/>
      </c>
      <c r="C18" s="120">
        <f>MAX(0,(SUMIF('BALANCE N'!$A$2:$A$2000,"205*",'BALANCE N'!$G$2:$G$2000)-SUMIF('BALANCE N'!$A$2:$A$2000,"205*",'BALANCE N'!$H$2:$H$2000))-(SUMIF('BALANCE N-1'!$A$2:$A$2000,"205*",'BALANCE N-1'!$G$2:$G$2000)-SUMIF('BALANCE N-1'!$A$2:$A$2000,"205*",'BALANCE N-1'!$H$2:$H$2000)))</f>
        <v/>
      </c>
      <c r="D18" s="120">
        <f>MAX(0,(SUMIF('BALANCE N-1'!$A$2:$A$2000,"205*",'BALANCE N-1'!$G$2:$G$2000)-SUMIF('BALANCE N-1'!$A$2:$A$2000,"205*",'BALANCE N-1'!$H$2:$H$2000))-(SUMIF('BALANCE N'!$A$2:$A$2000,"205*",'BALANCE N'!$G$2:$G$2000)-SUMIF('BALANCE N'!$A$2:$A$2000,"205*",'BALANCE N'!$H$2:$H$2000)))</f>
        <v/>
      </c>
      <c r="E18" s="120">
        <f>B18+C18-D18</f>
        <v/>
      </c>
    </row>
    <row r="19">
      <c r="A19" s="6" t="inlineStr">
        <is>
          <t>TOTAL GÉNÉRAL</t>
        </is>
      </c>
      <c r="B19" s="7">
        <f>B10+B11+B12+B14+B15+B16+B18</f>
        <v/>
      </c>
      <c r="C19" s="7">
        <f>C10+C11+C12+C14+C15+C16+C18</f>
        <v/>
      </c>
      <c r="D19" s="7">
        <f>D10+D11+D12+D14+D15+D16+D18</f>
        <v/>
      </c>
      <c r="E19" s="7">
        <f>E10+E11+E12+E14+E15+E16+E18</f>
        <v/>
      </c>
    </row>
    <row r="20"/>
    <row r="21">
      <c r="A21" s="121" t="inlineStr">
        <is>
          <t>Sans balance N-1, seule la colonne de clôture est servie ; avec N-1, les mouvements sont posés en variation nette (augmentation ou diminution) faute d'état des mouvements - à ajuster depuis l'inventaire des immobilisations.</t>
        </is>
      </c>
    </row>
    <row r="22"/>
    <row r="23" ht="34" customHeight="1">
      <c r="A23" s="122">
        <f>IF(SUM(B9:B19,C9:C19,D9:D19,E9:E19)=0,"NÉANT","")</f>
        <v/>
      </c>
    </row>
    <row r="24" ht="34" customHeight="1"/>
    <row r="25" ht="34" customHeight="1"/>
  </sheetData>
  <mergeCells count="3">
    <mergeCell ref="A7:E7"/>
    <mergeCell ref="A23:E25"/>
    <mergeCell ref="D2:E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12" customHeight="1">
      <c r="A1" s="50" t="inlineStr">
        <is>
          <t>- 14 -</t>
        </is>
      </c>
    </row>
    <row r="2" ht="26" customHeight="1">
      <c r="D2" s="51" t="inlineStr">
        <is>
          <t>NOTE 5B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5B : IMMOBILISATIONS BRUTES</t>
        </is>
      </c>
    </row>
    <row r="8">
      <c r="A8" s="1" t="inlineStr">
        <is>
          <t>RUBRIQUES</t>
        </is>
      </c>
      <c r="B8" s="2" t="inlineStr">
        <is>
          <t>Montant brut à l'ouverture (A)</t>
        </is>
      </c>
      <c r="C8" s="2" t="inlineStr">
        <is>
          <t>Augmentations (B)</t>
        </is>
      </c>
      <c r="D8" s="2" t="inlineStr">
        <is>
          <t>Diminutions (C)</t>
        </is>
      </c>
      <c r="E8" s="3" t="inlineStr">
        <is>
          <t>Montant brut à la clôture (D = A + B - C)</t>
        </is>
      </c>
    </row>
    <row r="9">
      <c r="A9" s="124" t="inlineStr">
        <is>
          <t>IMMOBILISATIONS INCORPORELLES</t>
        </is>
      </c>
      <c r="B9" s="125" t="n"/>
      <c r="C9" s="125" t="n"/>
      <c r="D9" s="125" t="n"/>
      <c r="E9" s="125" t="n"/>
    </row>
    <row r="10">
      <c r="A10" s="119" t="inlineStr">
        <is>
          <t>Brevets, licences et droits similaires</t>
        </is>
      </c>
      <c r="B10" s="120">
        <f>SUMIF('BALANCE N-1'!$A$2:$A$2000,"212*",'BALANCE N-1'!$G$2:$G$2000)-SUMIF('BALANCE N-1'!$A$2:$A$2000,"212*",'BALANCE N-1'!$H$2:$H$2000)+SUMIF('BALANCE N-1'!$A$2:$A$2000,"214*",'BALANCE N-1'!$G$2:$G$2000)-SUMIF('BALANCE N-1'!$A$2:$A$2000,"214*",'BALANCE N-1'!$H$2:$H$2000)+SUMIF('BALANCE N-1'!$A$2:$A$2000,"218*",'BALANCE N-1'!$G$2:$G$2000)-SUMIF('BALANCE N-1'!$A$2:$A$2000,"218*",'BALANCE N-1'!$H$2:$H$2000)</f>
        <v/>
      </c>
      <c r="C10" s="120">
        <f>MAX(0,(SUMIF('BALANCE N'!$A$2:$A$2000,"212*",'BALANCE N'!$G$2:$G$2000)-SUMIF('BALANCE N'!$A$2:$A$2000,"212*",'BALANCE N'!$H$2:$H$2000)+SUMIF('BALANCE N'!$A$2:$A$2000,"214*",'BALANCE N'!$G$2:$G$2000)-SUMIF('BALANCE N'!$A$2:$A$2000,"214*",'BALANCE N'!$H$2:$H$2000)+SUMIF('BALANCE N'!$A$2:$A$2000,"218*",'BALANCE N'!$G$2:$G$2000)-SUMIF('BALANCE N'!$A$2:$A$2000,"218*",'BALANCE N'!$H$2:$H$2000))-(SUMIF('BALANCE N-1'!$A$2:$A$2000,"212*",'BALANCE N-1'!$G$2:$G$2000)-SUMIF('BALANCE N-1'!$A$2:$A$2000,"212*",'BALANCE N-1'!$H$2:$H$2000)+SUMIF('BALANCE N-1'!$A$2:$A$2000,"214*",'BALANCE N-1'!$G$2:$G$2000)-SUMIF('BALANCE N-1'!$A$2:$A$2000,"214*",'BALANCE N-1'!$H$2:$H$2000)+SUMIF('BALANCE N-1'!$A$2:$A$2000,"218*",'BALANCE N-1'!$G$2:$G$2000)-SUMIF('BALANCE N-1'!$A$2:$A$2000,"218*",'BALANCE N-1'!$H$2:$H$2000)))</f>
        <v/>
      </c>
      <c r="D10" s="120">
        <f>MAX(0,(SUMIF('BALANCE N-1'!$A$2:$A$2000,"212*",'BALANCE N-1'!$G$2:$G$2000)-SUMIF('BALANCE N-1'!$A$2:$A$2000,"212*",'BALANCE N-1'!$H$2:$H$2000)+SUMIF('BALANCE N-1'!$A$2:$A$2000,"214*",'BALANCE N-1'!$G$2:$G$2000)-SUMIF('BALANCE N-1'!$A$2:$A$2000,"214*",'BALANCE N-1'!$H$2:$H$2000)+SUMIF('BALANCE N-1'!$A$2:$A$2000,"218*",'BALANCE N-1'!$G$2:$G$2000)-SUMIF('BALANCE N-1'!$A$2:$A$2000,"218*",'BALANCE N-1'!$H$2:$H$2000))-(SUMIF('BALANCE N'!$A$2:$A$2000,"212*",'BALANCE N'!$G$2:$G$2000)-SUMIF('BALANCE N'!$A$2:$A$2000,"212*",'BALANCE N'!$H$2:$H$2000)+SUMIF('BALANCE N'!$A$2:$A$2000,"214*",'BALANCE N'!$G$2:$G$2000)-SUMIF('BALANCE N'!$A$2:$A$2000,"214*",'BALANCE N'!$H$2:$H$2000)+SUMIF('BALANCE N'!$A$2:$A$2000,"218*",'BALANCE N'!$G$2:$G$2000)-SUMIF('BALANCE N'!$A$2:$A$2000,"218*",'BALANCE N'!$H$2:$H$2000)))</f>
        <v/>
      </c>
      <c r="E10" s="120">
        <f>B10+C10-D10</f>
        <v/>
      </c>
    </row>
    <row r="11">
      <c r="A11" s="119" t="inlineStr">
        <is>
          <t>Logiciels et sites internet</t>
        </is>
      </c>
      <c r="B11" s="120">
        <f>SUMIF('BALANCE N-1'!$A$2:$A$2000,"213*",'BALANCE N-1'!$G$2:$G$2000)-SUMIF('BALANCE N-1'!$A$2:$A$2000,"213*",'BALANCE N-1'!$H$2:$H$2000)+SUMIF('BALANCE N-1'!$A$2:$A$2000,"2193*",'BALANCE N-1'!$G$2:$G$2000)-SUMIF('BALANCE N-1'!$A$2:$A$2000,"2193*",'BALANCE N-1'!$H$2:$H$2000)</f>
        <v/>
      </c>
      <c r="C11" s="120">
        <f>MAX(0,(SUMIF('BALANCE N'!$A$2:$A$2000,"213*",'BALANCE N'!$G$2:$G$2000)-SUMIF('BALANCE N'!$A$2:$A$2000,"213*",'BALANCE N'!$H$2:$H$2000)+SUMIF('BALANCE N'!$A$2:$A$2000,"2193*",'BALANCE N'!$G$2:$G$2000)-SUMIF('BALANCE N'!$A$2:$A$2000,"2193*",'BALANCE N'!$H$2:$H$2000))-(SUMIF('BALANCE N-1'!$A$2:$A$2000,"213*",'BALANCE N-1'!$G$2:$G$2000)-SUMIF('BALANCE N-1'!$A$2:$A$2000,"213*",'BALANCE N-1'!$H$2:$H$2000)+SUMIF('BALANCE N-1'!$A$2:$A$2000,"2193*",'BALANCE N-1'!$G$2:$G$2000)-SUMIF('BALANCE N-1'!$A$2:$A$2000,"2193*",'BALANCE N-1'!$H$2:$H$2000)))</f>
        <v/>
      </c>
      <c r="D11" s="120">
        <f>MAX(0,(SUMIF('BALANCE N-1'!$A$2:$A$2000,"213*",'BALANCE N-1'!$G$2:$G$2000)-SUMIF('BALANCE N-1'!$A$2:$A$2000,"213*",'BALANCE N-1'!$H$2:$H$2000)+SUMIF('BALANCE N-1'!$A$2:$A$2000,"2193*",'BALANCE N-1'!$G$2:$G$2000)-SUMIF('BALANCE N-1'!$A$2:$A$2000,"2193*",'BALANCE N-1'!$H$2:$H$2000))-(SUMIF('BALANCE N'!$A$2:$A$2000,"213*",'BALANCE N'!$G$2:$G$2000)-SUMIF('BALANCE N'!$A$2:$A$2000,"213*",'BALANCE N'!$H$2:$H$2000)+SUMIF('BALANCE N'!$A$2:$A$2000,"2193*",'BALANCE N'!$G$2:$G$2000)-SUMIF('BALANCE N'!$A$2:$A$2000,"2193*",'BALANCE N'!$H$2:$H$2000)))</f>
        <v/>
      </c>
      <c r="E11" s="120">
        <f>B11+C11-D11</f>
        <v/>
      </c>
    </row>
    <row r="12">
      <c r="A12" s="119" t="inlineStr">
        <is>
          <t>Avances et acomptes sur immobilisations incorporelles</t>
        </is>
      </c>
      <c r="B12" s="120">
        <f>SUMIF('BALANCE N-1'!$A$2:$A$2000,"251*",'BALANCE N-1'!$G$2:$G$2000)-SUMIF('BALANCE N-1'!$A$2:$A$2000,"251*",'BALANCE N-1'!$H$2:$H$2000)</f>
        <v/>
      </c>
      <c r="C12" s="120">
        <f>MAX(0,(SUMIF('BALANCE N'!$A$2:$A$2000,"251*",'BALANCE N'!$G$2:$G$2000)-SUMIF('BALANCE N'!$A$2:$A$2000,"251*",'BALANCE N'!$H$2:$H$2000))-(SUMIF('BALANCE N-1'!$A$2:$A$2000,"251*",'BALANCE N-1'!$G$2:$G$2000)-SUMIF('BALANCE N-1'!$A$2:$A$2000,"251*",'BALANCE N-1'!$H$2:$H$2000)))</f>
        <v/>
      </c>
      <c r="D12" s="120">
        <f>MAX(0,(SUMIF('BALANCE N-1'!$A$2:$A$2000,"251*",'BALANCE N-1'!$G$2:$G$2000)-SUMIF('BALANCE N-1'!$A$2:$A$2000,"251*",'BALANCE N-1'!$H$2:$H$2000))-(SUMIF('BALANCE N'!$A$2:$A$2000,"251*",'BALANCE N'!$G$2:$G$2000)-SUMIF('BALANCE N'!$A$2:$A$2000,"251*",'BALANCE N'!$H$2:$H$2000)))</f>
        <v/>
      </c>
      <c r="E12" s="120">
        <f>B12+C12-D12</f>
        <v/>
      </c>
    </row>
    <row r="13">
      <c r="A13" s="119" t="inlineStr">
        <is>
          <t>Autres immobilisations incorporelles</t>
        </is>
      </c>
      <c r="B13" s="120">
        <f>SUMIF('BALANCE N-1'!$A$2:$A$2000,"2198*",'BALANCE N-1'!$G$2:$G$2000)-SUMIF('BALANCE N-1'!$A$2:$A$2000,"2198*",'BALANCE N-1'!$H$2:$H$2000)</f>
        <v/>
      </c>
      <c r="C13" s="120">
        <f>MAX(0,(SUMIF('BALANCE N'!$A$2:$A$2000,"2198*",'BALANCE N'!$G$2:$G$2000)-SUMIF('BALANCE N'!$A$2:$A$2000,"2198*",'BALANCE N'!$H$2:$H$2000))-(SUMIF('BALANCE N-1'!$A$2:$A$2000,"2198*",'BALANCE N-1'!$G$2:$G$2000)-SUMIF('BALANCE N-1'!$A$2:$A$2000,"2198*",'BALANCE N-1'!$H$2:$H$2000)))</f>
        <v/>
      </c>
      <c r="D13" s="120">
        <f>MAX(0,(SUMIF('BALANCE N-1'!$A$2:$A$2000,"2198*",'BALANCE N-1'!$G$2:$G$2000)-SUMIF('BALANCE N-1'!$A$2:$A$2000,"2198*",'BALANCE N-1'!$H$2:$H$2000))-(SUMIF('BALANCE N'!$A$2:$A$2000,"2198*",'BALANCE N'!$G$2:$G$2000)-SUMIF('BALANCE N'!$A$2:$A$2000,"2198*",'BALANCE N'!$H$2:$H$2000)))</f>
        <v/>
      </c>
      <c r="E13" s="120">
        <f>B13+C13-D13</f>
        <v/>
      </c>
    </row>
    <row r="14">
      <c r="A14" s="124" t="inlineStr">
        <is>
          <t>IMMOBILISATIONS CORPORELLES</t>
        </is>
      </c>
      <c r="B14" s="125" t="n"/>
      <c r="C14" s="125" t="n"/>
      <c r="D14" s="125" t="n"/>
      <c r="E14" s="125" t="n"/>
    </row>
    <row r="15">
      <c r="A15" s="119" t="inlineStr">
        <is>
          <t>Terrains hors immeuble de placement</t>
        </is>
      </c>
      <c r="B15" s="120">
        <f>SUMIF('BALANCE N-1'!$A$2:$A$2000,"22*",'BALANCE N-1'!$G$2:$G$2000)-SUMIF('BALANCE N-1'!$A$2:$A$2000,"22*",'BALANCE N-1'!$H$2:$H$2000)-SUMIF('BALANCE N-1'!$A$2:$A$2000,"2281*",'BALANCE N-1'!$G$2:$G$2000)+SUMIF('BALANCE N-1'!$A$2:$A$2000,"2281*",'BALANCE N-1'!$H$2:$H$2000)</f>
        <v/>
      </c>
      <c r="C15" s="120">
        <f>MAX(0,(SUMIF('BALANCE N'!$A$2:$A$2000,"22*",'BALANCE N'!$G$2:$G$2000)-SUMIF('BALANCE N'!$A$2:$A$2000,"22*",'BALANCE N'!$H$2:$H$2000)-SUMIF('BALANCE N'!$A$2:$A$2000,"2281*",'BALANCE N'!$G$2:$G$2000)+SUMIF('BALANCE N'!$A$2:$A$2000,"2281*",'BALANCE N'!$H$2:$H$2000))-(SUMIF('BALANCE N-1'!$A$2:$A$2000,"22*",'BALANCE N-1'!$G$2:$G$2000)-SUMIF('BALANCE N-1'!$A$2:$A$2000,"22*",'BALANCE N-1'!$H$2:$H$2000)-SUMIF('BALANCE N-1'!$A$2:$A$2000,"2281*",'BALANCE N-1'!$G$2:$G$2000)+SUMIF('BALANCE N-1'!$A$2:$A$2000,"2281*",'BALANCE N-1'!$H$2:$H$2000)))</f>
        <v/>
      </c>
      <c r="D15" s="120">
        <f>MAX(0,(SUMIF('BALANCE N-1'!$A$2:$A$2000,"22*",'BALANCE N-1'!$G$2:$G$2000)-SUMIF('BALANCE N-1'!$A$2:$A$2000,"22*",'BALANCE N-1'!$H$2:$H$2000)-SUMIF('BALANCE N-1'!$A$2:$A$2000,"2281*",'BALANCE N-1'!$G$2:$G$2000)+SUMIF('BALANCE N-1'!$A$2:$A$2000,"2281*",'BALANCE N-1'!$H$2:$H$2000))-(SUMIF('BALANCE N'!$A$2:$A$2000,"22*",'BALANCE N'!$G$2:$G$2000)-SUMIF('BALANCE N'!$A$2:$A$2000,"22*",'BALANCE N'!$H$2:$H$2000)-SUMIF('BALANCE N'!$A$2:$A$2000,"2281*",'BALANCE N'!$G$2:$G$2000)+SUMIF('BALANCE N'!$A$2:$A$2000,"2281*",'BALANCE N'!$H$2:$H$2000)))</f>
        <v/>
      </c>
      <c r="E15" s="120">
        <f>B15+C15-D15</f>
        <v/>
      </c>
    </row>
    <row r="16">
      <c r="A16" s="119" t="inlineStr">
        <is>
          <t>Terrains - immeuble de placement</t>
        </is>
      </c>
      <c r="B16" s="120">
        <f>SUMIF('BALANCE N-1'!$A$2:$A$2000,"2281*",'BALANCE N-1'!$G$2:$G$2000)-SUMIF('BALANCE N-1'!$A$2:$A$2000,"2281*",'BALANCE N-1'!$H$2:$H$2000)</f>
        <v/>
      </c>
      <c r="C16" s="120">
        <f>MAX(0,(SUMIF('BALANCE N'!$A$2:$A$2000,"2281*",'BALANCE N'!$G$2:$G$2000)-SUMIF('BALANCE N'!$A$2:$A$2000,"2281*",'BALANCE N'!$H$2:$H$2000))-(SUMIF('BALANCE N-1'!$A$2:$A$2000,"2281*",'BALANCE N-1'!$G$2:$G$2000)-SUMIF('BALANCE N-1'!$A$2:$A$2000,"2281*",'BALANCE N-1'!$H$2:$H$2000)))</f>
        <v/>
      </c>
      <c r="D16" s="120">
        <f>MAX(0,(SUMIF('BALANCE N-1'!$A$2:$A$2000,"2281*",'BALANCE N-1'!$G$2:$G$2000)-SUMIF('BALANCE N-1'!$A$2:$A$2000,"2281*",'BALANCE N-1'!$H$2:$H$2000))-(SUMIF('BALANCE N'!$A$2:$A$2000,"2281*",'BALANCE N'!$G$2:$G$2000)-SUMIF('BALANCE N'!$A$2:$A$2000,"2281*",'BALANCE N'!$H$2:$H$2000)))</f>
        <v/>
      </c>
      <c r="E16" s="120">
        <f>B16+C16-D16</f>
        <v/>
      </c>
    </row>
    <row r="17">
      <c r="A17" s="119" t="inlineStr">
        <is>
          <t>Bâtiments hors immeuble de placement</t>
        </is>
      </c>
      <c r="B17" s="120">
        <f>SUMIF('BALANCE N-1'!$A$2:$A$2000,"231*",'BALANCE N-1'!$G$2:$G$2000)-SUMIF('BALANCE N-1'!$A$2:$A$2000,"231*",'BALANCE N-1'!$H$2:$H$2000)+SUMIF('BALANCE N-1'!$A$2:$A$2000,"232*",'BALANCE N-1'!$G$2:$G$2000)-SUMIF('BALANCE N-1'!$A$2:$A$2000,"232*",'BALANCE N-1'!$H$2:$H$2000)+SUMIF('BALANCE N-1'!$A$2:$A$2000,"233*",'BALANCE N-1'!$G$2:$G$2000)-SUMIF('BALANCE N-1'!$A$2:$A$2000,"233*",'BALANCE N-1'!$H$2:$H$2000)+SUMIF('BALANCE N-1'!$A$2:$A$2000,"2391*",'BALANCE N-1'!$G$2:$G$2000)-SUMIF('BALANCE N-1'!$A$2:$A$2000,"2391*",'BALANCE N-1'!$H$2:$H$2000)+SUMIF('BALANCE N-1'!$A$2:$A$2000,"2392*",'BALANCE N-1'!$G$2:$G$2000)-SUMIF('BALANCE N-1'!$A$2:$A$2000,"2392*",'BALANCE N-1'!$H$2:$H$2000)+SUMIF('BALANCE N-1'!$A$2:$A$2000,"2393*",'BALANCE N-1'!$G$2:$G$2000)-SUMIF('BALANCE N-1'!$A$2:$A$2000,"2393*",'BALANCE N-1'!$H$2:$H$2000)-SUMIF('BALANCE N-1'!$A$2:$A$2000,"2315*",'BALANCE N-1'!$G$2:$G$2000)+SUMIF('BALANCE N-1'!$A$2:$A$2000,"2315*",'BALANCE N-1'!$H$2:$H$2000)-SUMIF('BALANCE N-1'!$A$2:$A$2000,"2325*",'BALANCE N-1'!$G$2:$G$2000)+SUMIF('BALANCE N-1'!$A$2:$A$2000,"2325*",'BALANCE N-1'!$H$2:$H$2000)</f>
        <v/>
      </c>
      <c r="C17" s="120">
        <f>MAX(0,(SUMIF('BALANCE N'!$A$2:$A$2000,"231*",'BALANCE N'!$G$2:$G$2000)-SUMIF('BALANCE N'!$A$2:$A$2000,"231*",'BALANCE N'!$H$2:$H$2000)+SUMIF('BALANCE N'!$A$2:$A$2000,"232*",'BALANCE N'!$G$2:$G$2000)-SUMIF('BALANCE N'!$A$2:$A$2000,"232*",'BALANCE N'!$H$2:$H$2000)+SUMIF('BALANCE N'!$A$2:$A$2000,"233*",'BALANCE N'!$G$2:$G$2000)-SUMIF('BALANCE N'!$A$2:$A$2000,"233*",'BALANCE N'!$H$2:$H$2000)+SUMIF('BALANCE N'!$A$2:$A$2000,"2391*",'BALANCE N'!$G$2:$G$2000)-SUMIF('BALANCE N'!$A$2:$A$2000,"2391*",'BALANCE N'!$H$2:$H$2000)+SUMIF('BALANCE N'!$A$2:$A$2000,"2392*",'BALANCE N'!$G$2:$G$2000)-SUMIF('BALANCE N'!$A$2:$A$2000,"2392*",'BALANCE N'!$H$2:$H$2000)+SUMIF('BALANCE N'!$A$2:$A$2000,"2393*",'BALANCE N'!$G$2:$G$2000)-SUMIF('BALANCE N'!$A$2:$A$2000,"2393*",'BALANCE N'!$H$2:$H$2000)-SUMIF('BALANCE N'!$A$2:$A$2000,"2315*",'BALANCE N'!$G$2:$G$2000)+SUMIF('BALANCE N'!$A$2:$A$2000,"2315*",'BALANCE N'!$H$2:$H$2000)-SUMIF('BALANCE N'!$A$2:$A$2000,"2325*",'BALANCE N'!$G$2:$G$2000)+SUMIF('BALANCE N'!$A$2:$A$2000,"2325*",'BALANCE N'!$H$2:$H$2000))-(SUMIF('BALANCE N-1'!$A$2:$A$2000,"231*",'BALANCE N-1'!$G$2:$G$2000)-SUMIF('BALANCE N-1'!$A$2:$A$2000,"231*",'BALANCE N-1'!$H$2:$H$2000)+SUMIF('BALANCE N-1'!$A$2:$A$2000,"232*",'BALANCE N-1'!$G$2:$G$2000)-SUMIF('BALANCE N-1'!$A$2:$A$2000,"232*",'BALANCE N-1'!$H$2:$H$2000)+SUMIF('BALANCE N-1'!$A$2:$A$2000,"233*",'BALANCE N-1'!$G$2:$G$2000)-SUMIF('BALANCE N-1'!$A$2:$A$2000,"233*",'BALANCE N-1'!$H$2:$H$2000)+SUMIF('BALANCE N-1'!$A$2:$A$2000,"2391*",'BALANCE N-1'!$G$2:$G$2000)-SUMIF('BALANCE N-1'!$A$2:$A$2000,"2391*",'BALANCE N-1'!$H$2:$H$2000)+SUMIF('BALANCE N-1'!$A$2:$A$2000,"2392*",'BALANCE N-1'!$G$2:$G$2000)-SUMIF('BALANCE N-1'!$A$2:$A$2000,"2392*",'BALANCE N-1'!$H$2:$H$2000)+SUMIF('BALANCE N-1'!$A$2:$A$2000,"2393*",'BALANCE N-1'!$G$2:$G$2000)-SUMIF('BALANCE N-1'!$A$2:$A$2000,"2393*",'BALANCE N-1'!$H$2:$H$2000)-SUMIF('BALANCE N-1'!$A$2:$A$2000,"2315*",'BALANCE N-1'!$G$2:$G$2000)+SUMIF('BALANCE N-1'!$A$2:$A$2000,"2315*",'BALANCE N-1'!$H$2:$H$2000)-SUMIF('BALANCE N-1'!$A$2:$A$2000,"2325*",'BALANCE N-1'!$G$2:$G$2000)+SUMIF('BALANCE N-1'!$A$2:$A$2000,"2325*",'BALANCE N-1'!$H$2:$H$2000)))</f>
        <v/>
      </c>
      <c r="D17" s="120">
        <f>MAX(0,(SUMIF('BALANCE N-1'!$A$2:$A$2000,"231*",'BALANCE N-1'!$G$2:$G$2000)-SUMIF('BALANCE N-1'!$A$2:$A$2000,"231*",'BALANCE N-1'!$H$2:$H$2000)+SUMIF('BALANCE N-1'!$A$2:$A$2000,"232*",'BALANCE N-1'!$G$2:$G$2000)-SUMIF('BALANCE N-1'!$A$2:$A$2000,"232*",'BALANCE N-1'!$H$2:$H$2000)+SUMIF('BALANCE N-1'!$A$2:$A$2000,"233*",'BALANCE N-1'!$G$2:$G$2000)-SUMIF('BALANCE N-1'!$A$2:$A$2000,"233*",'BALANCE N-1'!$H$2:$H$2000)+SUMIF('BALANCE N-1'!$A$2:$A$2000,"2391*",'BALANCE N-1'!$G$2:$G$2000)-SUMIF('BALANCE N-1'!$A$2:$A$2000,"2391*",'BALANCE N-1'!$H$2:$H$2000)+SUMIF('BALANCE N-1'!$A$2:$A$2000,"2392*",'BALANCE N-1'!$G$2:$G$2000)-SUMIF('BALANCE N-1'!$A$2:$A$2000,"2392*",'BALANCE N-1'!$H$2:$H$2000)+SUMIF('BALANCE N-1'!$A$2:$A$2000,"2393*",'BALANCE N-1'!$G$2:$G$2000)-SUMIF('BALANCE N-1'!$A$2:$A$2000,"2393*",'BALANCE N-1'!$H$2:$H$2000)-SUMIF('BALANCE N-1'!$A$2:$A$2000,"2315*",'BALANCE N-1'!$G$2:$G$2000)+SUMIF('BALANCE N-1'!$A$2:$A$2000,"2315*",'BALANCE N-1'!$H$2:$H$2000)-SUMIF('BALANCE N-1'!$A$2:$A$2000,"2325*",'BALANCE N-1'!$G$2:$G$2000)+SUMIF('BALANCE N-1'!$A$2:$A$2000,"2325*",'BALANCE N-1'!$H$2:$H$2000))-(SUMIF('BALANCE N'!$A$2:$A$2000,"231*",'BALANCE N'!$G$2:$G$2000)-SUMIF('BALANCE N'!$A$2:$A$2000,"231*",'BALANCE N'!$H$2:$H$2000)+SUMIF('BALANCE N'!$A$2:$A$2000,"232*",'BALANCE N'!$G$2:$G$2000)-SUMIF('BALANCE N'!$A$2:$A$2000,"232*",'BALANCE N'!$H$2:$H$2000)+SUMIF('BALANCE N'!$A$2:$A$2000,"233*",'BALANCE N'!$G$2:$G$2000)-SUMIF('BALANCE N'!$A$2:$A$2000,"233*",'BALANCE N'!$H$2:$H$2000)+SUMIF('BALANCE N'!$A$2:$A$2000,"2391*",'BALANCE N'!$G$2:$G$2000)-SUMIF('BALANCE N'!$A$2:$A$2000,"2391*",'BALANCE N'!$H$2:$H$2000)+SUMIF('BALANCE N'!$A$2:$A$2000,"2392*",'BALANCE N'!$G$2:$G$2000)-SUMIF('BALANCE N'!$A$2:$A$2000,"2392*",'BALANCE N'!$H$2:$H$2000)+SUMIF('BALANCE N'!$A$2:$A$2000,"2393*",'BALANCE N'!$G$2:$G$2000)-SUMIF('BALANCE N'!$A$2:$A$2000,"2393*",'BALANCE N'!$H$2:$H$2000)-SUMIF('BALANCE N'!$A$2:$A$2000,"2315*",'BALANCE N'!$G$2:$G$2000)+SUMIF('BALANCE N'!$A$2:$A$2000,"2315*",'BALANCE N'!$H$2:$H$2000)-SUMIF('BALANCE N'!$A$2:$A$2000,"2325*",'BALANCE N'!$G$2:$G$2000)+SUMIF('BALANCE N'!$A$2:$A$2000,"2325*",'BALANCE N'!$H$2:$H$2000)))</f>
        <v/>
      </c>
      <c r="E17" s="120">
        <f>B17+C17-D17</f>
        <v/>
      </c>
    </row>
    <row r="18">
      <c r="A18" s="119" t="inlineStr">
        <is>
          <t>Bâtiments - immeuble de placement</t>
        </is>
      </c>
      <c r="B18" s="120">
        <f>SUMIF('BALANCE N-1'!$A$2:$A$2000,"2315*",'BALANCE N-1'!$G$2:$G$2000)-SUMIF('BALANCE N-1'!$A$2:$A$2000,"2315*",'BALANCE N-1'!$H$2:$H$2000)+SUMIF('BALANCE N-1'!$A$2:$A$2000,"2325*",'BALANCE N-1'!$G$2:$G$2000)-SUMIF('BALANCE N-1'!$A$2:$A$2000,"2325*",'BALANCE N-1'!$H$2:$H$2000)+SUMIF('BALANCE N-1'!$A$2:$A$2000,"2396*",'BALANCE N-1'!$G$2:$G$2000)-SUMIF('BALANCE N-1'!$A$2:$A$2000,"2396*",'BALANCE N-1'!$H$2:$H$2000)</f>
        <v/>
      </c>
      <c r="C18" s="120">
        <f>MAX(0,(SUMIF('BALANCE N'!$A$2:$A$2000,"2315*",'BALANCE N'!$G$2:$G$2000)-SUMIF('BALANCE N'!$A$2:$A$2000,"2315*",'BALANCE N'!$H$2:$H$2000)+SUMIF('BALANCE N'!$A$2:$A$2000,"2325*",'BALANCE N'!$G$2:$G$2000)-SUMIF('BALANCE N'!$A$2:$A$2000,"2325*",'BALANCE N'!$H$2:$H$2000)+SUMIF('BALANCE N'!$A$2:$A$2000,"2396*",'BALANCE N'!$G$2:$G$2000)-SUMIF('BALANCE N'!$A$2:$A$2000,"2396*",'BALANCE N'!$H$2:$H$2000))-(SUMIF('BALANCE N-1'!$A$2:$A$2000,"2315*",'BALANCE N-1'!$G$2:$G$2000)-SUMIF('BALANCE N-1'!$A$2:$A$2000,"2315*",'BALANCE N-1'!$H$2:$H$2000)+SUMIF('BALANCE N-1'!$A$2:$A$2000,"2325*",'BALANCE N-1'!$G$2:$G$2000)-SUMIF('BALANCE N-1'!$A$2:$A$2000,"2325*",'BALANCE N-1'!$H$2:$H$2000)+SUMIF('BALANCE N-1'!$A$2:$A$2000,"2396*",'BALANCE N-1'!$G$2:$G$2000)-SUMIF('BALANCE N-1'!$A$2:$A$2000,"2396*",'BALANCE N-1'!$H$2:$H$2000)))</f>
        <v/>
      </c>
      <c r="D18" s="120">
        <f>MAX(0,(SUMIF('BALANCE N-1'!$A$2:$A$2000,"2315*",'BALANCE N-1'!$G$2:$G$2000)-SUMIF('BALANCE N-1'!$A$2:$A$2000,"2315*",'BALANCE N-1'!$H$2:$H$2000)+SUMIF('BALANCE N-1'!$A$2:$A$2000,"2325*",'BALANCE N-1'!$G$2:$G$2000)-SUMIF('BALANCE N-1'!$A$2:$A$2000,"2325*",'BALANCE N-1'!$H$2:$H$2000)+SUMIF('BALANCE N-1'!$A$2:$A$2000,"2396*",'BALANCE N-1'!$G$2:$G$2000)-SUMIF('BALANCE N-1'!$A$2:$A$2000,"2396*",'BALANCE N-1'!$H$2:$H$2000))-(SUMIF('BALANCE N'!$A$2:$A$2000,"2315*",'BALANCE N'!$G$2:$G$2000)-SUMIF('BALANCE N'!$A$2:$A$2000,"2315*",'BALANCE N'!$H$2:$H$2000)+SUMIF('BALANCE N'!$A$2:$A$2000,"2325*",'BALANCE N'!$G$2:$G$2000)-SUMIF('BALANCE N'!$A$2:$A$2000,"2325*",'BALANCE N'!$H$2:$H$2000)+SUMIF('BALANCE N'!$A$2:$A$2000,"2396*",'BALANCE N'!$G$2:$G$2000)-SUMIF('BALANCE N'!$A$2:$A$2000,"2396*",'BALANCE N'!$H$2:$H$2000)))</f>
        <v/>
      </c>
      <c r="E18" s="120">
        <f>B18+C18-D18</f>
        <v/>
      </c>
    </row>
    <row r="19">
      <c r="A19" s="119" t="inlineStr">
        <is>
          <t>Aménagements, agencements et installations</t>
        </is>
      </c>
      <c r="B19" s="120">
        <f>SUMIF('BALANCE N-1'!$A$2:$A$2000,"234*",'BALANCE N-1'!$G$2:$G$2000)-SUMIF('BALANCE N-1'!$A$2:$A$2000,"234*",'BALANCE N-1'!$H$2:$H$2000)+SUMIF('BALANCE N-1'!$A$2:$A$2000,"235*",'BALANCE N-1'!$G$2:$G$2000)-SUMIF('BALANCE N-1'!$A$2:$A$2000,"235*",'BALANCE N-1'!$H$2:$H$2000)+SUMIF('BALANCE N-1'!$A$2:$A$2000,"238*",'BALANCE N-1'!$G$2:$G$2000)-SUMIF('BALANCE N-1'!$A$2:$A$2000,"238*",'BALANCE N-1'!$H$2:$H$2000)+SUMIF('BALANCE N-1'!$A$2:$A$2000,"2394*",'BALANCE N-1'!$G$2:$G$2000)-SUMIF('BALANCE N-1'!$A$2:$A$2000,"2394*",'BALANCE N-1'!$H$2:$H$2000)+SUMIF('BALANCE N-1'!$A$2:$A$2000,"2395*",'BALANCE N-1'!$G$2:$G$2000)-SUMIF('BALANCE N-1'!$A$2:$A$2000,"2395*",'BALANCE N-1'!$H$2:$H$2000)+SUMIF('BALANCE N-1'!$A$2:$A$2000,"2398*",'BALANCE N-1'!$G$2:$G$2000)-SUMIF('BALANCE N-1'!$A$2:$A$2000,"2398*",'BALANCE N-1'!$H$2:$H$2000)</f>
        <v/>
      </c>
      <c r="C19" s="120">
        <f>MAX(0,(SUMIF('BALANCE N'!$A$2:$A$2000,"234*",'BALANCE N'!$G$2:$G$2000)-SUMIF('BALANCE N'!$A$2:$A$2000,"234*",'BALANCE N'!$H$2:$H$2000)+SUMIF('BALANCE N'!$A$2:$A$2000,"235*",'BALANCE N'!$G$2:$G$2000)-SUMIF('BALANCE N'!$A$2:$A$2000,"235*",'BALANCE N'!$H$2:$H$2000)+SUMIF('BALANCE N'!$A$2:$A$2000,"238*",'BALANCE N'!$G$2:$G$2000)-SUMIF('BALANCE N'!$A$2:$A$2000,"238*",'BALANCE N'!$H$2:$H$2000)+SUMIF('BALANCE N'!$A$2:$A$2000,"2394*",'BALANCE N'!$G$2:$G$2000)-SUMIF('BALANCE N'!$A$2:$A$2000,"2394*",'BALANCE N'!$H$2:$H$2000)+SUMIF('BALANCE N'!$A$2:$A$2000,"2395*",'BALANCE N'!$G$2:$G$2000)-SUMIF('BALANCE N'!$A$2:$A$2000,"2395*",'BALANCE N'!$H$2:$H$2000)+SUMIF('BALANCE N'!$A$2:$A$2000,"2398*",'BALANCE N'!$G$2:$G$2000)-SUMIF('BALANCE N'!$A$2:$A$2000,"2398*",'BALANCE N'!$H$2:$H$2000))-(SUMIF('BALANCE N-1'!$A$2:$A$2000,"234*",'BALANCE N-1'!$G$2:$G$2000)-SUMIF('BALANCE N-1'!$A$2:$A$2000,"234*",'BALANCE N-1'!$H$2:$H$2000)+SUMIF('BALANCE N-1'!$A$2:$A$2000,"235*",'BALANCE N-1'!$G$2:$G$2000)-SUMIF('BALANCE N-1'!$A$2:$A$2000,"235*",'BALANCE N-1'!$H$2:$H$2000)+SUMIF('BALANCE N-1'!$A$2:$A$2000,"238*",'BALANCE N-1'!$G$2:$G$2000)-SUMIF('BALANCE N-1'!$A$2:$A$2000,"238*",'BALANCE N-1'!$H$2:$H$2000)+SUMIF('BALANCE N-1'!$A$2:$A$2000,"2394*",'BALANCE N-1'!$G$2:$G$2000)-SUMIF('BALANCE N-1'!$A$2:$A$2000,"2394*",'BALANCE N-1'!$H$2:$H$2000)+SUMIF('BALANCE N-1'!$A$2:$A$2000,"2395*",'BALANCE N-1'!$G$2:$G$2000)-SUMIF('BALANCE N-1'!$A$2:$A$2000,"2395*",'BALANCE N-1'!$H$2:$H$2000)+SUMIF('BALANCE N-1'!$A$2:$A$2000,"2398*",'BALANCE N-1'!$G$2:$G$2000)-SUMIF('BALANCE N-1'!$A$2:$A$2000,"2398*",'BALANCE N-1'!$H$2:$H$2000)))</f>
        <v/>
      </c>
      <c r="D19" s="120">
        <f>MAX(0,(SUMIF('BALANCE N-1'!$A$2:$A$2000,"234*",'BALANCE N-1'!$G$2:$G$2000)-SUMIF('BALANCE N-1'!$A$2:$A$2000,"234*",'BALANCE N-1'!$H$2:$H$2000)+SUMIF('BALANCE N-1'!$A$2:$A$2000,"235*",'BALANCE N-1'!$G$2:$G$2000)-SUMIF('BALANCE N-1'!$A$2:$A$2000,"235*",'BALANCE N-1'!$H$2:$H$2000)+SUMIF('BALANCE N-1'!$A$2:$A$2000,"238*",'BALANCE N-1'!$G$2:$G$2000)-SUMIF('BALANCE N-1'!$A$2:$A$2000,"238*",'BALANCE N-1'!$H$2:$H$2000)+SUMIF('BALANCE N-1'!$A$2:$A$2000,"2394*",'BALANCE N-1'!$G$2:$G$2000)-SUMIF('BALANCE N-1'!$A$2:$A$2000,"2394*",'BALANCE N-1'!$H$2:$H$2000)+SUMIF('BALANCE N-1'!$A$2:$A$2000,"2395*",'BALANCE N-1'!$G$2:$G$2000)-SUMIF('BALANCE N-1'!$A$2:$A$2000,"2395*",'BALANCE N-1'!$H$2:$H$2000)+SUMIF('BALANCE N-1'!$A$2:$A$2000,"2398*",'BALANCE N-1'!$G$2:$G$2000)-SUMIF('BALANCE N-1'!$A$2:$A$2000,"2398*",'BALANCE N-1'!$H$2:$H$2000))-(SUMIF('BALANCE N'!$A$2:$A$2000,"234*",'BALANCE N'!$G$2:$G$2000)-SUMIF('BALANCE N'!$A$2:$A$2000,"234*",'BALANCE N'!$H$2:$H$2000)+SUMIF('BALANCE N'!$A$2:$A$2000,"235*",'BALANCE N'!$G$2:$G$2000)-SUMIF('BALANCE N'!$A$2:$A$2000,"235*",'BALANCE N'!$H$2:$H$2000)+SUMIF('BALANCE N'!$A$2:$A$2000,"238*",'BALANCE N'!$G$2:$G$2000)-SUMIF('BALANCE N'!$A$2:$A$2000,"238*",'BALANCE N'!$H$2:$H$2000)+SUMIF('BALANCE N'!$A$2:$A$2000,"2394*",'BALANCE N'!$G$2:$G$2000)-SUMIF('BALANCE N'!$A$2:$A$2000,"2394*",'BALANCE N'!$H$2:$H$2000)+SUMIF('BALANCE N'!$A$2:$A$2000,"2395*",'BALANCE N'!$G$2:$G$2000)-SUMIF('BALANCE N'!$A$2:$A$2000,"2395*",'BALANCE N'!$H$2:$H$2000)+SUMIF('BALANCE N'!$A$2:$A$2000,"2398*",'BALANCE N'!$G$2:$G$2000)-SUMIF('BALANCE N'!$A$2:$A$2000,"2398*",'BALANCE N'!$H$2:$H$2000)))</f>
        <v/>
      </c>
      <c r="E19" s="120">
        <f>B19+C19-D19</f>
        <v/>
      </c>
    </row>
    <row r="20">
      <c r="A20" s="119" t="inlineStr">
        <is>
          <t>Matériel, mobilier et actifs biologiques</t>
        </is>
      </c>
      <c r="B20" s="120">
        <f>SUMIF('BALANCE N-1'!$A$2:$A$2000,"24*",'BALANCE N-1'!$G$2:$G$2000)-SUMIF('BALANCE N-1'!$A$2:$A$2000,"24*",'BALANCE N-1'!$H$2:$H$2000)-SUMIF('BALANCE N-1'!$A$2:$A$2000,"245*",'BALANCE N-1'!$G$2:$G$2000)+SUMIF('BALANCE N-1'!$A$2:$A$2000,"245*",'BALANCE N-1'!$H$2:$H$2000)-SUMIF('BALANCE N-1'!$A$2:$A$2000,"2495*",'BALANCE N-1'!$G$2:$G$2000)+SUMIF('BALANCE N-1'!$A$2:$A$2000,"2495*",'BALANCE N-1'!$H$2:$H$2000)</f>
        <v/>
      </c>
      <c r="C20" s="120">
        <f>MAX(0,(SUMIF('BALANCE N'!$A$2:$A$2000,"24*",'BALANCE N'!$G$2:$G$2000)-SUMIF('BALANCE N'!$A$2:$A$2000,"24*",'BALANCE N'!$H$2:$H$2000)-SUMIF('BALANCE N'!$A$2:$A$2000,"245*",'BALANCE N'!$G$2:$G$2000)+SUMIF('BALANCE N'!$A$2:$A$2000,"245*",'BALANCE N'!$H$2:$H$2000)-SUMIF('BALANCE N'!$A$2:$A$2000,"2495*",'BALANCE N'!$G$2:$G$2000)+SUMIF('BALANCE N'!$A$2:$A$2000,"2495*",'BALANCE N'!$H$2:$H$2000))-(SUMIF('BALANCE N-1'!$A$2:$A$2000,"24*",'BALANCE N-1'!$G$2:$G$2000)-SUMIF('BALANCE N-1'!$A$2:$A$2000,"24*",'BALANCE N-1'!$H$2:$H$2000)-SUMIF('BALANCE N-1'!$A$2:$A$2000,"245*",'BALANCE N-1'!$G$2:$G$2000)+SUMIF('BALANCE N-1'!$A$2:$A$2000,"245*",'BALANCE N-1'!$H$2:$H$2000)-SUMIF('BALANCE N-1'!$A$2:$A$2000,"2495*",'BALANCE N-1'!$G$2:$G$2000)+SUMIF('BALANCE N-1'!$A$2:$A$2000,"2495*",'BALANCE N-1'!$H$2:$H$2000)))</f>
        <v/>
      </c>
      <c r="D20" s="120">
        <f>MAX(0,(SUMIF('BALANCE N-1'!$A$2:$A$2000,"24*",'BALANCE N-1'!$G$2:$G$2000)-SUMIF('BALANCE N-1'!$A$2:$A$2000,"24*",'BALANCE N-1'!$H$2:$H$2000)-SUMIF('BALANCE N-1'!$A$2:$A$2000,"245*",'BALANCE N-1'!$G$2:$G$2000)+SUMIF('BALANCE N-1'!$A$2:$A$2000,"245*",'BALANCE N-1'!$H$2:$H$2000)-SUMIF('BALANCE N-1'!$A$2:$A$2000,"2495*",'BALANCE N-1'!$G$2:$G$2000)+SUMIF('BALANCE N-1'!$A$2:$A$2000,"2495*",'BALANCE N-1'!$H$2:$H$2000))-(SUMIF('BALANCE N'!$A$2:$A$2000,"24*",'BALANCE N'!$G$2:$G$2000)-SUMIF('BALANCE N'!$A$2:$A$2000,"24*",'BALANCE N'!$H$2:$H$2000)-SUMIF('BALANCE N'!$A$2:$A$2000,"245*",'BALANCE N'!$G$2:$G$2000)+SUMIF('BALANCE N'!$A$2:$A$2000,"245*",'BALANCE N'!$H$2:$H$2000)-SUMIF('BALANCE N'!$A$2:$A$2000,"2495*",'BALANCE N'!$G$2:$G$2000)+SUMIF('BALANCE N'!$A$2:$A$2000,"2495*",'BALANCE N'!$H$2:$H$2000)))</f>
        <v/>
      </c>
      <c r="E20" s="120">
        <f>B20+C20-D20</f>
        <v/>
      </c>
    </row>
    <row r="21">
      <c r="A21" s="119" t="inlineStr">
        <is>
          <t>Matériel de transport</t>
        </is>
      </c>
      <c r="B21" s="120">
        <f>SUMIF('BALANCE N-1'!$A$2:$A$2000,"245*",'BALANCE N-1'!$G$2:$G$2000)-SUMIF('BALANCE N-1'!$A$2:$A$2000,"245*",'BALANCE N-1'!$H$2:$H$2000)+SUMIF('BALANCE N-1'!$A$2:$A$2000,"2495*",'BALANCE N-1'!$G$2:$G$2000)-SUMIF('BALANCE N-1'!$A$2:$A$2000,"2495*",'BALANCE N-1'!$H$2:$H$2000)</f>
        <v/>
      </c>
      <c r="C21" s="120">
        <f>MAX(0,(SUMIF('BALANCE N'!$A$2:$A$2000,"245*",'BALANCE N'!$G$2:$G$2000)-SUMIF('BALANCE N'!$A$2:$A$2000,"245*",'BALANCE N'!$H$2:$H$2000)+SUMIF('BALANCE N'!$A$2:$A$2000,"2495*",'BALANCE N'!$G$2:$G$2000)-SUMIF('BALANCE N'!$A$2:$A$2000,"2495*",'BALANCE N'!$H$2:$H$2000))-(SUMIF('BALANCE N-1'!$A$2:$A$2000,"245*",'BALANCE N-1'!$G$2:$G$2000)-SUMIF('BALANCE N-1'!$A$2:$A$2000,"245*",'BALANCE N-1'!$H$2:$H$2000)+SUMIF('BALANCE N-1'!$A$2:$A$2000,"2495*",'BALANCE N-1'!$G$2:$G$2000)-SUMIF('BALANCE N-1'!$A$2:$A$2000,"2495*",'BALANCE N-1'!$H$2:$H$2000)))</f>
        <v/>
      </c>
      <c r="D21" s="120">
        <f>MAX(0,(SUMIF('BALANCE N-1'!$A$2:$A$2000,"245*",'BALANCE N-1'!$G$2:$G$2000)-SUMIF('BALANCE N-1'!$A$2:$A$2000,"245*",'BALANCE N-1'!$H$2:$H$2000)+SUMIF('BALANCE N-1'!$A$2:$A$2000,"2495*",'BALANCE N-1'!$G$2:$G$2000)-SUMIF('BALANCE N-1'!$A$2:$A$2000,"2495*",'BALANCE N-1'!$H$2:$H$2000))-(SUMIF('BALANCE N'!$A$2:$A$2000,"245*",'BALANCE N'!$G$2:$G$2000)-SUMIF('BALANCE N'!$A$2:$A$2000,"245*",'BALANCE N'!$H$2:$H$2000)+SUMIF('BALANCE N'!$A$2:$A$2000,"2495*",'BALANCE N'!$G$2:$G$2000)-SUMIF('BALANCE N'!$A$2:$A$2000,"2495*",'BALANCE N'!$H$2:$H$2000)))</f>
        <v/>
      </c>
      <c r="E21" s="120">
        <f>B21+C21-D21</f>
        <v/>
      </c>
    </row>
    <row r="22">
      <c r="A22" s="119" t="inlineStr">
        <is>
          <t>Avances et acomptes sur immobilisations corporelles</t>
        </is>
      </c>
      <c r="B22" s="120">
        <f>SUMIF('BALANCE N-1'!$A$2:$A$2000,"252*",'BALANCE N-1'!$G$2:$G$2000)-SUMIF('BALANCE N-1'!$A$2:$A$2000,"252*",'BALANCE N-1'!$H$2:$H$2000)</f>
        <v/>
      </c>
      <c r="C22" s="120">
        <f>MAX(0,(SUMIF('BALANCE N'!$A$2:$A$2000,"252*",'BALANCE N'!$G$2:$G$2000)-SUMIF('BALANCE N'!$A$2:$A$2000,"252*",'BALANCE N'!$H$2:$H$2000))-(SUMIF('BALANCE N-1'!$A$2:$A$2000,"252*",'BALANCE N-1'!$G$2:$G$2000)-SUMIF('BALANCE N-1'!$A$2:$A$2000,"252*",'BALANCE N-1'!$H$2:$H$2000)))</f>
        <v/>
      </c>
      <c r="D22" s="120">
        <f>MAX(0,(SUMIF('BALANCE N-1'!$A$2:$A$2000,"252*",'BALANCE N-1'!$G$2:$G$2000)-SUMIF('BALANCE N-1'!$A$2:$A$2000,"252*",'BALANCE N-1'!$H$2:$H$2000))-(SUMIF('BALANCE N'!$A$2:$A$2000,"252*",'BALANCE N'!$G$2:$G$2000)-SUMIF('BALANCE N'!$A$2:$A$2000,"252*",'BALANCE N'!$H$2:$H$2000)))</f>
        <v/>
      </c>
      <c r="E22" s="120">
        <f>B22+C22-D22</f>
        <v/>
      </c>
    </row>
    <row r="23">
      <c r="A23" s="124" t="inlineStr">
        <is>
          <t>IMMOBILISATIONS FINANCIÈRES</t>
        </is>
      </c>
      <c r="B23" s="125" t="n"/>
      <c r="C23" s="125" t="n"/>
      <c r="D23" s="125" t="n"/>
      <c r="E23" s="125" t="n"/>
    </row>
    <row r="24">
      <c r="A24" s="119" t="inlineStr">
        <is>
          <t>Titres de participation</t>
        </is>
      </c>
      <c r="B24" s="120">
        <f>SUMIF('BALANCE N-1'!$A$2:$A$2000,"26*",'BALANCE N-1'!$G$2:$G$2000)-SUMIF('BALANCE N-1'!$A$2:$A$2000,"26*",'BALANCE N-1'!$H$2:$H$2000)</f>
        <v/>
      </c>
      <c r="C24" s="120">
        <f>MAX(0,(SUMIF('BALANCE N'!$A$2:$A$2000,"26*",'BALANCE N'!$G$2:$G$2000)-SUMIF('BALANCE N'!$A$2:$A$2000,"26*",'BALANCE N'!$H$2:$H$2000))-(SUMIF('BALANCE N-1'!$A$2:$A$2000,"26*",'BALANCE N-1'!$G$2:$G$2000)-SUMIF('BALANCE N-1'!$A$2:$A$2000,"26*",'BALANCE N-1'!$H$2:$H$2000)))</f>
        <v/>
      </c>
      <c r="D24" s="120">
        <f>MAX(0,(SUMIF('BALANCE N-1'!$A$2:$A$2000,"26*",'BALANCE N-1'!$G$2:$G$2000)-SUMIF('BALANCE N-1'!$A$2:$A$2000,"26*",'BALANCE N-1'!$H$2:$H$2000))-(SUMIF('BALANCE N'!$A$2:$A$2000,"26*",'BALANCE N'!$G$2:$G$2000)-SUMIF('BALANCE N'!$A$2:$A$2000,"26*",'BALANCE N'!$H$2:$H$2000)))</f>
        <v/>
      </c>
      <c r="E24" s="120">
        <f>B24+C24-D24</f>
        <v/>
      </c>
    </row>
    <row r="25">
      <c r="A25" s="119" t="inlineStr">
        <is>
          <t>Autres immobilisations financières</t>
        </is>
      </c>
      <c r="B25" s="120">
        <f>SUMIF('BALANCE N-1'!$A$2:$A$2000,"27*",'BALANCE N-1'!$G$2:$G$2000)-SUMIF('BALANCE N-1'!$A$2:$A$2000,"27*",'BALANCE N-1'!$H$2:$H$2000)</f>
        <v/>
      </c>
      <c r="C25" s="120">
        <f>MAX(0,(SUMIF('BALANCE N'!$A$2:$A$2000,"27*",'BALANCE N'!$G$2:$G$2000)-SUMIF('BALANCE N'!$A$2:$A$2000,"27*",'BALANCE N'!$H$2:$H$2000))-(SUMIF('BALANCE N-1'!$A$2:$A$2000,"27*",'BALANCE N-1'!$G$2:$G$2000)-SUMIF('BALANCE N-1'!$A$2:$A$2000,"27*",'BALANCE N-1'!$H$2:$H$2000)))</f>
        <v/>
      </c>
      <c r="D25" s="120">
        <f>MAX(0,(SUMIF('BALANCE N-1'!$A$2:$A$2000,"27*",'BALANCE N-1'!$G$2:$G$2000)-SUMIF('BALANCE N-1'!$A$2:$A$2000,"27*",'BALANCE N-1'!$H$2:$H$2000))-(SUMIF('BALANCE N'!$A$2:$A$2000,"27*",'BALANCE N'!$G$2:$G$2000)-SUMIF('BALANCE N'!$A$2:$A$2000,"27*",'BALANCE N'!$H$2:$H$2000)))</f>
        <v/>
      </c>
      <c r="E25" s="120">
        <f>B25+C25-D25</f>
        <v/>
      </c>
    </row>
    <row r="26">
      <c r="A26" s="6" t="inlineStr">
        <is>
          <t>TOTAL GÉNÉRAL</t>
        </is>
      </c>
      <c r="B26" s="7">
        <f>B10+B11+B12+B13+B15+B16+B17+B18+B19+B20+B21+B22+B24+B25</f>
        <v/>
      </c>
      <c r="C26" s="7">
        <f>C10+C11+C12+C13+C15+C16+C17+C18+C19+C20+C21+C22+C24+C25</f>
        <v/>
      </c>
      <c r="D26" s="7">
        <f>D10+D11+D12+D13+D15+D16+D17+D18+D19+D20+D21+D22+D24+D25</f>
        <v/>
      </c>
      <c r="E26" s="7">
        <f>E10+E11+E12+E13+E15+E16+E17+E18+E19+E20+E21+E22+E24+E25</f>
        <v/>
      </c>
    </row>
    <row r="27"/>
    <row r="28">
      <c r="A28" s="121" t="inlineStr">
        <is>
          <t>Sans balance N-1, seule la colonne de clôture est servie ; avec N-1, les mouvements sont posés en variation nette (augmentation ou diminution) faute d'état des mouvements - à ajuster depuis l'inventaire des immobilisations.</t>
        </is>
      </c>
    </row>
    <row r="29"/>
    <row r="30" ht="34" customHeight="1">
      <c r="A30" s="122">
        <f>IF(SUM(B9:B26,C9:C26,D9:D26,E9:E26)=0,"NÉANT","")</f>
        <v/>
      </c>
    </row>
    <row r="31" ht="34" customHeight="1"/>
    <row r="32" ht="34" customHeight="1"/>
  </sheetData>
  <mergeCells count="3">
    <mergeCell ref="A7:E7"/>
    <mergeCell ref="A30:E32"/>
    <mergeCell ref="D2:E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12" customHeight="1">
      <c r="A1" s="50" t="inlineStr">
        <is>
          <t>- 15 -</t>
        </is>
      </c>
    </row>
    <row r="2" ht="26" customHeight="1">
      <c r="D2" s="51" t="inlineStr">
        <is>
          <t>NOTE 5C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5C : BIENS PRIS EN LOCATION-ACQUISITION</t>
        </is>
      </c>
    </row>
    <row r="8">
      <c r="A8" s="126" t="inlineStr">
        <is>
          <t>I : crédit-bail immobilier ; M : crédit-bail mobilier ; A : autres contrats</t>
        </is>
      </c>
    </row>
    <row r="9">
      <c r="A9" s="1" t="inlineStr">
        <is>
          <t>RUBRIQUES</t>
        </is>
      </c>
      <c r="B9" s="2" t="inlineStr">
        <is>
          <t>Montant brut à l'ouverture (A)</t>
        </is>
      </c>
      <c r="C9" s="2" t="inlineStr">
        <is>
          <t>Augmentations (B)</t>
        </is>
      </c>
      <c r="D9" s="2" t="inlineStr">
        <is>
          <t>Diminutions (C)</t>
        </is>
      </c>
      <c r="E9" s="3" t="inlineStr">
        <is>
          <t>Montant brut à la clôture (D = A + B - C)</t>
        </is>
      </c>
    </row>
    <row r="10">
      <c r="A10" s="119" t="inlineStr">
        <is>
          <t>Terrains</t>
        </is>
      </c>
      <c r="B10" s="120">
        <f>SUMIF('BALANCE N-1'!$A$2:$A$2000,"2286*",'BALANCE N-1'!$G$2:$G$2000)-SUMIF('BALANCE N-1'!$A$2:$A$2000,"2286*",'BALANCE N-1'!$H$2:$H$2000)</f>
        <v/>
      </c>
      <c r="C10" s="120">
        <f>MAX(0,(SUMIF('BALANCE N'!$A$2:$A$2000,"2286*",'BALANCE N'!$G$2:$G$2000)-SUMIF('BALANCE N'!$A$2:$A$2000,"2286*",'BALANCE N'!$H$2:$H$2000))-(SUMIF('BALANCE N-1'!$A$2:$A$2000,"2286*",'BALANCE N-1'!$G$2:$G$2000)-SUMIF('BALANCE N-1'!$A$2:$A$2000,"2286*",'BALANCE N-1'!$H$2:$H$2000)))</f>
        <v/>
      </c>
      <c r="D10" s="120">
        <f>MAX(0,(SUMIF('BALANCE N-1'!$A$2:$A$2000,"2286*",'BALANCE N-1'!$G$2:$G$2000)-SUMIF('BALANCE N-1'!$A$2:$A$2000,"2286*",'BALANCE N-1'!$H$2:$H$2000))-(SUMIF('BALANCE N'!$A$2:$A$2000,"2286*",'BALANCE N'!$G$2:$G$2000)-SUMIF('BALANCE N'!$A$2:$A$2000,"2286*",'BALANCE N'!$H$2:$H$2000)))</f>
        <v/>
      </c>
      <c r="E10" s="120">
        <f>B10+C10-D10</f>
        <v/>
      </c>
    </row>
    <row r="11">
      <c r="A11" s="119" t="inlineStr">
        <is>
          <t>Bâtiments</t>
        </is>
      </c>
      <c r="B11" s="120">
        <f>SUMIF('BALANCE N-1'!$A$2:$A$2000,"2316*",'BALANCE N-1'!$G$2:$G$2000)-SUMIF('BALANCE N-1'!$A$2:$A$2000,"2316*",'BALANCE N-1'!$H$2:$H$2000)</f>
        <v/>
      </c>
      <c r="C11" s="120">
        <f>MAX(0,(SUMIF('BALANCE N'!$A$2:$A$2000,"2316*",'BALANCE N'!$G$2:$G$2000)-SUMIF('BALANCE N'!$A$2:$A$2000,"2316*",'BALANCE N'!$H$2:$H$2000))-(SUMIF('BALANCE N-1'!$A$2:$A$2000,"2316*",'BALANCE N-1'!$G$2:$G$2000)-SUMIF('BALANCE N-1'!$A$2:$A$2000,"2316*",'BALANCE N-1'!$H$2:$H$2000)))</f>
        <v/>
      </c>
      <c r="D11" s="120">
        <f>MAX(0,(SUMIF('BALANCE N-1'!$A$2:$A$2000,"2316*",'BALANCE N-1'!$G$2:$G$2000)-SUMIF('BALANCE N-1'!$A$2:$A$2000,"2316*",'BALANCE N-1'!$H$2:$H$2000))-(SUMIF('BALANCE N'!$A$2:$A$2000,"2316*",'BALANCE N'!$G$2:$G$2000)-SUMIF('BALANCE N'!$A$2:$A$2000,"2316*",'BALANCE N'!$H$2:$H$2000)))</f>
        <v/>
      </c>
      <c r="E11" s="120">
        <f>B11+C11-D11</f>
        <v/>
      </c>
    </row>
    <row r="12">
      <c r="A12" s="119" t="inlineStr">
        <is>
          <t>Matériel, mobilier</t>
        </is>
      </c>
      <c r="B12" s="120">
        <f>SUMIF('BALANCE N-1'!$A$2:$A$2000,"2416*",'BALANCE N-1'!$G$2:$G$2000)-SUMIF('BALANCE N-1'!$A$2:$A$2000,"2416*",'BALANCE N-1'!$H$2:$H$2000)+SUMIF('BALANCE N-1'!$A$2:$A$2000,"2426*",'BALANCE N-1'!$G$2:$G$2000)-SUMIF('BALANCE N-1'!$A$2:$A$2000,"2426*",'BALANCE N-1'!$H$2:$H$2000)+SUMIF('BALANCE N-1'!$A$2:$A$2000,"2446*",'BALANCE N-1'!$G$2:$G$2000)-SUMIF('BALANCE N-1'!$A$2:$A$2000,"2446*",'BALANCE N-1'!$H$2:$H$2000)</f>
        <v/>
      </c>
      <c r="C12" s="120">
        <f>MAX(0,(SUMIF('BALANCE N'!$A$2:$A$2000,"2416*",'BALANCE N'!$G$2:$G$2000)-SUMIF('BALANCE N'!$A$2:$A$2000,"2416*",'BALANCE N'!$H$2:$H$2000)+SUMIF('BALANCE N'!$A$2:$A$2000,"2426*",'BALANCE N'!$G$2:$G$2000)-SUMIF('BALANCE N'!$A$2:$A$2000,"2426*",'BALANCE N'!$H$2:$H$2000)+SUMIF('BALANCE N'!$A$2:$A$2000,"2446*",'BALANCE N'!$G$2:$G$2000)-SUMIF('BALANCE N'!$A$2:$A$2000,"2446*",'BALANCE N'!$H$2:$H$2000))-(SUMIF('BALANCE N-1'!$A$2:$A$2000,"2416*",'BALANCE N-1'!$G$2:$G$2000)-SUMIF('BALANCE N-1'!$A$2:$A$2000,"2416*",'BALANCE N-1'!$H$2:$H$2000)+SUMIF('BALANCE N-1'!$A$2:$A$2000,"2426*",'BALANCE N-1'!$G$2:$G$2000)-SUMIF('BALANCE N-1'!$A$2:$A$2000,"2426*",'BALANCE N-1'!$H$2:$H$2000)+SUMIF('BALANCE N-1'!$A$2:$A$2000,"2446*",'BALANCE N-1'!$G$2:$G$2000)-SUMIF('BALANCE N-1'!$A$2:$A$2000,"2446*",'BALANCE N-1'!$H$2:$H$2000)))</f>
        <v/>
      </c>
      <c r="D12" s="120">
        <f>MAX(0,(SUMIF('BALANCE N-1'!$A$2:$A$2000,"2416*",'BALANCE N-1'!$G$2:$G$2000)-SUMIF('BALANCE N-1'!$A$2:$A$2000,"2416*",'BALANCE N-1'!$H$2:$H$2000)+SUMIF('BALANCE N-1'!$A$2:$A$2000,"2426*",'BALANCE N-1'!$G$2:$G$2000)-SUMIF('BALANCE N-1'!$A$2:$A$2000,"2426*",'BALANCE N-1'!$H$2:$H$2000)+SUMIF('BALANCE N-1'!$A$2:$A$2000,"2446*",'BALANCE N-1'!$G$2:$G$2000)-SUMIF('BALANCE N-1'!$A$2:$A$2000,"2446*",'BALANCE N-1'!$H$2:$H$2000))-(SUMIF('BALANCE N'!$A$2:$A$2000,"2416*",'BALANCE N'!$G$2:$G$2000)-SUMIF('BALANCE N'!$A$2:$A$2000,"2416*",'BALANCE N'!$H$2:$H$2000)+SUMIF('BALANCE N'!$A$2:$A$2000,"2426*",'BALANCE N'!$G$2:$G$2000)-SUMIF('BALANCE N'!$A$2:$A$2000,"2426*",'BALANCE N'!$H$2:$H$2000)+SUMIF('BALANCE N'!$A$2:$A$2000,"2446*",'BALANCE N'!$G$2:$G$2000)-SUMIF('BALANCE N'!$A$2:$A$2000,"2446*",'BALANCE N'!$H$2:$H$2000)))</f>
        <v/>
      </c>
      <c r="E12" s="120">
        <f>B12+C12-D12</f>
        <v/>
      </c>
    </row>
    <row r="13">
      <c r="A13" s="119" t="inlineStr">
        <is>
          <t>Matériel de transport</t>
        </is>
      </c>
      <c r="B13" s="120">
        <f>SUMIF('BALANCE N-1'!$A$2:$A$2000,"2456*",'BALANCE N-1'!$G$2:$G$2000)-SUMIF('BALANCE N-1'!$A$2:$A$2000,"2456*",'BALANCE N-1'!$H$2:$H$2000)</f>
        <v/>
      </c>
      <c r="C13" s="120">
        <f>MAX(0,(SUMIF('BALANCE N'!$A$2:$A$2000,"2456*",'BALANCE N'!$G$2:$G$2000)-SUMIF('BALANCE N'!$A$2:$A$2000,"2456*",'BALANCE N'!$H$2:$H$2000))-(SUMIF('BALANCE N-1'!$A$2:$A$2000,"2456*",'BALANCE N-1'!$G$2:$G$2000)-SUMIF('BALANCE N-1'!$A$2:$A$2000,"2456*",'BALANCE N-1'!$H$2:$H$2000)))</f>
        <v/>
      </c>
      <c r="D13" s="120">
        <f>MAX(0,(SUMIF('BALANCE N-1'!$A$2:$A$2000,"2456*",'BALANCE N-1'!$G$2:$G$2000)-SUMIF('BALANCE N-1'!$A$2:$A$2000,"2456*",'BALANCE N-1'!$H$2:$H$2000))-(SUMIF('BALANCE N'!$A$2:$A$2000,"2456*",'BALANCE N'!$G$2:$G$2000)-SUMIF('BALANCE N'!$A$2:$A$2000,"2456*",'BALANCE N'!$H$2:$H$2000)))</f>
        <v/>
      </c>
      <c r="E13" s="120">
        <f>B13+C13-D13</f>
        <v/>
      </c>
    </row>
    <row r="14">
      <c r="A14" s="6" t="inlineStr">
        <is>
          <t>TOTAL GÉNÉRAL</t>
        </is>
      </c>
      <c r="B14" s="7">
        <f>B10+B11+B12+B13</f>
        <v/>
      </c>
      <c r="C14" s="7">
        <f>C10+C11+C12+C13</f>
        <v/>
      </c>
      <c r="D14" s="7">
        <f>D10+D11+D12+D13</f>
        <v/>
      </c>
      <c r="E14" s="7">
        <f>E10+E11+E12+E13</f>
        <v/>
      </c>
    </row>
    <row r="15"/>
    <row r="16">
      <c r="A16" s="121" t="inlineStr">
        <is>
          <t>Sans balance N-1, seule la colonne de clôture est servie ; avec N-1, les mouvements sont posés en variation nette (augmentation ou diminution) faute d'état des mouvements - à ajuster depuis l'inventaire des immobilisations.</t>
        </is>
      </c>
    </row>
    <row r="17"/>
    <row r="18" ht="34" customHeight="1">
      <c r="A18" s="122">
        <f>IF(SUM(B10:B14,C10:C14,D10:D14,E10:E14)=0,"NÉANT","")</f>
        <v/>
      </c>
    </row>
    <row r="19" ht="34" customHeight="1"/>
    <row r="20" ht="34" customHeight="1"/>
  </sheetData>
  <mergeCells count="4">
    <mergeCell ref="A8:E8"/>
    <mergeCell ref="A7:E7"/>
    <mergeCell ref="A18:E20"/>
    <mergeCell ref="D2:E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12" customHeight="1">
      <c r="A1" s="50" t="inlineStr">
        <is>
          <t>- 16 -</t>
        </is>
      </c>
    </row>
    <row r="2" ht="26" customHeight="1">
      <c r="D2" s="51" t="inlineStr">
        <is>
          <t>NOTE 5D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5D : DONS ET LEGS D'IMMOBILISATIONS NON REÇUS DESTINÉS À LA VENTE ET USUFRUIT TEMPORAIRE (AMORTISSEMENTS ET DÉPRÉCIATIONS)</t>
        </is>
      </c>
    </row>
    <row r="8">
      <c r="A8" s="1" t="inlineStr">
        <is>
          <t>RUBRIQUES</t>
        </is>
      </c>
      <c r="B8" s="2" t="inlineStr">
        <is>
          <t>Cumul à l'ouverture (A)</t>
        </is>
      </c>
      <c r="C8" s="2" t="inlineStr">
        <is>
          <t>Augmentations : dotations (B)</t>
        </is>
      </c>
      <c r="D8" s="2" t="inlineStr">
        <is>
          <t>Diminutions : reprises et sorties (C)</t>
        </is>
      </c>
      <c r="E8" s="3" t="inlineStr">
        <is>
          <t>Cumul à la clôture (D = A + B - C)</t>
        </is>
      </c>
    </row>
    <row r="9">
      <c r="A9" s="119" t="inlineStr">
        <is>
          <t>Usufruit</t>
        </is>
      </c>
      <c r="B9" s="120">
        <f>SUMIF('BALANCE N-1'!$A$2:$A$2000,"280*",'BALANCE N-1'!$H$2:$H$2000)-SUMIF('BALANCE N-1'!$A$2:$A$2000,"280*",'BALANCE N-1'!$G$2:$G$2000)+SUMIF('BALANCE N-1'!$A$2:$A$2000,"2901*",'BALANCE N-1'!$H$2:$H$2000)-SUMIF('BALANCE N-1'!$A$2:$A$2000,"2901*",'BALANCE N-1'!$G$2:$G$2000)</f>
        <v/>
      </c>
      <c r="C9" s="120">
        <f>MAX(0,(SUMIF('BALANCE N'!$A$2:$A$2000,"280*",'BALANCE N'!$H$2:$H$2000)-SUMIF('BALANCE N'!$A$2:$A$2000,"280*",'BALANCE N'!$G$2:$G$2000)+SUMIF('BALANCE N'!$A$2:$A$2000,"2901*",'BALANCE N'!$H$2:$H$2000)-SUMIF('BALANCE N'!$A$2:$A$2000,"2901*",'BALANCE N'!$G$2:$G$2000))-(SUMIF('BALANCE N-1'!$A$2:$A$2000,"280*",'BALANCE N-1'!$H$2:$H$2000)-SUMIF('BALANCE N-1'!$A$2:$A$2000,"280*",'BALANCE N-1'!$G$2:$G$2000)+SUMIF('BALANCE N-1'!$A$2:$A$2000,"2901*",'BALANCE N-1'!$H$2:$H$2000)-SUMIF('BALANCE N-1'!$A$2:$A$2000,"2901*",'BALANCE N-1'!$G$2:$G$2000)))</f>
        <v/>
      </c>
      <c r="D9" s="120">
        <f>MAX(0,(SUMIF('BALANCE N-1'!$A$2:$A$2000,"280*",'BALANCE N-1'!$H$2:$H$2000)-SUMIF('BALANCE N-1'!$A$2:$A$2000,"280*",'BALANCE N-1'!$G$2:$G$2000)+SUMIF('BALANCE N-1'!$A$2:$A$2000,"2901*",'BALANCE N-1'!$H$2:$H$2000)-SUMIF('BALANCE N-1'!$A$2:$A$2000,"2901*",'BALANCE N-1'!$G$2:$G$2000))-(SUMIF('BALANCE N'!$A$2:$A$2000,"280*",'BALANCE N'!$H$2:$H$2000)-SUMIF('BALANCE N'!$A$2:$A$2000,"280*",'BALANCE N'!$G$2:$G$2000)+SUMIF('BALANCE N'!$A$2:$A$2000,"2901*",'BALANCE N'!$H$2:$H$2000)-SUMIF('BALANCE N'!$A$2:$A$2000,"2901*",'BALANCE N'!$G$2:$G$2000)))</f>
        <v/>
      </c>
      <c r="E9" s="120">
        <f>B9+C9-D9</f>
        <v/>
      </c>
    </row>
    <row r="10">
      <c r="A10" s="119" t="inlineStr">
        <is>
          <t>Immobilisations destinées à la vente (dons et legs)</t>
        </is>
      </c>
      <c r="B10" s="120">
        <f>SUMIF('BALANCE N-1'!$A$2:$A$2000,"2902*",'BALANCE N-1'!$H$2:$H$2000)-SUMIF('BALANCE N-1'!$A$2:$A$2000,"2902*",'BALANCE N-1'!$G$2:$G$2000)</f>
        <v/>
      </c>
      <c r="C10" s="120">
        <f>MAX(0,(SUMIF('BALANCE N'!$A$2:$A$2000,"2902*",'BALANCE N'!$H$2:$H$2000)-SUMIF('BALANCE N'!$A$2:$A$2000,"2902*",'BALANCE N'!$G$2:$G$2000))-(SUMIF('BALANCE N-1'!$A$2:$A$2000,"2902*",'BALANCE N-1'!$H$2:$H$2000)-SUMIF('BALANCE N-1'!$A$2:$A$2000,"2902*",'BALANCE N-1'!$G$2:$G$2000)))</f>
        <v/>
      </c>
      <c r="D10" s="120">
        <f>MAX(0,(SUMIF('BALANCE N-1'!$A$2:$A$2000,"2902*",'BALANCE N-1'!$H$2:$H$2000)-SUMIF('BALANCE N-1'!$A$2:$A$2000,"2902*",'BALANCE N-1'!$G$2:$G$2000))-(SUMIF('BALANCE N'!$A$2:$A$2000,"2902*",'BALANCE N'!$H$2:$H$2000)-SUMIF('BALANCE N'!$A$2:$A$2000,"2902*",'BALANCE N'!$G$2:$G$2000)))</f>
        <v/>
      </c>
      <c r="E10" s="120">
        <f>B10+C10-D10</f>
        <v/>
      </c>
    </row>
    <row r="11">
      <c r="A11" s="6" t="inlineStr">
        <is>
          <t>TOTAL GÉNÉRAL</t>
        </is>
      </c>
      <c r="B11" s="7">
        <f>B9+B10</f>
        <v/>
      </c>
      <c r="C11" s="7">
        <f>C9+C10</f>
        <v/>
      </c>
      <c r="D11" s="7">
        <f>D9+D10</f>
        <v/>
      </c>
      <c r="E11" s="7">
        <f>E9+E10</f>
        <v/>
      </c>
    </row>
    <row r="12"/>
    <row r="13">
      <c r="A13" s="121" t="inlineStr">
        <is>
          <t>Sans balance N-1, seule la colonne de clôture est servie ; avec N-1, les mouvements sont posés en variation nette (augmentation ou diminution) faute d'état des mouvements - à ajuster depuis l'inventaire des immobilisations.</t>
        </is>
      </c>
    </row>
    <row r="14"/>
    <row r="15" ht="34" customHeight="1">
      <c r="A15" s="122">
        <f>IF(SUM(B9:B11,C9:C11,D9:D11,E9:E11)=0,"NÉANT","")</f>
        <v/>
      </c>
    </row>
    <row r="16" ht="34" customHeight="1"/>
    <row r="17" ht="34" customHeight="1"/>
  </sheetData>
  <mergeCells count="3">
    <mergeCell ref="A15:E17"/>
    <mergeCell ref="A7:E7"/>
    <mergeCell ref="D2:E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12" customHeight="1">
      <c r="A1" s="50" t="inlineStr">
        <is>
          <t>- 17 -</t>
        </is>
      </c>
    </row>
    <row r="2" ht="26" customHeight="1">
      <c r="D2" s="51" t="inlineStr">
        <is>
          <t>NOTE 5E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5E : IMMOBILISATIONS : AMORTISSEMENTS</t>
        </is>
      </c>
    </row>
    <row r="8">
      <c r="A8" s="1" t="inlineStr">
        <is>
          <t>RUBRIQUES</t>
        </is>
      </c>
      <c r="B8" s="2" t="inlineStr">
        <is>
          <t>Cumul à l'ouverture (A)</t>
        </is>
      </c>
      <c r="C8" s="2" t="inlineStr">
        <is>
          <t>Augmentations : dotations (B)</t>
        </is>
      </c>
      <c r="D8" s="2" t="inlineStr">
        <is>
          <t>Diminutions : reprises et sorties (C)</t>
        </is>
      </c>
      <c r="E8" s="3" t="inlineStr">
        <is>
          <t>Cumul à la clôture (D = A + B - C)</t>
        </is>
      </c>
    </row>
    <row r="9">
      <c r="A9" s="124" t="inlineStr">
        <is>
          <t>IMMOBILISATIONS INCORPORELLES</t>
        </is>
      </c>
      <c r="B9" s="125" t="n"/>
      <c r="C9" s="125" t="n"/>
      <c r="D9" s="125" t="n"/>
      <c r="E9" s="125" t="n"/>
    </row>
    <row r="10">
      <c r="A10" s="119" t="inlineStr">
        <is>
          <t>Brevets, licences et droits similaires</t>
        </is>
      </c>
      <c r="B10" s="120">
        <f>SUMIF('BALANCE N-1'!$A$2:$A$2000,"2812*",'BALANCE N-1'!$H$2:$H$2000)-SUMIF('BALANCE N-1'!$A$2:$A$2000,"2812*",'BALANCE N-1'!$G$2:$G$2000)+SUMIF('BALANCE N-1'!$A$2:$A$2000,"2814*",'BALANCE N-1'!$H$2:$H$2000)-SUMIF('BALANCE N-1'!$A$2:$A$2000,"2814*",'BALANCE N-1'!$G$2:$G$2000)+SUMIF('BALANCE N-1'!$A$2:$A$2000,"2817*",'BALANCE N-1'!$H$2:$H$2000)-SUMIF('BALANCE N-1'!$A$2:$A$2000,"2817*",'BALANCE N-1'!$G$2:$G$2000)</f>
        <v/>
      </c>
      <c r="C10" s="120">
        <f>MAX(0,(SUMIF('BALANCE N'!$A$2:$A$2000,"2812*",'BALANCE N'!$H$2:$H$2000)-SUMIF('BALANCE N'!$A$2:$A$2000,"2812*",'BALANCE N'!$G$2:$G$2000)+SUMIF('BALANCE N'!$A$2:$A$2000,"2814*",'BALANCE N'!$H$2:$H$2000)-SUMIF('BALANCE N'!$A$2:$A$2000,"2814*",'BALANCE N'!$G$2:$G$2000)+SUMIF('BALANCE N'!$A$2:$A$2000,"2817*",'BALANCE N'!$H$2:$H$2000)-SUMIF('BALANCE N'!$A$2:$A$2000,"2817*",'BALANCE N'!$G$2:$G$2000))-(SUMIF('BALANCE N-1'!$A$2:$A$2000,"2812*",'BALANCE N-1'!$H$2:$H$2000)-SUMIF('BALANCE N-1'!$A$2:$A$2000,"2812*",'BALANCE N-1'!$G$2:$G$2000)+SUMIF('BALANCE N-1'!$A$2:$A$2000,"2814*",'BALANCE N-1'!$H$2:$H$2000)-SUMIF('BALANCE N-1'!$A$2:$A$2000,"2814*",'BALANCE N-1'!$G$2:$G$2000)+SUMIF('BALANCE N-1'!$A$2:$A$2000,"2817*",'BALANCE N-1'!$H$2:$H$2000)-SUMIF('BALANCE N-1'!$A$2:$A$2000,"2817*",'BALANCE N-1'!$G$2:$G$2000)))</f>
        <v/>
      </c>
      <c r="D10" s="120">
        <f>MAX(0,(SUMIF('BALANCE N-1'!$A$2:$A$2000,"2812*",'BALANCE N-1'!$H$2:$H$2000)-SUMIF('BALANCE N-1'!$A$2:$A$2000,"2812*",'BALANCE N-1'!$G$2:$G$2000)+SUMIF('BALANCE N-1'!$A$2:$A$2000,"2814*",'BALANCE N-1'!$H$2:$H$2000)-SUMIF('BALANCE N-1'!$A$2:$A$2000,"2814*",'BALANCE N-1'!$G$2:$G$2000)+SUMIF('BALANCE N-1'!$A$2:$A$2000,"2817*",'BALANCE N-1'!$H$2:$H$2000)-SUMIF('BALANCE N-1'!$A$2:$A$2000,"2817*",'BALANCE N-1'!$G$2:$G$2000))-(SUMIF('BALANCE N'!$A$2:$A$2000,"2812*",'BALANCE N'!$H$2:$H$2000)-SUMIF('BALANCE N'!$A$2:$A$2000,"2812*",'BALANCE N'!$G$2:$G$2000)+SUMIF('BALANCE N'!$A$2:$A$2000,"2814*",'BALANCE N'!$H$2:$H$2000)-SUMIF('BALANCE N'!$A$2:$A$2000,"2814*",'BALANCE N'!$G$2:$G$2000)+SUMIF('BALANCE N'!$A$2:$A$2000,"2817*",'BALANCE N'!$H$2:$H$2000)-SUMIF('BALANCE N'!$A$2:$A$2000,"2817*",'BALANCE N'!$G$2:$G$2000)))</f>
        <v/>
      </c>
      <c r="E10" s="120">
        <f>B10+C10-D10</f>
        <v/>
      </c>
    </row>
    <row r="11">
      <c r="A11" s="119" t="inlineStr">
        <is>
          <t>Logiciels et sites internet</t>
        </is>
      </c>
      <c r="B11" s="120">
        <f>SUMIF('BALANCE N-1'!$A$2:$A$2000,"2813*",'BALANCE N-1'!$H$2:$H$2000)-SUMIF('BALANCE N-1'!$A$2:$A$2000,"2813*",'BALANCE N-1'!$G$2:$G$2000)</f>
        <v/>
      </c>
      <c r="C11" s="120">
        <f>MAX(0,(SUMIF('BALANCE N'!$A$2:$A$2000,"2813*",'BALANCE N'!$H$2:$H$2000)-SUMIF('BALANCE N'!$A$2:$A$2000,"2813*",'BALANCE N'!$G$2:$G$2000))-(SUMIF('BALANCE N-1'!$A$2:$A$2000,"2813*",'BALANCE N-1'!$H$2:$H$2000)-SUMIF('BALANCE N-1'!$A$2:$A$2000,"2813*",'BALANCE N-1'!$G$2:$G$2000)))</f>
        <v/>
      </c>
      <c r="D11" s="120">
        <f>MAX(0,(SUMIF('BALANCE N-1'!$A$2:$A$2000,"2813*",'BALANCE N-1'!$H$2:$H$2000)-SUMIF('BALANCE N-1'!$A$2:$A$2000,"2813*",'BALANCE N-1'!$G$2:$G$2000))-(SUMIF('BALANCE N'!$A$2:$A$2000,"2813*",'BALANCE N'!$H$2:$H$2000)-SUMIF('BALANCE N'!$A$2:$A$2000,"2813*",'BALANCE N'!$G$2:$G$2000)))</f>
        <v/>
      </c>
      <c r="E11" s="120">
        <f>B11+C11-D11</f>
        <v/>
      </c>
    </row>
    <row r="12">
      <c r="A12" s="119" t="inlineStr">
        <is>
          <t>Autres immobilisations incorporelles</t>
        </is>
      </c>
      <c r="B12" s="120">
        <f>SUMIF('BALANCE N-1'!$A$2:$A$2000,"2818*",'BALANCE N-1'!$H$2:$H$2000)-SUMIF('BALANCE N-1'!$A$2:$A$2000,"2818*",'BALANCE N-1'!$G$2:$G$2000)</f>
        <v/>
      </c>
      <c r="C12" s="120">
        <f>MAX(0,(SUMIF('BALANCE N'!$A$2:$A$2000,"2818*",'BALANCE N'!$H$2:$H$2000)-SUMIF('BALANCE N'!$A$2:$A$2000,"2818*",'BALANCE N'!$G$2:$G$2000))-(SUMIF('BALANCE N-1'!$A$2:$A$2000,"2818*",'BALANCE N-1'!$H$2:$H$2000)-SUMIF('BALANCE N-1'!$A$2:$A$2000,"2818*",'BALANCE N-1'!$G$2:$G$2000)))</f>
        <v/>
      </c>
      <c r="D12" s="120">
        <f>MAX(0,(SUMIF('BALANCE N-1'!$A$2:$A$2000,"2818*",'BALANCE N-1'!$H$2:$H$2000)-SUMIF('BALANCE N-1'!$A$2:$A$2000,"2818*",'BALANCE N-1'!$G$2:$G$2000))-(SUMIF('BALANCE N'!$A$2:$A$2000,"2818*",'BALANCE N'!$H$2:$H$2000)-SUMIF('BALANCE N'!$A$2:$A$2000,"2818*",'BALANCE N'!$G$2:$G$2000)))</f>
        <v/>
      </c>
      <c r="E12" s="120">
        <f>B12+C12-D12</f>
        <v/>
      </c>
    </row>
    <row r="13">
      <c r="A13" s="124" t="inlineStr">
        <is>
          <t>IMMOBILISATIONS CORPORELLES</t>
        </is>
      </c>
      <c r="B13" s="125" t="n"/>
      <c r="C13" s="125" t="n"/>
      <c r="D13" s="125" t="n"/>
      <c r="E13" s="125" t="n"/>
    </row>
    <row r="14">
      <c r="A14" s="119" t="inlineStr">
        <is>
          <t>Terrains</t>
        </is>
      </c>
      <c r="B14" s="120">
        <f>SUMIF('BALANCE N-1'!$A$2:$A$2000,"282*",'BALANCE N-1'!$H$2:$H$2000)-SUMIF('BALANCE N-1'!$A$2:$A$2000,"282*",'BALANCE N-1'!$G$2:$G$2000)</f>
        <v/>
      </c>
      <c r="C14" s="120">
        <f>MAX(0,(SUMIF('BALANCE N'!$A$2:$A$2000,"282*",'BALANCE N'!$H$2:$H$2000)-SUMIF('BALANCE N'!$A$2:$A$2000,"282*",'BALANCE N'!$G$2:$G$2000))-(SUMIF('BALANCE N-1'!$A$2:$A$2000,"282*",'BALANCE N-1'!$H$2:$H$2000)-SUMIF('BALANCE N-1'!$A$2:$A$2000,"282*",'BALANCE N-1'!$G$2:$G$2000)))</f>
        <v/>
      </c>
      <c r="D14" s="120">
        <f>MAX(0,(SUMIF('BALANCE N-1'!$A$2:$A$2000,"282*",'BALANCE N-1'!$H$2:$H$2000)-SUMIF('BALANCE N-1'!$A$2:$A$2000,"282*",'BALANCE N-1'!$G$2:$G$2000))-(SUMIF('BALANCE N'!$A$2:$A$2000,"282*",'BALANCE N'!$H$2:$H$2000)-SUMIF('BALANCE N'!$A$2:$A$2000,"282*",'BALANCE N'!$G$2:$G$2000)))</f>
        <v/>
      </c>
      <c r="E14" s="120">
        <f>B14+C14-D14</f>
        <v/>
      </c>
    </row>
    <row r="15">
      <c r="A15" s="119" t="inlineStr">
        <is>
          <t>Bâtiments et ouvrages d'infrastructure</t>
        </is>
      </c>
      <c r="B15" s="120">
        <f>SUMIF('BALANCE N-1'!$A$2:$A$2000,"2831*",'BALANCE N-1'!$H$2:$H$2000)-SUMIF('BALANCE N-1'!$A$2:$A$2000,"2831*",'BALANCE N-1'!$G$2:$G$2000)+SUMIF('BALANCE N-1'!$A$2:$A$2000,"2832*",'BALANCE N-1'!$H$2:$H$2000)-SUMIF('BALANCE N-1'!$A$2:$A$2000,"2832*",'BALANCE N-1'!$G$2:$G$2000)+SUMIF('BALANCE N-1'!$A$2:$A$2000,"2833*",'BALANCE N-1'!$H$2:$H$2000)-SUMIF('BALANCE N-1'!$A$2:$A$2000,"2833*",'BALANCE N-1'!$G$2:$G$2000)</f>
        <v/>
      </c>
      <c r="C15" s="120">
        <f>MAX(0,(SUMIF('BALANCE N'!$A$2:$A$2000,"2831*",'BALANCE N'!$H$2:$H$2000)-SUMIF('BALANCE N'!$A$2:$A$2000,"2831*",'BALANCE N'!$G$2:$G$2000)+SUMIF('BALANCE N'!$A$2:$A$2000,"2832*",'BALANCE N'!$H$2:$H$2000)-SUMIF('BALANCE N'!$A$2:$A$2000,"2832*",'BALANCE N'!$G$2:$G$2000)+SUMIF('BALANCE N'!$A$2:$A$2000,"2833*",'BALANCE N'!$H$2:$H$2000)-SUMIF('BALANCE N'!$A$2:$A$2000,"2833*",'BALANCE N'!$G$2:$G$2000))-(SUMIF('BALANCE N-1'!$A$2:$A$2000,"2831*",'BALANCE N-1'!$H$2:$H$2000)-SUMIF('BALANCE N-1'!$A$2:$A$2000,"2831*",'BALANCE N-1'!$G$2:$G$2000)+SUMIF('BALANCE N-1'!$A$2:$A$2000,"2832*",'BALANCE N-1'!$H$2:$H$2000)-SUMIF('BALANCE N-1'!$A$2:$A$2000,"2832*",'BALANCE N-1'!$G$2:$G$2000)+SUMIF('BALANCE N-1'!$A$2:$A$2000,"2833*",'BALANCE N-1'!$H$2:$H$2000)-SUMIF('BALANCE N-1'!$A$2:$A$2000,"2833*",'BALANCE N-1'!$G$2:$G$2000)))</f>
        <v/>
      </c>
      <c r="D15" s="120">
        <f>MAX(0,(SUMIF('BALANCE N-1'!$A$2:$A$2000,"2831*",'BALANCE N-1'!$H$2:$H$2000)-SUMIF('BALANCE N-1'!$A$2:$A$2000,"2831*",'BALANCE N-1'!$G$2:$G$2000)+SUMIF('BALANCE N-1'!$A$2:$A$2000,"2832*",'BALANCE N-1'!$H$2:$H$2000)-SUMIF('BALANCE N-1'!$A$2:$A$2000,"2832*",'BALANCE N-1'!$G$2:$G$2000)+SUMIF('BALANCE N-1'!$A$2:$A$2000,"2833*",'BALANCE N-1'!$H$2:$H$2000)-SUMIF('BALANCE N-1'!$A$2:$A$2000,"2833*",'BALANCE N-1'!$G$2:$G$2000))-(SUMIF('BALANCE N'!$A$2:$A$2000,"2831*",'BALANCE N'!$H$2:$H$2000)-SUMIF('BALANCE N'!$A$2:$A$2000,"2831*",'BALANCE N'!$G$2:$G$2000)+SUMIF('BALANCE N'!$A$2:$A$2000,"2832*",'BALANCE N'!$H$2:$H$2000)-SUMIF('BALANCE N'!$A$2:$A$2000,"2832*",'BALANCE N'!$G$2:$G$2000)+SUMIF('BALANCE N'!$A$2:$A$2000,"2833*",'BALANCE N'!$H$2:$H$2000)-SUMIF('BALANCE N'!$A$2:$A$2000,"2833*",'BALANCE N'!$G$2:$G$2000)))</f>
        <v/>
      </c>
      <c r="E15" s="120">
        <f>B15+C15-D15</f>
        <v/>
      </c>
    </row>
    <row r="16">
      <c r="A16" s="119" t="inlineStr">
        <is>
          <t>Aménagements, agencements et installations</t>
        </is>
      </c>
      <c r="B16" s="120">
        <f>SUMIF('BALANCE N-1'!$A$2:$A$2000,"2834*",'BALANCE N-1'!$H$2:$H$2000)-SUMIF('BALANCE N-1'!$A$2:$A$2000,"2834*",'BALANCE N-1'!$G$2:$G$2000)+SUMIF('BALANCE N-1'!$A$2:$A$2000,"2835*",'BALANCE N-1'!$H$2:$H$2000)-SUMIF('BALANCE N-1'!$A$2:$A$2000,"2835*",'BALANCE N-1'!$G$2:$G$2000)+SUMIF('BALANCE N-1'!$A$2:$A$2000,"2838*",'BALANCE N-1'!$H$2:$H$2000)-SUMIF('BALANCE N-1'!$A$2:$A$2000,"2838*",'BALANCE N-1'!$G$2:$G$2000)</f>
        <v/>
      </c>
      <c r="C16" s="120">
        <f>MAX(0,(SUMIF('BALANCE N'!$A$2:$A$2000,"2834*",'BALANCE N'!$H$2:$H$2000)-SUMIF('BALANCE N'!$A$2:$A$2000,"2834*",'BALANCE N'!$G$2:$G$2000)+SUMIF('BALANCE N'!$A$2:$A$2000,"2835*",'BALANCE N'!$H$2:$H$2000)-SUMIF('BALANCE N'!$A$2:$A$2000,"2835*",'BALANCE N'!$G$2:$G$2000)+SUMIF('BALANCE N'!$A$2:$A$2000,"2838*",'BALANCE N'!$H$2:$H$2000)-SUMIF('BALANCE N'!$A$2:$A$2000,"2838*",'BALANCE N'!$G$2:$G$2000))-(SUMIF('BALANCE N-1'!$A$2:$A$2000,"2834*",'BALANCE N-1'!$H$2:$H$2000)-SUMIF('BALANCE N-1'!$A$2:$A$2000,"2834*",'BALANCE N-1'!$G$2:$G$2000)+SUMIF('BALANCE N-1'!$A$2:$A$2000,"2835*",'BALANCE N-1'!$H$2:$H$2000)-SUMIF('BALANCE N-1'!$A$2:$A$2000,"2835*",'BALANCE N-1'!$G$2:$G$2000)+SUMIF('BALANCE N-1'!$A$2:$A$2000,"2838*",'BALANCE N-1'!$H$2:$H$2000)-SUMIF('BALANCE N-1'!$A$2:$A$2000,"2838*",'BALANCE N-1'!$G$2:$G$2000)))</f>
        <v/>
      </c>
      <c r="D16" s="120">
        <f>MAX(0,(SUMIF('BALANCE N-1'!$A$2:$A$2000,"2834*",'BALANCE N-1'!$H$2:$H$2000)-SUMIF('BALANCE N-1'!$A$2:$A$2000,"2834*",'BALANCE N-1'!$G$2:$G$2000)+SUMIF('BALANCE N-1'!$A$2:$A$2000,"2835*",'BALANCE N-1'!$H$2:$H$2000)-SUMIF('BALANCE N-1'!$A$2:$A$2000,"2835*",'BALANCE N-1'!$G$2:$G$2000)+SUMIF('BALANCE N-1'!$A$2:$A$2000,"2838*",'BALANCE N-1'!$H$2:$H$2000)-SUMIF('BALANCE N-1'!$A$2:$A$2000,"2838*",'BALANCE N-1'!$G$2:$G$2000))-(SUMIF('BALANCE N'!$A$2:$A$2000,"2834*",'BALANCE N'!$H$2:$H$2000)-SUMIF('BALANCE N'!$A$2:$A$2000,"2834*",'BALANCE N'!$G$2:$G$2000)+SUMIF('BALANCE N'!$A$2:$A$2000,"2835*",'BALANCE N'!$H$2:$H$2000)-SUMIF('BALANCE N'!$A$2:$A$2000,"2835*",'BALANCE N'!$G$2:$G$2000)+SUMIF('BALANCE N'!$A$2:$A$2000,"2838*",'BALANCE N'!$H$2:$H$2000)-SUMIF('BALANCE N'!$A$2:$A$2000,"2838*",'BALANCE N'!$G$2:$G$2000)))</f>
        <v/>
      </c>
      <c r="E16" s="120">
        <f>B16+C16-D16</f>
        <v/>
      </c>
    </row>
    <row r="17">
      <c r="A17" s="119" t="inlineStr">
        <is>
          <t>Matériel, mobilier et actifs biologiques</t>
        </is>
      </c>
      <c r="B17" s="120">
        <f>SUMIF('BALANCE N-1'!$A$2:$A$2000,"284*",'BALANCE N-1'!$H$2:$H$2000)-SUMIF('BALANCE N-1'!$A$2:$A$2000,"284*",'BALANCE N-1'!$G$2:$G$2000)-SUMIF('BALANCE N-1'!$A$2:$A$2000,"2845*",'BALANCE N-1'!$H$2:$H$2000)+SUMIF('BALANCE N-1'!$A$2:$A$2000,"2845*",'BALANCE N-1'!$G$2:$G$2000)</f>
        <v/>
      </c>
      <c r="C17" s="120">
        <f>MAX(0,(SUMIF('BALANCE N'!$A$2:$A$2000,"284*",'BALANCE N'!$H$2:$H$2000)-SUMIF('BALANCE N'!$A$2:$A$2000,"284*",'BALANCE N'!$G$2:$G$2000)-SUMIF('BALANCE N'!$A$2:$A$2000,"2845*",'BALANCE N'!$H$2:$H$2000)+SUMIF('BALANCE N'!$A$2:$A$2000,"2845*",'BALANCE N'!$G$2:$G$2000))-(SUMIF('BALANCE N-1'!$A$2:$A$2000,"284*",'BALANCE N-1'!$H$2:$H$2000)-SUMIF('BALANCE N-1'!$A$2:$A$2000,"284*",'BALANCE N-1'!$G$2:$G$2000)-SUMIF('BALANCE N-1'!$A$2:$A$2000,"2845*",'BALANCE N-1'!$H$2:$H$2000)+SUMIF('BALANCE N-1'!$A$2:$A$2000,"2845*",'BALANCE N-1'!$G$2:$G$2000)))</f>
        <v/>
      </c>
      <c r="D17" s="120">
        <f>MAX(0,(SUMIF('BALANCE N-1'!$A$2:$A$2000,"284*",'BALANCE N-1'!$H$2:$H$2000)-SUMIF('BALANCE N-1'!$A$2:$A$2000,"284*",'BALANCE N-1'!$G$2:$G$2000)-SUMIF('BALANCE N-1'!$A$2:$A$2000,"2845*",'BALANCE N-1'!$H$2:$H$2000)+SUMIF('BALANCE N-1'!$A$2:$A$2000,"2845*",'BALANCE N-1'!$G$2:$G$2000))-(SUMIF('BALANCE N'!$A$2:$A$2000,"284*",'BALANCE N'!$H$2:$H$2000)-SUMIF('BALANCE N'!$A$2:$A$2000,"284*",'BALANCE N'!$G$2:$G$2000)-SUMIF('BALANCE N'!$A$2:$A$2000,"2845*",'BALANCE N'!$H$2:$H$2000)+SUMIF('BALANCE N'!$A$2:$A$2000,"2845*",'BALANCE N'!$G$2:$G$2000)))</f>
        <v/>
      </c>
      <c r="E17" s="120">
        <f>B17+C17-D17</f>
        <v/>
      </c>
    </row>
    <row r="18">
      <c r="A18" s="119" t="inlineStr">
        <is>
          <t>Matériel de transport</t>
        </is>
      </c>
      <c r="B18" s="120">
        <f>SUMIF('BALANCE N-1'!$A$2:$A$2000,"2845*",'BALANCE N-1'!$H$2:$H$2000)-SUMIF('BALANCE N-1'!$A$2:$A$2000,"2845*",'BALANCE N-1'!$G$2:$G$2000)</f>
        <v/>
      </c>
      <c r="C18" s="120">
        <f>MAX(0,(SUMIF('BALANCE N'!$A$2:$A$2000,"2845*",'BALANCE N'!$H$2:$H$2000)-SUMIF('BALANCE N'!$A$2:$A$2000,"2845*",'BALANCE N'!$G$2:$G$2000))-(SUMIF('BALANCE N-1'!$A$2:$A$2000,"2845*",'BALANCE N-1'!$H$2:$H$2000)-SUMIF('BALANCE N-1'!$A$2:$A$2000,"2845*",'BALANCE N-1'!$G$2:$G$2000)))</f>
        <v/>
      </c>
      <c r="D18" s="120">
        <f>MAX(0,(SUMIF('BALANCE N-1'!$A$2:$A$2000,"2845*",'BALANCE N-1'!$H$2:$H$2000)-SUMIF('BALANCE N-1'!$A$2:$A$2000,"2845*",'BALANCE N-1'!$G$2:$G$2000))-(SUMIF('BALANCE N'!$A$2:$A$2000,"2845*",'BALANCE N'!$H$2:$H$2000)-SUMIF('BALANCE N'!$A$2:$A$2000,"2845*",'BALANCE N'!$G$2:$G$2000)))</f>
        <v/>
      </c>
      <c r="E18" s="120">
        <f>B18+C18-D18</f>
        <v/>
      </c>
    </row>
    <row r="19">
      <c r="A19" s="6" t="inlineStr">
        <is>
          <t>TOTAL GÉNÉRAL</t>
        </is>
      </c>
      <c r="B19" s="7">
        <f>B10+B11+B12+B14+B15+B16+B17+B18</f>
        <v/>
      </c>
      <c r="C19" s="7">
        <f>C10+C11+C12+C14+C15+C16+C17+C18</f>
        <v/>
      </c>
      <c r="D19" s="7">
        <f>D10+D11+D12+D14+D15+D16+D17+D18</f>
        <v/>
      </c>
      <c r="E19" s="7">
        <f>E10+E11+E12+E14+E15+E16+E17+E18</f>
        <v/>
      </c>
    </row>
    <row r="20"/>
    <row r="21">
      <c r="A21" s="121" t="inlineStr">
        <is>
          <t>Sans balance N-1, seule la colonne de clôture est servie ; avec N-1, les mouvements sont posés en variation nette (augmentation ou diminution) faute d'état des mouvements - à ajuster depuis l'inventaire des immobilisations.</t>
        </is>
      </c>
    </row>
    <row r="22"/>
    <row r="23" ht="34" customHeight="1">
      <c r="A23" s="122">
        <f>IF(SUM(B9:B19,C9:C19,D9:D19,E9:E19)=0,"NÉANT","")</f>
        <v/>
      </c>
    </row>
    <row r="24" ht="34" customHeight="1"/>
    <row r="25" ht="34" customHeight="1"/>
  </sheetData>
  <mergeCells count="3">
    <mergeCell ref="A7:E7"/>
    <mergeCell ref="A23:E25"/>
    <mergeCell ref="D2:E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 ht="12" customHeight="1">
      <c r="A1" s="50" t="inlineStr">
        <is>
          <t>- 18 -</t>
        </is>
      </c>
    </row>
    <row r="2" ht="26" customHeight="1">
      <c r="D2" s="51" t="inlineStr">
        <is>
          <t>NOTE 5F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5F : IMMOBILISATIONS : DÉPRÉCIATIONS</t>
        </is>
      </c>
    </row>
    <row r="8">
      <c r="A8" s="1" t="inlineStr">
        <is>
          <t>RUBRIQUES</t>
        </is>
      </c>
      <c r="B8" s="2" t="inlineStr">
        <is>
          <t>Cumul à l'ouverture (A)</t>
        </is>
      </c>
      <c r="C8" s="2" t="inlineStr">
        <is>
          <t>Augmentations : dotations (B)</t>
        </is>
      </c>
      <c r="D8" s="2" t="inlineStr">
        <is>
          <t>Diminutions : reprises et sorties (C)</t>
        </is>
      </c>
      <c r="E8" s="3" t="inlineStr">
        <is>
          <t>Cumul à la clôture (D = A + B - C)</t>
        </is>
      </c>
    </row>
    <row r="9">
      <c r="A9" s="124" t="inlineStr">
        <is>
          <t>IMMOBILISATIONS INCORPORELLES</t>
        </is>
      </c>
      <c r="B9" s="125" t="n"/>
      <c r="C9" s="125" t="n"/>
      <c r="D9" s="125" t="n"/>
      <c r="E9" s="125" t="n"/>
    </row>
    <row r="10">
      <c r="A10" s="119" t="inlineStr">
        <is>
          <t>Immobilisations incorporelles</t>
        </is>
      </c>
      <c r="B10" s="120">
        <f>SUMIF('BALANCE N-1'!$A$2:$A$2000,"291*",'BALANCE N-1'!$H$2:$H$2000)-SUMIF('BALANCE N-1'!$A$2:$A$2000,"291*",'BALANCE N-1'!$G$2:$G$2000)</f>
        <v/>
      </c>
      <c r="C10" s="120">
        <f>MAX(0,(SUMIF('BALANCE N'!$A$2:$A$2000,"291*",'BALANCE N'!$H$2:$H$2000)-SUMIF('BALANCE N'!$A$2:$A$2000,"291*",'BALANCE N'!$G$2:$G$2000))-(SUMIF('BALANCE N-1'!$A$2:$A$2000,"291*",'BALANCE N-1'!$H$2:$H$2000)-SUMIF('BALANCE N-1'!$A$2:$A$2000,"291*",'BALANCE N-1'!$G$2:$G$2000)))</f>
        <v/>
      </c>
      <c r="D10" s="120">
        <f>MAX(0,(SUMIF('BALANCE N-1'!$A$2:$A$2000,"291*",'BALANCE N-1'!$H$2:$H$2000)-SUMIF('BALANCE N-1'!$A$2:$A$2000,"291*",'BALANCE N-1'!$G$2:$G$2000))-(SUMIF('BALANCE N'!$A$2:$A$2000,"291*",'BALANCE N'!$H$2:$H$2000)-SUMIF('BALANCE N'!$A$2:$A$2000,"291*",'BALANCE N'!$G$2:$G$2000)))</f>
        <v/>
      </c>
      <c r="E10" s="120">
        <f>B10+C10-D10</f>
        <v/>
      </c>
    </row>
    <row r="11">
      <c r="A11" s="124" t="inlineStr">
        <is>
          <t>IMMOBILISATIONS CORPORELLES</t>
        </is>
      </c>
      <c r="B11" s="125" t="n"/>
      <c r="C11" s="125" t="n"/>
      <c r="D11" s="125" t="n"/>
      <c r="E11" s="125" t="n"/>
    </row>
    <row r="12">
      <c r="A12" s="119" t="inlineStr">
        <is>
          <t>Terrains</t>
        </is>
      </c>
      <c r="B12" s="120">
        <f>SUMIF('BALANCE N-1'!$A$2:$A$2000,"292*",'BALANCE N-1'!$H$2:$H$2000)-SUMIF('BALANCE N-1'!$A$2:$A$2000,"292*",'BALANCE N-1'!$G$2:$G$2000)</f>
        <v/>
      </c>
      <c r="C12" s="120">
        <f>MAX(0,(SUMIF('BALANCE N'!$A$2:$A$2000,"292*",'BALANCE N'!$H$2:$H$2000)-SUMIF('BALANCE N'!$A$2:$A$2000,"292*",'BALANCE N'!$G$2:$G$2000))-(SUMIF('BALANCE N-1'!$A$2:$A$2000,"292*",'BALANCE N-1'!$H$2:$H$2000)-SUMIF('BALANCE N-1'!$A$2:$A$2000,"292*",'BALANCE N-1'!$G$2:$G$2000)))</f>
        <v/>
      </c>
      <c r="D12" s="120">
        <f>MAX(0,(SUMIF('BALANCE N-1'!$A$2:$A$2000,"292*",'BALANCE N-1'!$H$2:$H$2000)-SUMIF('BALANCE N-1'!$A$2:$A$2000,"292*",'BALANCE N-1'!$G$2:$G$2000))-(SUMIF('BALANCE N'!$A$2:$A$2000,"292*",'BALANCE N'!$H$2:$H$2000)-SUMIF('BALANCE N'!$A$2:$A$2000,"292*",'BALANCE N'!$G$2:$G$2000)))</f>
        <v/>
      </c>
      <c r="E12" s="120">
        <f>B12+C12-D12</f>
        <v/>
      </c>
    </row>
    <row r="13">
      <c r="A13" s="119" t="inlineStr">
        <is>
          <t>Bâtiments et installations</t>
        </is>
      </c>
      <c r="B13" s="120">
        <f>SUMIF('BALANCE N-1'!$A$2:$A$2000,"293*",'BALANCE N-1'!$H$2:$H$2000)-SUMIF('BALANCE N-1'!$A$2:$A$2000,"293*",'BALANCE N-1'!$G$2:$G$2000)</f>
        <v/>
      </c>
      <c r="C13" s="120">
        <f>MAX(0,(SUMIF('BALANCE N'!$A$2:$A$2000,"293*",'BALANCE N'!$H$2:$H$2000)-SUMIF('BALANCE N'!$A$2:$A$2000,"293*",'BALANCE N'!$G$2:$G$2000))-(SUMIF('BALANCE N-1'!$A$2:$A$2000,"293*",'BALANCE N-1'!$H$2:$H$2000)-SUMIF('BALANCE N-1'!$A$2:$A$2000,"293*",'BALANCE N-1'!$G$2:$G$2000)))</f>
        <v/>
      </c>
      <c r="D13" s="120">
        <f>MAX(0,(SUMIF('BALANCE N-1'!$A$2:$A$2000,"293*",'BALANCE N-1'!$H$2:$H$2000)-SUMIF('BALANCE N-1'!$A$2:$A$2000,"293*",'BALANCE N-1'!$G$2:$G$2000))-(SUMIF('BALANCE N'!$A$2:$A$2000,"293*",'BALANCE N'!$H$2:$H$2000)-SUMIF('BALANCE N'!$A$2:$A$2000,"293*",'BALANCE N'!$G$2:$G$2000)))</f>
        <v/>
      </c>
      <c r="E13" s="120">
        <f>B13+C13-D13</f>
        <v/>
      </c>
    </row>
    <row r="14">
      <c r="A14" s="119" t="inlineStr">
        <is>
          <t>Matériel, mobilier et actifs biologiques</t>
        </is>
      </c>
      <c r="B14" s="120">
        <f>SUMIF('BALANCE N-1'!$A$2:$A$2000,"294*",'BALANCE N-1'!$H$2:$H$2000)-SUMIF('BALANCE N-1'!$A$2:$A$2000,"294*",'BALANCE N-1'!$G$2:$G$2000)-SUMIF('BALANCE N-1'!$A$2:$A$2000,"2945*",'BALANCE N-1'!$H$2:$H$2000)+SUMIF('BALANCE N-1'!$A$2:$A$2000,"2945*",'BALANCE N-1'!$G$2:$G$2000)</f>
        <v/>
      </c>
      <c r="C14" s="120">
        <f>MAX(0,(SUMIF('BALANCE N'!$A$2:$A$2000,"294*",'BALANCE N'!$H$2:$H$2000)-SUMIF('BALANCE N'!$A$2:$A$2000,"294*",'BALANCE N'!$G$2:$G$2000)-SUMIF('BALANCE N'!$A$2:$A$2000,"2945*",'BALANCE N'!$H$2:$H$2000)+SUMIF('BALANCE N'!$A$2:$A$2000,"2945*",'BALANCE N'!$G$2:$G$2000))-(SUMIF('BALANCE N-1'!$A$2:$A$2000,"294*",'BALANCE N-1'!$H$2:$H$2000)-SUMIF('BALANCE N-1'!$A$2:$A$2000,"294*",'BALANCE N-1'!$G$2:$G$2000)-SUMIF('BALANCE N-1'!$A$2:$A$2000,"2945*",'BALANCE N-1'!$H$2:$H$2000)+SUMIF('BALANCE N-1'!$A$2:$A$2000,"2945*",'BALANCE N-1'!$G$2:$G$2000)))</f>
        <v/>
      </c>
      <c r="D14" s="120">
        <f>MAX(0,(SUMIF('BALANCE N-1'!$A$2:$A$2000,"294*",'BALANCE N-1'!$H$2:$H$2000)-SUMIF('BALANCE N-1'!$A$2:$A$2000,"294*",'BALANCE N-1'!$G$2:$G$2000)-SUMIF('BALANCE N-1'!$A$2:$A$2000,"2945*",'BALANCE N-1'!$H$2:$H$2000)+SUMIF('BALANCE N-1'!$A$2:$A$2000,"2945*",'BALANCE N-1'!$G$2:$G$2000))-(SUMIF('BALANCE N'!$A$2:$A$2000,"294*",'BALANCE N'!$H$2:$H$2000)-SUMIF('BALANCE N'!$A$2:$A$2000,"294*",'BALANCE N'!$G$2:$G$2000)-SUMIF('BALANCE N'!$A$2:$A$2000,"2945*",'BALANCE N'!$H$2:$H$2000)+SUMIF('BALANCE N'!$A$2:$A$2000,"2945*",'BALANCE N'!$G$2:$G$2000)))</f>
        <v/>
      </c>
      <c r="E14" s="120">
        <f>B14+C14-D14</f>
        <v/>
      </c>
    </row>
    <row r="15">
      <c r="A15" s="119" t="inlineStr">
        <is>
          <t>Matériel de transport</t>
        </is>
      </c>
      <c r="B15" s="120">
        <f>SUMIF('BALANCE N-1'!$A$2:$A$2000,"2945*",'BALANCE N-1'!$H$2:$H$2000)-SUMIF('BALANCE N-1'!$A$2:$A$2000,"2945*",'BALANCE N-1'!$G$2:$G$2000)</f>
        <v/>
      </c>
      <c r="C15" s="120">
        <f>MAX(0,(SUMIF('BALANCE N'!$A$2:$A$2000,"2945*",'BALANCE N'!$H$2:$H$2000)-SUMIF('BALANCE N'!$A$2:$A$2000,"2945*",'BALANCE N'!$G$2:$G$2000))-(SUMIF('BALANCE N-1'!$A$2:$A$2000,"2945*",'BALANCE N-1'!$H$2:$H$2000)-SUMIF('BALANCE N-1'!$A$2:$A$2000,"2945*",'BALANCE N-1'!$G$2:$G$2000)))</f>
        <v/>
      </c>
      <c r="D15" s="120">
        <f>MAX(0,(SUMIF('BALANCE N-1'!$A$2:$A$2000,"2945*",'BALANCE N-1'!$H$2:$H$2000)-SUMIF('BALANCE N-1'!$A$2:$A$2000,"2945*",'BALANCE N-1'!$G$2:$G$2000))-(SUMIF('BALANCE N'!$A$2:$A$2000,"2945*",'BALANCE N'!$H$2:$H$2000)-SUMIF('BALANCE N'!$A$2:$A$2000,"2945*",'BALANCE N'!$G$2:$G$2000)))</f>
        <v/>
      </c>
      <c r="E15" s="120">
        <f>B15+C15-D15</f>
        <v/>
      </c>
    </row>
    <row r="16">
      <c r="A16" s="119" t="inlineStr">
        <is>
          <t>Avances et acomptes versés sur immobilisations</t>
        </is>
      </c>
      <c r="B16" s="120">
        <f>SUMIF('BALANCE N-1'!$A$2:$A$2000,"295*",'BALANCE N-1'!$H$2:$H$2000)-SUMIF('BALANCE N-1'!$A$2:$A$2000,"295*",'BALANCE N-1'!$G$2:$G$2000)</f>
        <v/>
      </c>
      <c r="C16" s="120">
        <f>MAX(0,(SUMIF('BALANCE N'!$A$2:$A$2000,"295*",'BALANCE N'!$H$2:$H$2000)-SUMIF('BALANCE N'!$A$2:$A$2000,"295*",'BALANCE N'!$G$2:$G$2000))-(SUMIF('BALANCE N-1'!$A$2:$A$2000,"295*",'BALANCE N-1'!$H$2:$H$2000)-SUMIF('BALANCE N-1'!$A$2:$A$2000,"295*",'BALANCE N-1'!$G$2:$G$2000)))</f>
        <v/>
      </c>
      <c r="D16" s="120">
        <f>MAX(0,(SUMIF('BALANCE N-1'!$A$2:$A$2000,"295*",'BALANCE N-1'!$H$2:$H$2000)-SUMIF('BALANCE N-1'!$A$2:$A$2000,"295*",'BALANCE N-1'!$G$2:$G$2000))-(SUMIF('BALANCE N'!$A$2:$A$2000,"295*",'BALANCE N'!$H$2:$H$2000)-SUMIF('BALANCE N'!$A$2:$A$2000,"295*",'BALANCE N'!$G$2:$G$2000)))</f>
        <v/>
      </c>
      <c r="E16" s="120">
        <f>B16+C16-D16</f>
        <v/>
      </c>
    </row>
    <row r="17">
      <c r="A17" s="124" t="inlineStr">
        <is>
          <t>IMMOBILISATIONS FINANCIÈRES</t>
        </is>
      </c>
      <c r="B17" s="125" t="n"/>
      <c r="C17" s="125" t="n"/>
      <c r="D17" s="125" t="n"/>
      <c r="E17" s="125" t="n"/>
    </row>
    <row r="18">
      <c r="A18" s="119" t="inlineStr">
        <is>
          <t>Titres de participation</t>
        </is>
      </c>
      <c r="B18" s="120">
        <f>SUMIF('BALANCE N-1'!$A$2:$A$2000,"296*",'BALANCE N-1'!$H$2:$H$2000)-SUMIF('BALANCE N-1'!$A$2:$A$2000,"296*",'BALANCE N-1'!$G$2:$G$2000)</f>
        <v/>
      </c>
      <c r="C18" s="120">
        <f>MAX(0,(SUMIF('BALANCE N'!$A$2:$A$2000,"296*",'BALANCE N'!$H$2:$H$2000)-SUMIF('BALANCE N'!$A$2:$A$2000,"296*",'BALANCE N'!$G$2:$G$2000))-(SUMIF('BALANCE N-1'!$A$2:$A$2000,"296*",'BALANCE N-1'!$H$2:$H$2000)-SUMIF('BALANCE N-1'!$A$2:$A$2000,"296*",'BALANCE N-1'!$G$2:$G$2000)))</f>
        <v/>
      </c>
      <c r="D18" s="120">
        <f>MAX(0,(SUMIF('BALANCE N-1'!$A$2:$A$2000,"296*",'BALANCE N-1'!$H$2:$H$2000)-SUMIF('BALANCE N-1'!$A$2:$A$2000,"296*",'BALANCE N-1'!$G$2:$G$2000))-(SUMIF('BALANCE N'!$A$2:$A$2000,"296*",'BALANCE N'!$H$2:$H$2000)-SUMIF('BALANCE N'!$A$2:$A$2000,"296*",'BALANCE N'!$G$2:$G$2000)))</f>
        <v/>
      </c>
      <c r="E18" s="120">
        <f>B18+C18-D18</f>
        <v/>
      </c>
    </row>
    <row r="19">
      <c r="A19" s="119" t="inlineStr">
        <is>
          <t>Autres immobilisations financières</t>
        </is>
      </c>
      <c r="B19" s="120">
        <f>SUMIF('BALANCE N-1'!$A$2:$A$2000,"297*",'BALANCE N-1'!$H$2:$H$2000)-SUMIF('BALANCE N-1'!$A$2:$A$2000,"297*",'BALANCE N-1'!$G$2:$G$2000)</f>
        <v/>
      </c>
      <c r="C19" s="120">
        <f>MAX(0,(SUMIF('BALANCE N'!$A$2:$A$2000,"297*",'BALANCE N'!$H$2:$H$2000)-SUMIF('BALANCE N'!$A$2:$A$2000,"297*",'BALANCE N'!$G$2:$G$2000))-(SUMIF('BALANCE N-1'!$A$2:$A$2000,"297*",'BALANCE N-1'!$H$2:$H$2000)-SUMIF('BALANCE N-1'!$A$2:$A$2000,"297*",'BALANCE N-1'!$G$2:$G$2000)))</f>
        <v/>
      </c>
      <c r="D19" s="120">
        <f>MAX(0,(SUMIF('BALANCE N-1'!$A$2:$A$2000,"297*",'BALANCE N-1'!$H$2:$H$2000)-SUMIF('BALANCE N-1'!$A$2:$A$2000,"297*",'BALANCE N-1'!$G$2:$G$2000))-(SUMIF('BALANCE N'!$A$2:$A$2000,"297*",'BALANCE N'!$H$2:$H$2000)-SUMIF('BALANCE N'!$A$2:$A$2000,"297*",'BALANCE N'!$G$2:$G$2000)))</f>
        <v/>
      </c>
      <c r="E19" s="120">
        <f>B19+C19-D19</f>
        <v/>
      </c>
    </row>
    <row r="20">
      <c r="A20" s="6" t="inlineStr">
        <is>
          <t>TOTAL GÉNÉRAL</t>
        </is>
      </c>
      <c r="B20" s="7">
        <f>B10+B12+B13+B14+B15+B16+B18+B19</f>
        <v/>
      </c>
      <c r="C20" s="7">
        <f>C10+C12+C13+C14+C15+C16+C18+C19</f>
        <v/>
      </c>
      <c r="D20" s="7">
        <f>D10+D12+D13+D14+D15+D16+D18+D19</f>
        <v/>
      </c>
      <c r="E20" s="7">
        <f>E10+E12+E13+E14+E15+E16+E18+E19</f>
        <v/>
      </c>
    </row>
    <row r="21"/>
    <row r="22">
      <c r="A22" s="121" t="inlineStr">
        <is>
          <t>Sans balance N-1, seule la colonne de clôture est servie ; avec N-1, les mouvements sont posés en variation nette (augmentation ou diminution) faute d'état des mouvements - à ajuster depuis l'inventaire des immobilisations.</t>
        </is>
      </c>
    </row>
    <row r="23"/>
    <row r="24" ht="34" customHeight="1">
      <c r="A24" s="122">
        <f>IF(SUM(B9:B20,C9:C20,D9:D20,E9:E20)=0,"NÉANT","")</f>
        <v/>
      </c>
    </row>
    <row r="25" ht="34" customHeight="1"/>
    <row r="26" ht="34" customHeight="1"/>
  </sheetData>
  <mergeCells count="3">
    <mergeCell ref="A7:E7"/>
    <mergeCell ref="A24:E26"/>
    <mergeCell ref="D2:E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7" customWidth="1" min="3" max="3"/>
    <col width="17" customWidth="1" min="4" max="4"/>
    <col width="15" customWidth="1" min="5" max="5"/>
    <col width="17" customWidth="1" min="6" max="6"/>
  </cols>
  <sheetData>
    <row r="1" ht="12" customHeight="1">
      <c r="A1" s="50" t="inlineStr">
        <is>
          <t>- 19 -</t>
        </is>
      </c>
    </row>
    <row r="2" ht="26" customHeight="1">
      <c r="E2" s="51" t="inlineStr">
        <is>
          <t>NOTE 5G
SYSTEME NORMAL</t>
        </is>
      </c>
      <c r="F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E4" s="54" t="inlineStr">
        <is>
          <t>Sigle usuel :</t>
        </is>
      </c>
      <c r="F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E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5G : IMMOBILISATIONS : PLUS-VALUES ET MOINS-VALUES DE CESSION</t>
        </is>
      </c>
    </row>
    <row r="8">
      <c r="A8" s="1" t="inlineStr">
        <is>
          <t>Libellés</t>
        </is>
      </c>
      <c r="B8" s="2" t="inlineStr">
        <is>
          <t>Montant brut (A)</t>
        </is>
      </c>
      <c r="C8" s="2" t="inlineStr">
        <is>
          <t>Amortissements pratiqués (B)</t>
        </is>
      </c>
      <c r="D8" s="2" t="inlineStr">
        <is>
          <t>Valeur comptable nette (C = A - B)</t>
        </is>
      </c>
      <c r="E8" s="2" t="inlineStr">
        <is>
          <t>Prix de cession (D)</t>
        </is>
      </c>
      <c r="F8" s="3" t="inlineStr">
        <is>
          <t>Plus ou moins-value (E = D - C)</t>
        </is>
      </c>
    </row>
    <row r="9">
      <c r="A9" s="119" t="inlineStr">
        <is>
          <t>Immobilisations incorporelles</t>
        </is>
      </c>
      <c r="B9" s="120" t="n"/>
      <c r="C9" s="120" t="n"/>
      <c r="D9" s="120">
        <f>SUMIF('BALANCE N'!$A$2:$A$2000,"811*",'BALANCE N'!$G$2:$G$2000)-SUMIF('BALANCE N'!$A$2:$A$2000,"811*",'BALANCE N'!$H$2:$H$2000)</f>
        <v/>
      </c>
      <c r="E9" s="120">
        <f>SUMIF('BALANCE N'!$A$2:$A$2000,"821*",'BALANCE N'!$H$2:$H$2000)-SUMIF('BALANCE N'!$A$2:$A$2000,"821*",'BALANCE N'!$G$2:$G$2000)</f>
        <v/>
      </c>
      <c r="F9" s="120">
        <f>E9-D9</f>
        <v/>
      </c>
    </row>
    <row r="10">
      <c r="A10" s="119" t="inlineStr">
        <is>
          <t>Immobilisations corporelles</t>
        </is>
      </c>
      <c r="B10" s="120" t="n"/>
      <c r="C10" s="120" t="n"/>
      <c r="D10" s="120">
        <f>SUMIF('BALANCE N'!$A$2:$A$2000,"812*",'BALANCE N'!$G$2:$G$2000)-SUMIF('BALANCE N'!$A$2:$A$2000,"812*",'BALANCE N'!$H$2:$H$2000)</f>
        <v/>
      </c>
      <c r="E10" s="120">
        <f>SUMIF('BALANCE N'!$A$2:$A$2000,"822*",'BALANCE N'!$H$2:$H$2000)-SUMIF('BALANCE N'!$A$2:$A$2000,"822*",'BALANCE N'!$G$2:$G$2000)</f>
        <v/>
      </c>
      <c r="F10" s="120">
        <f>E10-D10</f>
        <v/>
      </c>
    </row>
    <row r="11">
      <c r="A11" s="119" t="inlineStr">
        <is>
          <t>Immobilisations financières</t>
        </is>
      </c>
      <c r="B11" s="120" t="n"/>
      <c r="C11" s="120" t="n"/>
      <c r="D11" s="120">
        <f>SUMIF('BALANCE N'!$A$2:$A$2000,"816*",'BALANCE N'!$G$2:$G$2000)-SUMIF('BALANCE N'!$A$2:$A$2000,"816*",'BALANCE N'!$H$2:$H$2000)</f>
        <v/>
      </c>
      <c r="E11" s="120">
        <f>SUMIF('BALANCE N'!$A$2:$A$2000,"826*",'BALANCE N'!$H$2:$H$2000)-SUMIF('BALANCE N'!$A$2:$A$2000,"826*",'BALANCE N'!$G$2:$G$2000)</f>
        <v/>
      </c>
      <c r="F11" s="120">
        <f>E11-D11</f>
        <v/>
      </c>
    </row>
    <row r="12">
      <c r="A12" s="119" t="inlineStr">
        <is>
          <t>Immobilisations reçues destinées à la vente (dons et legs)</t>
        </is>
      </c>
      <c r="B12" s="120" t="n"/>
      <c r="C12" s="120" t="n"/>
      <c r="D12" s="120">
        <f>SUMIF('BALANCE N'!$A$2:$A$2000,"818*",'BALANCE N'!$G$2:$G$2000)-SUMIF('BALANCE N'!$A$2:$A$2000,"818*",'BALANCE N'!$H$2:$H$2000)</f>
        <v/>
      </c>
      <c r="E12" s="120">
        <f>SUMIF('BALANCE N'!$A$2:$A$2000,"828*",'BALANCE N'!$H$2:$H$2000)-SUMIF('BALANCE N'!$A$2:$A$2000,"828*",'BALANCE N'!$G$2:$G$2000)</f>
        <v/>
      </c>
      <c r="F12" s="120">
        <f>E12-D12</f>
        <v/>
      </c>
    </row>
    <row r="13">
      <c r="A13" s="6" t="inlineStr">
        <is>
          <t>TOTAL GÉNÉRAL</t>
        </is>
      </c>
      <c r="B13" s="7">
        <f>SUM(B9:B12)</f>
        <v/>
      </c>
      <c r="C13" s="7">
        <f>SUM(C9:C12)</f>
        <v/>
      </c>
      <c r="D13" s="7">
        <f>SUM(D9:D12)</f>
        <v/>
      </c>
      <c r="E13" s="7">
        <f>SUM(E9:E12)</f>
        <v/>
      </c>
      <c r="F13" s="7">
        <f>SUM(F9:F12)</f>
        <v/>
      </c>
    </row>
    <row r="14"/>
    <row r="15">
      <c r="A15" s="121" t="inlineStr">
        <is>
          <t>Colonnes A et B à compléter depuis l'inventaire ; la valeur comptable (81x) et le prix de cession (82x) sortent de la balance. Mentionner la justification de la cession, la date d'acquisition et la date de sortie.</t>
        </is>
      </c>
    </row>
    <row r="16"/>
    <row r="17" ht="34" customHeight="1">
      <c r="A17" s="122">
        <f>IF(SUM(B9:B13,C9:C13,D9:D13,E9:E13,F9:F13)=0,"NÉANT","")</f>
        <v/>
      </c>
    </row>
    <row r="18" ht="34" customHeight="1"/>
    <row r="19" ht="34" customHeight="1"/>
  </sheetData>
  <mergeCells count="4">
    <mergeCell ref="A17:F19"/>
    <mergeCell ref="E2:F2"/>
    <mergeCell ref="B4:C4"/>
    <mergeCell ref="A7:F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2" customHeight="1">
      <c r="A1" s="50" t="inlineStr">
        <is>
          <t>- 20 -</t>
        </is>
      </c>
    </row>
    <row r="2" ht="26" customHeight="1">
      <c r="E2" s="51" t="inlineStr">
        <is>
          <t>NOTE 5H
SYSTEME NORMAL</t>
        </is>
      </c>
      <c r="F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E4" s="54" t="inlineStr">
        <is>
          <t>Sigle usuel :</t>
        </is>
      </c>
      <c r="F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E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5H : INFORMATIONS SUR LES RÉÉVALUATIONS EFFECTUÉES PAR L'ENTITÉ</t>
        </is>
      </c>
    </row>
    <row r="8"/>
    <row r="9">
      <c r="A9" s="123" t="inlineStr">
        <is>
          <t xml:space="preserve">Nature et date des réévaluations : </t>
        </is>
      </c>
    </row>
    <row r="10"/>
    <row r="11"/>
    <row r="12">
      <c r="A12" s="123" t="inlineStr">
        <is>
          <t>Éléments réévalués par postes du bilan | Montants en coûts historiques | Montants réévalués | Écarts et provisions spéciales de réévaluation.</t>
        </is>
      </c>
    </row>
    <row r="13"/>
    <row r="14"/>
    <row r="15">
      <c r="A15" s="123" t="inlineStr">
        <is>
          <t xml:space="preserve">Méthode de réévaluation utilisée : </t>
        </is>
      </c>
    </row>
    <row r="16"/>
    <row r="17"/>
    <row r="18">
      <c r="A18" s="123" t="inlineStr">
        <is>
          <t xml:space="preserve">Traitement fiscal de l'écart de réévaluation et des amortissements supplémentaires : </t>
        </is>
      </c>
    </row>
    <row r="19"/>
    <row r="20"/>
    <row r="21">
      <c r="A21" s="123" t="inlineStr">
        <is>
          <t xml:space="preserve">Montant de l'écart incorporé à la dotation : </t>
        </is>
      </c>
    </row>
    <row r="22"/>
    <row r="23"/>
    <row r="24" ht="26" customHeight="1">
      <c r="A24" s="114" t="inlineStr">
        <is>
          <t>NOTE À COMPLÉTER</t>
        </is>
      </c>
    </row>
    <row r="25" ht="26" customHeight="1"/>
    <row r="26" ht="26" customHeight="1"/>
  </sheetData>
  <mergeCells count="9">
    <mergeCell ref="A24:F26"/>
    <mergeCell ref="A18:F19"/>
    <mergeCell ref="E2:F2"/>
    <mergeCell ref="A21:F22"/>
    <mergeCell ref="A9:F10"/>
    <mergeCell ref="A12:F13"/>
    <mergeCell ref="B4:C4"/>
    <mergeCell ref="A7:F7"/>
    <mergeCell ref="A15:F1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- 21 -</t>
        </is>
      </c>
    </row>
    <row r="2" ht="26" customHeight="1">
      <c r="G2" s="51" t="inlineStr">
        <is>
          <t>NOTE 6
SYSTEME NORMAL</t>
        </is>
      </c>
      <c r="H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D4" s="41" t="n"/>
      <c r="E4" s="41" t="n"/>
      <c r="G4" s="54" t="inlineStr">
        <is>
          <t>Sigle usuel :</t>
        </is>
      </c>
      <c r="H4" s="53" t="inlineStr"/>
    </row>
    <row r="5" ht="15" customHeight="1">
      <c r="A5" s="39" t="inlineStr">
        <is>
          <t>N° de compte contribuable (NCC) :</t>
        </is>
      </c>
      <c r="E5" s="39" t="inlineStr">
        <is>
          <t>Exercice clos le</t>
        </is>
      </c>
      <c r="G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6 : IMMOBILISATIONS FINANCIÈRES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À un an au plus</t>
        </is>
      </c>
      <c r="G8" s="2" t="inlineStr">
        <is>
          <t>À plus d'un an et deux ans au plus</t>
        </is>
      </c>
      <c r="H8" s="3" t="inlineStr">
        <is>
          <t>À plus de deux ans</t>
        </is>
      </c>
    </row>
    <row r="9">
      <c r="A9" s="119" t="inlineStr">
        <is>
          <t>Titres de participation</t>
        </is>
      </c>
      <c r="B9" s="120">
        <f>SUMIF('BALANCE N'!$A$2:$A$2000,"26*",'BALANCE N'!$G$2:$G$2000)-SUMIF('BALANCE N'!$A$2:$A$2000,"26*",'BALANCE N'!$H$2:$H$2000)</f>
        <v/>
      </c>
      <c r="C9" s="120">
        <f>SUMIF('BALANCE N-1'!$A$2:$A$2000,"26*",'BALANCE N-1'!$G$2:$G$2000)-SUMIF('BALANCE N-1'!$A$2:$A$2000,"26*",'BALANCE N-1'!$H$2:$H$2000)</f>
        <v/>
      </c>
      <c r="D9" s="120">
        <f>B9-C9</f>
        <v/>
      </c>
      <c r="E9" s="127">
        <f>IF(C9=0,"",(B9-C9)/C9)</f>
        <v/>
      </c>
      <c r="F9" s="119" t="n"/>
      <c r="G9" s="119" t="n"/>
      <c r="H9" s="119" t="n"/>
    </row>
    <row r="10">
      <c r="A10" s="119" t="inlineStr">
        <is>
          <t>Prêts et créances</t>
        </is>
      </c>
      <c r="B10" s="120">
        <f>SUMIF('BALANCE N'!$A$2:$A$2000,"271*",'BALANCE N'!$G$2:$G$2000)-SUMIF('BALANCE N'!$A$2:$A$2000,"271*",'BALANCE N'!$H$2:$H$2000)+SUMIF('BALANCE N'!$A$2:$A$2000,"278*",'BALANCE N'!$G$2:$G$2000)-SUMIF('BALANCE N'!$A$2:$A$2000,"278*",'BALANCE N'!$H$2:$H$2000)</f>
        <v/>
      </c>
      <c r="C10" s="120">
        <f>SUMIF('BALANCE N-1'!$A$2:$A$2000,"271*",'BALANCE N-1'!$G$2:$G$2000)-SUMIF('BALANCE N-1'!$A$2:$A$2000,"271*",'BALANCE N-1'!$H$2:$H$2000)+SUMIF('BALANCE N-1'!$A$2:$A$2000,"278*",'BALANCE N-1'!$G$2:$G$2000)-SUMIF('BALANCE N-1'!$A$2:$A$2000,"278*",'BALANCE N-1'!$H$2:$H$2000)</f>
        <v/>
      </c>
      <c r="D10" s="120">
        <f>B10-C10</f>
        <v/>
      </c>
      <c r="E10" s="127">
        <f>IF(C10=0,"",(B10-C10)/C10)</f>
        <v/>
      </c>
      <c r="F10" s="119" t="n"/>
      <c r="G10" s="119" t="n"/>
      <c r="H10" s="119" t="n"/>
    </row>
    <row r="11">
      <c r="A11" s="119" t="inlineStr">
        <is>
          <t>Prêt au personnel</t>
        </is>
      </c>
      <c r="B11" s="120">
        <f>SUMIF('BALANCE N'!$A$2:$A$2000,"272*",'BALANCE N'!$G$2:$G$2000)-SUMIF('BALANCE N'!$A$2:$A$2000,"272*",'BALANCE N'!$H$2:$H$2000)</f>
        <v/>
      </c>
      <c r="C11" s="120">
        <f>SUMIF('BALANCE N-1'!$A$2:$A$2000,"272*",'BALANCE N-1'!$G$2:$G$2000)-SUMIF('BALANCE N-1'!$A$2:$A$2000,"272*",'BALANCE N-1'!$H$2:$H$2000)</f>
        <v/>
      </c>
      <c r="D11" s="120">
        <f>B11-C11</f>
        <v/>
      </c>
      <c r="E11" s="127">
        <f>IF(C11=0,"",(B11-C11)/C11)</f>
        <v/>
      </c>
      <c r="F11" s="119" t="n"/>
      <c r="G11" s="119" t="n"/>
      <c r="H11" s="119" t="n"/>
    </row>
    <row r="12">
      <c r="A12" s="119" t="inlineStr">
        <is>
          <t>Créances sur l'État</t>
        </is>
      </c>
      <c r="B12" s="120">
        <f>SUMIF('BALANCE N'!$A$2:$A$2000,"273*",'BALANCE N'!$G$2:$G$2000)-SUMIF('BALANCE N'!$A$2:$A$2000,"273*",'BALANCE N'!$H$2:$H$2000)</f>
        <v/>
      </c>
      <c r="C12" s="120">
        <f>SUMIF('BALANCE N-1'!$A$2:$A$2000,"273*",'BALANCE N-1'!$G$2:$G$2000)-SUMIF('BALANCE N-1'!$A$2:$A$2000,"273*",'BALANCE N-1'!$H$2:$H$2000)</f>
        <v/>
      </c>
      <c r="D12" s="120">
        <f>B12-C12</f>
        <v/>
      </c>
      <c r="E12" s="127">
        <f>IF(C12=0,"",(B12-C12)/C12)</f>
        <v/>
      </c>
      <c r="F12" s="119" t="n"/>
      <c r="G12" s="119" t="n"/>
      <c r="H12" s="119" t="n"/>
    </row>
    <row r="13">
      <c r="A13" s="119" t="inlineStr">
        <is>
          <t>Titres immobilisés</t>
        </is>
      </c>
      <c r="B13" s="120">
        <f>SUMIF('BALANCE N'!$A$2:$A$2000,"274*",'BALANCE N'!$G$2:$G$2000)-SUMIF('BALANCE N'!$A$2:$A$2000,"274*",'BALANCE N'!$H$2:$H$2000)</f>
        <v/>
      </c>
      <c r="C13" s="120">
        <f>SUMIF('BALANCE N-1'!$A$2:$A$2000,"274*",'BALANCE N-1'!$G$2:$G$2000)-SUMIF('BALANCE N-1'!$A$2:$A$2000,"274*",'BALANCE N-1'!$H$2:$H$2000)</f>
        <v/>
      </c>
      <c r="D13" s="120">
        <f>B13-C13</f>
        <v/>
      </c>
      <c r="E13" s="127">
        <f>IF(C13=0,"",(B13-C13)/C13)</f>
        <v/>
      </c>
      <c r="F13" s="119" t="n"/>
      <c r="G13" s="119" t="n"/>
      <c r="H13" s="119" t="n"/>
    </row>
    <row r="14">
      <c r="A14" s="119" t="inlineStr">
        <is>
          <t>Dépôts et cautionnements</t>
        </is>
      </c>
      <c r="B14" s="120">
        <f>SUMIF('BALANCE N'!$A$2:$A$2000,"275*",'BALANCE N'!$G$2:$G$2000)-SUMIF('BALANCE N'!$A$2:$A$2000,"275*",'BALANCE N'!$H$2:$H$2000)</f>
        <v/>
      </c>
      <c r="C14" s="120">
        <f>SUMIF('BALANCE N-1'!$A$2:$A$2000,"275*",'BALANCE N-1'!$G$2:$G$2000)-SUMIF('BALANCE N-1'!$A$2:$A$2000,"275*",'BALANCE N-1'!$H$2:$H$2000)</f>
        <v/>
      </c>
      <c r="D14" s="120">
        <f>B14-C14</f>
        <v/>
      </c>
      <c r="E14" s="127">
        <f>IF(C14=0,"",(B14-C14)/C14)</f>
        <v/>
      </c>
      <c r="F14" s="119" t="n"/>
      <c r="G14" s="119" t="n"/>
      <c r="H14" s="119" t="n"/>
    </row>
    <row r="15">
      <c r="A15" s="119" t="inlineStr">
        <is>
          <t>Intérêts courus</t>
        </is>
      </c>
      <c r="B15" s="120">
        <f>SUMIF('BALANCE N'!$A$2:$A$2000,"276*",'BALANCE N'!$G$2:$G$2000)-SUMIF('BALANCE N'!$A$2:$A$2000,"276*",'BALANCE N'!$H$2:$H$2000)</f>
        <v/>
      </c>
      <c r="C15" s="120">
        <f>SUMIF('BALANCE N-1'!$A$2:$A$2000,"276*",'BALANCE N-1'!$G$2:$G$2000)-SUMIF('BALANCE N-1'!$A$2:$A$2000,"276*",'BALANCE N-1'!$H$2:$H$2000)</f>
        <v/>
      </c>
      <c r="D15" s="120">
        <f>B15-C15</f>
        <v/>
      </c>
      <c r="E15" s="127">
        <f>IF(C15=0,"",(B15-C15)/C15)</f>
        <v/>
      </c>
      <c r="F15" s="119" t="n"/>
      <c r="G15" s="119" t="n"/>
      <c r="H15" s="119" t="n"/>
    </row>
    <row r="16">
      <c r="A16" s="6" t="inlineStr">
        <is>
          <t>TOTAL BRUT</t>
        </is>
      </c>
      <c r="B16" s="7">
        <f>SUM(B9:B15)</f>
        <v/>
      </c>
      <c r="C16" s="7">
        <f>SUM(C9:C15)</f>
        <v/>
      </c>
      <c r="D16" s="7">
        <f>B16-C16</f>
        <v/>
      </c>
      <c r="E16" s="128">
        <f>IF(C16=0,"",(B16-C16)/C16)</f>
        <v/>
      </c>
      <c r="F16" s="7" t="n"/>
      <c r="G16" s="7" t="n"/>
      <c r="H16" s="7" t="n"/>
    </row>
    <row r="17">
      <c r="A17" s="119" t="inlineStr">
        <is>
          <t>Dépréciations des titres de participation</t>
        </is>
      </c>
      <c r="B17" s="120">
        <f>SUMIF('BALANCE N'!$A$2:$A$2000,"296*",'BALANCE N'!$H$2:$H$2000)-SUMIF('BALANCE N'!$A$2:$A$2000,"296*",'BALANCE N'!$G$2:$G$2000)</f>
        <v/>
      </c>
      <c r="C17" s="120">
        <f>SUMIF('BALANCE N-1'!$A$2:$A$2000,"296*",'BALANCE N-1'!$H$2:$H$2000)-SUMIF('BALANCE N-1'!$A$2:$A$2000,"296*",'BALANCE N-1'!$G$2:$G$2000)</f>
        <v/>
      </c>
      <c r="D17" s="120">
        <f>B17-C17</f>
        <v/>
      </c>
      <c r="E17" s="127">
        <f>IF(C17=0,"",(B17-C17)/C17)</f>
        <v/>
      </c>
      <c r="F17" s="119" t="n"/>
      <c r="G17" s="119" t="n"/>
      <c r="H17" s="119" t="n"/>
    </row>
    <row r="18">
      <c r="A18" s="119" t="inlineStr">
        <is>
          <t>Dépréciations des autres immobilisations financières</t>
        </is>
      </c>
      <c r="B18" s="120">
        <f>SUMIF('BALANCE N'!$A$2:$A$2000,"297*",'BALANCE N'!$H$2:$H$2000)-SUMIF('BALANCE N'!$A$2:$A$2000,"297*",'BALANCE N'!$G$2:$G$2000)</f>
        <v/>
      </c>
      <c r="C18" s="120">
        <f>SUMIF('BALANCE N-1'!$A$2:$A$2000,"297*",'BALANCE N-1'!$H$2:$H$2000)-SUMIF('BALANCE N-1'!$A$2:$A$2000,"297*",'BALANCE N-1'!$G$2:$G$2000)</f>
        <v/>
      </c>
      <c r="D18" s="120">
        <f>B18-C18</f>
        <v/>
      </c>
      <c r="E18" s="127">
        <f>IF(C18=0,"",(B18-C18)/C18)</f>
        <v/>
      </c>
      <c r="F18" s="119" t="n"/>
      <c r="G18" s="119" t="n"/>
      <c r="H18" s="119" t="n"/>
    </row>
    <row r="19">
      <c r="A19" s="6" t="inlineStr"/>
      <c r="B19" s="7">
        <f>SUM(B17:B18)</f>
        <v/>
      </c>
      <c r="C19" s="7">
        <f>SUM(C17:C18)</f>
        <v/>
      </c>
      <c r="D19" s="7">
        <f>B19-C19</f>
        <v/>
      </c>
      <c r="E19" s="128">
        <f>IF(C19=0,"",(B19-C19)/C19)</f>
        <v/>
      </c>
      <c r="F19" s="7" t="n"/>
      <c r="G19" s="7" t="n"/>
      <c r="H19" s="7" t="n"/>
    </row>
    <row r="20">
      <c r="A20" s="6" t="inlineStr">
        <is>
          <t>TOTAL NET DE DÉPRÉCIATIONS</t>
        </is>
      </c>
      <c r="B20" s="7">
        <f>B16-B19</f>
        <v/>
      </c>
      <c r="C20" s="7">
        <f>C16-C19</f>
        <v/>
      </c>
      <c r="D20" s="7">
        <f>B20-C20</f>
        <v/>
      </c>
      <c r="E20" s="128">
        <f>IF(C20=0,"",(B20-C20)/C20)</f>
        <v/>
      </c>
      <c r="F20" s="7" t="n"/>
      <c r="G20" s="7" t="n"/>
      <c r="H20" s="7" t="n"/>
    </row>
    <row r="21"/>
    <row r="22">
      <c r="A22" s="42" t="inlineStr">
        <is>
          <t>Commentaires :</t>
        </is>
      </c>
    </row>
    <row r="23">
      <c r="A23" s="123" t="inlineStr">
        <is>
          <t>• Justifier toute variation significative ; commenter les créances anciennes ; indiquer le nombre et la date d'acquisition des actions ou parts ; pour les dépréciations, indiquer les évènements et circonstances.</t>
        </is>
      </c>
    </row>
    <row r="24"/>
    <row r="25" ht="34" customHeight="1">
      <c r="A25" s="122">
        <f>IF(SUM(B9:B20,C9:C20,D9:D20,F16:F20,G16:G20,H16:H20)=0,"NÉANT","")</f>
        <v/>
      </c>
    </row>
    <row r="26" ht="34" customHeight="1"/>
    <row r="27" ht="34" customHeight="1"/>
  </sheetData>
  <mergeCells count="4">
    <mergeCell ref="A7:H7"/>
    <mergeCell ref="G2:H2"/>
    <mergeCell ref="A25:H27"/>
    <mergeCell ref="B4:E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- 22 -</t>
        </is>
      </c>
    </row>
    <row r="2" ht="26" customHeight="1">
      <c r="D2" s="51" t="inlineStr">
        <is>
          <t>NOTE 7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7 : ACTIF CIRCULANT ET DETTES CIRCULANTES HAO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24" t="inlineStr">
        <is>
          <t>ACTIF CIRCULANT HAO</t>
        </is>
      </c>
      <c r="B9" s="125" t="n"/>
      <c r="C9" s="125" t="n"/>
      <c r="D9" s="125" t="n"/>
      <c r="E9" s="129" t="n"/>
    </row>
    <row r="10">
      <c r="A10" s="119" t="inlineStr">
        <is>
          <t>Créances sur cessions d'immobilisations</t>
        </is>
      </c>
      <c r="B10" s="120">
        <f>SUMIF('BALANCE N'!$A$2:$A$2000,"485*",'BALANCE N'!$G$2:$G$2000)-SUMIF('BALANCE N'!$A$2:$A$2000,"485*",'BALANCE N'!$H$2:$H$2000)</f>
        <v/>
      </c>
      <c r="C10" s="120">
        <f>SUMIF('BALANCE N-1'!$A$2:$A$2000,"485*",'BALANCE N-1'!$G$2:$G$2000)-SUMIF('BALANCE N-1'!$A$2:$A$2000,"485*",'BALANCE N-1'!$H$2:$H$2000)</f>
        <v/>
      </c>
      <c r="D10" s="120">
        <f>B10-C10</f>
        <v/>
      </c>
      <c r="E10" s="127">
        <f>IF(C10=0,"",(B10-C10)/C10)</f>
        <v/>
      </c>
    </row>
    <row r="11">
      <c r="A11" s="119" t="inlineStr">
        <is>
          <t>Créances reçues par dons et legs d'immobilisations</t>
        </is>
      </c>
      <c r="B11" s="120">
        <f>SUMIF('BALANCE N'!$A$2:$A$2000,"4865*",'BALANCE N'!$G$2:$G$2000)-SUMIF('BALANCE N'!$A$2:$A$2000,"4865*",'BALANCE N'!$H$2:$H$2000)</f>
        <v/>
      </c>
      <c r="C11" s="120">
        <f>SUMIF('BALANCE N-1'!$A$2:$A$2000,"4865*",'BALANCE N-1'!$G$2:$G$2000)-SUMIF('BALANCE N-1'!$A$2:$A$2000,"4865*",'BALANCE N-1'!$H$2:$H$2000)</f>
        <v/>
      </c>
      <c r="D11" s="120">
        <f>B11-C11</f>
        <v/>
      </c>
      <c r="E11" s="127">
        <f>IF(C11=0,"",(B11-C11)/C11)</f>
        <v/>
      </c>
    </row>
    <row r="12">
      <c r="A12" s="6" t="inlineStr">
        <is>
          <t>TOTAL BRUT</t>
        </is>
      </c>
      <c r="B12" s="7">
        <f>SUM(B10:B11)</f>
        <v/>
      </c>
      <c r="C12" s="7">
        <f>SUM(C10:C11)</f>
        <v/>
      </c>
      <c r="D12" s="7">
        <f>B12-C12</f>
        <v/>
      </c>
      <c r="E12" s="128">
        <f>IF(C12=0,"",(B12-C12)/C12)</f>
        <v/>
      </c>
    </row>
    <row r="13">
      <c r="A13" s="119" t="inlineStr">
        <is>
          <t>Dépréciations des créances HAO</t>
        </is>
      </c>
      <c r="B13" s="120">
        <f>SUMIF('BALANCE N'!$A$2:$A$2000,"498*",'BALANCE N'!$H$2:$H$2000)-SUMIF('BALANCE N'!$A$2:$A$2000,"498*",'BALANCE N'!$G$2:$G$2000)</f>
        <v/>
      </c>
      <c r="C13" s="120">
        <f>SUMIF('BALANCE N-1'!$A$2:$A$2000,"498*",'BALANCE N-1'!$H$2:$H$2000)-SUMIF('BALANCE N-1'!$A$2:$A$2000,"498*",'BALANCE N-1'!$G$2:$G$2000)</f>
        <v/>
      </c>
      <c r="D13" s="120">
        <f>B13-C13</f>
        <v/>
      </c>
      <c r="E13" s="127">
        <f>IF(C13=0,"",(B13-C13)/C13)</f>
        <v/>
      </c>
    </row>
    <row r="14">
      <c r="A14" s="6" t="inlineStr"/>
      <c r="B14" s="7">
        <f>SUM(B13:B13)</f>
        <v/>
      </c>
      <c r="C14" s="7">
        <f>SUM(C13:C13)</f>
        <v/>
      </c>
      <c r="D14" s="7">
        <f>B14-C14</f>
        <v/>
      </c>
      <c r="E14" s="128">
        <f>IF(C14=0,"",(B14-C14)/C14)</f>
        <v/>
      </c>
    </row>
    <row r="15">
      <c r="A15" s="6" t="inlineStr">
        <is>
          <t>TOTAL NET DE DÉPRÉCIATIONS</t>
        </is>
      </c>
      <c r="B15" s="7">
        <f>B12-B14</f>
        <v/>
      </c>
      <c r="C15" s="7">
        <f>C12-C14</f>
        <v/>
      </c>
      <c r="D15" s="7">
        <f>B15-C15</f>
        <v/>
      </c>
      <c r="E15" s="128">
        <f>IF(C15=0,"",(B15-C15)/C15)</f>
        <v/>
      </c>
    </row>
    <row r="16">
      <c r="A16" s="119" t="n"/>
      <c r="B16" s="120" t="n"/>
      <c r="C16" s="120" t="n"/>
      <c r="D16" s="120" t="n"/>
      <c r="E16" s="119" t="n"/>
    </row>
    <row r="17">
      <c r="A17" s="124" t="inlineStr">
        <is>
          <t>DETTES CIRCULANTES HAO</t>
        </is>
      </c>
      <c r="B17" s="125" t="n"/>
      <c r="C17" s="125" t="n"/>
      <c r="D17" s="125" t="n"/>
      <c r="E17" s="129" t="n"/>
    </row>
    <row r="18">
      <c r="A18" s="119" t="inlineStr">
        <is>
          <t>Fournisseurs d'investissements</t>
        </is>
      </c>
      <c r="B18" s="120">
        <f>SUMIF('BALANCE N'!$A$2:$A$2000,"481*",'BALANCE N'!$H$2:$H$2000)-SUMIF('BALANCE N'!$A$2:$A$2000,"481*",'BALANCE N'!$G$2:$G$2000)</f>
        <v/>
      </c>
      <c r="C18" s="120">
        <f>SUMIF('BALANCE N-1'!$A$2:$A$2000,"481*",'BALANCE N-1'!$H$2:$H$2000)-SUMIF('BALANCE N-1'!$A$2:$A$2000,"481*",'BALANCE N-1'!$G$2:$G$2000)</f>
        <v/>
      </c>
      <c r="D18" s="120">
        <f>B18-C18</f>
        <v/>
      </c>
      <c r="E18" s="127">
        <f>IF(C18=0,"",(B18-C18)/C18)</f>
        <v/>
      </c>
    </row>
    <row r="19">
      <c r="A19" s="119" t="inlineStr">
        <is>
          <t>Dettes des dons et legs d'immobilisations</t>
        </is>
      </c>
      <c r="B19" s="120">
        <f>SUMIF('BALANCE N'!$A$2:$A$2000,"4861*",'BALANCE N'!$H$2:$H$2000)-SUMIF('BALANCE N'!$A$2:$A$2000,"4861*",'BALANCE N'!$G$2:$G$2000)</f>
        <v/>
      </c>
      <c r="C19" s="120">
        <f>SUMIF('BALANCE N-1'!$A$2:$A$2000,"4861*",'BALANCE N-1'!$H$2:$H$2000)-SUMIF('BALANCE N-1'!$A$2:$A$2000,"4861*",'BALANCE N-1'!$G$2:$G$2000)</f>
        <v/>
      </c>
      <c r="D19" s="120">
        <f>B19-C19</f>
        <v/>
      </c>
      <c r="E19" s="127">
        <f>IF(C19=0,"",(B19-C19)/C19)</f>
        <v/>
      </c>
    </row>
    <row r="20">
      <c r="A20" s="119" t="inlineStr">
        <is>
          <t>Créditeurs, dons nature HAO non consommés</t>
        </is>
      </c>
      <c r="B20" s="120">
        <f>SUMIF('BALANCE N'!$A$2:$A$2000,"4881*",'BALANCE N'!$H$2:$H$2000)-SUMIF('BALANCE N'!$A$2:$A$2000,"4881*",'BALANCE N'!$G$2:$G$2000)</f>
        <v/>
      </c>
      <c r="C20" s="120">
        <f>SUMIF('BALANCE N-1'!$A$2:$A$2000,"4881*",'BALANCE N-1'!$H$2:$H$2000)-SUMIF('BALANCE N-1'!$A$2:$A$2000,"4881*",'BALANCE N-1'!$G$2:$G$2000)</f>
        <v/>
      </c>
      <c r="D20" s="120">
        <f>B20-C20</f>
        <v/>
      </c>
      <c r="E20" s="127">
        <f>IF(C20=0,"",(B20-C20)/C20)</f>
        <v/>
      </c>
    </row>
    <row r="21">
      <c r="A21" s="119" t="inlineStr">
        <is>
          <t>Autres dettes hors activités ordinaires</t>
        </is>
      </c>
      <c r="B21" s="120">
        <f>SUMIF('BALANCE N'!$A$2:$A$2000,"484*",'BALANCE N'!$H$2:$H$2000)-SUMIF('BALANCE N'!$A$2:$A$2000,"484*",'BALANCE N'!$G$2:$G$2000)+SUMIF('BALANCE N'!$A$2:$A$2000,"488*",'BALANCE N'!$H$2:$H$2000)-SUMIF('BALANCE N'!$A$2:$A$2000,"488*",'BALANCE N'!$G$2:$G$2000)+SUMIF('BALANCE N'!$A$2:$A$2000,"4998*",'BALANCE N'!$H$2:$H$2000)-SUMIF('BALANCE N'!$A$2:$A$2000,"4998*",'BALANCE N'!$G$2:$G$2000)-SUMIF('BALANCE N'!$A$2:$A$2000,"4881*",'BALANCE N'!$H$2:$H$2000)+SUMIF('BALANCE N'!$A$2:$A$2000,"4881*",'BALANCE N'!$G$2:$G$2000)</f>
        <v/>
      </c>
      <c r="C21" s="120">
        <f>SUMIF('BALANCE N-1'!$A$2:$A$2000,"484*",'BALANCE N-1'!$H$2:$H$2000)-SUMIF('BALANCE N-1'!$A$2:$A$2000,"484*",'BALANCE N-1'!$G$2:$G$2000)+SUMIF('BALANCE N-1'!$A$2:$A$2000,"488*",'BALANCE N-1'!$H$2:$H$2000)-SUMIF('BALANCE N-1'!$A$2:$A$2000,"488*",'BALANCE N-1'!$G$2:$G$2000)+SUMIF('BALANCE N-1'!$A$2:$A$2000,"4998*",'BALANCE N-1'!$H$2:$H$2000)-SUMIF('BALANCE N-1'!$A$2:$A$2000,"4998*",'BALANCE N-1'!$G$2:$G$2000)-SUMIF('BALANCE N-1'!$A$2:$A$2000,"4881*",'BALANCE N-1'!$H$2:$H$2000)+SUMIF('BALANCE N-1'!$A$2:$A$2000,"4881*",'BALANCE N-1'!$G$2:$G$2000)</f>
        <v/>
      </c>
      <c r="D21" s="120">
        <f>B21-C21</f>
        <v/>
      </c>
      <c r="E21" s="127">
        <f>IF(C21=0,"",(B21-C21)/C21)</f>
        <v/>
      </c>
    </row>
    <row r="22">
      <c r="A22" s="6" t="inlineStr">
        <is>
          <t>TOTAL DETTES CIRCULANTES HAO</t>
        </is>
      </c>
      <c r="B22" s="7">
        <f>SUM(B18:B21)</f>
        <v/>
      </c>
      <c r="C22" s="7">
        <f>SUM(C18:C21)</f>
        <v/>
      </c>
      <c r="D22" s="7">
        <f>B22-C22</f>
        <v/>
      </c>
      <c r="E22" s="128">
        <f>IF(C22=0,"",(B22-C22)/C22)</f>
        <v/>
      </c>
    </row>
    <row r="23"/>
    <row r="24">
      <c r="A24" s="42" t="inlineStr">
        <is>
          <t>Commentaires :</t>
        </is>
      </c>
    </row>
    <row r="25">
      <c r="A25" s="123" t="inlineStr">
        <is>
          <t>• Commenter toute variation significative ; indiquer la date et la nature de l'immobilisation achetée et/ou cédée.</t>
        </is>
      </c>
    </row>
    <row r="26"/>
    <row r="27" ht="34" customHeight="1">
      <c r="A27" s="122">
        <f>IF(SUM(B9:B22,C9:C22,D9:D22)=0,"NÉANT","")</f>
        <v/>
      </c>
    </row>
    <row r="28" ht="34" customHeight="1"/>
    <row r="29" ht="34" customHeight="1"/>
  </sheetData>
  <mergeCells count="3">
    <mergeCell ref="A7:E7"/>
    <mergeCell ref="A27:E29"/>
    <mergeCell ref="D2:E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- 23 -</t>
        </is>
      </c>
    </row>
    <row r="2" ht="26" customHeight="1">
      <c r="D2" s="51" t="inlineStr">
        <is>
          <t>NOTE 8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8 : STOCKS ET ENCOURS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9" t="inlineStr">
        <is>
          <t>Biens et services liés à l'activité</t>
        </is>
      </c>
      <c r="B9" s="120">
        <f>SUMIF('BALANCE N'!$A$2:$A$2000,"31*",'BALANCE N'!$G$2:$G$2000)-SUMIF('BALANCE N'!$A$2:$A$2000,"31*",'BALANCE N'!$H$2:$H$2000)</f>
        <v/>
      </c>
      <c r="C9" s="120">
        <f>SUMIF('BALANCE N-1'!$A$2:$A$2000,"31*",'BALANCE N-1'!$G$2:$G$2000)-SUMIF('BALANCE N-1'!$A$2:$A$2000,"31*",'BALANCE N-1'!$H$2:$H$2000)</f>
        <v/>
      </c>
      <c r="D9" s="120">
        <f>B9-C9</f>
        <v/>
      </c>
      <c r="E9" s="127">
        <f>IF(C9=0,"",(B9-C9)/C9)</f>
        <v/>
      </c>
    </row>
    <row r="10">
      <c r="A10" s="119" t="inlineStr">
        <is>
          <t>Marchandises, matières premières</t>
        </is>
      </c>
      <c r="B10" s="120">
        <f>SUMIF('BALANCE N'!$A$2:$A$2000,"32*",'BALANCE N'!$G$2:$G$2000)-SUMIF('BALANCE N'!$A$2:$A$2000,"32*",'BALANCE N'!$H$2:$H$2000)</f>
        <v/>
      </c>
      <c r="C10" s="120">
        <f>SUMIF('BALANCE N-1'!$A$2:$A$2000,"32*",'BALANCE N-1'!$G$2:$G$2000)-SUMIF('BALANCE N-1'!$A$2:$A$2000,"32*",'BALANCE N-1'!$H$2:$H$2000)</f>
        <v/>
      </c>
      <c r="D10" s="120">
        <f>B10-C10</f>
        <v/>
      </c>
      <c r="E10" s="127">
        <f>IF(C10=0,"",(B10-C10)/C10)</f>
        <v/>
      </c>
    </row>
    <row r="11">
      <c r="A11" s="119" t="inlineStr">
        <is>
          <t>Autres approvisionnements</t>
        </is>
      </c>
      <c r="B11" s="120">
        <f>SUMIF('BALANCE N'!$A$2:$A$2000,"33*",'BALANCE N'!$G$2:$G$2000)-SUMIF('BALANCE N'!$A$2:$A$2000,"33*",'BALANCE N'!$H$2:$H$2000)</f>
        <v/>
      </c>
      <c r="C11" s="120">
        <f>SUMIF('BALANCE N-1'!$A$2:$A$2000,"33*",'BALANCE N-1'!$G$2:$G$2000)-SUMIF('BALANCE N-1'!$A$2:$A$2000,"33*",'BALANCE N-1'!$H$2:$H$2000)</f>
        <v/>
      </c>
      <c r="D11" s="120">
        <f>B11-C11</f>
        <v/>
      </c>
      <c r="E11" s="127">
        <f>IF(C11=0,"",(B11-C11)/C11)</f>
        <v/>
      </c>
    </row>
    <row r="12">
      <c r="A12" s="119" t="inlineStr">
        <is>
          <t>Dons en nature</t>
        </is>
      </c>
      <c r="B12" s="120">
        <f>SUMIF('BALANCE N'!$A$2:$A$2000,"34*",'BALANCE N'!$G$2:$G$2000)-SUMIF('BALANCE N'!$A$2:$A$2000,"34*",'BALANCE N'!$H$2:$H$2000)</f>
        <v/>
      </c>
      <c r="C12" s="120">
        <f>SUMIF('BALANCE N-1'!$A$2:$A$2000,"34*",'BALANCE N-1'!$G$2:$G$2000)-SUMIF('BALANCE N-1'!$A$2:$A$2000,"34*",'BALANCE N-1'!$H$2:$H$2000)</f>
        <v/>
      </c>
      <c r="D12" s="120">
        <f>B12-C12</f>
        <v/>
      </c>
      <c r="E12" s="127">
        <f>IF(C12=0,"",(B12-C12)/C12)</f>
        <v/>
      </c>
    </row>
    <row r="13">
      <c r="A13" s="119" t="inlineStr">
        <is>
          <t>Produits finis et en cours</t>
        </is>
      </c>
      <c r="B13" s="120">
        <f>SUMIF('BALANCE N'!$A$2:$A$2000,"35*",'BALANCE N'!$G$2:$G$2000)-SUMIF('BALANCE N'!$A$2:$A$2000,"35*",'BALANCE N'!$H$2:$H$2000)+SUMIF('BALANCE N'!$A$2:$A$2000,"36*",'BALANCE N'!$G$2:$G$2000)-SUMIF('BALANCE N'!$A$2:$A$2000,"36*",'BALANCE N'!$H$2:$H$2000)</f>
        <v/>
      </c>
      <c r="C13" s="120">
        <f>SUMIF('BALANCE N-1'!$A$2:$A$2000,"35*",'BALANCE N-1'!$G$2:$G$2000)-SUMIF('BALANCE N-1'!$A$2:$A$2000,"35*",'BALANCE N-1'!$H$2:$H$2000)+SUMIF('BALANCE N-1'!$A$2:$A$2000,"36*",'BALANCE N-1'!$G$2:$G$2000)-SUMIF('BALANCE N-1'!$A$2:$A$2000,"36*",'BALANCE N-1'!$H$2:$H$2000)</f>
        <v/>
      </c>
      <c r="D13" s="120">
        <f>B13-C13</f>
        <v/>
      </c>
      <c r="E13" s="127">
        <f>IF(C13=0,"",(B13-C13)/C13)</f>
        <v/>
      </c>
    </row>
    <row r="14">
      <c r="A14" s="119" t="inlineStr">
        <is>
          <t>Dons en nature HAO</t>
        </is>
      </c>
      <c r="B14" s="120">
        <f>SUMIF('BALANCE N'!$A$2:$A$2000,"38*",'BALANCE N'!$G$2:$G$2000)-SUMIF('BALANCE N'!$A$2:$A$2000,"38*",'BALANCE N'!$H$2:$H$2000)</f>
        <v/>
      </c>
      <c r="C14" s="120">
        <f>SUMIF('BALANCE N-1'!$A$2:$A$2000,"38*",'BALANCE N-1'!$G$2:$G$2000)-SUMIF('BALANCE N-1'!$A$2:$A$2000,"38*",'BALANCE N-1'!$H$2:$H$2000)</f>
        <v/>
      </c>
      <c r="D14" s="120">
        <f>B14-C14</f>
        <v/>
      </c>
      <c r="E14" s="127">
        <f>IF(C14=0,"",(B14-C14)/C14)</f>
        <v/>
      </c>
    </row>
    <row r="15">
      <c r="A15" s="119" t="inlineStr">
        <is>
          <t>Stocks en cours de route, en consignation ou en dépôt</t>
        </is>
      </c>
      <c r="B15" s="120">
        <f>SUMIF('BALANCE N'!$A$2:$A$2000,"37*",'BALANCE N'!$G$2:$G$2000)-SUMIF('BALANCE N'!$A$2:$A$2000,"37*",'BALANCE N'!$H$2:$H$2000)</f>
        <v/>
      </c>
      <c r="C15" s="120">
        <f>SUMIF('BALANCE N-1'!$A$2:$A$2000,"37*",'BALANCE N-1'!$G$2:$G$2000)-SUMIF('BALANCE N-1'!$A$2:$A$2000,"37*",'BALANCE N-1'!$H$2:$H$2000)</f>
        <v/>
      </c>
      <c r="D15" s="120">
        <f>B15-C15</f>
        <v/>
      </c>
      <c r="E15" s="127">
        <f>IF(C15=0,"",(B15-C15)/C15)</f>
        <v/>
      </c>
    </row>
    <row r="16">
      <c r="A16" s="6" t="inlineStr">
        <is>
          <t>TOTAL STOCKS ET ENCOURS</t>
        </is>
      </c>
      <c r="B16" s="7">
        <f>SUM(B9:B15)</f>
        <v/>
      </c>
      <c r="C16" s="7">
        <f>SUM(C9:C15)</f>
        <v/>
      </c>
      <c r="D16" s="7">
        <f>B16-C16</f>
        <v/>
      </c>
      <c r="E16" s="128">
        <f>IF(C16=0,"",(B16-C16)/C16)</f>
        <v/>
      </c>
    </row>
    <row r="17">
      <c r="A17" s="119" t="inlineStr">
        <is>
          <t>Dépréciations des stocks</t>
        </is>
      </c>
      <c r="B17" s="120">
        <f>SUMIF('BALANCE N'!$A$2:$A$2000,"39*",'BALANCE N'!$H$2:$H$2000)-SUMIF('BALANCE N'!$A$2:$A$2000,"39*",'BALANCE N'!$G$2:$G$2000)</f>
        <v/>
      </c>
      <c r="C17" s="120">
        <f>SUMIF('BALANCE N-1'!$A$2:$A$2000,"39*",'BALANCE N-1'!$H$2:$H$2000)-SUMIF('BALANCE N-1'!$A$2:$A$2000,"39*",'BALANCE N-1'!$G$2:$G$2000)</f>
        <v/>
      </c>
      <c r="D17" s="120">
        <f>B17-C17</f>
        <v/>
      </c>
      <c r="E17" s="127">
        <f>IF(C17=0,"",(B17-C17)/C17)</f>
        <v/>
      </c>
    </row>
    <row r="18">
      <c r="A18" s="6" t="inlineStr"/>
      <c r="B18" s="7">
        <f>SUM(B17:B17)</f>
        <v/>
      </c>
      <c r="C18" s="7">
        <f>SUM(C17:C17)</f>
        <v/>
      </c>
      <c r="D18" s="7">
        <f>B18-C18</f>
        <v/>
      </c>
      <c r="E18" s="128">
        <f>IF(C18=0,"",(B18-C18)/C18)</f>
        <v/>
      </c>
    </row>
    <row r="19">
      <c r="A19" s="6" t="inlineStr">
        <is>
          <t>TOTAL NET DE DÉPRÉCIATIONS</t>
        </is>
      </c>
      <c r="B19" s="7">
        <f>B16-B18</f>
        <v/>
      </c>
      <c r="C19" s="7">
        <f>C16-C18</f>
        <v/>
      </c>
      <c r="D19" s="7">
        <f>B19-C19</f>
        <v/>
      </c>
      <c r="E19" s="128">
        <f>IF(C19=0,"",(B19-C19)/C19)</f>
        <v/>
      </c>
    </row>
    <row r="20"/>
    <row r="21">
      <c r="A21" s="42" t="inlineStr">
        <is>
          <t>Commentaires :</t>
        </is>
      </c>
    </row>
    <row r="22">
      <c r="A22" s="123" t="inlineStr">
        <is>
          <t>• Indiquer la date de prise d'inventaire, la procédure et les méthodes d'évaluation ; commenter toute variation significative ; détailler les stocks dépréciés.</t>
        </is>
      </c>
    </row>
    <row r="23"/>
    <row r="24" ht="34" customHeight="1">
      <c r="A24" s="122">
        <f>IF(SUM(B9:B19,C9:C19,D9:D19)=0,"NÉANT","")</f>
        <v/>
      </c>
    </row>
    <row r="25" ht="34" customHeight="1"/>
    <row r="26" ht="34" customHeight="1"/>
  </sheetData>
  <mergeCells count="3">
    <mergeCell ref="A7:E7"/>
    <mergeCell ref="A24:E26"/>
    <mergeCell ref="D2:E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- 24 -</t>
        </is>
      </c>
    </row>
    <row r="2" ht="26" customHeight="1">
      <c r="G2" s="51" t="inlineStr">
        <is>
          <t>NOTE 9
SYSTEME NORMAL</t>
        </is>
      </c>
      <c r="H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D4" s="41" t="n"/>
      <c r="E4" s="41" t="n"/>
      <c r="G4" s="54" t="inlineStr">
        <is>
          <t>Sigle usuel :</t>
        </is>
      </c>
      <c r="H4" s="53" t="inlineStr"/>
    </row>
    <row r="5" ht="15" customHeight="1">
      <c r="A5" s="39" t="inlineStr">
        <is>
          <t>N° de compte contribuable (NCC) :</t>
        </is>
      </c>
      <c r="E5" s="39" t="inlineStr">
        <is>
          <t>Exercice clos le</t>
        </is>
      </c>
      <c r="G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9 : ADHÉRENTS, CLIENTS-USAGERS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À un an au plus</t>
        </is>
      </c>
      <c r="G8" s="2" t="inlineStr">
        <is>
          <t>À plus d'un an et deux ans au plus</t>
        </is>
      </c>
      <c r="H8" s="3" t="inlineStr">
        <is>
          <t>À plus de deux ans</t>
        </is>
      </c>
    </row>
    <row r="9">
      <c r="A9" s="119" t="inlineStr">
        <is>
          <t>Adhérents</t>
        </is>
      </c>
      <c r="B9" s="120">
        <f>SUMIF('BALANCE N'!$A$2:$A$2000,"411*",'BALANCE N'!$G$2:$G$2000)-SUMIF('BALANCE N'!$A$2:$A$2000,"411*",'BALANCE N'!$H$2:$H$2000)</f>
        <v/>
      </c>
      <c r="C9" s="120">
        <f>SUMIF('BALANCE N-1'!$A$2:$A$2000,"411*",'BALANCE N-1'!$G$2:$G$2000)-SUMIF('BALANCE N-1'!$A$2:$A$2000,"411*",'BALANCE N-1'!$H$2:$H$2000)</f>
        <v/>
      </c>
      <c r="D9" s="120">
        <f>B9-C9</f>
        <v/>
      </c>
      <c r="E9" s="127">
        <f>IF(C9=0,"",(B9-C9)/C9)</f>
        <v/>
      </c>
      <c r="F9" s="119" t="n"/>
      <c r="G9" s="119" t="n"/>
      <c r="H9" s="119" t="n"/>
    </row>
    <row r="10">
      <c r="A10" s="119" t="inlineStr">
        <is>
          <t>Clients-usagers</t>
        </is>
      </c>
      <c r="B10" s="120">
        <f>SUMIF('BALANCE N'!$A$2:$A$2000,"412*",'BALANCE N'!$G$2:$G$2000)-SUMIF('BALANCE N'!$A$2:$A$2000,"412*",'BALANCE N'!$H$2:$H$2000)</f>
        <v/>
      </c>
      <c r="C10" s="120">
        <f>SUMIF('BALANCE N-1'!$A$2:$A$2000,"412*",'BALANCE N-1'!$G$2:$G$2000)-SUMIF('BALANCE N-1'!$A$2:$A$2000,"412*",'BALANCE N-1'!$H$2:$H$2000)</f>
        <v/>
      </c>
      <c r="D10" s="120">
        <f>B10-C10</f>
        <v/>
      </c>
      <c r="E10" s="127">
        <f>IF(C10=0,"",(B10-C10)/C10)</f>
        <v/>
      </c>
      <c r="F10" s="119" t="n"/>
      <c r="G10" s="119" t="n"/>
      <c r="H10" s="119" t="n"/>
    </row>
    <row r="11">
      <c r="A11" s="119" t="inlineStr">
        <is>
          <t>Adhérents, clients-usagers, chèques, effets et autres valeurs impayés</t>
        </is>
      </c>
      <c r="B11" s="120">
        <f>SUMIF('BALANCE N'!$A$2:$A$2000,"413*",'BALANCE N'!$G$2:$G$2000)-SUMIF('BALANCE N'!$A$2:$A$2000,"413*",'BALANCE N'!$H$2:$H$2000)</f>
        <v/>
      </c>
      <c r="C11" s="120">
        <f>SUMIF('BALANCE N-1'!$A$2:$A$2000,"413*",'BALANCE N-1'!$G$2:$G$2000)-SUMIF('BALANCE N-1'!$A$2:$A$2000,"413*",'BALANCE N-1'!$H$2:$H$2000)</f>
        <v/>
      </c>
      <c r="D11" s="120">
        <f>B11-C11</f>
        <v/>
      </c>
      <c r="E11" s="127">
        <f>IF(C11=0,"",(B11-C11)/C11)</f>
        <v/>
      </c>
      <c r="F11" s="119" t="n"/>
      <c r="G11" s="119" t="n"/>
      <c r="H11" s="119" t="n"/>
    </row>
    <row r="12">
      <c r="A12" s="119" t="inlineStr">
        <is>
          <t>Adhérents, créances litigieuses ou douteuses</t>
        </is>
      </c>
      <c r="B12" s="120">
        <f>SUMIF('BALANCE N'!$A$2:$A$2000,"416*",'BALANCE N'!$G$2:$G$2000)-SUMIF('BALANCE N'!$A$2:$A$2000,"416*",'BALANCE N'!$H$2:$H$2000)</f>
        <v/>
      </c>
      <c r="C12" s="120">
        <f>SUMIF('BALANCE N-1'!$A$2:$A$2000,"416*",'BALANCE N-1'!$G$2:$G$2000)-SUMIF('BALANCE N-1'!$A$2:$A$2000,"416*",'BALANCE N-1'!$H$2:$H$2000)</f>
        <v/>
      </c>
      <c r="D12" s="120">
        <f>B12-C12</f>
        <v/>
      </c>
      <c r="E12" s="127">
        <f>IF(C12=0,"",(B12-C12)/C12)</f>
        <v/>
      </c>
      <c r="F12" s="119" t="n"/>
      <c r="G12" s="119" t="n"/>
      <c r="H12" s="119" t="n"/>
    </row>
    <row r="13">
      <c r="A13" s="119" t="inlineStr">
        <is>
          <t>Adhérents, clients-usagers, produits à recevoir</t>
        </is>
      </c>
      <c r="B13" s="120">
        <f>SUMIF('BALANCE N'!$A$2:$A$2000,"418*",'BALANCE N'!$G$2:$G$2000)-SUMIF('BALANCE N'!$A$2:$A$2000,"418*",'BALANCE N'!$H$2:$H$2000)</f>
        <v/>
      </c>
      <c r="C13" s="120">
        <f>SUMIF('BALANCE N-1'!$A$2:$A$2000,"418*",'BALANCE N-1'!$G$2:$G$2000)-SUMIF('BALANCE N-1'!$A$2:$A$2000,"418*",'BALANCE N-1'!$H$2:$H$2000)</f>
        <v/>
      </c>
      <c r="D13" s="120">
        <f>B13-C13</f>
        <v/>
      </c>
      <c r="E13" s="127">
        <f>IF(C13=0,"",(B13-C13)/C13)</f>
        <v/>
      </c>
      <c r="F13" s="119" t="n"/>
      <c r="G13" s="119" t="n"/>
      <c r="H13" s="119" t="n"/>
    </row>
    <row r="14">
      <c r="A14" s="6" t="inlineStr">
        <is>
          <t>TOTAL BRUT ADHÉRENTS, CLIENTS-USAGERS</t>
        </is>
      </c>
      <c r="B14" s="7">
        <f>SUM(B9:B13)</f>
        <v/>
      </c>
      <c r="C14" s="7">
        <f>SUM(C9:C13)</f>
        <v/>
      </c>
      <c r="D14" s="7">
        <f>B14-C14</f>
        <v/>
      </c>
      <c r="E14" s="128">
        <f>IF(C14=0,"",(B14-C14)/C14)</f>
        <v/>
      </c>
      <c r="F14" s="7" t="n"/>
      <c r="G14" s="7" t="n"/>
      <c r="H14" s="7" t="n"/>
    </row>
    <row r="15">
      <c r="A15" s="119" t="inlineStr">
        <is>
          <t>Dépréciations des comptes adhérents et clients-usagers</t>
        </is>
      </c>
      <c r="B15" s="120">
        <f>SUMIF('BALANCE N'!$A$2:$A$2000,"491*",'BALANCE N'!$H$2:$H$2000)-SUMIF('BALANCE N'!$A$2:$A$2000,"491*",'BALANCE N'!$G$2:$G$2000)</f>
        <v/>
      </c>
      <c r="C15" s="120">
        <f>SUMIF('BALANCE N-1'!$A$2:$A$2000,"491*",'BALANCE N-1'!$H$2:$H$2000)-SUMIF('BALANCE N-1'!$A$2:$A$2000,"491*",'BALANCE N-1'!$G$2:$G$2000)</f>
        <v/>
      </c>
      <c r="D15" s="120">
        <f>B15-C15</f>
        <v/>
      </c>
      <c r="E15" s="127">
        <f>IF(C15=0,"",(B15-C15)/C15)</f>
        <v/>
      </c>
      <c r="F15" s="119" t="n"/>
      <c r="G15" s="119" t="n"/>
      <c r="H15" s="119" t="n"/>
    </row>
    <row r="16">
      <c r="A16" s="6" t="inlineStr"/>
      <c r="B16" s="7">
        <f>SUM(B15:B15)</f>
        <v/>
      </c>
      <c r="C16" s="7">
        <f>SUM(C15:C15)</f>
        <v/>
      </c>
      <c r="D16" s="7">
        <f>B16-C16</f>
        <v/>
      </c>
      <c r="E16" s="128">
        <f>IF(C16=0,"",(B16-C16)/C16)</f>
        <v/>
      </c>
      <c r="F16" s="7" t="n"/>
      <c r="G16" s="7" t="n"/>
      <c r="H16" s="7" t="n"/>
    </row>
    <row r="17">
      <c r="A17" s="6" t="inlineStr">
        <is>
          <t>TOTAL NET DE DÉPRÉCIATIONS</t>
        </is>
      </c>
      <c r="B17" s="7">
        <f>B14-B16</f>
        <v/>
      </c>
      <c r="C17" s="7">
        <f>C14-C16</f>
        <v/>
      </c>
      <c r="D17" s="7">
        <f>B17-C17</f>
        <v/>
      </c>
      <c r="E17" s="128">
        <f>IF(C17=0,"",(B17-C17)/C17)</f>
        <v/>
      </c>
      <c r="F17" s="7" t="n"/>
      <c r="G17" s="7" t="n"/>
      <c r="H17" s="7" t="n"/>
    </row>
    <row r="18">
      <c r="A18" s="119" t="n"/>
      <c r="B18" s="120" t="n"/>
      <c r="C18" s="120" t="n"/>
      <c r="D18" s="120" t="n"/>
      <c r="E18" s="119" t="n"/>
      <c r="F18" s="119" t="n"/>
      <c r="G18" s="119" t="n"/>
      <c r="H18" s="119" t="n"/>
    </row>
    <row r="19">
      <c r="A19" s="119" t="inlineStr">
        <is>
          <t>Adhérents, avances reçues</t>
        </is>
      </c>
      <c r="B19" s="120">
        <f>SUMIF('BALANCE N'!$A$2:$A$2000,"4191*",'BALANCE N'!$H$2:$H$2000)</f>
        <v/>
      </c>
      <c r="C19" s="120">
        <f>SUMIF('BALANCE N-1'!$A$2:$A$2000,"4191*",'BALANCE N-1'!$H$2:$H$2000)</f>
        <v/>
      </c>
      <c r="D19" s="120">
        <f>B19-C19</f>
        <v/>
      </c>
      <c r="E19" s="127">
        <f>IF(C19=0,"",(B19-C19)/C19)</f>
        <v/>
      </c>
      <c r="F19" s="119" t="n"/>
      <c r="G19" s="119" t="n"/>
      <c r="H19" s="119" t="n"/>
    </row>
    <row r="20">
      <c r="A20" s="119" t="inlineStr">
        <is>
          <t>Clients-usagers, avances et acomptes reçus</t>
        </is>
      </c>
      <c r="B20" s="120">
        <f>SUMIF('BALANCE N'!$A$2:$A$2000,"4192*",'BALANCE N'!$H$2:$H$2000)</f>
        <v/>
      </c>
      <c r="C20" s="120">
        <f>SUMIF('BALANCE N-1'!$A$2:$A$2000,"4192*",'BALANCE N-1'!$H$2:$H$2000)</f>
        <v/>
      </c>
      <c r="D20" s="120">
        <f>B20-C20</f>
        <v/>
      </c>
      <c r="E20" s="127">
        <f>IF(C20=0,"",(B20-C20)/C20)</f>
        <v/>
      </c>
      <c r="F20" s="119" t="n"/>
      <c r="G20" s="119" t="n"/>
      <c r="H20" s="119" t="n"/>
    </row>
    <row r="21">
      <c r="A21" s="119" t="inlineStr">
        <is>
          <t>Autres clients créditeurs</t>
        </is>
      </c>
      <c r="B21" s="120">
        <f>SUMIF('BALANCE N'!$A$2:$A$2000,"419*",'BALANCE N'!$H$2:$H$2000)-SUMIF('BALANCE N'!$A$2:$A$2000,"4191*",'BALANCE N'!$H$2:$H$2000)-SUMIF('BALANCE N'!$A$2:$A$2000,"4192*",'BALANCE N'!$H$2:$H$2000)</f>
        <v/>
      </c>
      <c r="C21" s="120">
        <f>SUMIF('BALANCE N-1'!$A$2:$A$2000,"419*",'BALANCE N-1'!$H$2:$H$2000)-SUMIF('BALANCE N-1'!$A$2:$A$2000,"4191*",'BALANCE N-1'!$H$2:$H$2000)-SUMIF('BALANCE N-1'!$A$2:$A$2000,"4192*",'BALANCE N-1'!$H$2:$H$2000)</f>
        <v/>
      </c>
      <c r="D21" s="120">
        <f>B21-C21</f>
        <v/>
      </c>
      <c r="E21" s="127">
        <f>IF(C21=0,"",(B21-C21)/C21)</f>
        <v/>
      </c>
      <c r="F21" s="119" t="n"/>
      <c r="G21" s="119" t="n"/>
      <c r="H21" s="119" t="n"/>
    </row>
    <row r="22">
      <c r="A22" s="6" t="inlineStr">
        <is>
          <t>TOTAL CLIENTS CRÉDITEURS</t>
        </is>
      </c>
      <c r="B22" s="7">
        <f>SUM(B19:B21)</f>
        <v/>
      </c>
      <c r="C22" s="7">
        <f>SUM(C19:C21)</f>
        <v/>
      </c>
      <c r="D22" s="7">
        <f>B22-C22</f>
        <v/>
      </c>
      <c r="E22" s="128">
        <f>IF(C22=0,"",(B22-C22)/C22)</f>
        <v/>
      </c>
      <c r="F22" s="7" t="n"/>
      <c r="G22" s="7" t="n"/>
      <c r="H22" s="7" t="n"/>
    </row>
    <row r="23"/>
    <row r="24">
      <c r="A24" s="42" t="inlineStr">
        <is>
          <t>Commentaires :</t>
        </is>
      </c>
    </row>
    <row r="25">
      <c r="A25" s="123" t="inlineStr">
        <is>
          <t>• Commenter toute variation significative et les créances anciennes ; indiquer les évènements motivant dépréciation et reprise.</t>
        </is>
      </c>
    </row>
    <row r="26"/>
    <row r="27" ht="34" customHeight="1">
      <c r="A27" s="122">
        <f>IF(SUM(B9:B22,C9:C22,D9:D22,F14:F22,G14:G22,H14:H22)=0,"NÉANT","")</f>
        <v/>
      </c>
    </row>
    <row r="28" ht="34" customHeight="1"/>
    <row r="29" ht="34" customHeight="1"/>
  </sheetData>
  <mergeCells count="4">
    <mergeCell ref="A7:H7"/>
    <mergeCell ref="G2:H2"/>
    <mergeCell ref="A27:H29"/>
    <mergeCell ref="B4:E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- 25 -</t>
        </is>
      </c>
    </row>
    <row r="2" ht="26" customHeight="1">
      <c r="G2" s="51" t="inlineStr">
        <is>
          <t>NOTE 10
SYSTEME NORMAL</t>
        </is>
      </c>
      <c r="H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D4" s="41" t="n"/>
      <c r="E4" s="41" t="n"/>
      <c r="G4" s="54" t="inlineStr">
        <is>
          <t>Sigle usuel :</t>
        </is>
      </c>
      <c r="H4" s="53" t="inlineStr"/>
    </row>
    <row r="5" ht="15" customHeight="1">
      <c r="A5" s="39" t="inlineStr">
        <is>
          <t>N° de compte contribuable (NCC) :</t>
        </is>
      </c>
      <c r="E5" s="39" t="inlineStr">
        <is>
          <t>Exercice clos le</t>
        </is>
      </c>
      <c r="G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10 : AUTRES CRÉANCES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À un an au plus</t>
        </is>
      </c>
      <c r="G8" s="2" t="inlineStr">
        <is>
          <t>À plus d'un an et deux ans au plus</t>
        </is>
      </c>
      <c r="H8" s="3" t="inlineStr">
        <is>
          <t>À plus de deux ans</t>
        </is>
      </c>
    </row>
    <row r="9">
      <c r="A9" s="119" t="inlineStr">
        <is>
          <t>Personnel</t>
        </is>
      </c>
      <c r="B9" s="120">
        <f>SUMIF('BALANCE N'!$A$2:$A$2000,"42*",'BALANCE N'!$G$2:$G$2000)</f>
        <v/>
      </c>
      <c r="C9" s="120">
        <f>SUMIF('BALANCE N-1'!$A$2:$A$2000,"42*",'BALANCE N-1'!$G$2:$G$2000)</f>
        <v/>
      </c>
      <c r="D9" s="120">
        <f>B9-C9</f>
        <v/>
      </c>
      <c r="E9" s="127">
        <f>IF(C9=0,"",(B9-C9)/C9)</f>
        <v/>
      </c>
      <c r="F9" s="119" t="n"/>
      <c r="G9" s="119" t="n"/>
      <c r="H9" s="119" t="n"/>
    </row>
    <row r="10">
      <c r="A10" s="119" t="inlineStr">
        <is>
          <t>Organismes sociaux</t>
        </is>
      </c>
      <c r="B10" s="120">
        <f>SUMIF('BALANCE N'!$A$2:$A$2000,"43*",'BALANCE N'!$G$2:$G$2000)</f>
        <v/>
      </c>
      <c r="C10" s="120">
        <f>SUMIF('BALANCE N-1'!$A$2:$A$2000,"43*",'BALANCE N-1'!$G$2:$G$2000)</f>
        <v/>
      </c>
      <c r="D10" s="120">
        <f>B10-C10</f>
        <v/>
      </c>
      <c r="E10" s="127">
        <f>IF(C10=0,"",(B10-C10)/C10)</f>
        <v/>
      </c>
      <c r="F10" s="119" t="n"/>
      <c r="G10" s="119" t="n"/>
      <c r="H10" s="119" t="n"/>
    </row>
    <row r="11">
      <c r="A11" s="119" t="inlineStr">
        <is>
          <t>État et collectivités publiques</t>
        </is>
      </c>
      <c r="B11" s="120">
        <f>SUMIF('BALANCE N'!$A$2:$A$2000,"44*",'BALANCE N'!$G$2:$G$2000)</f>
        <v/>
      </c>
      <c r="C11" s="120">
        <f>SUMIF('BALANCE N-1'!$A$2:$A$2000,"44*",'BALANCE N-1'!$G$2:$G$2000)</f>
        <v/>
      </c>
      <c r="D11" s="120">
        <f>B11-C11</f>
        <v/>
      </c>
      <c r="E11" s="127">
        <f>IF(C11=0,"",(B11-C11)/C11)</f>
        <v/>
      </c>
      <c r="F11" s="119" t="n"/>
      <c r="G11" s="119" t="n"/>
      <c r="H11" s="119" t="n"/>
    </row>
    <row r="12">
      <c r="A12" s="119" t="inlineStr">
        <is>
          <t>Fondateurs, apporteurs et comptes courants</t>
        </is>
      </c>
      <c r="B12" s="120">
        <f>SUMIF('BALANCE N'!$A$2:$A$2000,"45*",'BALANCE N'!$G$2:$G$2000)</f>
        <v/>
      </c>
      <c r="C12" s="120">
        <f>SUMIF('BALANCE N-1'!$A$2:$A$2000,"45*",'BALANCE N-1'!$G$2:$G$2000)</f>
        <v/>
      </c>
      <c r="D12" s="120">
        <f>B12-C12</f>
        <v/>
      </c>
      <c r="E12" s="127">
        <f>IF(C12=0,"",(B12-C12)/C12)</f>
        <v/>
      </c>
      <c r="F12" s="119" t="n"/>
      <c r="G12" s="119" t="n"/>
      <c r="H12" s="119" t="n"/>
    </row>
    <row r="13">
      <c r="A13" s="119" t="inlineStr">
        <is>
          <t>Bailleurs, État et autres organismes, fonds d'administration</t>
        </is>
      </c>
      <c r="B13" s="120">
        <f>SUMIF('BALANCE N'!$A$2:$A$2000,"46*",'BALANCE N'!$G$2:$G$2000)</f>
        <v/>
      </c>
      <c r="C13" s="120">
        <f>SUMIF('BALANCE N-1'!$A$2:$A$2000,"46*",'BALANCE N-1'!$G$2:$G$2000)</f>
        <v/>
      </c>
      <c r="D13" s="120">
        <f>B13-C13</f>
        <v/>
      </c>
      <c r="E13" s="127">
        <f>IF(C13=0,"",(B13-C13)/C13)</f>
        <v/>
      </c>
      <c r="F13" s="119" t="n"/>
      <c r="G13" s="119" t="n"/>
      <c r="H13" s="119" t="n"/>
    </row>
    <row r="14">
      <c r="A14" s="119" t="inlineStr">
        <is>
          <t>Débiteurs divers</t>
        </is>
      </c>
      <c r="B14" s="120">
        <f>SUMIF('BALANCE N'!$A$2:$A$2000,"471*",'BALANCE N'!$G$2:$G$2000)+SUMIF('BALANCE N'!$A$2:$A$2000,"472*",'BALANCE N'!$G$2:$G$2000)+SUMIF('BALANCE N'!$A$2:$A$2000,"473*",'BALANCE N'!$G$2:$G$2000)+SUMIF('BALANCE N'!$A$2:$A$2000,"475*",'BALANCE N'!$G$2:$G$2000)</f>
        <v/>
      </c>
      <c r="C14" s="120">
        <f>SUMIF('BALANCE N-1'!$A$2:$A$2000,"471*",'BALANCE N-1'!$G$2:$G$2000)+SUMIF('BALANCE N-1'!$A$2:$A$2000,"472*",'BALANCE N-1'!$G$2:$G$2000)+SUMIF('BALANCE N-1'!$A$2:$A$2000,"473*",'BALANCE N-1'!$G$2:$G$2000)+SUMIF('BALANCE N-1'!$A$2:$A$2000,"475*",'BALANCE N-1'!$G$2:$G$2000)</f>
        <v/>
      </c>
      <c r="D14" s="120">
        <f>B14-C14</f>
        <v/>
      </c>
      <c r="E14" s="127">
        <f>IF(C14=0,"",(B14-C14)/C14)</f>
        <v/>
      </c>
      <c r="F14" s="119" t="n"/>
      <c r="G14" s="119" t="n"/>
      <c r="H14" s="119" t="n"/>
    </row>
    <row r="15">
      <c r="A15" s="119" t="inlineStr">
        <is>
          <t>Autres débiteurs divers</t>
        </is>
      </c>
      <c r="B15" s="120">
        <f>SUMIF('BALANCE N'!$A$2:$A$2000,"474*",'BALANCE N'!$G$2:$G$2000)+SUMIF('BALANCE N'!$A$2:$A$2000,"476*",'BALANCE N'!$G$2:$G$2000)+SUMIF('BALANCE N'!$A$2:$A$2000,"477*",'BALANCE N'!$G$2:$G$2000)</f>
        <v/>
      </c>
      <c r="C15" s="120">
        <f>SUMIF('BALANCE N-1'!$A$2:$A$2000,"474*",'BALANCE N-1'!$G$2:$G$2000)+SUMIF('BALANCE N-1'!$A$2:$A$2000,"476*",'BALANCE N-1'!$G$2:$G$2000)+SUMIF('BALANCE N-1'!$A$2:$A$2000,"477*",'BALANCE N-1'!$G$2:$G$2000)</f>
        <v/>
      </c>
      <c r="D15" s="120">
        <f>B15-C15</f>
        <v/>
      </c>
      <c r="E15" s="127">
        <f>IF(C15=0,"",(B15-C15)/C15)</f>
        <v/>
      </c>
      <c r="F15" s="119" t="n"/>
      <c r="G15" s="119" t="n"/>
      <c r="H15" s="119" t="n"/>
    </row>
    <row r="16">
      <c r="A16" s="6" t="inlineStr">
        <is>
          <t>TOTAL BRUT</t>
        </is>
      </c>
      <c r="B16" s="7">
        <f>SUM(B9:B15)</f>
        <v/>
      </c>
      <c r="C16" s="7">
        <f>SUM(C9:C15)</f>
        <v/>
      </c>
      <c r="D16" s="7">
        <f>B16-C16</f>
        <v/>
      </c>
      <c r="E16" s="128">
        <f>IF(C16=0,"",(B16-C16)/C16)</f>
        <v/>
      </c>
      <c r="F16" s="7" t="n"/>
      <c r="G16" s="7" t="n"/>
      <c r="H16" s="7" t="n"/>
    </row>
    <row r="17">
      <c r="A17" s="119" t="inlineStr">
        <is>
          <t>Dépréciations des autres créances</t>
        </is>
      </c>
      <c r="B17" s="120">
        <f>SUMIF('BALANCE N'!$A$2:$A$2000,"492*",'BALANCE N'!$H$2:$H$2000)-SUMIF('BALANCE N'!$A$2:$A$2000,"492*",'BALANCE N'!$G$2:$G$2000)+SUMIF('BALANCE N'!$A$2:$A$2000,"493*",'BALANCE N'!$H$2:$H$2000)-SUMIF('BALANCE N'!$A$2:$A$2000,"493*",'BALANCE N'!$G$2:$G$2000)+SUMIF('BALANCE N'!$A$2:$A$2000,"494*",'BALANCE N'!$H$2:$H$2000)-SUMIF('BALANCE N'!$A$2:$A$2000,"494*",'BALANCE N'!$G$2:$G$2000)+SUMIF('BALANCE N'!$A$2:$A$2000,"497*",'BALANCE N'!$H$2:$H$2000)-SUMIF('BALANCE N'!$A$2:$A$2000,"497*",'BALANCE N'!$G$2:$G$2000)</f>
        <v/>
      </c>
      <c r="C17" s="120">
        <f>SUMIF('BALANCE N-1'!$A$2:$A$2000,"492*",'BALANCE N-1'!$H$2:$H$2000)-SUMIF('BALANCE N-1'!$A$2:$A$2000,"492*",'BALANCE N-1'!$G$2:$G$2000)+SUMIF('BALANCE N-1'!$A$2:$A$2000,"493*",'BALANCE N-1'!$H$2:$H$2000)-SUMIF('BALANCE N-1'!$A$2:$A$2000,"493*",'BALANCE N-1'!$G$2:$G$2000)+SUMIF('BALANCE N-1'!$A$2:$A$2000,"494*",'BALANCE N-1'!$H$2:$H$2000)-SUMIF('BALANCE N-1'!$A$2:$A$2000,"494*",'BALANCE N-1'!$G$2:$G$2000)+SUMIF('BALANCE N-1'!$A$2:$A$2000,"497*",'BALANCE N-1'!$H$2:$H$2000)-SUMIF('BALANCE N-1'!$A$2:$A$2000,"497*",'BALANCE N-1'!$G$2:$G$2000)</f>
        <v/>
      </c>
      <c r="D17" s="120">
        <f>B17-C17</f>
        <v/>
      </c>
      <c r="E17" s="127">
        <f>IF(C17=0,"",(B17-C17)/C17)</f>
        <v/>
      </c>
      <c r="F17" s="119" t="n"/>
      <c r="G17" s="119" t="n"/>
      <c r="H17" s="119" t="n"/>
    </row>
    <row r="18">
      <c r="A18" s="6" t="inlineStr"/>
      <c r="B18" s="7">
        <f>SUM(B17:B17)</f>
        <v/>
      </c>
      <c r="C18" s="7">
        <f>SUM(C17:C17)</f>
        <v/>
      </c>
      <c r="D18" s="7">
        <f>B18-C18</f>
        <v/>
      </c>
      <c r="E18" s="128">
        <f>IF(C18=0,"",(B18-C18)/C18)</f>
        <v/>
      </c>
      <c r="F18" s="7" t="n"/>
      <c r="G18" s="7" t="n"/>
      <c r="H18" s="7" t="n"/>
    </row>
    <row r="19">
      <c r="A19" s="6" t="inlineStr">
        <is>
          <t>TOTAL NET DE DÉPRÉCIATIONS</t>
        </is>
      </c>
      <c r="B19" s="7">
        <f>B16-B18</f>
        <v/>
      </c>
      <c r="C19" s="7">
        <f>C16-C18</f>
        <v/>
      </c>
      <c r="D19" s="7">
        <f>B19-C19</f>
        <v/>
      </c>
      <c r="E19" s="128">
        <f>IF(C19=0,"",(B19-C19)/C19)</f>
        <v/>
      </c>
      <c r="F19" s="7" t="n"/>
      <c r="G19" s="7" t="n"/>
      <c r="H19" s="7" t="n"/>
    </row>
    <row r="20"/>
    <row r="21">
      <c r="A21" s="42" t="inlineStr">
        <is>
          <t>Commentaires :</t>
        </is>
      </c>
    </row>
    <row r="22">
      <c r="A22" s="123" t="inlineStr">
        <is>
          <t>• Justifier toute variation significative ; détailler et justifier les créances significatives ou anciennes.</t>
        </is>
      </c>
    </row>
    <row r="23"/>
    <row r="24" ht="34" customHeight="1">
      <c r="A24" s="122">
        <f>IF(SUM(B9:B19,C9:C19,D9:D19,F16:F19,G16:G19,H16:H19)=0,"NÉANT","")</f>
        <v/>
      </c>
    </row>
    <row r="25" ht="34" customHeight="1"/>
    <row r="26" ht="34" customHeight="1"/>
  </sheetData>
  <mergeCells count="4">
    <mergeCell ref="A7:H7"/>
    <mergeCell ref="G2:H2"/>
    <mergeCell ref="A24:H26"/>
    <mergeCell ref="B4:E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- 26 -</t>
        </is>
      </c>
    </row>
    <row r="2" ht="26" customHeight="1">
      <c r="D2" s="51" t="inlineStr">
        <is>
          <t>NOTE 11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11 : TITRES DE PLACEMENT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9" t="inlineStr">
        <is>
          <t>Titres de trésor et bons de caisse à court terme</t>
        </is>
      </c>
      <c r="B9" s="120">
        <f>SUMIF('BALANCE N'!$A$2:$A$2000,"501*",'BALANCE N'!$G$2:$G$2000)-SUMIF('BALANCE N'!$A$2:$A$2000,"501*",'BALANCE N'!$H$2:$H$2000)</f>
        <v/>
      </c>
      <c r="C9" s="120">
        <f>SUMIF('BALANCE N-1'!$A$2:$A$2000,"501*",'BALANCE N-1'!$G$2:$G$2000)-SUMIF('BALANCE N-1'!$A$2:$A$2000,"501*",'BALANCE N-1'!$H$2:$H$2000)</f>
        <v/>
      </c>
      <c r="D9" s="120">
        <f>B9-C9</f>
        <v/>
      </c>
      <c r="E9" s="127">
        <f>IF(C9=0,"",(B9-C9)/C9)</f>
        <v/>
      </c>
    </row>
    <row r="10">
      <c r="A10" s="119" t="inlineStr">
        <is>
          <t>Actions</t>
        </is>
      </c>
      <c r="B10" s="120">
        <f>SUMIF('BALANCE N'!$A$2:$A$2000,"502*",'BALANCE N'!$G$2:$G$2000)-SUMIF('BALANCE N'!$A$2:$A$2000,"502*",'BALANCE N'!$H$2:$H$2000)</f>
        <v/>
      </c>
      <c r="C10" s="120">
        <f>SUMIF('BALANCE N-1'!$A$2:$A$2000,"502*",'BALANCE N-1'!$G$2:$G$2000)-SUMIF('BALANCE N-1'!$A$2:$A$2000,"502*",'BALANCE N-1'!$H$2:$H$2000)</f>
        <v/>
      </c>
      <c r="D10" s="120">
        <f>B10-C10</f>
        <v/>
      </c>
      <c r="E10" s="127">
        <f>IF(C10=0,"",(B10-C10)/C10)</f>
        <v/>
      </c>
    </row>
    <row r="11">
      <c r="A11" s="119" t="inlineStr">
        <is>
          <t>Obligations</t>
        </is>
      </c>
      <c r="B11" s="120">
        <f>SUMIF('BALANCE N'!$A$2:$A$2000,"503*",'BALANCE N'!$G$2:$G$2000)-SUMIF('BALANCE N'!$A$2:$A$2000,"503*",'BALANCE N'!$H$2:$H$2000)</f>
        <v/>
      </c>
      <c r="C11" s="120">
        <f>SUMIF('BALANCE N-1'!$A$2:$A$2000,"503*",'BALANCE N-1'!$G$2:$G$2000)-SUMIF('BALANCE N-1'!$A$2:$A$2000,"503*",'BALANCE N-1'!$H$2:$H$2000)</f>
        <v/>
      </c>
      <c r="D11" s="120">
        <f>B11-C11</f>
        <v/>
      </c>
      <c r="E11" s="127">
        <f>IF(C11=0,"",(B11-C11)/C11)</f>
        <v/>
      </c>
    </row>
    <row r="12">
      <c r="A12" s="119" t="inlineStr">
        <is>
          <t>Bons de souscription</t>
        </is>
      </c>
      <c r="B12" s="120">
        <f>SUMIF('BALANCE N'!$A$2:$A$2000,"504*",'BALANCE N'!$G$2:$G$2000)-SUMIF('BALANCE N'!$A$2:$A$2000,"504*",'BALANCE N'!$H$2:$H$2000)</f>
        <v/>
      </c>
      <c r="C12" s="120">
        <f>SUMIF('BALANCE N-1'!$A$2:$A$2000,"504*",'BALANCE N-1'!$G$2:$G$2000)-SUMIF('BALANCE N-1'!$A$2:$A$2000,"504*",'BALANCE N-1'!$H$2:$H$2000)</f>
        <v/>
      </c>
      <c r="D12" s="120">
        <f>B12-C12</f>
        <v/>
      </c>
      <c r="E12" s="127">
        <f>IF(C12=0,"",(B12-C12)/C12)</f>
        <v/>
      </c>
    </row>
    <row r="13">
      <c r="A13" s="119" t="inlineStr">
        <is>
          <t>Titres négociables hors région</t>
        </is>
      </c>
      <c r="B13" s="120">
        <f>SUMIF('BALANCE N'!$A$2:$A$2000,"505*",'BALANCE N'!$G$2:$G$2000)-SUMIF('BALANCE N'!$A$2:$A$2000,"505*",'BALANCE N'!$H$2:$H$2000)</f>
        <v/>
      </c>
      <c r="C13" s="120">
        <f>SUMIF('BALANCE N-1'!$A$2:$A$2000,"505*",'BALANCE N-1'!$G$2:$G$2000)-SUMIF('BALANCE N-1'!$A$2:$A$2000,"505*",'BALANCE N-1'!$H$2:$H$2000)</f>
        <v/>
      </c>
      <c r="D13" s="120">
        <f>B13-C13</f>
        <v/>
      </c>
      <c r="E13" s="127">
        <f>IF(C13=0,"",(B13-C13)/C13)</f>
        <v/>
      </c>
    </row>
    <row r="14">
      <c r="A14" s="119" t="inlineStr">
        <is>
          <t>Intérêts courus</t>
        </is>
      </c>
      <c r="B14" s="120">
        <f>SUMIF('BALANCE N'!$A$2:$A$2000,"506*",'BALANCE N'!$G$2:$G$2000)-SUMIF('BALANCE N'!$A$2:$A$2000,"506*",'BALANCE N'!$H$2:$H$2000)</f>
        <v/>
      </c>
      <c r="C14" s="120">
        <f>SUMIF('BALANCE N-1'!$A$2:$A$2000,"506*",'BALANCE N-1'!$G$2:$G$2000)-SUMIF('BALANCE N-1'!$A$2:$A$2000,"506*",'BALANCE N-1'!$H$2:$H$2000)</f>
        <v/>
      </c>
      <c r="D14" s="120">
        <f>B14-C14</f>
        <v/>
      </c>
      <c r="E14" s="127">
        <f>IF(C14=0,"",(B14-C14)/C14)</f>
        <v/>
      </c>
    </row>
    <row r="15">
      <c r="A15" s="119" t="inlineStr">
        <is>
          <t>Autres valeurs assimilées</t>
        </is>
      </c>
      <c r="B15" s="120">
        <f>SUMIF('BALANCE N'!$A$2:$A$2000,"508*",'BALANCE N'!$G$2:$G$2000)-SUMIF('BALANCE N'!$A$2:$A$2000,"508*",'BALANCE N'!$H$2:$H$2000)</f>
        <v/>
      </c>
      <c r="C15" s="120">
        <f>SUMIF('BALANCE N-1'!$A$2:$A$2000,"508*",'BALANCE N-1'!$G$2:$G$2000)-SUMIF('BALANCE N-1'!$A$2:$A$2000,"508*",'BALANCE N-1'!$H$2:$H$2000)</f>
        <v/>
      </c>
      <c r="D15" s="120">
        <f>B15-C15</f>
        <v/>
      </c>
      <c r="E15" s="127">
        <f>IF(C15=0,"",(B15-C15)/C15)</f>
        <v/>
      </c>
    </row>
    <row r="16">
      <c r="A16" s="6" t="inlineStr">
        <is>
          <t>TOTAL BRUT</t>
        </is>
      </c>
      <c r="B16" s="7">
        <f>SUM(B9:B15)</f>
        <v/>
      </c>
      <c r="C16" s="7">
        <f>SUM(C9:C15)</f>
        <v/>
      </c>
      <c r="D16" s="7">
        <f>B16-C16</f>
        <v/>
      </c>
      <c r="E16" s="128">
        <f>IF(C16=0,"",(B16-C16)/C16)</f>
        <v/>
      </c>
    </row>
    <row r="17">
      <c r="A17" s="119" t="inlineStr">
        <is>
          <t>Dépréciations des titres de placement</t>
        </is>
      </c>
      <c r="B17" s="120">
        <f>SUMIF('BALANCE N'!$A$2:$A$2000,"590*",'BALANCE N'!$H$2:$H$2000)-SUMIF('BALANCE N'!$A$2:$A$2000,"590*",'BALANCE N'!$G$2:$G$2000)</f>
        <v/>
      </c>
      <c r="C17" s="120">
        <f>SUMIF('BALANCE N-1'!$A$2:$A$2000,"590*",'BALANCE N-1'!$H$2:$H$2000)-SUMIF('BALANCE N-1'!$A$2:$A$2000,"590*",'BALANCE N-1'!$G$2:$G$2000)</f>
        <v/>
      </c>
      <c r="D17" s="120">
        <f>B17-C17</f>
        <v/>
      </c>
      <c r="E17" s="127">
        <f>IF(C17=0,"",(B17-C17)/C17)</f>
        <v/>
      </c>
    </row>
    <row r="18">
      <c r="A18" s="6" t="inlineStr"/>
      <c r="B18" s="7">
        <f>SUM(B17:B17)</f>
        <v/>
      </c>
      <c r="C18" s="7">
        <f>SUM(C17:C17)</f>
        <v/>
      </c>
      <c r="D18" s="7">
        <f>B18-C18</f>
        <v/>
      </c>
      <c r="E18" s="128">
        <f>IF(C18=0,"",(B18-C18)/C18)</f>
        <v/>
      </c>
    </row>
    <row r="19">
      <c r="A19" s="6" t="inlineStr">
        <is>
          <t>TOTAL NET DE DÉPRÉCIATIONS</t>
        </is>
      </c>
      <c r="B19" s="7">
        <f>B16-B18</f>
        <v/>
      </c>
      <c r="C19" s="7">
        <f>C16-C18</f>
        <v/>
      </c>
      <c r="D19" s="7">
        <f>B19-C19</f>
        <v/>
      </c>
      <c r="E19" s="128">
        <f>IF(C19=0,"",(B19-C19)/C19)</f>
        <v/>
      </c>
    </row>
    <row r="20"/>
    <row r="21" ht="34" customHeight="1">
      <c r="A21" s="122">
        <f>IF(SUM(B9:B19,C9:C19,D9:D19)=0,"NÉANT","")</f>
        <v/>
      </c>
    </row>
    <row r="22" ht="34" customHeight="1"/>
    <row r="23" ht="34" customHeight="1"/>
  </sheetData>
  <mergeCells count="3">
    <mergeCell ref="A7:E7"/>
    <mergeCell ref="A21:E23"/>
    <mergeCell ref="D2:E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- 27 -</t>
        </is>
      </c>
    </row>
    <row r="2" ht="26" customHeight="1">
      <c r="D2" s="51" t="inlineStr">
        <is>
          <t>NOTE 12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12 : VALEURS À ENCAISSER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9" t="inlineStr">
        <is>
          <t>Chèques à encaisser</t>
        </is>
      </c>
      <c r="B9" s="120">
        <f>SUMIF('BALANCE N'!$A$2:$A$2000,"513*",'BALANCE N'!$G$2:$G$2000)-SUMIF('BALANCE N'!$A$2:$A$2000,"513*",'BALANCE N'!$H$2:$H$2000)</f>
        <v/>
      </c>
      <c r="C9" s="120">
        <f>SUMIF('BALANCE N-1'!$A$2:$A$2000,"513*",'BALANCE N-1'!$G$2:$G$2000)-SUMIF('BALANCE N-1'!$A$2:$A$2000,"513*",'BALANCE N-1'!$H$2:$H$2000)</f>
        <v/>
      </c>
      <c r="D9" s="120">
        <f>B9-C9</f>
        <v/>
      </c>
      <c r="E9" s="127">
        <f>IF(C9=0,"",(B9-C9)/C9)</f>
        <v/>
      </c>
    </row>
    <row r="10">
      <c r="A10" s="119" t="inlineStr">
        <is>
          <t>Chèques à l'encaissement</t>
        </is>
      </c>
      <c r="B10" s="120">
        <f>SUMIF('BALANCE N'!$A$2:$A$2000,"514*",'BALANCE N'!$G$2:$G$2000)-SUMIF('BALANCE N'!$A$2:$A$2000,"514*",'BALANCE N'!$H$2:$H$2000)</f>
        <v/>
      </c>
      <c r="C10" s="120">
        <f>SUMIF('BALANCE N-1'!$A$2:$A$2000,"514*",'BALANCE N-1'!$G$2:$G$2000)-SUMIF('BALANCE N-1'!$A$2:$A$2000,"514*",'BALANCE N-1'!$H$2:$H$2000)</f>
        <v/>
      </c>
      <c r="D10" s="120">
        <f>B10-C10</f>
        <v/>
      </c>
      <c r="E10" s="127">
        <f>IF(C10=0,"",(B10-C10)/C10)</f>
        <v/>
      </c>
    </row>
    <row r="11">
      <c r="A11" s="119" t="inlineStr">
        <is>
          <t>Cartes de crédit à encaisser</t>
        </is>
      </c>
      <c r="B11" s="120">
        <f>SUMIF('BALANCE N'!$A$2:$A$2000,"515*",'BALANCE N'!$G$2:$G$2000)-SUMIF('BALANCE N'!$A$2:$A$2000,"515*",'BALANCE N'!$H$2:$H$2000)</f>
        <v/>
      </c>
      <c r="C11" s="120">
        <f>SUMIF('BALANCE N-1'!$A$2:$A$2000,"515*",'BALANCE N-1'!$G$2:$G$2000)-SUMIF('BALANCE N-1'!$A$2:$A$2000,"515*",'BALANCE N-1'!$H$2:$H$2000)</f>
        <v/>
      </c>
      <c r="D11" s="120">
        <f>B11-C11</f>
        <v/>
      </c>
      <c r="E11" s="127">
        <f>IF(C11=0,"",(B11-C11)/C11)</f>
        <v/>
      </c>
    </row>
    <row r="12">
      <c r="A12" s="119" t="inlineStr">
        <is>
          <t>Autres valeurs à encaisser</t>
        </is>
      </c>
      <c r="B12" s="120">
        <f>SUMIF('BALANCE N'!$A$2:$A$2000,"518*",'BALANCE N'!$G$2:$G$2000)-SUMIF('BALANCE N'!$A$2:$A$2000,"518*",'BALANCE N'!$H$2:$H$2000)</f>
        <v/>
      </c>
      <c r="C12" s="120">
        <f>SUMIF('BALANCE N-1'!$A$2:$A$2000,"518*",'BALANCE N-1'!$G$2:$G$2000)-SUMIF('BALANCE N-1'!$A$2:$A$2000,"518*",'BALANCE N-1'!$H$2:$H$2000)</f>
        <v/>
      </c>
      <c r="D12" s="120">
        <f>B12-C12</f>
        <v/>
      </c>
      <c r="E12" s="127">
        <f>IF(C12=0,"",(B12-C12)/C12)</f>
        <v/>
      </c>
    </row>
    <row r="13">
      <c r="A13" s="6" t="inlineStr">
        <is>
          <t>TOTAL BRUT</t>
        </is>
      </c>
      <c r="B13" s="7">
        <f>SUM(B9:B12)</f>
        <v/>
      </c>
      <c r="C13" s="7">
        <f>SUM(C9:C12)</f>
        <v/>
      </c>
      <c r="D13" s="7">
        <f>B13-C13</f>
        <v/>
      </c>
      <c r="E13" s="128">
        <f>IF(C13=0,"",(B13-C13)/C13)</f>
        <v/>
      </c>
    </row>
    <row r="14">
      <c r="A14" s="119" t="inlineStr">
        <is>
          <t>Dépréciations des valeurs à encaisser</t>
        </is>
      </c>
      <c r="B14" s="120">
        <f>SUMIF('BALANCE N'!$A$2:$A$2000,"591*",'BALANCE N'!$H$2:$H$2000)-SUMIF('BALANCE N'!$A$2:$A$2000,"591*",'BALANCE N'!$G$2:$G$2000)</f>
        <v/>
      </c>
      <c r="C14" s="120">
        <f>SUMIF('BALANCE N-1'!$A$2:$A$2000,"591*",'BALANCE N-1'!$H$2:$H$2000)-SUMIF('BALANCE N-1'!$A$2:$A$2000,"591*",'BALANCE N-1'!$G$2:$G$2000)</f>
        <v/>
      </c>
      <c r="D14" s="120">
        <f>B14-C14</f>
        <v/>
      </c>
      <c r="E14" s="127">
        <f>IF(C14=0,"",(B14-C14)/C14)</f>
        <v/>
      </c>
    </row>
    <row r="15">
      <c r="A15" s="6" t="inlineStr"/>
      <c r="B15" s="7">
        <f>SUM(B14:B14)</f>
        <v/>
      </c>
      <c r="C15" s="7">
        <f>SUM(C14:C14)</f>
        <v/>
      </c>
      <c r="D15" s="7">
        <f>B15-C15</f>
        <v/>
      </c>
      <c r="E15" s="128">
        <f>IF(C15=0,"",(B15-C15)/C15)</f>
        <v/>
      </c>
    </row>
    <row r="16">
      <c r="A16" s="6" t="inlineStr">
        <is>
          <t>TOTAL NET DE DÉPRÉCIATIONS</t>
        </is>
      </c>
      <c r="B16" s="7">
        <f>B13-B15</f>
        <v/>
      </c>
      <c r="C16" s="7">
        <f>C13-C15</f>
        <v/>
      </c>
      <c r="D16" s="7">
        <f>B16-C16</f>
        <v/>
      </c>
      <c r="E16" s="128">
        <f>IF(C16=0,"",(B16-C16)/C16)</f>
        <v/>
      </c>
    </row>
    <row r="17"/>
    <row r="18" ht="34" customHeight="1">
      <c r="A18" s="122">
        <f>IF(SUM(B9:B16,C9:C16,D9:D16)=0,"NÉANT","")</f>
        <v/>
      </c>
    </row>
    <row r="19" ht="34" customHeight="1"/>
    <row r="20" ht="34" customHeight="1"/>
  </sheetData>
  <mergeCells count="3">
    <mergeCell ref="A18:E20"/>
    <mergeCell ref="A7:E7"/>
    <mergeCell ref="D2:E2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- 28 -</t>
        </is>
      </c>
    </row>
    <row r="2" ht="26" customHeight="1">
      <c r="D2" s="51" t="inlineStr">
        <is>
          <t>NOTE 13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13 : DISPONIBILITÉS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9" t="inlineStr">
        <is>
          <t>Banques locales</t>
        </is>
      </c>
      <c r="B9" s="120">
        <f>SUMIF('BALANCE N'!$A$2:$A$2000,"521*",'BALANCE N'!$G$2:$G$2000)</f>
        <v/>
      </c>
      <c r="C9" s="120">
        <f>SUMIF('BALANCE N-1'!$A$2:$A$2000,"521*",'BALANCE N-1'!$G$2:$G$2000)</f>
        <v/>
      </c>
      <c r="D9" s="120">
        <f>B9-C9</f>
        <v/>
      </c>
      <c r="E9" s="127">
        <f>IF(C9=0,"",(B9-C9)/C9)</f>
        <v/>
      </c>
    </row>
    <row r="10">
      <c r="A10" s="119" t="inlineStr">
        <is>
          <t>Banques autres États région</t>
        </is>
      </c>
      <c r="B10" s="120">
        <f>SUMIF('BALANCE N'!$A$2:$A$2000,"522*",'BALANCE N'!$G$2:$G$2000)</f>
        <v/>
      </c>
      <c r="C10" s="120">
        <f>SUMIF('BALANCE N-1'!$A$2:$A$2000,"522*",'BALANCE N-1'!$G$2:$G$2000)</f>
        <v/>
      </c>
      <c r="D10" s="120">
        <f>B10-C10</f>
        <v/>
      </c>
      <c r="E10" s="127">
        <f>IF(C10=0,"",(B10-C10)/C10)</f>
        <v/>
      </c>
    </row>
    <row r="11">
      <c r="A11" s="119" t="inlineStr">
        <is>
          <t>Banques, dépôt à terme et assimilés</t>
        </is>
      </c>
      <c r="B11" s="120">
        <f>SUMIF('BALANCE N'!$A$2:$A$2000,"525*",'BALANCE N'!$G$2:$G$2000)</f>
        <v/>
      </c>
      <c r="C11" s="120">
        <f>SUMIF('BALANCE N-1'!$A$2:$A$2000,"525*",'BALANCE N-1'!$G$2:$G$2000)</f>
        <v/>
      </c>
      <c r="D11" s="120">
        <f>B11-C11</f>
        <v/>
      </c>
      <c r="E11" s="127">
        <f>IF(C11=0,"",(B11-C11)/C11)</f>
        <v/>
      </c>
    </row>
    <row r="12">
      <c r="A12" s="119" t="inlineStr">
        <is>
          <t>Autres banques</t>
        </is>
      </c>
      <c r="B12" s="120">
        <f>SUMIF('BALANCE N'!$A$2:$A$2000,"523*",'BALANCE N'!$G$2:$G$2000)+SUMIF('BALANCE N'!$A$2:$A$2000,"524*",'BALANCE N'!$G$2:$G$2000)</f>
        <v/>
      </c>
      <c r="C12" s="120">
        <f>SUMIF('BALANCE N-1'!$A$2:$A$2000,"523*",'BALANCE N-1'!$G$2:$G$2000)+SUMIF('BALANCE N-1'!$A$2:$A$2000,"524*",'BALANCE N-1'!$G$2:$G$2000)</f>
        <v/>
      </c>
      <c r="D12" s="120">
        <f>B12-C12</f>
        <v/>
      </c>
      <c r="E12" s="127">
        <f>IF(C12=0,"",(B12-C12)/C12)</f>
        <v/>
      </c>
    </row>
    <row r="13">
      <c r="A13" s="119" t="inlineStr">
        <is>
          <t>Banques intérêts courus</t>
        </is>
      </c>
      <c r="B13" s="120">
        <f>SUMIF('BALANCE N'!$A$2:$A$2000,"526*",'BALANCE N'!$G$2:$G$2000)-SUMIF('BALANCE N'!$A$2:$A$2000,"526*",'BALANCE N'!$H$2:$H$2000)</f>
        <v/>
      </c>
      <c r="C13" s="120">
        <f>SUMIF('BALANCE N-1'!$A$2:$A$2000,"526*",'BALANCE N-1'!$G$2:$G$2000)-SUMIF('BALANCE N-1'!$A$2:$A$2000,"526*",'BALANCE N-1'!$H$2:$H$2000)</f>
        <v/>
      </c>
      <c r="D13" s="120">
        <f>B13-C13</f>
        <v/>
      </c>
      <c r="E13" s="127">
        <f>IF(C13=0,"",(B13-C13)/C13)</f>
        <v/>
      </c>
    </row>
    <row r="14">
      <c r="A14" s="119" t="inlineStr">
        <is>
          <t>Banques postales</t>
        </is>
      </c>
      <c r="B14" s="120">
        <f>SUMIF('BALANCE N'!$A$2:$A$2000,"531*",'BALANCE N'!$G$2:$G$2000)</f>
        <v/>
      </c>
      <c r="C14" s="120">
        <f>SUMIF('BALANCE N-1'!$A$2:$A$2000,"531*",'BALANCE N-1'!$G$2:$G$2000)</f>
        <v/>
      </c>
      <c r="D14" s="120">
        <f>B14-C14</f>
        <v/>
      </c>
      <c r="E14" s="127">
        <f>IF(C14=0,"",(B14-C14)/C14)</f>
        <v/>
      </c>
    </row>
    <row r="15">
      <c r="A15" s="119" t="inlineStr">
        <is>
          <t>Autres établissements financiers</t>
        </is>
      </c>
      <c r="B15" s="120">
        <f>SUMIF('BALANCE N'!$A$2:$A$2000,"532*",'BALANCE N'!$G$2:$G$2000)+SUMIF('BALANCE N'!$A$2:$A$2000,"533*",'BALANCE N'!$G$2:$G$2000)+SUMIF('BALANCE N'!$A$2:$A$2000,"538*",'BALANCE N'!$G$2:$G$2000)</f>
        <v/>
      </c>
      <c r="C15" s="120">
        <f>SUMIF('BALANCE N-1'!$A$2:$A$2000,"532*",'BALANCE N-1'!$G$2:$G$2000)+SUMIF('BALANCE N-1'!$A$2:$A$2000,"533*",'BALANCE N-1'!$G$2:$G$2000)+SUMIF('BALANCE N-1'!$A$2:$A$2000,"538*",'BALANCE N-1'!$G$2:$G$2000)</f>
        <v/>
      </c>
      <c r="D15" s="120">
        <f>B15-C15</f>
        <v/>
      </c>
      <c r="E15" s="127">
        <f>IF(C15=0,"",(B15-C15)/C15)</f>
        <v/>
      </c>
    </row>
    <row r="16">
      <c r="A16" s="119" t="inlineStr">
        <is>
          <t>Établissements financiers intérêts courus</t>
        </is>
      </c>
      <c r="B16" s="120">
        <f>SUMIF('BALANCE N'!$A$2:$A$2000,"536*",'BALANCE N'!$G$2:$G$2000)-SUMIF('BALANCE N'!$A$2:$A$2000,"536*",'BALANCE N'!$H$2:$H$2000)</f>
        <v/>
      </c>
      <c r="C16" s="120">
        <f>SUMIF('BALANCE N-1'!$A$2:$A$2000,"536*",'BALANCE N-1'!$G$2:$G$2000)-SUMIF('BALANCE N-1'!$A$2:$A$2000,"536*",'BALANCE N-1'!$H$2:$H$2000)</f>
        <v/>
      </c>
      <c r="D16" s="120">
        <f>B16-C16</f>
        <v/>
      </c>
      <c r="E16" s="127">
        <f>IF(C16=0,"",(B16-C16)/C16)</f>
        <v/>
      </c>
    </row>
    <row r="17">
      <c r="A17" s="119" t="inlineStr">
        <is>
          <t>Instruments de monnaie électronique</t>
        </is>
      </c>
      <c r="B17" s="120">
        <f>SUMIF('BALANCE N'!$A$2:$A$2000,"55*",'BALANCE N'!$G$2:$G$2000)-SUMIF('BALANCE N'!$A$2:$A$2000,"55*",'BALANCE N'!$H$2:$H$2000)</f>
        <v/>
      </c>
      <c r="C17" s="120">
        <f>SUMIF('BALANCE N-1'!$A$2:$A$2000,"55*",'BALANCE N-1'!$G$2:$G$2000)-SUMIF('BALANCE N-1'!$A$2:$A$2000,"55*",'BALANCE N-1'!$H$2:$H$2000)</f>
        <v/>
      </c>
      <c r="D17" s="120">
        <f>B17-C17</f>
        <v/>
      </c>
      <c r="E17" s="127">
        <f>IF(C17=0,"",(B17-C17)/C17)</f>
        <v/>
      </c>
    </row>
    <row r="18">
      <c r="A18" s="119" t="inlineStr">
        <is>
          <t>Caisse</t>
        </is>
      </c>
      <c r="B18" s="120">
        <f>SUMIF('BALANCE N'!$A$2:$A$2000,"57*",'BALANCE N'!$G$2:$G$2000)-SUMIF('BALANCE N'!$A$2:$A$2000,"57*",'BALANCE N'!$H$2:$H$2000)</f>
        <v/>
      </c>
      <c r="C18" s="120">
        <f>SUMIF('BALANCE N-1'!$A$2:$A$2000,"57*",'BALANCE N-1'!$G$2:$G$2000)-SUMIF('BALANCE N-1'!$A$2:$A$2000,"57*",'BALANCE N-1'!$H$2:$H$2000)</f>
        <v/>
      </c>
      <c r="D18" s="120">
        <f>B18-C18</f>
        <v/>
      </c>
      <c r="E18" s="127">
        <f>IF(C18=0,"",(B18-C18)/C18)</f>
        <v/>
      </c>
    </row>
    <row r="19">
      <c r="A19" s="6" t="inlineStr">
        <is>
          <t>TOTAL BRUT</t>
        </is>
      </c>
      <c r="B19" s="7">
        <f>SUM(B9:B18)</f>
        <v/>
      </c>
      <c r="C19" s="7">
        <f>SUM(C9:C18)</f>
        <v/>
      </c>
      <c r="D19" s="7">
        <f>B19-C19</f>
        <v/>
      </c>
      <c r="E19" s="128">
        <f>IF(C19=0,"",(B19-C19)/C19)</f>
        <v/>
      </c>
    </row>
    <row r="20">
      <c r="A20" s="119" t="inlineStr">
        <is>
          <t>Dépréciations</t>
        </is>
      </c>
      <c r="B20" s="120">
        <f>SUMIF('BALANCE N'!$A$2:$A$2000,"592*",'BALANCE N'!$H$2:$H$2000)-SUMIF('BALANCE N'!$A$2:$A$2000,"592*",'BALANCE N'!$G$2:$G$2000)+SUMIF('BALANCE N'!$A$2:$A$2000,"593*",'BALANCE N'!$H$2:$H$2000)-SUMIF('BALANCE N'!$A$2:$A$2000,"593*",'BALANCE N'!$G$2:$G$2000)+SUMIF('BALANCE N'!$A$2:$A$2000,"595*",'BALANCE N'!$H$2:$H$2000)-SUMIF('BALANCE N'!$A$2:$A$2000,"595*",'BALANCE N'!$G$2:$G$2000)</f>
        <v/>
      </c>
      <c r="C20" s="120">
        <f>SUMIF('BALANCE N-1'!$A$2:$A$2000,"592*",'BALANCE N-1'!$H$2:$H$2000)-SUMIF('BALANCE N-1'!$A$2:$A$2000,"592*",'BALANCE N-1'!$G$2:$G$2000)+SUMIF('BALANCE N-1'!$A$2:$A$2000,"593*",'BALANCE N-1'!$H$2:$H$2000)-SUMIF('BALANCE N-1'!$A$2:$A$2000,"593*",'BALANCE N-1'!$G$2:$G$2000)+SUMIF('BALANCE N-1'!$A$2:$A$2000,"595*",'BALANCE N-1'!$H$2:$H$2000)-SUMIF('BALANCE N-1'!$A$2:$A$2000,"595*",'BALANCE N-1'!$G$2:$G$2000)</f>
        <v/>
      </c>
      <c r="D20" s="120">
        <f>B20-C20</f>
        <v/>
      </c>
      <c r="E20" s="127">
        <f>IF(C20=0,"",(B20-C20)/C20)</f>
        <v/>
      </c>
    </row>
    <row r="21">
      <c r="A21" s="6" t="inlineStr"/>
      <c r="B21" s="7">
        <f>SUM(B20:B20)</f>
        <v/>
      </c>
      <c r="C21" s="7">
        <f>SUM(C20:C20)</f>
        <v/>
      </c>
      <c r="D21" s="7">
        <f>B21-C21</f>
        <v/>
      </c>
      <c r="E21" s="128">
        <f>IF(C21=0,"",(B21-C21)/C21)</f>
        <v/>
      </c>
    </row>
    <row r="22">
      <c r="A22" s="6" t="inlineStr">
        <is>
          <t>TOTAL NET DE DÉPRÉCIATIONS</t>
        </is>
      </c>
      <c r="B22" s="7">
        <f>B19-B21</f>
        <v/>
      </c>
      <c r="C22" s="7">
        <f>C19-C21</f>
        <v/>
      </c>
      <c r="D22" s="7">
        <f>B22-C22</f>
        <v/>
      </c>
      <c r="E22" s="128">
        <f>IF(C22=0,"",(B22-C22)/C22)</f>
        <v/>
      </c>
    </row>
    <row r="23"/>
    <row r="24">
      <c r="A24" s="42" t="inlineStr">
        <is>
          <t>Commentaires :</t>
        </is>
      </c>
    </row>
    <row r="25">
      <c r="A25" s="123" t="inlineStr">
        <is>
          <t>• Indiquer la date de rapprochement des comptes bancaires et la date d'inventaire de la caisse et des instruments de monnaie électronique. NB : les intérêts courus figurent ici en négatif si le compte principal attaché est débiteur.</t>
        </is>
      </c>
    </row>
    <row r="26"/>
    <row r="27" ht="34" customHeight="1">
      <c r="A27" s="122">
        <f>IF(SUM(B9:B22,C9:C22,D9:D22)=0,"NÉANT","")</f>
        <v/>
      </c>
    </row>
    <row r="28" ht="34" customHeight="1"/>
    <row r="29" ht="34" customHeight="1"/>
  </sheetData>
  <mergeCells count="3">
    <mergeCell ref="A7:E7"/>
    <mergeCell ref="A27:E29"/>
    <mergeCell ref="D2:E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- 29 -</t>
        </is>
      </c>
    </row>
    <row r="2" ht="26" customHeight="1">
      <c r="D2" s="51" t="inlineStr">
        <is>
          <t>NOTE 14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14 : ÉCARTS DE CONVERSION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9" t="inlineStr">
        <is>
          <t>Écarts de conversion-actif (détailler créances et dettes concernées)</t>
        </is>
      </c>
      <c r="B9" s="120">
        <f>SUMIF('BALANCE N'!$A$2:$A$2000,"478*",'BALANCE N'!$G$2:$G$2000)-SUMIF('BALANCE N'!$A$2:$A$2000,"478*",'BALANCE N'!$H$2:$H$2000)</f>
        <v/>
      </c>
      <c r="C9" s="120">
        <f>SUMIF('BALANCE N-1'!$A$2:$A$2000,"478*",'BALANCE N-1'!$G$2:$G$2000)-SUMIF('BALANCE N-1'!$A$2:$A$2000,"478*",'BALANCE N-1'!$H$2:$H$2000)</f>
        <v/>
      </c>
      <c r="D9" s="120">
        <f>B9-C9</f>
        <v/>
      </c>
      <c r="E9" s="127">
        <f>IF(C9=0,"",(B9-C9)/C9)</f>
        <v/>
      </c>
    </row>
    <row r="10">
      <c r="A10" s="119" t="inlineStr">
        <is>
          <t>…</t>
        </is>
      </c>
      <c r="B10" s="120" t="n"/>
      <c r="C10" s="120" t="n"/>
      <c r="D10" s="120" t="n"/>
      <c r="E10" s="119" t="n"/>
    </row>
    <row r="11">
      <c r="A11" s="119" t="inlineStr">
        <is>
          <t>Écart de conversion-passif (détailler créances et dettes concernées)</t>
        </is>
      </c>
      <c r="B11" s="120">
        <f>SUMIF('BALANCE N'!$A$2:$A$2000,"479*",'BALANCE N'!$H$2:$H$2000)-SUMIF('BALANCE N'!$A$2:$A$2000,"479*",'BALANCE N'!$G$2:$G$2000)</f>
        <v/>
      </c>
      <c r="C11" s="120">
        <f>SUMIF('BALANCE N-1'!$A$2:$A$2000,"479*",'BALANCE N-1'!$H$2:$H$2000)-SUMIF('BALANCE N-1'!$A$2:$A$2000,"479*",'BALANCE N-1'!$G$2:$G$2000)</f>
        <v/>
      </c>
      <c r="D11" s="120">
        <f>B11-C11</f>
        <v/>
      </c>
      <c r="E11" s="127">
        <f>IF(C11=0,"",(B11-C11)/C11)</f>
        <v/>
      </c>
    </row>
    <row r="12">
      <c r="A12" s="119" t="inlineStr">
        <is>
          <t>…</t>
        </is>
      </c>
      <c r="B12" s="120" t="n"/>
      <c r="C12" s="120" t="n"/>
      <c r="D12" s="120" t="n"/>
      <c r="E12" s="119" t="n"/>
    </row>
    <row r="13"/>
    <row r="14">
      <c r="A14" s="42" t="inlineStr">
        <is>
          <t>Commentaires :</t>
        </is>
      </c>
    </row>
    <row r="15">
      <c r="A15" s="123" t="inlineStr">
        <is>
          <t>• Détailler par devise : montant en devises, cours UML à l'année d'acquisition, cours UML au 31/12.</t>
        </is>
      </c>
    </row>
    <row r="16"/>
    <row r="17" ht="34" customHeight="1">
      <c r="A17" s="122">
        <f>IF(SUM(B9:B12,C9:C12,D9:D12)=0,"NÉANT","")</f>
        <v/>
      </c>
    </row>
    <row r="18" ht="34" customHeight="1"/>
    <row r="19" ht="34" customHeight="1"/>
  </sheetData>
  <mergeCells count="3">
    <mergeCell ref="A17:E19"/>
    <mergeCell ref="A7:E7"/>
    <mergeCell ref="D2:E2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- 30 -</t>
        </is>
      </c>
    </row>
    <row r="2" ht="26" customHeight="1">
      <c r="D2" s="51" t="inlineStr">
        <is>
          <t>NOTE 15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15 : DOTATION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9" t="inlineStr">
        <is>
          <t>Dotation non consomptible (sans et avec droit de reprise)</t>
        </is>
      </c>
      <c r="B9" s="120">
        <f>SUMIF('BALANCE N'!$A$2:$A$2000,"101*",'BALANCE N'!$H$2:$H$2000)-SUMIF('BALANCE N'!$A$2:$A$2000,"101*",'BALANCE N'!$G$2:$G$2000)+SUMIF('BALANCE N'!$A$2:$A$2000,"102*",'BALANCE N'!$H$2:$H$2000)-SUMIF('BALANCE N'!$A$2:$A$2000,"102*",'BALANCE N'!$G$2:$G$2000)</f>
        <v/>
      </c>
      <c r="C9" s="120">
        <f>SUMIF('BALANCE N-1'!$A$2:$A$2000,"101*",'BALANCE N-1'!$H$2:$H$2000)-SUMIF('BALANCE N-1'!$A$2:$A$2000,"101*",'BALANCE N-1'!$G$2:$G$2000)+SUMIF('BALANCE N-1'!$A$2:$A$2000,"102*",'BALANCE N-1'!$H$2:$H$2000)-SUMIF('BALANCE N-1'!$A$2:$A$2000,"102*",'BALANCE N-1'!$G$2:$G$2000)</f>
        <v/>
      </c>
      <c r="D9" s="120">
        <f>B9-C9</f>
        <v/>
      </c>
      <c r="E9" s="127">
        <f>IF(C9=0,"",(B9-C9)/C9)</f>
        <v/>
      </c>
    </row>
    <row r="10">
      <c r="A10" s="119" t="inlineStr">
        <is>
          <t>Droit d'entrée</t>
        </is>
      </c>
      <c r="B10" s="120">
        <f>SUMIF('BALANCE N'!$A$2:$A$2000,"103*",'BALANCE N'!$H$2:$H$2000)-SUMIF('BALANCE N'!$A$2:$A$2000,"103*",'BALANCE N'!$G$2:$G$2000)</f>
        <v/>
      </c>
      <c r="C10" s="120">
        <f>SUMIF('BALANCE N-1'!$A$2:$A$2000,"103*",'BALANCE N-1'!$H$2:$H$2000)-SUMIF('BALANCE N-1'!$A$2:$A$2000,"103*",'BALANCE N-1'!$G$2:$G$2000)</f>
        <v/>
      </c>
      <c r="D10" s="120">
        <f>B10-C10</f>
        <v/>
      </c>
      <c r="E10" s="127">
        <f>IF(C10=0,"",(B10-C10)/C10)</f>
        <v/>
      </c>
    </row>
    <row r="11">
      <c r="A11" s="119" t="inlineStr">
        <is>
          <t>Dotation consomptible</t>
        </is>
      </c>
      <c r="B11" s="120">
        <f>SUMIF('BALANCE N'!$A$2:$A$2000,"104*",'BALANCE N'!$H$2:$H$2000)-SUMIF('BALANCE N'!$A$2:$A$2000,"104*",'BALANCE N'!$G$2:$G$2000)</f>
        <v/>
      </c>
      <c r="C11" s="120">
        <f>SUMIF('BALANCE N-1'!$A$2:$A$2000,"104*",'BALANCE N-1'!$H$2:$H$2000)-SUMIF('BALANCE N-1'!$A$2:$A$2000,"104*",'BALANCE N-1'!$G$2:$G$2000)</f>
        <v/>
      </c>
      <c r="D11" s="120">
        <f>B11-C11</f>
        <v/>
      </c>
      <c r="E11" s="127">
        <f>IF(C11=0,"",(B11-C11)/C11)</f>
        <v/>
      </c>
    </row>
    <row r="12">
      <c r="A12" s="6" t="inlineStr">
        <is>
          <t>TOTAL</t>
        </is>
      </c>
      <c r="B12" s="7">
        <f>SUM(B9:B11)</f>
        <v/>
      </c>
      <c r="C12" s="7">
        <f>SUM(C9:C11)</f>
        <v/>
      </c>
      <c r="D12" s="7">
        <f>B12-C12</f>
        <v/>
      </c>
      <c r="E12" s="128">
        <f>IF(C12=0,"",(B12-C12)/C12)</f>
        <v/>
      </c>
    </row>
    <row r="13">
      <c r="A13" s="119" t="n"/>
      <c r="B13" s="120" t="n"/>
      <c r="C13" s="120" t="n"/>
      <c r="D13" s="120" t="n"/>
      <c r="E13" s="119" t="n"/>
    </row>
    <row r="14">
      <c r="A14" s="119" t="inlineStr">
        <is>
          <t>Détail par membre : Nom et prénoms | Nationalité | Montant | Avec ou sans droit de reprise</t>
        </is>
      </c>
      <c r="B14" s="120" t="n"/>
      <c r="C14" s="120" t="n"/>
      <c r="D14" s="120" t="n"/>
      <c r="E14" s="119" t="n"/>
    </row>
    <row r="15">
      <c r="A15" s="119" t="inlineStr">
        <is>
          <t>…</t>
        </is>
      </c>
      <c r="B15" s="120" t="n"/>
      <c r="C15" s="120" t="n"/>
      <c r="D15" s="120" t="n"/>
      <c r="E15" s="119" t="n"/>
    </row>
    <row r="16">
      <c r="A16" s="119" t="inlineStr">
        <is>
          <t>…</t>
        </is>
      </c>
      <c r="B16" s="120" t="n"/>
      <c r="C16" s="120" t="n"/>
      <c r="D16" s="120" t="n"/>
      <c r="E16" s="119" t="n"/>
    </row>
    <row r="17">
      <c r="A17" s="119" t="inlineStr">
        <is>
          <t>…</t>
        </is>
      </c>
      <c r="B17" s="120" t="n"/>
      <c r="C17" s="120" t="n"/>
      <c r="D17" s="120" t="n"/>
      <c r="E17" s="119" t="n"/>
    </row>
    <row r="18"/>
    <row r="19" ht="34" customHeight="1">
      <c r="A19" s="122">
        <f>IF(SUM(B9:B17,C9:C17,D9:D17)=0,"NÉANT","")</f>
        <v/>
      </c>
    </row>
    <row r="20" ht="34" customHeight="1"/>
    <row r="21" ht="34" customHeight="1"/>
  </sheetData>
  <mergeCells count="3">
    <mergeCell ref="A7:E7"/>
    <mergeCell ref="A19:E21"/>
    <mergeCell ref="D2:E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- 31 -</t>
        </is>
      </c>
    </row>
    <row r="2" ht="26" customHeight="1">
      <c r="D2" s="51" t="inlineStr">
        <is>
          <t>NOTE 16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16 : RÉSERVES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9" t="inlineStr">
        <is>
          <t>Réserves statutaires ou contractuelles</t>
        </is>
      </c>
      <c r="B9" s="120">
        <f>SUMIF('BALANCE N'!$A$2:$A$2000,"112*",'BALANCE N'!$H$2:$H$2000)-SUMIF('BALANCE N'!$A$2:$A$2000,"112*",'BALANCE N'!$G$2:$G$2000)</f>
        <v/>
      </c>
      <c r="C9" s="120">
        <f>SUMIF('BALANCE N-1'!$A$2:$A$2000,"112*",'BALANCE N-1'!$H$2:$H$2000)-SUMIF('BALANCE N-1'!$A$2:$A$2000,"112*",'BALANCE N-1'!$G$2:$G$2000)</f>
        <v/>
      </c>
      <c r="D9" s="120">
        <f>B9-C9</f>
        <v/>
      </c>
      <c r="E9" s="127">
        <f>IF(C9=0,"",(B9-C9)/C9)</f>
        <v/>
      </c>
    </row>
    <row r="10">
      <c r="A10" s="119" t="inlineStr">
        <is>
          <t>Autres réserves</t>
        </is>
      </c>
      <c r="B10" s="120">
        <f>SUMIF('BALANCE N'!$A$2:$A$2000,"118*",'BALANCE N'!$H$2:$H$2000)-SUMIF('BALANCE N'!$A$2:$A$2000,"118*",'BALANCE N'!$G$2:$G$2000)</f>
        <v/>
      </c>
      <c r="C10" s="120">
        <f>SUMIF('BALANCE N-1'!$A$2:$A$2000,"118*",'BALANCE N-1'!$H$2:$H$2000)-SUMIF('BALANCE N-1'!$A$2:$A$2000,"118*",'BALANCE N-1'!$G$2:$G$2000)</f>
        <v/>
      </c>
      <c r="D10" s="120">
        <f>B10-C10</f>
        <v/>
      </c>
      <c r="E10" s="127">
        <f>IF(C10=0,"",(B10-C10)/C10)</f>
        <v/>
      </c>
    </row>
    <row r="11">
      <c r="A11" s="6" t="inlineStr">
        <is>
          <t>TOTAL RÉSERVES</t>
        </is>
      </c>
      <c r="B11" s="7">
        <f>SUM(B9:B10)</f>
        <v/>
      </c>
      <c r="C11" s="7">
        <f>SUM(C9:C10)</f>
        <v/>
      </c>
      <c r="D11" s="7">
        <f>B11-C11</f>
        <v/>
      </c>
      <c r="E11" s="128">
        <f>IF(C11=0,"",(B11-C11)/C11)</f>
        <v/>
      </c>
    </row>
    <row r="12">
      <c r="A12" s="119" t="inlineStr">
        <is>
          <t>Report à nouveau (+ ou -)</t>
        </is>
      </c>
      <c r="B12" s="120">
        <f>SUMIF('BALANCE N'!$A$2:$A$2000,"12*",'BALANCE N'!$H$2:$H$2000)-SUMIF('BALANCE N'!$A$2:$A$2000,"12*",'BALANCE N'!$G$2:$G$2000)</f>
        <v/>
      </c>
      <c r="C12" s="120">
        <f>SUMIF('BALANCE N-1'!$A$2:$A$2000,"12*",'BALANCE N-1'!$H$2:$H$2000)-SUMIF('BALANCE N-1'!$A$2:$A$2000,"12*",'BALANCE N-1'!$G$2:$G$2000)</f>
        <v/>
      </c>
      <c r="D12" s="120">
        <f>B12-C12</f>
        <v/>
      </c>
      <c r="E12" s="127">
        <f>IF(C12=0,"",(B12-C12)/C12)</f>
        <v/>
      </c>
    </row>
    <row r="13"/>
    <row r="14">
      <c r="A14" s="42" t="inlineStr">
        <is>
          <t>Commentaires :</t>
        </is>
      </c>
    </row>
    <row r="15">
      <c r="A15" s="123" t="inlineStr">
        <is>
          <t>• Indiquer la date des délibérations ou dispositions statutaires justifiant la variation des réserves et du report à nouveau.</t>
        </is>
      </c>
    </row>
    <row r="16"/>
    <row r="17" ht="34" customHeight="1">
      <c r="A17" s="122">
        <f>IF(SUM(B9:B12,C9:C12,D9:D12)=0,"NÉANT","")</f>
        <v/>
      </c>
    </row>
    <row r="18" ht="34" customHeight="1"/>
    <row r="19" ht="34" customHeight="1"/>
  </sheetData>
  <mergeCells count="3">
    <mergeCell ref="A17:E19"/>
    <mergeCell ref="A7:E7"/>
    <mergeCell ref="D2:E2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- 32 -</t>
        </is>
      </c>
    </row>
    <row r="2" ht="26" customHeight="1">
      <c r="F2" s="51" t="inlineStr">
        <is>
          <t>NOTE 17A
SYSTEME NORMAL</t>
        </is>
      </c>
      <c r="G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D4" s="41" t="n"/>
      <c r="F4" s="54" t="inlineStr">
        <is>
          <t>Sigle usuel :</t>
        </is>
      </c>
      <c r="G4" s="53" t="inlineStr"/>
    </row>
    <row r="5" ht="15" customHeight="1">
      <c r="A5" s="39" t="inlineStr">
        <is>
          <t>N° de compte contribuable (NCC) :</t>
        </is>
      </c>
      <c r="D5" s="39" t="inlineStr">
        <is>
          <t>Exercice clos le</t>
        </is>
      </c>
      <c r="F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17A : SUBVENTIONS ET PROVISIONS RÉGLEMENTÉES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Régime fiscal</t>
        </is>
      </c>
      <c r="G8" s="3" t="inlineStr">
        <is>
          <t>Échéances</t>
        </is>
      </c>
    </row>
    <row r="9">
      <c r="A9" s="119" t="inlineStr">
        <is>
          <t>État</t>
        </is>
      </c>
      <c r="B9" s="120">
        <f>SUMIF('BALANCE N'!$A$2:$A$2000,"1411*",'BALANCE N'!$H$2:$H$2000)-SUMIF('BALANCE N'!$A$2:$A$2000,"1411*",'BALANCE N'!$G$2:$G$2000)</f>
        <v/>
      </c>
      <c r="C9" s="120">
        <f>SUMIF('BALANCE N-1'!$A$2:$A$2000,"1411*",'BALANCE N-1'!$H$2:$H$2000)-SUMIF('BALANCE N-1'!$A$2:$A$2000,"1411*",'BALANCE N-1'!$G$2:$G$2000)</f>
        <v/>
      </c>
      <c r="D9" s="120">
        <f>B9-C9</f>
        <v/>
      </c>
      <c r="E9" s="127">
        <f>IF(C9=0,"",(B9-C9)/C9)</f>
        <v/>
      </c>
      <c r="F9" s="119" t="n"/>
      <c r="G9" s="119" t="n"/>
    </row>
    <row r="10">
      <c r="A10" s="119" t="inlineStr">
        <is>
          <t>Régions</t>
        </is>
      </c>
      <c r="B10" s="120">
        <f>SUMIF('BALANCE N'!$A$2:$A$2000,"1412*",'BALANCE N'!$H$2:$H$2000)-SUMIF('BALANCE N'!$A$2:$A$2000,"1412*",'BALANCE N'!$G$2:$G$2000)</f>
        <v/>
      </c>
      <c r="C10" s="120">
        <f>SUMIF('BALANCE N-1'!$A$2:$A$2000,"1412*",'BALANCE N-1'!$H$2:$H$2000)-SUMIF('BALANCE N-1'!$A$2:$A$2000,"1412*",'BALANCE N-1'!$G$2:$G$2000)</f>
        <v/>
      </c>
      <c r="D10" s="120">
        <f>B10-C10</f>
        <v/>
      </c>
      <c r="E10" s="127">
        <f>IF(C10=0,"",(B10-C10)/C10)</f>
        <v/>
      </c>
      <c r="F10" s="119" t="n"/>
      <c r="G10" s="119" t="n"/>
    </row>
    <row r="11">
      <c r="A11" s="119" t="inlineStr">
        <is>
          <t>Départements</t>
        </is>
      </c>
      <c r="B11" s="120">
        <f>SUMIF('BALANCE N'!$A$2:$A$2000,"1413*",'BALANCE N'!$H$2:$H$2000)-SUMIF('BALANCE N'!$A$2:$A$2000,"1413*",'BALANCE N'!$G$2:$G$2000)</f>
        <v/>
      </c>
      <c r="C11" s="120">
        <f>SUMIF('BALANCE N-1'!$A$2:$A$2000,"1413*",'BALANCE N-1'!$H$2:$H$2000)-SUMIF('BALANCE N-1'!$A$2:$A$2000,"1413*",'BALANCE N-1'!$G$2:$G$2000)</f>
        <v/>
      </c>
      <c r="D11" s="120">
        <f>B11-C11</f>
        <v/>
      </c>
      <c r="E11" s="127">
        <f>IF(C11=0,"",(B11-C11)/C11)</f>
        <v/>
      </c>
      <c r="F11" s="119" t="n"/>
      <c r="G11" s="119" t="n"/>
    </row>
    <row r="12">
      <c r="A12" s="119" t="inlineStr">
        <is>
          <t>Communes et collectivités publiques décentralisées</t>
        </is>
      </c>
      <c r="B12" s="120">
        <f>SUMIF('BALANCE N'!$A$2:$A$2000,"1414*",'BALANCE N'!$H$2:$H$2000)-SUMIF('BALANCE N'!$A$2:$A$2000,"1414*",'BALANCE N'!$G$2:$G$2000)</f>
        <v/>
      </c>
      <c r="C12" s="120">
        <f>SUMIF('BALANCE N-1'!$A$2:$A$2000,"1414*",'BALANCE N-1'!$H$2:$H$2000)-SUMIF('BALANCE N-1'!$A$2:$A$2000,"1414*",'BALANCE N-1'!$G$2:$G$2000)</f>
        <v/>
      </c>
      <c r="D12" s="120">
        <f>B12-C12</f>
        <v/>
      </c>
      <c r="E12" s="127">
        <f>IF(C12=0,"",(B12-C12)/C12)</f>
        <v/>
      </c>
      <c r="F12" s="119" t="n"/>
      <c r="G12" s="119" t="n"/>
    </row>
    <row r="13">
      <c r="A13" s="119" t="inlineStr">
        <is>
          <t>Entités publiques ou mixtes</t>
        </is>
      </c>
      <c r="B13" s="120">
        <f>SUMIF('BALANCE N'!$A$2:$A$2000,"1415*",'BALANCE N'!$H$2:$H$2000)-SUMIF('BALANCE N'!$A$2:$A$2000,"1415*",'BALANCE N'!$G$2:$G$2000)</f>
        <v/>
      </c>
      <c r="C13" s="120">
        <f>SUMIF('BALANCE N-1'!$A$2:$A$2000,"1415*",'BALANCE N-1'!$H$2:$H$2000)-SUMIF('BALANCE N-1'!$A$2:$A$2000,"1415*",'BALANCE N-1'!$G$2:$G$2000)</f>
        <v/>
      </c>
      <c r="D13" s="120">
        <f>B13-C13</f>
        <v/>
      </c>
      <c r="E13" s="127">
        <f>IF(C13=0,"",(B13-C13)/C13)</f>
        <v/>
      </c>
      <c r="F13" s="119" t="n"/>
      <c r="G13" s="119" t="n"/>
    </row>
    <row r="14">
      <c r="A14" s="119" t="inlineStr">
        <is>
          <t>Entités et organismes privés</t>
        </is>
      </c>
      <c r="B14" s="120">
        <f>SUMIF('BALANCE N'!$A$2:$A$2000,"1416*",'BALANCE N'!$H$2:$H$2000)-SUMIF('BALANCE N'!$A$2:$A$2000,"1416*",'BALANCE N'!$G$2:$G$2000)</f>
        <v/>
      </c>
      <c r="C14" s="120">
        <f>SUMIF('BALANCE N-1'!$A$2:$A$2000,"1416*",'BALANCE N-1'!$H$2:$H$2000)-SUMIF('BALANCE N-1'!$A$2:$A$2000,"1416*",'BALANCE N-1'!$G$2:$G$2000)</f>
        <v/>
      </c>
      <c r="D14" s="120">
        <f>B14-C14</f>
        <v/>
      </c>
      <c r="E14" s="127">
        <f>IF(C14=0,"",(B14-C14)/C14)</f>
        <v/>
      </c>
      <c r="F14" s="119" t="n"/>
      <c r="G14" s="119" t="n"/>
    </row>
    <row r="15">
      <c r="A15" s="119" t="inlineStr">
        <is>
          <t>Organismes internationaux</t>
        </is>
      </c>
      <c r="B15" s="120">
        <f>SUMIF('BALANCE N'!$A$2:$A$2000,"1417*",'BALANCE N'!$H$2:$H$2000)-SUMIF('BALANCE N'!$A$2:$A$2000,"1417*",'BALANCE N'!$G$2:$G$2000)</f>
        <v/>
      </c>
      <c r="C15" s="120">
        <f>SUMIF('BALANCE N-1'!$A$2:$A$2000,"1417*",'BALANCE N-1'!$H$2:$H$2000)-SUMIF('BALANCE N-1'!$A$2:$A$2000,"1417*",'BALANCE N-1'!$G$2:$G$2000)</f>
        <v/>
      </c>
      <c r="D15" s="120">
        <f>B15-C15</f>
        <v/>
      </c>
      <c r="E15" s="127">
        <f>IF(C15=0,"",(B15-C15)/C15)</f>
        <v/>
      </c>
      <c r="F15" s="119" t="n"/>
      <c r="G15" s="119" t="n"/>
    </row>
    <row r="16">
      <c r="A16" s="119" t="inlineStr">
        <is>
          <t>Autres subventions d'investissement</t>
        </is>
      </c>
      <c r="B16" s="120">
        <f>SUMIF('BALANCE N'!$A$2:$A$2000,"148*",'BALANCE N'!$H$2:$H$2000)-SUMIF('BALANCE N'!$A$2:$A$2000,"148*",'BALANCE N'!$G$2:$G$2000)+SUMIF('BALANCE N'!$A$2:$A$2000,"1418*",'BALANCE N'!$H$2:$H$2000)-SUMIF('BALANCE N'!$A$2:$A$2000,"1418*",'BALANCE N'!$G$2:$G$2000)</f>
        <v/>
      </c>
      <c r="C16" s="120">
        <f>SUMIF('BALANCE N-1'!$A$2:$A$2000,"148*",'BALANCE N-1'!$H$2:$H$2000)-SUMIF('BALANCE N-1'!$A$2:$A$2000,"148*",'BALANCE N-1'!$G$2:$G$2000)+SUMIF('BALANCE N-1'!$A$2:$A$2000,"1418*",'BALANCE N-1'!$H$2:$H$2000)-SUMIF('BALANCE N-1'!$A$2:$A$2000,"1418*",'BALANCE N-1'!$G$2:$G$2000)</f>
        <v/>
      </c>
      <c r="D16" s="120">
        <f>B16-C16</f>
        <v/>
      </c>
      <c r="E16" s="127">
        <f>IF(C16=0,"",(B16-C16)/C16)</f>
        <v/>
      </c>
      <c r="F16" s="119" t="n"/>
      <c r="G16" s="119" t="n"/>
    </row>
    <row r="17">
      <c r="A17" s="6" t="inlineStr">
        <is>
          <t>TOTAL SUBVENTIONS</t>
        </is>
      </c>
      <c r="B17" s="7">
        <f>SUM(B9:B16)</f>
        <v/>
      </c>
      <c r="C17" s="7">
        <f>SUM(C9:C16)</f>
        <v/>
      </c>
      <c r="D17" s="7">
        <f>B17-C17</f>
        <v/>
      </c>
      <c r="E17" s="128">
        <f>IF(C17=0,"",(B17-C17)/C17)</f>
        <v/>
      </c>
      <c r="F17" s="7" t="n"/>
      <c r="G17" s="7" t="n"/>
    </row>
    <row r="18">
      <c r="A18" s="119" t="inlineStr">
        <is>
          <t>Provisions réglementées</t>
        </is>
      </c>
      <c r="B18" s="120">
        <f>SUMIF('BALANCE N'!$A$2:$A$2000,"15*",'BALANCE N'!$H$2:$H$2000)-SUMIF('BALANCE N'!$A$2:$A$2000,"15*",'BALANCE N'!$G$2:$G$2000)</f>
        <v/>
      </c>
      <c r="C18" s="120">
        <f>SUMIF('BALANCE N-1'!$A$2:$A$2000,"15*",'BALANCE N-1'!$H$2:$H$2000)-SUMIF('BALANCE N-1'!$A$2:$A$2000,"15*",'BALANCE N-1'!$G$2:$G$2000)</f>
        <v/>
      </c>
      <c r="D18" s="120">
        <f>B18-C18</f>
        <v/>
      </c>
      <c r="E18" s="127">
        <f>IF(C18=0,"",(B18-C18)/C18)</f>
        <v/>
      </c>
      <c r="F18" s="119" t="n"/>
      <c r="G18" s="119" t="n"/>
    </row>
    <row r="19">
      <c r="A19" s="6" t="inlineStr"/>
      <c r="B19" s="7">
        <f>SUM(B18:B18)</f>
        <v/>
      </c>
      <c r="C19" s="7">
        <f>SUM(C18:C18)</f>
        <v/>
      </c>
      <c r="D19" s="7">
        <f>B19-C19</f>
        <v/>
      </c>
      <c r="E19" s="128">
        <f>IF(C19=0,"",(B19-C19)/C19)</f>
        <v/>
      </c>
      <c r="F19" s="7" t="n"/>
      <c r="G19" s="7" t="n"/>
    </row>
    <row r="20">
      <c r="A20" s="6" t="inlineStr">
        <is>
          <t>TOTAL SUBVENTIONS ET PROVISIONS RÉGLEMENTÉES</t>
        </is>
      </c>
      <c r="B20" s="7">
        <f>B17+B19</f>
        <v/>
      </c>
      <c r="C20" s="7">
        <f>C17+C19</f>
        <v/>
      </c>
      <c r="D20" s="7">
        <f>B20-C20</f>
        <v/>
      </c>
      <c r="E20" s="128">
        <f>IF(C20=0,"",(B20-C20)/C20)</f>
        <v/>
      </c>
      <c r="F20" s="7" t="n"/>
      <c r="G20" s="7" t="n"/>
    </row>
    <row r="21"/>
    <row r="22">
      <c r="A22" s="42" t="inlineStr">
        <is>
          <t>Commentaires :</t>
        </is>
      </c>
    </row>
    <row r="23">
      <c r="A23" s="123" t="inlineStr">
        <is>
          <t>• Indiquer pour chaque subvention la date d'octroi, la nature, les obligations éventuelles ; pour les provisions réglementées, le texte de référence.</t>
        </is>
      </c>
    </row>
    <row r="24"/>
    <row r="25" ht="34" customHeight="1">
      <c r="A25" s="122">
        <f>IF(SUM(B9:B20,C9:C20,D9:D20,F17:F20,G17:G20)=0,"NÉANT","")</f>
        <v/>
      </c>
    </row>
    <row r="26" ht="34" customHeight="1"/>
    <row r="27" ht="34" customHeight="1"/>
  </sheetData>
  <mergeCells count="4">
    <mergeCell ref="A25:G27"/>
    <mergeCell ref="F2:G2"/>
    <mergeCell ref="A7:G7"/>
    <mergeCell ref="B4:D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- 33 -</t>
        </is>
      </c>
    </row>
    <row r="2" ht="26" customHeight="1">
      <c r="D2" s="51" t="inlineStr">
        <is>
          <t>NOTE 17B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17B : FONDS AFFECTÉS ET REPORTÉS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9" t="inlineStr">
        <is>
          <t>Fonds affectés aux investissements</t>
        </is>
      </c>
      <c r="B9" s="120">
        <f>SUMIF('BALANCE N'!$A$2:$A$2000,"161*",'BALANCE N'!$H$2:$H$2000)-SUMIF('BALANCE N'!$A$2:$A$2000,"161*",'BALANCE N'!$G$2:$G$2000)+SUMIF('BALANCE N'!$A$2:$A$2000,"162*",'BALANCE N'!$H$2:$H$2000)-SUMIF('BALANCE N'!$A$2:$A$2000,"162*",'BALANCE N'!$G$2:$G$2000)+SUMIF('BALANCE N'!$A$2:$A$2000,"163*",'BALANCE N'!$H$2:$H$2000)-SUMIF('BALANCE N'!$A$2:$A$2000,"163*",'BALANCE N'!$G$2:$G$2000)+SUMIF('BALANCE N'!$A$2:$A$2000,"164*",'BALANCE N'!$H$2:$H$2000)-SUMIF('BALANCE N'!$A$2:$A$2000,"164*",'BALANCE N'!$G$2:$G$2000)</f>
        <v/>
      </c>
      <c r="C9" s="120">
        <f>SUMIF('BALANCE N-1'!$A$2:$A$2000,"161*",'BALANCE N-1'!$H$2:$H$2000)-SUMIF('BALANCE N-1'!$A$2:$A$2000,"161*",'BALANCE N-1'!$G$2:$G$2000)+SUMIF('BALANCE N-1'!$A$2:$A$2000,"162*",'BALANCE N-1'!$H$2:$H$2000)-SUMIF('BALANCE N-1'!$A$2:$A$2000,"162*",'BALANCE N-1'!$G$2:$G$2000)+SUMIF('BALANCE N-1'!$A$2:$A$2000,"163*",'BALANCE N-1'!$H$2:$H$2000)-SUMIF('BALANCE N-1'!$A$2:$A$2000,"163*",'BALANCE N-1'!$G$2:$G$2000)+SUMIF('BALANCE N-1'!$A$2:$A$2000,"164*",'BALANCE N-1'!$H$2:$H$2000)-SUMIF('BALANCE N-1'!$A$2:$A$2000,"164*",'BALANCE N-1'!$G$2:$G$2000)</f>
        <v/>
      </c>
      <c r="D9" s="120">
        <f>B9-C9</f>
        <v/>
      </c>
      <c r="E9" s="127">
        <f>IF(C9=0,"",(B9-C9)/C9)</f>
        <v/>
      </c>
    </row>
    <row r="10">
      <c r="A10" s="119" t="inlineStr">
        <is>
          <t>Fonds non consommés en fin d'exercice destinés à un projet spécifique</t>
        </is>
      </c>
      <c r="B10" s="120">
        <f>SUMIF('BALANCE N'!$A$2:$A$2000,"165*",'BALANCE N'!$H$2:$H$2000)-SUMIF('BALANCE N'!$A$2:$A$2000,"165*",'BALANCE N'!$G$2:$G$2000)</f>
        <v/>
      </c>
      <c r="C10" s="120">
        <f>SUMIF('BALANCE N-1'!$A$2:$A$2000,"165*",'BALANCE N-1'!$H$2:$H$2000)-SUMIF('BALANCE N-1'!$A$2:$A$2000,"165*",'BALANCE N-1'!$G$2:$G$2000)</f>
        <v/>
      </c>
      <c r="D10" s="120">
        <f>B10-C10</f>
        <v/>
      </c>
      <c r="E10" s="127">
        <f>IF(C10=0,"",(B10-C10)/C10)</f>
        <v/>
      </c>
    </row>
    <row r="11">
      <c r="A11" s="119" t="inlineStr">
        <is>
          <t>Fonds provenant des dons et legs d'immobilisations</t>
        </is>
      </c>
      <c r="B11" s="120">
        <f>SUMIF('BALANCE N'!$A$2:$A$2000,"167*",'BALANCE N'!$H$2:$H$2000)-SUMIF('BALANCE N'!$A$2:$A$2000,"167*",'BALANCE N'!$G$2:$G$2000)</f>
        <v/>
      </c>
      <c r="C11" s="120">
        <f>SUMIF('BALANCE N-1'!$A$2:$A$2000,"167*",'BALANCE N-1'!$H$2:$H$2000)-SUMIF('BALANCE N-1'!$A$2:$A$2000,"167*",'BALANCE N-1'!$G$2:$G$2000)</f>
        <v/>
      </c>
      <c r="D11" s="120">
        <f>B11-C11</f>
        <v/>
      </c>
      <c r="E11" s="127">
        <f>IF(C11=0,"",(B11-C11)/C11)</f>
        <v/>
      </c>
    </row>
    <row r="12">
      <c r="A12" s="119" t="inlineStr">
        <is>
          <t>Autres fonds affectés</t>
        </is>
      </c>
      <c r="B12" s="120">
        <f>SUMIF('BALANCE N'!$A$2:$A$2000,"168*",'BALANCE N'!$H$2:$H$2000)-SUMIF('BALANCE N'!$A$2:$A$2000,"168*",'BALANCE N'!$G$2:$G$2000)+SUMIF('BALANCE N'!$A$2:$A$2000,"169*",'BALANCE N'!$H$2:$H$2000)-SUMIF('BALANCE N'!$A$2:$A$2000,"169*",'BALANCE N'!$G$2:$G$2000)</f>
        <v/>
      </c>
      <c r="C12" s="120">
        <f>SUMIF('BALANCE N-1'!$A$2:$A$2000,"168*",'BALANCE N-1'!$H$2:$H$2000)-SUMIF('BALANCE N-1'!$A$2:$A$2000,"168*",'BALANCE N-1'!$G$2:$G$2000)+SUMIF('BALANCE N-1'!$A$2:$A$2000,"169*",'BALANCE N-1'!$H$2:$H$2000)-SUMIF('BALANCE N-1'!$A$2:$A$2000,"169*",'BALANCE N-1'!$G$2:$G$2000)</f>
        <v/>
      </c>
      <c r="D12" s="120">
        <f>B12-C12</f>
        <v/>
      </c>
      <c r="E12" s="127">
        <f>IF(C12=0,"",(B12-C12)/C12)</f>
        <v/>
      </c>
    </row>
    <row r="13">
      <c r="A13" s="6" t="inlineStr">
        <is>
          <t>TOTAL FONDS AFFECTÉS</t>
        </is>
      </c>
      <c r="B13" s="7">
        <f>SUM(B9:B12)</f>
        <v/>
      </c>
      <c r="C13" s="7">
        <f>SUM(C9:C12)</f>
        <v/>
      </c>
      <c r="D13" s="7">
        <f>B13-C13</f>
        <v/>
      </c>
      <c r="E13" s="128">
        <f>IF(C13=0,"",(B13-C13)/C13)</f>
        <v/>
      </c>
    </row>
    <row r="14">
      <c r="A14" s="119" t="inlineStr">
        <is>
          <t>Donations et legs non encore reçus d'immobilisations destinés à la vente</t>
        </is>
      </c>
      <c r="B14" s="120">
        <f>SUMIF('BALANCE N'!$A$2:$A$2000,"172*",'BALANCE N'!$H$2:$H$2000)-SUMIF('BALANCE N'!$A$2:$A$2000,"172*",'BALANCE N'!$G$2:$G$2000)</f>
        <v/>
      </c>
      <c r="C14" s="120">
        <f>SUMIF('BALANCE N-1'!$A$2:$A$2000,"172*",'BALANCE N-1'!$H$2:$H$2000)-SUMIF('BALANCE N-1'!$A$2:$A$2000,"172*",'BALANCE N-1'!$G$2:$G$2000)</f>
        <v/>
      </c>
      <c r="D14" s="120">
        <f>B14-C14</f>
        <v/>
      </c>
      <c r="E14" s="127">
        <f>IF(C14=0,"",(B14-C14)/C14)</f>
        <v/>
      </c>
    </row>
    <row r="15">
      <c r="A15" s="119" t="inlineStr">
        <is>
          <t>Donation temporaire d'usufruit</t>
        </is>
      </c>
      <c r="B15" s="120">
        <f>SUMIF('BALANCE N'!$A$2:$A$2000,"171*",'BALANCE N'!$H$2:$H$2000)-SUMIF('BALANCE N'!$A$2:$A$2000,"171*",'BALANCE N'!$G$2:$G$2000)</f>
        <v/>
      </c>
      <c r="C15" s="120">
        <f>SUMIF('BALANCE N-1'!$A$2:$A$2000,"171*",'BALANCE N-1'!$H$2:$H$2000)-SUMIF('BALANCE N-1'!$A$2:$A$2000,"171*",'BALANCE N-1'!$G$2:$G$2000)</f>
        <v/>
      </c>
      <c r="D15" s="120">
        <f>B15-C15</f>
        <v/>
      </c>
      <c r="E15" s="127">
        <f>IF(C15=0,"",(B15-C15)/C15)</f>
        <v/>
      </c>
    </row>
    <row r="16">
      <c r="A16" s="119" t="inlineStr">
        <is>
          <t>Autres fonds reportés</t>
        </is>
      </c>
      <c r="B16" s="120">
        <f>SUMIF('BALANCE N'!$A$2:$A$2000,"178*",'BALANCE N'!$H$2:$H$2000)-SUMIF('BALANCE N'!$A$2:$A$2000,"178*",'BALANCE N'!$G$2:$G$2000)</f>
        <v/>
      </c>
      <c r="C16" s="120">
        <f>SUMIF('BALANCE N-1'!$A$2:$A$2000,"178*",'BALANCE N-1'!$H$2:$H$2000)-SUMIF('BALANCE N-1'!$A$2:$A$2000,"178*",'BALANCE N-1'!$G$2:$G$2000)</f>
        <v/>
      </c>
      <c r="D16" s="120">
        <f>B16-C16</f>
        <v/>
      </c>
      <c r="E16" s="127">
        <f>IF(C16=0,"",(B16-C16)/C16)</f>
        <v/>
      </c>
    </row>
    <row r="17">
      <c r="A17" s="6" t="inlineStr">
        <is>
          <t>TOTAL FONDS REPORTÉS</t>
        </is>
      </c>
      <c r="B17" s="7">
        <f>SUM(B14:B16)</f>
        <v/>
      </c>
      <c r="C17" s="7">
        <f>SUM(C14:C16)</f>
        <v/>
      </c>
      <c r="D17" s="7">
        <f>B17-C17</f>
        <v/>
      </c>
      <c r="E17" s="128">
        <f>IF(C17=0,"",(B17-C17)/C17)</f>
        <v/>
      </c>
    </row>
    <row r="18">
      <c r="A18" s="6" t="inlineStr">
        <is>
          <t>TOTAL FONDS AFFECTÉS ET REPORTÉS</t>
        </is>
      </c>
      <c r="B18" s="7">
        <f>B13+B17</f>
        <v/>
      </c>
      <c r="C18" s="7">
        <f>C13+C17</f>
        <v/>
      </c>
      <c r="D18" s="7">
        <f>B18-C18</f>
        <v/>
      </c>
      <c r="E18" s="128">
        <f>IF(C18=0,"",(B18-C18)/C18)</f>
        <v/>
      </c>
    </row>
    <row r="19"/>
    <row r="20">
      <c r="A20" s="42" t="inlineStr">
        <is>
          <t>Commentaires :</t>
        </is>
      </c>
    </row>
    <row r="21">
      <c r="A21" s="123" t="inlineStr">
        <is>
          <t>• Indiquer la date d'affectation des fonds et leur mode de reprise ; la date des actes de donation et legs, la nature et la durée de jouissance de l'usufruit.</t>
        </is>
      </c>
    </row>
    <row r="22"/>
    <row r="23" ht="34" customHeight="1">
      <c r="A23" s="122">
        <f>IF(SUM(B9:B18,C9:C18,D9:D18)=0,"NÉANT","")</f>
        <v/>
      </c>
    </row>
    <row r="24" ht="34" customHeight="1"/>
    <row r="25" ht="34" customHeight="1"/>
  </sheetData>
  <mergeCells count="3">
    <mergeCell ref="A7:E7"/>
    <mergeCell ref="A23:E25"/>
    <mergeCell ref="D2:E2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- 34 -</t>
        </is>
      </c>
    </row>
    <row r="2" ht="26" customHeight="1">
      <c r="G2" s="51" t="inlineStr">
        <is>
          <t>NOTE 18A
SYSTEME NORMAL</t>
        </is>
      </c>
      <c r="H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D4" s="41" t="n"/>
      <c r="E4" s="41" t="n"/>
      <c r="G4" s="54" t="inlineStr">
        <is>
          <t>Sigle usuel :</t>
        </is>
      </c>
      <c r="H4" s="53" t="inlineStr"/>
    </row>
    <row r="5" ht="15" customHeight="1">
      <c r="A5" s="39" t="inlineStr">
        <is>
          <t>N° de compte contribuable (NCC) :</t>
        </is>
      </c>
      <c r="E5" s="39" t="inlineStr">
        <is>
          <t>Exercice clos le</t>
        </is>
      </c>
      <c r="G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18A : DETTES FINANCIÈRES ET RESSOURCES ASSIMILÉES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À un an au plus</t>
        </is>
      </c>
      <c r="G8" s="2" t="inlineStr">
        <is>
          <t>À plus d'un an et deux ans au plus</t>
        </is>
      </c>
      <c r="H8" s="3" t="inlineStr">
        <is>
          <t>À plus de deux ans</t>
        </is>
      </c>
    </row>
    <row r="9">
      <c r="A9" s="119" t="inlineStr">
        <is>
          <t>Emprunts obligataires</t>
        </is>
      </c>
      <c r="B9" s="120">
        <f>SUMIF('BALANCE N'!$A$2:$A$2000,"181*",'BALANCE N'!$H$2:$H$2000)-SUMIF('BALANCE N'!$A$2:$A$2000,"181*",'BALANCE N'!$G$2:$G$2000)</f>
        <v/>
      </c>
      <c r="C9" s="120">
        <f>SUMIF('BALANCE N-1'!$A$2:$A$2000,"181*",'BALANCE N-1'!$H$2:$H$2000)-SUMIF('BALANCE N-1'!$A$2:$A$2000,"181*",'BALANCE N-1'!$G$2:$G$2000)</f>
        <v/>
      </c>
      <c r="D9" s="120">
        <f>B9-C9</f>
        <v/>
      </c>
      <c r="E9" s="127">
        <f>IF(C9=0,"",(B9-C9)/C9)</f>
        <v/>
      </c>
      <c r="F9" s="119" t="n"/>
      <c r="G9" s="119" t="n"/>
      <c r="H9" s="119" t="n"/>
    </row>
    <row r="10">
      <c r="A10" s="119" t="inlineStr">
        <is>
          <t>Emprunts et dettes auprès des établissements de crédit</t>
        </is>
      </c>
      <c r="B10" s="120">
        <f>SUMIF('BALANCE N'!$A$2:$A$2000,"182*",'BALANCE N'!$H$2:$H$2000)-SUMIF('BALANCE N'!$A$2:$A$2000,"182*",'BALANCE N'!$G$2:$G$2000)</f>
        <v/>
      </c>
      <c r="C10" s="120">
        <f>SUMIF('BALANCE N-1'!$A$2:$A$2000,"182*",'BALANCE N-1'!$H$2:$H$2000)-SUMIF('BALANCE N-1'!$A$2:$A$2000,"182*",'BALANCE N-1'!$G$2:$G$2000)</f>
        <v/>
      </c>
      <c r="D10" s="120">
        <f>B10-C10</f>
        <v/>
      </c>
      <c r="E10" s="127">
        <f>IF(C10=0,"",(B10-C10)/C10)</f>
        <v/>
      </c>
      <c r="F10" s="119" t="n"/>
      <c r="G10" s="119" t="n"/>
      <c r="H10" s="119" t="n"/>
    </row>
    <row r="11">
      <c r="A11" s="119" t="inlineStr">
        <is>
          <t>Avances reçues de l'État</t>
        </is>
      </c>
      <c r="B11" s="120">
        <f>SUMIF('BALANCE N'!$A$2:$A$2000,"183*",'BALANCE N'!$H$2:$H$2000)-SUMIF('BALANCE N'!$A$2:$A$2000,"183*",'BALANCE N'!$G$2:$G$2000)</f>
        <v/>
      </c>
      <c r="C11" s="120">
        <f>SUMIF('BALANCE N-1'!$A$2:$A$2000,"183*",'BALANCE N-1'!$H$2:$H$2000)-SUMIF('BALANCE N-1'!$A$2:$A$2000,"183*",'BALANCE N-1'!$G$2:$G$2000)</f>
        <v/>
      </c>
      <c r="D11" s="120">
        <f>B11-C11</f>
        <v/>
      </c>
      <c r="E11" s="127">
        <f>IF(C11=0,"",(B11-C11)/C11)</f>
        <v/>
      </c>
      <c r="F11" s="119" t="n"/>
      <c r="G11" s="119" t="n"/>
      <c r="H11" s="119" t="n"/>
    </row>
    <row r="12">
      <c r="A12" s="119" t="inlineStr">
        <is>
          <t>Dépôts et cautionnements reçus</t>
        </is>
      </c>
      <c r="B12" s="120">
        <f>SUMIF('BALANCE N'!$A$2:$A$2000,"185*",'BALANCE N'!$H$2:$H$2000)-SUMIF('BALANCE N'!$A$2:$A$2000,"185*",'BALANCE N'!$G$2:$G$2000)</f>
        <v/>
      </c>
      <c r="C12" s="120">
        <f>SUMIF('BALANCE N-1'!$A$2:$A$2000,"185*",'BALANCE N-1'!$H$2:$H$2000)-SUMIF('BALANCE N-1'!$A$2:$A$2000,"185*",'BALANCE N-1'!$G$2:$G$2000)</f>
        <v/>
      </c>
      <c r="D12" s="120">
        <f>B12-C12</f>
        <v/>
      </c>
      <c r="E12" s="127">
        <f>IF(C12=0,"",(B12-C12)/C12)</f>
        <v/>
      </c>
      <c r="F12" s="119" t="n"/>
      <c r="G12" s="119" t="n"/>
      <c r="H12" s="119" t="n"/>
    </row>
    <row r="13">
      <c r="A13" s="119" t="inlineStr">
        <is>
          <t>Intérêts courus</t>
        </is>
      </c>
      <c r="B13" s="120">
        <f>SUMIF('BALANCE N'!$A$2:$A$2000,"186*",'BALANCE N'!$H$2:$H$2000)-SUMIF('BALANCE N'!$A$2:$A$2000,"186*",'BALANCE N'!$G$2:$G$2000)</f>
        <v/>
      </c>
      <c r="C13" s="120">
        <f>SUMIF('BALANCE N-1'!$A$2:$A$2000,"186*",'BALANCE N-1'!$H$2:$H$2000)-SUMIF('BALANCE N-1'!$A$2:$A$2000,"186*",'BALANCE N-1'!$G$2:$G$2000)</f>
        <v/>
      </c>
      <c r="D13" s="120">
        <f>B13-C13</f>
        <v/>
      </c>
      <c r="E13" s="127">
        <f>IF(C13=0,"",(B13-C13)/C13)</f>
        <v/>
      </c>
      <c r="F13" s="119" t="n"/>
      <c r="G13" s="119" t="n"/>
      <c r="H13" s="119" t="n"/>
    </row>
    <row r="14">
      <c r="A14" s="119" t="inlineStr">
        <is>
          <t>Autres emprunts et dettes</t>
        </is>
      </c>
      <c r="B14" s="120">
        <f>SUMIF('BALANCE N'!$A$2:$A$2000,"188*",'BALANCE N'!$H$2:$H$2000)-SUMIF('BALANCE N'!$A$2:$A$2000,"188*",'BALANCE N'!$G$2:$G$2000)</f>
        <v/>
      </c>
      <c r="C14" s="120">
        <f>SUMIF('BALANCE N-1'!$A$2:$A$2000,"188*",'BALANCE N-1'!$H$2:$H$2000)-SUMIF('BALANCE N-1'!$A$2:$A$2000,"188*",'BALANCE N-1'!$G$2:$G$2000)</f>
        <v/>
      </c>
      <c r="D14" s="120">
        <f>B14-C14</f>
        <v/>
      </c>
      <c r="E14" s="127">
        <f>IF(C14=0,"",(B14-C14)/C14)</f>
        <v/>
      </c>
      <c r="F14" s="119" t="n"/>
      <c r="G14" s="119" t="n"/>
      <c r="H14" s="119" t="n"/>
    </row>
    <row r="15">
      <c r="A15" s="6" t="inlineStr">
        <is>
          <t>TOTAL EMPRUNTS ET DETTES FINANCIÈRES</t>
        </is>
      </c>
      <c r="B15" s="7">
        <f>SUM(B9:B14)</f>
        <v/>
      </c>
      <c r="C15" s="7">
        <f>SUM(C9:C14)</f>
        <v/>
      </c>
      <c r="D15" s="7">
        <f>B15-C15</f>
        <v/>
      </c>
      <c r="E15" s="128">
        <f>IF(C15=0,"",(B15-C15)/C15)</f>
        <v/>
      </c>
      <c r="F15" s="7" t="n"/>
      <c r="G15" s="7" t="n"/>
      <c r="H15" s="7" t="n"/>
    </row>
    <row r="16">
      <c r="A16" s="119" t="inlineStr">
        <is>
          <t>Crédit-bail immobilier</t>
        </is>
      </c>
      <c r="B16" s="120">
        <f>SUMIF('BALANCE N'!$A$2:$A$2000,"1871*",'BALANCE N'!$H$2:$H$2000)-SUMIF('BALANCE N'!$A$2:$A$2000,"1871*",'BALANCE N'!$G$2:$G$2000)</f>
        <v/>
      </c>
      <c r="C16" s="120">
        <f>SUMIF('BALANCE N-1'!$A$2:$A$2000,"1871*",'BALANCE N-1'!$H$2:$H$2000)-SUMIF('BALANCE N-1'!$A$2:$A$2000,"1871*",'BALANCE N-1'!$G$2:$G$2000)</f>
        <v/>
      </c>
      <c r="D16" s="120">
        <f>B16-C16</f>
        <v/>
      </c>
      <c r="E16" s="127">
        <f>IF(C16=0,"",(B16-C16)/C16)</f>
        <v/>
      </c>
      <c r="F16" s="119" t="n"/>
      <c r="G16" s="119" t="n"/>
      <c r="H16" s="119" t="n"/>
    </row>
    <row r="17">
      <c r="A17" s="119" t="inlineStr">
        <is>
          <t>Crédit-bail mobilier</t>
        </is>
      </c>
      <c r="B17" s="120">
        <f>SUMIF('BALANCE N'!$A$2:$A$2000,"1872*",'BALANCE N'!$H$2:$H$2000)-SUMIF('BALANCE N'!$A$2:$A$2000,"1872*",'BALANCE N'!$G$2:$G$2000)</f>
        <v/>
      </c>
      <c r="C17" s="120">
        <f>SUMIF('BALANCE N-1'!$A$2:$A$2000,"1872*",'BALANCE N-1'!$H$2:$H$2000)-SUMIF('BALANCE N-1'!$A$2:$A$2000,"1872*",'BALANCE N-1'!$G$2:$G$2000)</f>
        <v/>
      </c>
      <c r="D17" s="120">
        <f>B17-C17</f>
        <v/>
      </c>
      <c r="E17" s="127">
        <f>IF(C17=0,"",(B17-C17)/C17)</f>
        <v/>
      </c>
      <c r="F17" s="119" t="n"/>
      <c r="G17" s="119" t="n"/>
      <c r="H17" s="119" t="n"/>
    </row>
    <row r="18">
      <c r="A18" s="119" t="inlineStr">
        <is>
          <t>Location-vente</t>
        </is>
      </c>
      <c r="B18" s="120">
        <f>SUMIF('BALANCE N'!$A$2:$A$2000,"1873*",'BALANCE N'!$H$2:$H$2000)-SUMIF('BALANCE N'!$A$2:$A$2000,"1873*",'BALANCE N'!$G$2:$G$2000)</f>
        <v/>
      </c>
      <c r="C18" s="120">
        <f>SUMIF('BALANCE N-1'!$A$2:$A$2000,"1873*",'BALANCE N-1'!$H$2:$H$2000)-SUMIF('BALANCE N-1'!$A$2:$A$2000,"1873*",'BALANCE N-1'!$G$2:$G$2000)</f>
        <v/>
      </c>
      <c r="D18" s="120">
        <f>B18-C18</f>
        <v/>
      </c>
      <c r="E18" s="127">
        <f>IF(C18=0,"",(B18-C18)/C18)</f>
        <v/>
      </c>
      <c r="F18" s="119" t="n"/>
      <c r="G18" s="119" t="n"/>
      <c r="H18" s="119" t="n"/>
    </row>
    <row r="19">
      <c r="A19" s="119" t="inlineStr">
        <is>
          <t>Intérêts courus (location-acquisition)</t>
        </is>
      </c>
      <c r="B19" s="120">
        <f>SUMIF('BALANCE N'!$A$2:$A$2000,"1876*",'BALANCE N'!$H$2:$H$2000)-SUMIF('BALANCE N'!$A$2:$A$2000,"1876*",'BALANCE N'!$G$2:$G$2000)</f>
        <v/>
      </c>
      <c r="C19" s="120">
        <f>SUMIF('BALANCE N-1'!$A$2:$A$2000,"1876*",'BALANCE N-1'!$H$2:$H$2000)-SUMIF('BALANCE N-1'!$A$2:$A$2000,"1876*",'BALANCE N-1'!$G$2:$G$2000)</f>
        <v/>
      </c>
      <c r="D19" s="120">
        <f>B19-C19</f>
        <v/>
      </c>
      <c r="E19" s="127">
        <f>IF(C19=0,"",(B19-C19)/C19)</f>
        <v/>
      </c>
      <c r="F19" s="119" t="n"/>
      <c r="G19" s="119" t="n"/>
      <c r="H19" s="119" t="n"/>
    </row>
    <row r="20">
      <c r="A20" s="119" t="inlineStr">
        <is>
          <t>Autres dettes de location-acquisition</t>
        </is>
      </c>
      <c r="B20" s="120">
        <f>SUMIF('BALANCE N'!$A$2:$A$2000,"187*",'BALANCE N'!$H$2:$H$2000)-SUMIF('BALANCE N'!$A$2:$A$2000,"187*",'BALANCE N'!$G$2:$G$2000)-SUMIF('BALANCE N'!$A$2:$A$2000,"1871*",'BALANCE N'!$H$2:$H$2000)+SUMIF('BALANCE N'!$A$2:$A$2000,"1871*",'BALANCE N'!$G$2:$G$2000)-SUMIF('BALANCE N'!$A$2:$A$2000,"1872*",'BALANCE N'!$H$2:$H$2000)+SUMIF('BALANCE N'!$A$2:$A$2000,"1872*",'BALANCE N'!$G$2:$G$2000)-SUMIF('BALANCE N'!$A$2:$A$2000,"1873*",'BALANCE N'!$H$2:$H$2000)+SUMIF('BALANCE N'!$A$2:$A$2000,"1873*",'BALANCE N'!$G$2:$G$2000)-SUMIF('BALANCE N'!$A$2:$A$2000,"1876*",'BALANCE N'!$H$2:$H$2000)+SUMIF('BALANCE N'!$A$2:$A$2000,"1876*",'BALANCE N'!$G$2:$G$2000)</f>
        <v/>
      </c>
      <c r="C20" s="120">
        <f>SUMIF('BALANCE N-1'!$A$2:$A$2000,"187*",'BALANCE N-1'!$H$2:$H$2000)-SUMIF('BALANCE N-1'!$A$2:$A$2000,"187*",'BALANCE N-1'!$G$2:$G$2000)-SUMIF('BALANCE N-1'!$A$2:$A$2000,"1871*",'BALANCE N-1'!$H$2:$H$2000)+SUMIF('BALANCE N-1'!$A$2:$A$2000,"1871*",'BALANCE N-1'!$G$2:$G$2000)-SUMIF('BALANCE N-1'!$A$2:$A$2000,"1872*",'BALANCE N-1'!$H$2:$H$2000)+SUMIF('BALANCE N-1'!$A$2:$A$2000,"1872*",'BALANCE N-1'!$G$2:$G$2000)-SUMIF('BALANCE N-1'!$A$2:$A$2000,"1873*",'BALANCE N-1'!$H$2:$H$2000)+SUMIF('BALANCE N-1'!$A$2:$A$2000,"1873*",'BALANCE N-1'!$G$2:$G$2000)-SUMIF('BALANCE N-1'!$A$2:$A$2000,"1876*",'BALANCE N-1'!$H$2:$H$2000)+SUMIF('BALANCE N-1'!$A$2:$A$2000,"1876*",'BALANCE N-1'!$G$2:$G$2000)</f>
        <v/>
      </c>
      <c r="D20" s="120">
        <f>B20-C20</f>
        <v/>
      </c>
      <c r="E20" s="127">
        <f>IF(C20=0,"",(B20-C20)/C20)</f>
        <v/>
      </c>
      <c r="F20" s="119" t="n"/>
      <c r="G20" s="119" t="n"/>
      <c r="H20" s="119" t="n"/>
    </row>
    <row r="21">
      <c r="A21" s="6" t="inlineStr">
        <is>
          <t>TOTAL DETTES DE LOCATION-ACQUISITION</t>
        </is>
      </c>
      <c r="B21" s="7">
        <f>SUM(B16:B20)</f>
        <v/>
      </c>
      <c r="C21" s="7">
        <f>SUM(C16:C20)</f>
        <v/>
      </c>
      <c r="D21" s="7">
        <f>B21-C21</f>
        <v/>
      </c>
      <c r="E21" s="128">
        <f>IF(C21=0,"",(B21-C21)/C21)</f>
        <v/>
      </c>
      <c r="F21" s="7" t="n"/>
      <c r="G21" s="7" t="n"/>
      <c r="H21" s="7" t="n"/>
    </row>
    <row r="22">
      <c r="A22" s="119" t="inlineStr">
        <is>
          <t>Provisions pour litiges</t>
        </is>
      </c>
      <c r="B22" s="120">
        <f>SUMIF('BALANCE N'!$A$2:$A$2000,"191*",'BALANCE N'!$H$2:$H$2000)-SUMIF('BALANCE N'!$A$2:$A$2000,"191*",'BALANCE N'!$G$2:$G$2000)</f>
        <v/>
      </c>
      <c r="C22" s="120">
        <f>SUMIF('BALANCE N-1'!$A$2:$A$2000,"191*",'BALANCE N-1'!$H$2:$H$2000)-SUMIF('BALANCE N-1'!$A$2:$A$2000,"191*",'BALANCE N-1'!$G$2:$G$2000)</f>
        <v/>
      </c>
      <c r="D22" s="120">
        <f>B22-C22</f>
        <v/>
      </c>
      <c r="E22" s="127">
        <f>IF(C22=0,"",(B22-C22)/C22)</f>
        <v/>
      </c>
      <c r="F22" s="119" t="n"/>
      <c r="G22" s="119" t="n"/>
      <c r="H22" s="119" t="n"/>
    </row>
    <row r="23">
      <c r="A23" s="119" t="inlineStr">
        <is>
          <t>Provisions pour charges sur donations et legs</t>
        </is>
      </c>
      <c r="B23" s="120">
        <f>SUMIF('BALANCE N'!$A$2:$A$2000,"192*",'BALANCE N'!$H$2:$H$2000)-SUMIF('BALANCE N'!$A$2:$A$2000,"192*",'BALANCE N'!$G$2:$G$2000)</f>
        <v/>
      </c>
      <c r="C23" s="120">
        <f>SUMIF('BALANCE N-1'!$A$2:$A$2000,"192*",'BALANCE N-1'!$H$2:$H$2000)-SUMIF('BALANCE N-1'!$A$2:$A$2000,"192*",'BALANCE N-1'!$G$2:$G$2000)</f>
        <v/>
      </c>
      <c r="D23" s="120">
        <f>B23-C23</f>
        <v/>
      </c>
      <c r="E23" s="127">
        <f>IF(C23=0,"",(B23-C23)/C23)</f>
        <v/>
      </c>
      <c r="F23" s="119" t="n"/>
      <c r="G23" s="119" t="n"/>
      <c r="H23" s="119" t="n"/>
    </row>
    <row r="24">
      <c r="A24" s="119" t="inlineStr">
        <is>
          <t>Provisions pour pertes de change</t>
        </is>
      </c>
      <c r="B24" s="120">
        <f>SUMIF('BALANCE N'!$A$2:$A$2000,"194*",'BALANCE N'!$H$2:$H$2000)-SUMIF('BALANCE N'!$A$2:$A$2000,"194*",'BALANCE N'!$G$2:$G$2000)</f>
        <v/>
      </c>
      <c r="C24" s="120">
        <f>SUMIF('BALANCE N-1'!$A$2:$A$2000,"194*",'BALANCE N-1'!$H$2:$H$2000)-SUMIF('BALANCE N-1'!$A$2:$A$2000,"194*",'BALANCE N-1'!$G$2:$G$2000)</f>
        <v/>
      </c>
      <c r="D24" s="120">
        <f>B24-C24</f>
        <v/>
      </c>
      <c r="E24" s="127">
        <f>IF(C24=0,"",(B24-C24)/C24)</f>
        <v/>
      </c>
      <c r="F24" s="119" t="n"/>
      <c r="G24" s="119" t="n"/>
      <c r="H24" s="119" t="n"/>
    </row>
    <row r="25">
      <c r="A25" s="119" t="inlineStr">
        <is>
          <t>Provisions pour pensions et obligations similaires</t>
        </is>
      </c>
      <c r="B25" s="120">
        <f>SUMIF('BALANCE N'!$A$2:$A$2000,"196*",'BALANCE N'!$H$2:$H$2000)-SUMIF('BALANCE N'!$A$2:$A$2000,"196*",'BALANCE N'!$G$2:$G$2000)</f>
        <v/>
      </c>
      <c r="C25" s="120">
        <f>SUMIF('BALANCE N-1'!$A$2:$A$2000,"196*",'BALANCE N-1'!$H$2:$H$2000)-SUMIF('BALANCE N-1'!$A$2:$A$2000,"196*",'BALANCE N-1'!$G$2:$G$2000)</f>
        <v/>
      </c>
      <c r="D25" s="120">
        <f>B25-C25</f>
        <v/>
      </c>
      <c r="E25" s="127">
        <f>IF(C25=0,"",(B25-C25)/C25)</f>
        <v/>
      </c>
      <c r="F25" s="119" t="n"/>
      <c r="G25" s="119" t="n"/>
      <c r="H25" s="119" t="n"/>
    </row>
    <row r="26">
      <c r="A26" s="119" t="inlineStr">
        <is>
          <t>Autres provisions pour risques et charges</t>
        </is>
      </c>
      <c r="B26" s="120">
        <f>SUMIF('BALANCE N'!$A$2:$A$2000,"198*",'BALANCE N'!$H$2:$H$2000)-SUMIF('BALANCE N'!$A$2:$A$2000,"198*",'BALANCE N'!$G$2:$G$2000)</f>
        <v/>
      </c>
      <c r="C26" s="120">
        <f>SUMIF('BALANCE N-1'!$A$2:$A$2000,"198*",'BALANCE N-1'!$H$2:$H$2000)-SUMIF('BALANCE N-1'!$A$2:$A$2000,"198*",'BALANCE N-1'!$G$2:$G$2000)</f>
        <v/>
      </c>
      <c r="D26" s="120">
        <f>B26-C26</f>
        <v/>
      </c>
      <c r="E26" s="127">
        <f>IF(C26=0,"",(B26-C26)/C26)</f>
        <v/>
      </c>
      <c r="F26" s="119" t="n"/>
      <c r="G26" s="119" t="n"/>
      <c r="H26" s="119" t="n"/>
    </row>
    <row r="27">
      <c r="A27" s="6" t="inlineStr">
        <is>
          <t>TOTAL PROVISIONS FINANCIÈRES POUR RISQUES ET CHARGES</t>
        </is>
      </c>
      <c r="B27" s="7">
        <f>SUM(B22:B26)</f>
        <v/>
      </c>
      <c r="C27" s="7">
        <f>SUM(C22:C26)</f>
        <v/>
      </c>
      <c r="D27" s="7">
        <f>B27-C27</f>
        <v/>
      </c>
      <c r="E27" s="128">
        <f>IF(C27=0,"",(B27-C27)/C27)</f>
        <v/>
      </c>
      <c r="F27" s="7" t="n"/>
      <c r="G27" s="7" t="n"/>
      <c r="H27" s="7" t="n"/>
    </row>
    <row r="28">
      <c r="A28" s="6" t="inlineStr">
        <is>
          <t>TOTAL DETTES FINANCIÈRES ET RESSOURCES ASSIMILÉES</t>
        </is>
      </c>
      <c r="B28" s="7">
        <f>B15+B21+B27</f>
        <v/>
      </c>
      <c r="C28" s="7">
        <f>C15+C21+C27</f>
        <v/>
      </c>
      <c r="D28" s="7">
        <f>B28-C28</f>
        <v/>
      </c>
      <c r="E28" s="128">
        <f>IF(C28=0,"",(B28-C28)/C28)</f>
        <v/>
      </c>
      <c r="F28" s="7" t="n"/>
      <c r="G28" s="7" t="n"/>
      <c r="H28" s="7" t="n"/>
    </row>
    <row r="29"/>
    <row r="30">
      <c r="A30" s="42" t="inlineStr">
        <is>
          <t>Commentaires :</t>
        </is>
      </c>
    </row>
    <row r="31">
      <c r="A31" s="123" t="inlineStr">
        <is>
          <t>• Pour chaque emprunt et dette de location-acquisition : date d'octroi, organisme, montant initial, durée, garanties données ; pour les pensions, méthode d'évaluation et descriptif de la convention.</t>
        </is>
      </c>
    </row>
    <row r="32"/>
    <row r="33" ht="34" customHeight="1">
      <c r="A33" s="122">
        <f>IF(SUM(B9:B28,C9:C28,D9:D28,F15:F28,G15:G28,H15:H28)=0,"NÉANT","")</f>
        <v/>
      </c>
    </row>
    <row r="34" ht="34" customHeight="1"/>
    <row r="35" ht="34" customHeight="1"/>
  </sheetData>
  <mergeCells count="4">
    <mergeCell ref="A7:H7"/>
    <mergeCell ref="G2:H2"/>
    <mergeCell ref="A33:H35"/>
    <mergeCell ref="B4:E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2" customHeight="1">
      <c r="A1" s="50" t="inlineStr">
        <is>
          <t>- 35 -</t>
        </is>
      </c>
    </row>
    <row r="2" ht="26" customHeight="1">
      <c r="E2" s="51" t="inlineStr">
        <is>
          <t>NOTE 18B
SYSTEME NORMAL</t>
        </is>
      </c>
      <c r="F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E4" s="54" t="inlineStr">
        <is>
          <t>Sigle usuel :</t>
        </is>
      </c>
      <c r="F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E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18B : ACTIFS ET PASSIFS ÉVENTUELS</t>
        </is>
      </c>
    </row>
    <row r="8"/>
    <row r="9">
      <c r="A9" s="123" t="inlineStr">
        <is>
          <t>Actif éventuel (litiges, ...) : année N / année N-1.</t>
        </is>
      </c>
    </row>
    <row r="10"/>
    <row r="11"/>
    <row r="12">
      <c r="A12" s="123" t="inlineStr">
        <is>
          <t>Passif éventuel (litiges, ...) : année N / année N-1.</t>
        </is>
      </c>
    </row>
    <row r="13"/>
    <row r="14"/>
    <row r="15">
      <c r="A15" s="123" t="inlineStr">
        <is>
          <t>Décrire les principales caractéristiques, l'horizon des encaissements/décaissements attendus et les éventuels remboursements à percevoir.</t>
        </is>
      </c>
    </row>
    <row r="16"/>
    <row r="17"/>
    <row r="18" ht="26" customHeight="1">
      <c r="A18" s="114" t="inlineStr">
        <is>
          <t>NOTE À COMPLÉTER</t>
        </is>
      </c>
    </row>
    <row r="19" ht="26" customHeight="1"/>
    <row r="20" ht="26" customHeight="1"/>
  </sheetData>
  <mergeCells count="7">
    <mergeCell ref="E2:F2"/>
    <mergeCell ref="A18:F20"/>
    <mergeCell ref="A9:F10"/>
    <mergeCell ref="A12:F13"/>
    <mergeCell ref="B4:C4"/>
    <mergeCell ref="A7:F7"/>
    <mergeCell ref="A15:F1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- 36 -</t>
        </is>
      </c>
    </row>
    <row r="2" ht="26" customHeight="1">
      <c r="G2" s="51" t="inlineStr">
        <is>
          <t>NOTE 19
SYSTEME NORMAL</t>
        </is>
      </c>
      <c r="H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D4" s="41" t="n"/>
      <c r="E4" s="41" t="n"/>
      <c r="G4" s="54" t="inlineStr">
        <is>
          <t>Sigle usuel :</t>
        </is>
      </c>
      <c r="H4" s="53" t="inlineStr"/>
    </row>
    <row r="5" ht="15" customHeight="1">
      <c r="A5" s="39" t="inlineStr">
        <is>
          <t>N° de compte contribuable (NCC) :</t>
        </is>
      </c>
      <c r="E5" s="39" t="inlineStr">
        <is>
          <t>Exercice clos le</t>
        </is>
      </c>
      <c r="G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19 : FOURNISSEURS D'EXPLOITATION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À un an au plus</t>
        </is>
      </c>
      <c r="G8" s="2" t="inlineStr">
        <is>
          <t>À plus d'un an et deux ans au plus</t>
        </is>
      </c>
      <c r="H8" s="3" t="inlineStr">
        <is>
          <t>À plus de deux ans</t>
        </is>
      </c>
    </row>
    <row r="9">
      <c r="A9" s="119" t="inlineStr">
        <is>
          <t>Fournisseurs, dettes en compte</t>
        </is>
      </c>
      <c r="B9" s="120">
        <f>SUMIF('BALANCE N'!$A$2:$A$2000,"4011*",'BALANCE N'!$H$2:$H$2000)-SUMIF('BALANCE N'!$A$2:$A$2000,"4011*",'BALANCE N'!$G$2:$G$2000)+SUMIF('BALANCE N'!$A$2:$A$2000,"4013*",'BALANCE N'!$H$2:$H$2000)-SUMIF('BALANCE N'!$A$2:$A$2000,"4013*",'BALANCE N'!$G$2:$G$2000)</f>
        <v/>
      </c>
      <c r="C9" s="120">
        <f>SUMIF('BALANCE N-1'!$A$2:$A$2000,"4011*",'BALANCE N-1'!$H$2:$H$2000)-SUMIF('BALANCE N-1'!$A$2:$A$2000,"4011*",'BALANCE N-1'!$G$2:$G$2000)+SUMIF('BALANCE N-1'!$A$2:$A$2000,"4013*",'BALANCE N-1'!$H$2:$H$2000)-SUMIF('BALANCE N-1'!$A$2:$A$2000,"4013*",'BALANCE N-1'!$G$2:$G$2000)</f>
        <v/>
      </c>
      <c r="D9" s="120">
        <f>B9-C9</f>
        <v/>
      </c>
      <c r="E9" s="127">
        <f>IF(C9=0,"",(B9-C9)/C9)</f>
        <v/>
      </c>
      <c r="F9" s="119" t="n"/>
      <c r="G9" s="119" t="n"/>
      <c r="H9" s="119" t="n"/>
    </row>
    <row r="10">
      <c r="A10" s="119" t="inlineStr">
        <is>
          <t>Fournisseurs, réserve de propriété</t>
        </is>
      </c>
      <c r="B10" s="120">
        <f>SUMIF('BALANCE N'!$A$2:$A$2000,"4016*",'BALANCE N'!$H$2:$H$2000)-SUMIF('BALANCE N'!$A$2:$A$2000,"4016*",'BALANCE N'!$G$2:$G$2000)</f>
        <v/>
      </c>
      <c r="C10" s="120">
        <f>SUMIF('BALANCE N-1'!$A$2:$A$2000,"4016*",'BALANCE N-1'!$H$2:$H$2000)-SUMIF('BALANCE N-1'!$A$2:$A$2000,"4016*",'BALANCE N-1'!$G$2:$G$2000)</f>
        <v/>
      </c>
      <c r="D10" s="120">
        <f>B10-C10</f>
        <v/>
      </c>
      <c r="E10" s="127">
        <f>IF(C10=0,"",(B10-C10)/C10)</f>
        <v/>
      </c>
      <c r="F10" s="119" t="n"/>
      <c r="G10" s="119" t="n"/>
      <c r="H10" s="119" t="n"/>
    </row>
    <row r="11">
      <c r="A11" s="119" t="inlineStr">
        <is>
          <t>Fournisseurs, retenue de garantie</t>
        </is>
      </c>
      <c r="B11" s="120">
        <f>SUMIF('BALANCE N'!$A$2:$A$2000,"4017*",'BALANCE N'!$H$2:$H$2000)-SUMIF('BALANCE N'!$A$2:$A$2000,"4017*",'BALANCE N'!$G$2:$G$2000)</f>
        <v/>
      </c>
      <c r="C11" s="120">
        <f>SUMIF('BALANCE N-1'!$A$2:$A$2000,"4017*",'BALANCE N-1'!$H$2:$H$2000)-SUMIF('BALANCE N-1'!$A$2:$A$2000,"4017*",'BALANCE N-1'!$G$2:$G$2000)</f>
        <v/>
      </c>
      <c r="D11" s="120">
        <f>B11-C11</f>
        <v/>
      </c>
      <c r="E11" s="127">
        <f>IF(C11=0,"",(B11-C11)/C11)</f>
        <v/>
      </c>
      <c r="F11" s="119" t="n"/>
      <c r="G11" s="119" t="n"/>
      <c r="H11" s="119" t="n"/>
    </row>
    <row r="12">
      <c r="A12" s="119" t="inlineStr">
        <is>
          <t>Fournisseurs, effets à payer</t>
        </is>
      </c>
      <c r="B12" s="120">
        <f>SUMIF('BALANCE N'!$A$2:$A$2000,"402*",'BALANCE N'!$H$2:$H$2000)-SUMIF('BALANCE N'!$A$2:$A$2000,"402*",'BALANCE N'!$G$2:$G$2000)</f>
        <v/>
      </c>
      <c r="C12" s="120">
        <f>SUMIF('BALANCE N-1'!$A$2:$A$2000,"402*",'BALANCE N-1'!$H$2:$H$2000)-SUMIF('BALANCE N-1'!$A$2:$A$2000,"402*",'BALANCE N-1'!$G$2:$G$2000)</f>
        <v/>
      </c>
      <c r="D12" s="120">
        <f>B12-C12</f>
        <v/>
      </c>
      <c r="E12" s="127">
        <f>IF(C12=0,"",(B12-C12)/C12)</f>
        <v/>
      </c>
      <c r="F12" s="119" t="n"/>
      <c r="G12" s="119" t="n"/>
      <c r="H12" s="119" t="n"/>
    </row>
    <row r="13">
      <c r="A13" s="119" t="inlineStr">
        <is>
          <t>Fournisseurs, factures non parvenues</t>
        </is>
      </c>
      <c r="B13" s="120">
        <f>SUMIF('BALANCE N'!$A$2:$A$2000,"408*",'BALANCE N'!$H$2:$H$2000)-SUMIF('BALANCE N'!$A$2:$A$2000,"408*",'BALANCE N'!$G$2:$G$2000)</f>
        <v/>
      </c>
      <c r="C13" s="120">
        <f>SUMIF('BALANCE N-1'!$A$2:$A$2000,"408*",'BALANCE N-1'!$H$2:$H$2000)-SUMIF('BALANCE N-1'!$A$2:$A$2000,"408*",'BALANCE N-1'!$G$2:$G$2000)</f>
        <v/>
      </c>
      <c r="D13" s="120">
        <f>B13-C13</f>
        <v/>
      </c>
      <c r="E13" s="127">
        <f>IF(C13=0,"",(B13-C13)/C13)</f>
        <v/>
      </c>
      <c r="F13" s="119" t="n"/>
      <c r="G13" s="119" t="n"/>
      <c r="H13" s="119" t="n"/>
    </row>
    <row r="14">
      <c r="A14" s="6" t="inlineStr">
        <is>
          <t>TOTAL FOURNISSEURS</t>
        </is>
      </c>
      <c r="B14" s="7">
        <f>SUM(B9:B13)</f>
        <v/>
      </c>
      <c r="C14" s="7">
        <f>SUM(C9:C13)</f>
        <v/>
      </c>
      <c r="D14" s="7">
        <f>B14-C14</f>
        <v/>
      </c>
      <c r="E14" s="128">
        <f>IF(C14=0,"",(B14-C14)/C14)</f>
        <v/>
      </c>
      <c r="F14" s="7" t="n"/>
      <c r="G14" s="7" t="n"/>
      <c r="H14" s="7" t="n"/>
    </row>
    <row r="15">
      <c r="A15" s="119" t="n"/>
      <c r="B15" s="120" t="n"/>
      <c r="C15" s="120" t="n"/>
      <c r="D15" s="120" t="n"/>
      <c r="E15" s="119" t="n"/>
      <c r="F15" s="119" t="n"/>
      <c r="G15" s="119" t="n"/>
      <c r="H15" s="119" t="n"/>
    </row>
    <row r="16">
      <c r="A16" s="119" t="inlineStr">
        <is>
          <t>Fournisseurs, avances et acomptes</t>
        </is>
      </c>
      <c r="B16" s="120">
        <f>SUMIF('BALANCE N'!$A$2:$A$2000,"4091*",'BALANCE N'!$G$2:$G$2000)</f>
        <v/>
      </c>
      <c r="C16" s="120">
        <f>SUMIF('BALANCE N-1'!$A$2:$A$2000,"4091*",'BALANCE N-1'!$G$2:$G$2000)</f>
        <v/>
      </c>
      <c r="D16" s="120">
        <f>B16-C16</f>
        <v/>
      </c>
      <c r="E16" s="127">
        <f>IF(C16=0,"",(B16-C16)/C16)</f>
        <v/>
      </c>
      <c r="F16" s="119" t="n"/>
      <c r="G16" s="119" t="n"/>
      <c r="H16" s="119" t="n"/>
    </row>
    <row r="17">
      <c r="A17" s="119" t="inlineStr">
        <is>
          <t>Fournisseurs sous-traitants, avances et acomptes</t>
        </is>
      </c>
      <c r="B17" s="120">
        <f>SUMIF('BALANCE N'!$A$2:$A$2000,"4093*",'BALANCE N'!$G$2:$G$2000)</f>
        <v/>
      </c>
      <c r="C17" s="120">
        <f>SUMIF('BALANCE N-1'!$A$2:$A$2000,"4093*",'BALANCE N-1'!$G$2:$G$2000)</f>
        <v/>
      </c>
      <c r="D17" s="120">
        <f>B17-C17</f>
        <v/>
      </c>
      <c r="E17" s="127">
        <f>IF(C17=0,"",(B17-C17)/C17)</f>
        <v/>
      </c>
      <c r="F17" s="119" t="n"/>
      <c r="G17" s="119" t="n"/>
      <c r="H17" s="119" t="n"/>
    </row>
    <row r="18">
      <c r="A18" s="119" t="inlineStr">
        <is>
          <t>Autres fournisseurs débiteurs</t>
        </is>
      </c>
      <c r="B18" s="120">
        <f>SUMIF('BALANCE N'!$A$2:$A$2000,"4094*",'BALANCE N'!$G$2:$G$2000)+SUMIF('BALANCE N'!$A$2:$A$2000,"4098*",'BALANCE N'!$G$2:$G$2000)</f>
        <v/>
      </c>
      <c r="C18" s="120">
        <f>SUMIF('BALANCE N-1'!$A$2:$A$2000,"4094*",'BALANCE N-1'!$G$2:$G$2000)+SUMIF('BALANCE N-1'!$A$2:$A$2000,"4098*",'BALANCE N-1'!$G$2:$G$2000)</f>
        <v/>
      </c>
      <c r="D18" s="120">
        <f>B18-C18</f>
        <v/>
      </c>
      <c r="E18" s="127">
        <f>IF(C18=0,"",(B18-C18)/C18)</f>
        <v/>
      </c>
      <c r="F18" s="119" t="n"/>
      <c r="G18" s="119" t="n"/>
      <c r="H18" s="119" t="n"/>
    </row>
    <row r="19">
      <c r="A19" s="6" t="inlineStr">
        <is>
          <t>TOTAL FOURNISSEURS DÉBITEURS</t>
        </is>
      </c>
      <c r="B19" s="7">
        <f>SUM(B16:B18)</f>
        <v/>
      </c>
      <c r="C19" s="7">
        <f>SUM(C16:C18)</f>
        <v/>
      </c>
      <c r="D19" s="7">
        <f>B19-C19</f>
        <v/>
      </c>
      <c r="E19" s="128">
        <f>IF(C19=0,"",(B19-C19)/C19)</f>
        <v/>
      </c>
      <c r="F19" s="7" t="n"/>
      <c r="G19" s="7" t="n"/>
      <c r="H19" s="7" t="n"/>
    </row>
    <row r="20"/>
    <row r="21" ht="34" customHeight="1">
      <c r="A21" s="122">
        <f>IF(SUM(B9:B19,C9:C19,D9:D19,F14:F19,G14:G19,H14:H19)=0,"NÉANT","")</f>
        <v/>
      </c>
    </row>
    <row r="22" ht="34" customHeight="1"/>
    <row r="23" ht="34" customHeight="1"/>
  </sheetData>
  <mergeCells count="4">
    <mergeCell ref="A7:H7"/>
    <mergeCell ref="G2:H2"/>
    <mergeCell ref="A21:H23"/>
    <mergeCell ref="B4:E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- 37 -</t>
        </is>
      </c>
    </row>
    <row r="2" ht="26" customHeight="1">
      <c r="G2" s="51" t="inlineStr">
        <is>
          <t>NOTE 20
SYSTEME NORMAL</t>
        </is>
      </c>
      <c r="H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D4" s="41" t="n"/>
      <c r="E4" s="41" t="n"/>
      <c r="G4" s="54" t="inlineStr">
        <is>
          <t>Sigle usuel :</t>
        </is>
      </c>
      <c r="H4" s="53" t="inlineStr"/>
    </row>
    <row r="5" ht="15" customHeight="1">
      <c r="A5" s="39" t="inlineStr">
        <is>
          <t>N° de compte contribuable (NCC) :</t>
        </is>
      </c>
      <c r="E5" s="39" t="inlineStr">
        <is>
          <t>Exercice clos le</t>
        </is>
      </c>
      <c r="G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20 : DETTES FISCALES ET SOCIALES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À un an au plus</t>
        </is>
      </c>
      <c r="G8" s="2" t="inlineStr">
        <is>
          <t>À plus d'un an et deux ans au plus</t>
        </is>
      </c>
      <c r="H8" s="3" t="inlineStr">
        <is>
          <t>À plus de deux ans</t>
        </is>
      </c>
    </row>
    <row r="9">
      <c r="A9" s="119" t="inlineStr">
        <is>
          <t>Personnel, rémunérations dues</t>
        </is>
      </c>
      <c r="B9" s="120">
        <f>SUMIF('BALANCE N'!$A$2:$A$2000,"422*",'BALANCE N'!$H$2:$H$2000)</f>
        <v/>
      </c>
      <c r="C9" s="120">
        <f>SUMIF('BALANCE N-1'!$A$2:$A$2000,"422*",'BALANCE N-1'!$H$2:$H$2000)</f>
        <v/>
      </c>
      <c r="D9" s="120">
        <f>B9-C9</f>
        <v/>
      </c>
      <c r="E9" s="127">
        <f>IF(C9=0,"",(B9-C9)/C9)</f>
        <v/>
      </c>
      <c r="F9" s="119" t="n"/>
      <c r="G9" s="119" t="n"/>
      <c r="H9" s="119" t="n"/>
    </row>
    <row r="10">
      <c r="A10" s="119" t="inlineStr">
        <is>
          <t>Personnel, congés à payer</t>
        </is>
      </c>
      <c r="B10" s="120">
        <f>SUMIF('BALANCE N'!$A$2:$A$2000,"4281*",'BALANCE N'!$H$2:$H$2000)</f>
        <v/>
      </c>
      <c r="C10" s="120">
        <f>SUMIF('BALANCE N-1'!$A$2:$A$2000,"4281*",'BALANCE N-1'!$H$2:$H$2000)</f>
        <v/>
      </c>
      <c r="D10" s="120">
        <f>B10-C10</f>
        <v/>
      </c>
      <c r="E10" s="127">
        <f>IF(C10=0,"",(B10-C10)/C10)</f>
        <v/>
      </c>
      <c r="F10" s="119" t="n"/>
      <c r="G10" s="119" t="n"/>
      <c r="H10" s="119" t="n"/>
    </row>
    <row r="11">
      <c r="A11" s="119" t="inlineStr">
        <is>
          <t>Charges sociales sur congés à payer</t>
        </is>
      </c>
      <c r="B11" s="120">
        <f>SUMIF('BALANCE N'!$A$2:$A$2000,"4382*",'BALANCE N'!$H$2:$H$2000)</f>
        <v/>
      </c>
      <c r="C11" s="120">
        <f>SUMIF('BALANCE N-1'!$A$2:$A$2000,"4382*",'BALANCE N-1'!$H$2:$H$2000)</f>
        <v/>
      </c>
      <c r="D11" s="120">
        <f>B11-C11</f>
        <v/>
      </c>
      <c r="E11" s="127">
        <f>IF(C11=0,"",(B11-C11)/C11)</f>
        <v/>
      </c>
      <c r="F11" s="119" t="n"/>
      <c r="G11" s="119" t="n"/>
      <c r="H11" s="119" t="n"/>
    </row>
    <row r="12">
      <c r="A12" s="119" t="inlineStr">
        <is>
          <t>Autres personnel</t>
        </is>
      </c>
      <c r="B12" s="120">
        <f>SUMIF('BALANCE N'!$A$2:$A$2000,"421*",'BALANCE N'!$H$2:$H$2000)+SUMIF('BALANCE N'!$A$2:$A$2000,"423*",'BALANCE N'!$H$2:$H$2000)+SUMIF('BALANCE N'!$A$2:$A$2000,"424*",'BALANCE N'!$H$2:$H$2000)+SUMIF('BALANCE N'!$A$2:$A$2000,"425*",'BALANCE N'!$H$2:$H$2000)+SUMIF('BALANCE N'!$A$2:$A$2000,"427*",'BALANCE N'!$H$2:$H$2000)+SUMIF('BALANCE N'!$A$2:$A$2000,"428*",'BALANCE N'!$H$2:$H$2000)-SUMIF('BALANCE N'!$A$2:$A$2000,"4281*",'BALANCE N'!$H$2:$H$2000)</f>
        <v/>
      </c>
      <c r="C12" s="120">
        <f>SUMIF('BALANCE N-1'!$A$2:$A$2000,"421*",'BALANCE N-1'!$H$2:$H$2000)+SUMIF('BALANCE N-1'!$A$2:$A$2000,"423*",'BALANCE N-1'!$H$2:$H$2000)+SUMIF('BALANCE N-1'!$A$2:$A$2000,"424*",'BALANCE N-1'!$H$2:$H$2000)+SUMIF('BALANCE N-1'!$A$2:$A$2000,"425*",'BALANCE N-1'!$H$2:$H$2000)+SUMIF('BALANCE N-1'!$A$2:$A$2000,"427*",'BALANCE N-1'!$H$2:$H$2000)+SUMIF('BALANCE N-1'!$A$2:$A$2000,"428*",'BALANCE N-1'!$H$2:$H$2000)-SUMIF('BALANCE N-1'!$A$2:$A$2000,"4281*",'BALANCE N-1'!$H$2:$H$2000)</f>
        <v/>
      </c>
      <c r="D12" s="120">
        <f>B12-C12</f>
        <v/>
      </c>
      <c r="E12" s="127">
        <f>IF(C12=0,"",(B12-C12)/C12)</f>
        <v/>
      </c>
      <c r="F12" s="119" t="n"/>
      <c r="G12" s="119" t="n"/>
      <c r="H12" s="119" t="n"/>
    </row>
    <row r="13">
      <c r="A13" s="119" t="inlineStr">
        <is>
          <t>Caisse de sécurité sociale</t>
        </is>
      </c>
      <c r="B13" s="120">
        <f>SUMIF('BALANCE N'!$A$2:$A$2000,"431*",'BALANCE N'!$H$2:$H$2000)</f>
        <v/>
      </c>
      <c r="C13" s="120">
        <f>SUMIF('BALANCE N-1'!$A$2:$A$2000,"431*",'BALANCE N-1'!$H$2:$H$2000)</f>
        <v/>
      </c>
      <c r="D13" s="120">
        <f>B13-C13</f>
        <v/>
      </c>
      <c r="E13" s="127">
        <f>IF(C13=0,"",(B13-C13)/C13)</f>
        <v/>
      </c>
      <c r="F13" s="119" t="n"/>
      <c r="G13" s="119" t="n"/>
      <c r="H13" s="119" t="n"/>
    </row>
    <row r="14">
      <c r="A14" s="119" t="inlineStr">
        <is>
          <t>Caisse de retraite</t>
        </is>
      </c>
      <c r="B14" s="120">
        <f>SUMIF('BALANCE N'!$A$2:$A$2000,"432*",'BALANCE N'!$H$2:$H$2000)</f>
        <v/>
      </c>
      <c r="C14" s="120">
        <f>SUMIF('BALANCE N-1'!$A$2:$A$2000,"432*",'BALANCE N-1'!$H$2:$H$2000)</f>
        <v/>
      </c>
      <c r="D14" s="120">
        <f>B14-C14</f>
        <v/>
      </c>
      <c r="E14" s="127">
        <f>IF(C14=0,"",(B14-C14)/C14)</f>
        <v/>
      </c>
      <c r="F14" s="119" t="n"/>
      <c r="G14" s="119" t="n"/>
      <c r="H14" s="119" t="n"/>
    </row>
    <row r="15">
      <c r="A15" s="119" t="inlineStr">
        <is>
          <t>Mutuelle de santé</t>
        </is>
      </c>
      <c r="B15" s="120">
        <f>SUMIF('BALANCE N'!$A$2:$A$2000,"4331*",'BALANCE N'!$H$2:$H$2000)</f>
        <v/>
      </c>
      <c r="C15" s="120">
        <f>SUMIF('BALANCE N-1'!$A$2:$A$2000,"4331*",'BALANCE N-1'!$H$2:$H$2000)</f>
        <v/>
      </c>
      <c r="D15" s="120">
        <f>B15-C15</f>
        <v/>
      </c>
      <c r="E15" s="127">
        <f>IF(C15=0,"",(B15-C15)/C15)</f>
        <v/>
      </c>
      <c r="F15" s="119" t="n"/>
      <c r="G15" s="119" t="n"/>
      <c r="H15" s="119" t="n"/>
    </row>
    <row r="16">
      <c r="A16" s="119" t="inlineStr">
        <is>
          <t>Assurance retraite</t>
        </is>
      </c>
      <c r="B16" s="120">
        <f>SUMIF('BALANCE N'!$A$2:$A$2000,"4332*",'BALANCE N'!$H$2:$H$2000)</f>
        <v/>
      </c>
      <c r="C16" s="120">
        <f>SUMIF('BALANCE N-1'!$A$2:$A$2000,"4332*",'BALANCE N-1'!$H$2:$H$2000)</f>
        <v/>
      </c>
      <c r="D16" s="120">
        <f>B16-C16</f>
        <v/>
      </c>
      <c r="E16" s="127">
        <f>IF(C16=0,"",(B16-C16)/C16)</f>
        <v/>
      </c>
      <c r="F16" s="119" t="n"/>
      <c r="G16" s="119" t="n"/>
      <c r="H16" s="119" t="n"/>
    </row>
    <row r="17">
      <c r="A17" s="119" t="inlineStr">
        <is>
          <t>Autres charges sociales à payer et cotisations</t>
        </is>
      </c>
      <c r="B17" s="120">
        <f>SUMIF('BALANCE N'!$A$2:$A$2000,"438*",'BALANCE N'!$H$2:$H$2000)+SUMIF('BALANCE N'!$A$2:$A$2000,"4333*",'BALANCE N'!$H$2:$H$2000)-SUMIF('BALANCE N'!$A$2:$A$2000,"4382*",'BALANCE N'!$H$2:$H$2000)</f>
        <v/>
      </c>
      <c r="C17" s="120">
        <f>SUMIF('BALANCE N-1'!$A$2:$A$2000,"438*",'BALANCE N-1'!$H$2:$H$2000)+SUMIF('BALANCE N-1'!$A$2:$A$2000,"4333*",'BALANCE N-1'!$H$2:$H$2000)-SUMIF('BALANCE N-1'!$A$2:$A$2000,"4382*",'BALANCE N-1'!$H$2:$H$2000)</f>
        <v/>
      </c>
      <c r="D17" s="120">
        <f>B17-C17</f>
        <v/>
      </c>
      <c r="E17" s="127">
        <f>IF(C17=0,"",(B17-C17)/C17)</f>
        <v/>
      </c>
      <c r="F17" s="119" t="n"/>
      <c r="G17" s="119" t="n"/>
      <c r="H17" s="119" t="n"/>
    </row>
    <row r="18">
      <c r="A18" s="6" t="inlineStr">
        <is>
          <t>TOTAL DETTES SOCIALES</t>
        </is>
      </c>
      <c r="B18" s="7">
        <f>SUM(B9:B17)</f>
        <v/>
      </c>
      <c r="C18" s="7">
        <f>SUM(C9:C17)</f>
        <v/>
      </c>
      <c r="D18" s="7">
        <f>B18-C18</f>
        <v/>
      </c>
      <c r="E18" s="128">
        <f>IF(C18=0,"",(B18-C18)/C18)</f>
        <v/>
      </c>
      <c r="F18" s="7" t="n"/>
      <c r="G18" s="7" t="n"/>
      <c r="H18" s="7" t="n"/>
    </row>
    <row r="19">
      <c r="A19" s="119" t="inlineStr">
        <is>
          <t>État, autres impôts et taxes</t>
        </is>
      </c>
      <c r="B19" s="120">
        <f>SUMIF('BALANCE N'!$A$2:$A$2000,"442*",'BALANCE N'!$H$2:$H$2000)+SUMIF('BALANCE N'!$A$2:$A$2000,"446*",'BALANCE N'!$H$2:$H$2000)</f>
        <v/>
      </c>
      <c r="C19" s="120">
        <f>SUMIF('BALANCE N-1'!$A$2:$A$2000,"442*",'BALANCE N-1'!$H$2:$H$2000)+SUMIF('BALANCE N-1'!$A$2:$A$2000,"446*",'BALANCE N-1'!$H$2:$H$2000)</f>
        <v/>
      </c>
      <c r="D19" s="120">
        <f>B19-C19</f>
        <v/>
      </c>
      <c r="E19" s="127">
        <f>IF(C19=0,"",(B19-C19)/C19)</f>
        <v/>
      </c>
      <c r="F19" s="119" t="n"/>
      <c r="G19" s="119" t="n"/>
      <c r="H19" s="119" t="n"/>
    </row>
    <row r="20">
      <c r="A20" s="119" t="inlineStr">
        <is>
          <t>État, TVA</t>
        </is>
      </c>
      <c r="B20" s="120">
        <f>SUMIF('BALANCE N'!$A$2:$A$2000,"443*",'BALANCE N'!$H$2:$H$2000)+SUMIF('BALANCE N'!$A$2:$A$2000,"444*",'BALANCE N'!$H$2:$H$2000)+SUMIF('BALANCE N'!$A$2:$A$2000,"445*",'BALANCE N'!$H$2:$H$2000)</f>
        <v/>
      </c>
      <c r="C20" s="120">
        <f>SUMIF('BALANCE N-1'!$A$2:$A$2000,"443*",'BALANCE N-1'!$H$2:$H$2000)+SUMIF('BALANCE N-1'!$A$2:$A$2000,"444*",'BALANCE N-1'!$H$2:$H$2000)+SUMIF('BALANCE N-1'!$A$2:$A$2000,"445*",'BALANCE N-1'!$H$2:$H$2000)</f>
        <v/>
      </c>
      <c r="D20" s="120">
        <f>B20-C20</f>
        <v/>
      </c>
      <c r="E20" s="127">
        <f>IF(C20=0,"",(B20-C20)/C20)</f>
        <v/>
      </c>
      <c r="F20" s="119" t="n"/>
      <c r="G20" s="119" t="n"/>
      <c r="H20" s="119" t="n"/>
    </row>
    <row r="21">
      <c r="A21" s="119" t="inlineStr">
        <is>
          <t>État, impôts retenus à la source</t>
        </is>
      </c>
      <c r="B21" s="120">
        <f>SUMIF('BALANCE N'!$A$2:$A$2000,"447*",'BALANCE N'!$H$2:$H$2000)</f>
        <v/>
      </c>
      <c r="C21" s="120">
        <f>SUMIF('BALANCE N-1'!$A$2:$A$2000,"447*",'BALANCE N-1'!$H$2:$H$2000)</f>
        <v/>
      </c>
      <c r="D21" s="120">
        <f>B21-C21</f>
        <v/>
      </c>
      <c r="E21" s="127">
        <f>IF(C21=0,"",(B21-C21)/C21)</f>
        <v/>
      </c>
      <c r="F21" s="119" t="n"/>
      <c r="G21" s="119" t="n"/>
      <c r="H21" s="119" t="n"/>
    </row>
    <row r="22">
      <c r="A22" s="119" t="inlineStr">
        <is>
          <t>Autres dettes État</t>
        </is>
      </c>
      <c r="B22" s="120">
        <f>SUMIF('BALANCE N'!$A$2:$A$2000,"448*",'BALANCE N'!$H$2:$H$2000)+SUMIF('BALANCE N'!$A$2:$A$2000,"449*",'BALANCE N'!$H$2:$H$2000)</f>
        <v/>
      </c>
      <c r="C22" s="120">
        <f>SUMIF('BALANCE N-1'!$A$2:$A$2000,"448*",'BALANCE N-1'!$H$2:$H$2000)+SUMIF('BALANCE N-1'!$A$2:$A$2000,"449*",'BALANCE N-1'!$H$2:$H$2000)</f>
        <v/>
      </c>
      <c r="D22" s="120">
        <f>B22-C22</f>
        <v/>
      </c>
      <c r="E22" s="127">
        <f>IF(C22=0,"",(B22-C22)/C22)</f>
        <v/>
      </c>
      <c r="F22" s="119" t="n"/>
      <c r="G22" s="119" t="n"/>
      <c r="H22" s="119" t="n"/>
    </row>
    <row r="23">
      <c r="A23" s="6" t="inlineStr">
        <is>
          <t>TOTAL DETTES FISCALES</t>
        </is>
      </c>
      <c r="B23" s="7">
        <f>SUM(B19:B22)</f>
        <v/>
      </c>
      <c r="C23" s="7">
        <f>SUM(C19:C22)</f>
        <v/>
      </c>
      <c r="D23" s="7">
        <f>B23-C23</f>
        <v/>
      </c>
      <c r="E23" s="128">
        <f>IF(C23=0,"",(B23-C23)/C23)</f>
        <v/>
      </c>
      <c r="F23" s="7" t="n"/>
      <c r="G23" s="7" t="n"/>
      <c r="H23" s="7" t="n"/>
    </row>
    <row r="24">
      <c r="A24" s="6" t="inlineStr">
        <is>
          <t>TOTAL DETTES SOCIALES ET FISCALES</t>
        </is>
      </c>
      <c r="B24" s="7">
        <f>B18+B23</f>
        <v/>
      </c>
      <c r="C24" s="7">
        <f>C18+C23</f>
        <v/>
      </c>
      <c r="D24" s="7">
        <f>B24-C24</f>
        <v/>
      </c>
      <c r="E24" s="128">
        <f>IF(C24=0,"",(B24-C24)/C24)</f>
        <v/>
      </c>
      <c r="F24" s="7" t="n"/>
      <c r="G24" s="7" t="n"/>
      <c r="H24" s="7" t="n"/>
    </row>
    <row r="25"/>
    <row r="26">
      <c r="A26" s="42" t="inlineStr">
        <is>
          <t>Commentaires :</t>
        </is>
      </c>
    </row>
    <row r="27">
      <c r="A27" s="123" t="inlineStr">
        <is>
          <t>• Commenter toute variation significative et les dettes anciennes.</t>
        </is>
      </c>
    </row>
    <row r="28"/>
    <row r="29" ht="34" customHeight="1">
      <c r="A29" s="122">
        <f>IF(SUM(B9:B24,C9:C24,D9:D24,F18:F24,G18:G24,H18:H24)=0,"NÉANT","")</f>
        <v/>
      </c>
    </row>
    <row r="30" ht="34" customHeight="1"/>
    <row r="31" ht="34" customHeight="1"/>
  </sheetData>
  <mergeCells count="4">
    <mergeCell ref="A7:H7"/>
    <mergeCell ref="G2:H2"/>
    <mergeCell ref="A29:H31"/>
    <mergeCell ref="B4:E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- 38 -</t>
        </is>
      </c>
    </row>
    <row r="2" ht="26" customHeight="1">
      <c r="G2" s="51" t="inlineStr">
        <is>
          <t>NOTE 21
SYSTEME NORMAL</t>
        </is>
      </c>
      <c r="H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D4" s="41" t="n"/>
      <c r="E4" s="41" t="n"/>
      <c r="G4" s="54" t="inlineStr">
        <is>
          <t>Sigle usuel :</t>
        </is>
      </c>
      <c r="H4" s="53" t="inlineStr"/>
    </row>
    <row r="5" ht="15" customHeight="1">
      <c r="A5" s="39" t="inlineStr">
        <is>
          <t>N° de compte contribuable (NCC) :</t>
        </is>
      </c>
      <c r="E5" s="39" t="inlineStr">
        <is>
          <t>Exercice clos le</t>
        </is>
      </c>
      <c r="G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21 : AUTRES DETTES ET PROVISIONS POUR RISQUES ET CHARGES À COURT TERME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2" t="inlineStr">
        <is>
          <t>Variation en %</t>
        </is>
      </c>
      <c r="F8" s="2" t="inlineStr">
        <is>
          <t>À un an au plus</t>
        </is>
      </c>
      <c r="G8" s="2" t="inlineStr">
        <is>
          <t>À plus d'un an et deux ans au plus</t>
        </is>
      </c>
      <c r="H8" s="3" t="inlineStr">
        <is>
          <t>À plus de deux ans</t>
        </is>
      </c>
    </row>
    <row r="9">
      <c r="A9" s="124" t="inlineStr">
        <is>
          <t>Fonds d'administration des projets</t>
        </is>
      </c>
      <c r="B9" s="125" t="n"/>
      <c r="C9" s="125" t="n"/>
      <c r="D9" s="125" t="n"/>
      <c r="E9" s="129" t="n"/>
      <c r="F9" s="129" t="n"/>
      <c r="G9" s="129" t="n"/>
      <c r="H9" s="129" t="n"/>
    </row>
    <row r="10">
      <c r="A10" s="119" t="inlineStr">
        <is>
          <t>Bailleurs de fonds</t>
        </is>
      </c>
      <c r="B10" s="120">
        <f>SUMIF('BALANCE N'!$A$2:$A$2000,"462*",'BALANCE N'!$H$2:$H$2000)</f>
        <v/>
      </c>
      <c r="C10" s="120">
        <f>SUMIF('BALANCE N-1'!$A$2:$A$2000,"462*",'BALANCE N-1'!$H$2:$H$2000)</f>
        <v/>
      </c>
      <c r="D10" s="120">
        <f>B10-C10</f>
        <v/>
      </c>
      <c r="E10" s="127">
        <f>IF(C10=0,"",(B10-C10)/C10)</f>
        <v/>
      </c>
      <c r="F10" s="119" t="n"/>
      <c r="G10" s="119" t="n"/>
      <c r="H10" s="119" t="n"/>
    </row>
    <row r="11">
      <c r="A11" s="119" t="inlineStr">
        <is>
          <t>État</t>
        </is>
      </c>
      <c r="B11" s="120">
        <f>SUMIF('BALANCE N'!$A$2:$A$2000,"463*",'BALANCE N'!$H$2:$H$2000)</f>
        <v/>
      </c>
      <c r="C11" s="120">
        <f>SUMIF('BALANCE N-1'!$A$2:$A$2000,"463*",'BALANCE N-1'!$H$2:$H$2000)</f>
        <v/>
      </c>
      <c r="D11" s="120">
        <f>B11-C11</f>
        <v/>
      </c>
      <c r="E11" s="127">
        <f>IF(C11=0,"",(B11-C11)/C11)</f>
        <v/>
      </c>
      <c r="F11" s="119" t="n"/>
      <c r="G11" s="119" t="n"/>
      <c r="H11" s="119" t="n"/>
    </row>
    <row r="12">
      <c r="A12" s="119" t="inlineStr">
        <is>
          <t>Autres organismes de financement assimilés</t>
        </is>
      </c>
      <c r="B12" s="120">
        <f>SUMIF('BALANCE N'!$A$2:$A$2000,"464*",'BALANCE N'!$H$2:$H$2000)</f>
        <v/>
      </c>
      <c r="C12" s="120">
        <f>SUMIF('BALANCE N-1'!$A$2:$A$2000,"464*",'BALANCE N-1'!$H$2:$H$2000)</f>
        <v/>
      </c>
      <c r="D12" s="120">
        <f>B12-C12</f>
        <v/>
      </c>
      <c r="E12" s="127">
        <f>IF(C12=0,"",(B12-C12)/C12)</f>
        <v/>
      </c>
      <c r="F12" s="119" t="n"/>
      <c r="G12" s="119" t="n"/>
      <c r="H12" s="119" t="n"/>
    </row>
    <row r="13">
      <c r="A13" s="6" t="inlineStr">
        <is>
          <t>TOTAL BAILLEURS, FONDS D'ADMINISTRATION</t>
        </is>
      </c>
      <c r="B13" s="7">
        <f>SUM(B10:B12)</f>
        <v/>
      </c>
      <c r="C13" s="7">
        <f>SUM(C10:C12)</f>
        <v/>
      </c>
      <c r="D13" s="7">
        <f>B13-C13</f>
        <v/>
      </c>
      <c r="E13" s="128">
        <f>IF(C13=0,"",(B13-C13)/C13)</f>
        <v/>
      </c>
      <c r="F13" s="7" t="n"/>
      <c r="G13" s="7" t="n"/>
      <c r="H13" s="7" t="n"/>
    </row>
    <row r="14">
      <c r="A14" s="119" t="inlineStr">
        <is>
          <t>Créditeurs divers</t>
        </is>
      </c>
      <c r="B14" s="120">
        <f>SUMIF('BALANCE N'!$A$2:$A$2000,"4711*",'BALANCE N'!$H$2:$H$2000)+SUMIF('BALANCE N'!$A$2:$A$2000,"4712*",'BALANCE N'!$H$2:$H$2000)+SUMIF('BALANCE N'!$A$2:$A$2000,"4717*",'BALANCE N'!$H$2:$H$2000)+SUMIF('BALANCE N'!$A$2:$A$2000,"4719*",'BALANCE N'!$H$2:$H$2000)</f>
        <v/>
      </c>
      <c r="C14" s="120">
        <f>SUMIF('BALANCE N-1'!$A$2:$A$2000,"4711*",'BALANCE N-1'!$H$2:$H$2000)+SUMIF('BALANCE N-1'!$A$2:$A$2000,"4712*",'BALANCE N-1'!$H$2:$H$2000)+SUMIF('BALANCE N-1'!$A$2:$A$2000,"4717*",'BALANCE N-1'!$H$2:$H$2000)+SUMIF('BALANCE N-1'!$A$2:$A$2000,"4719*",'BALANCE N-1'!$H$2:$H$2000)</f>
        <v/>
      </c>
      <c r="D14" s="120">
        <f>B14-C14</f>
        <v/>
      </c>
      <c r="E14" s="127">
        <f>IF(C14=0,"",(B14-C14)/C14)</f>
        <v/>
      </c>
      <c r="F14" s="119" t="n"/>
      <c r="G14" s="119" t="n"/>
      <c r="H14" s="119" t="n"/>
    </row>
    <row r="15">
      <c r="A15" s="119" t="inlineStr">
        <is>
          <t>Créditeurs, dons en nature courants non consommés</t>
        </is>
      </c>
      <c r="B15" s="120">
        <f>SUMIF('BALANCE N'!$A$2:$A$2000,"4713*",'BALANCE N'!$H$2:$H$2000)</f>
        <v/>
      </c>
      <c r="C15" s="120">
        <f>SUMIF('BALANCE N-1'!$A$2:$A$2000,"4713*",'BALANCE N-1'!$H$2:$H$2000)</f>
        <v/>
      </c>
      <c r="D15" s="120">
        <f>B15-C15</f>
        <v/>
      </c>
      <c r="E15" s="127">
        <f>IF(C15=0,"",(B15-C15)/C15)</f>
        <v/>
      </c>
      <c r="F15" s="119" t="n"/>
      <c r="G15" s="119" t="n"/>
      <c r="H15" s="119" t="n"/>
    </row>
    <row r="16">
      <c r="A16" s="119" t="inlineStr">
        <is>
          <t>Versements restant à effectuer sur titres de placement non libérés</t>
        </is>
      </c>
      <c r="B16" s="120">
        <f>SUMIF('BALANCE N'!$A$2:$A$2000,"4726*",'BALANCE N'!$H$2:$H$2000)</f>
        <v/>
      </c>
      <c r="C16" s="120">
        <f>SUMIF('BALANCE N-1'!$A$2:$A$2000,"4726*",'BALANCE N-1'!$H$2:$H$2000)</f>
        <v/>
      </c>
      <c r="D16" s="120">
        <f>B16-C16</f>
        <v/>
      </c>
      <c r="E16" s="127">
        <f>IF(C16=0,"",(B16-C16)/C16)</f>
        <v/>
      </c>
      <c r="F16" s="119" t="n"/>
      <c r="G16" s="119" t="n"/>
      <c r="H16" s="119" t="n"/>
    </row>
    <row r="17">
      <c r="A17" s="119" t="inlineStr">
        <is>
          <t>Générosités financières à recevoir</t>
        </is>
      </c>
      <c r="B17" s="120">
        <f>SUMIF('BALANCE N'!$A$2:$A$2000,"475*",'BALANCE N'!$H$2:$H$2000)</f>
        <v/>
      </c>
      <c r="C17" s="120">
        <f>SUMIF('BALANCE N-1'!$A$2:$A$2000,"475*",'BALANCE N-1'!$H$2:$H$2000)</f>
        <v/>
      </c>
      <c r="D17" s="120">
        <f>B17-C17</f>
        <v/>
      </c>
      <c r="E17" s="127">
        <f>IF(C17=0,"",(B17-C17)/C17)</f>
        <v/>
      </c>
      <c r="F17" s="119" t="n"/>
      <c r="G17" s="119" t="n"/>
      <c r="H17" s="119" t="n"/>
    </row>
    <row r="18">
      <c r="A18" s="119" t="inlineStr">
        <is>
          <t>Autres créditeurs divers</t>
        </is>
      </c>
      <c r="B18" s="120">
        <f>SUMIF('BALANCE N'!$A$2:$A$2000,"45*",'BALANCE N'!$H$2:$H$2000)+SUMIF('BALANCE N'!$A$2:$A$2000,"473*",'BALANCE N'!$H$2:$H$2000)+SUMIF('BALANCE N'!$A$2:$A$2000,"474*",'BALANCE N'!$H$2:$H$2000)+SUMIF('BALANCE N'!$A$2:$A$2000,"476*",'BALANCE N'!$H$2:$H$2000)+SUMIF('BALANCE N'!$A$2:$A$2000,"477*",'BALANCE N'!$H$2:$H$2000)+SUMIF('BALANCE N'!$A$2:$A$2000,"4721*",'BALANCE N'!$H$2:$H$2000)</f>
        <v/>
      </c>
      <c r="C18" s="120">
        <f>SUMIF('BALANCE N-1'!$A$2:$A$2000,"45*",'BALANCE N-1'!$H$2:$H$2000)+SUMIF('BALANCE N-1'!$A$2:$A$2000,"473*",'BALANCE N-1'!$H$2:$H$2000)+SUMIF('BALANCE N-1'!$A$2:$A$2000,"474*",'BALANCE N-1'!$H$2:$H$2000)+SUMIF('BALANCE N-1'!$A$2:$A$2000,"476*",'BALANCE N-1'!$H$2:$H$2000)+SUMIF('BALANCE N-1'!$A$2:$A$2000,"477*",'BALANCE N-1'!$H$2:$H$2000)+SUMIF('BALANCE N-1'!$A$2:$A$2000,"4721*",'BALANCE N-1'!$H$2:$H$2000)</f>
        <v/>
      </c>
      <c r="D18" s="120">
        <f>B18-C18</f>
        <v/>
      </c>
      <c r="E18" s="127">
        <f>IF(C18=0,"",(B18-C18)/C18)</f>
        <v/>
      </c>
      <c r="F18" s="119" t="n"/>
      <c r="G18" s="119" t="n"/>
      <c r="H18" s="119" t="n"/>
    </row>
    <row r="19">
      <c r="A19" s="6" t="inlineStr">
        <is>
          <t>TOTAL CRÉDITEURS DIVERS</t>
        </is>
      </c>
      <c r="B19" s="7">
        <f>SUM(B14:B18)</f>
        <v/>
      </c>
      <c r="C19" s="7">
        <f>SUM(C14:C18)</f>
        <v/>
      </c>
      <c r="D19" s="7">
        <f>B19-C19</f>
        <v/>
      </c>
      <c r="E19" s="128">
        <f>IF(C19=0,"",(B19-C19)/C19)</f>
        <v/>
      </c>
      <c r="F19" s="7" t="n"/>
      <c r="G19" s="7" t="n"/>
      <c r="H19" s="7" t="n"/>
    </row>
    <row r="20">
      <c r="A20" s="6" t="inlineStr">
        <is>
          <t>TOTAL AUTRES DETTES</t>
        </is>
      </c>
      <c r="B20" s="7">
        <f>B13+B19</f>
        <v/>
      </c>
      <c r="C20" s="7">
        <f>C13+C19</f>
        <v/>
      </c>
      <c r="D20" s="7">
        <f>B20-C20</f>
        <v/>
      </c>
      <c r="E20" s="128">
        <f>IF(C20=0,"",(B20-C20)/C20)</f>
        <v/>
      </c>
      <c r="F20" s="7" t="n"/>
      <c r="G20" s="7" t="n"/>
      <c r="H20" s="7" t="n"/>
    </row>
    <row r="21">
      <c r="A21" s="119" t="n"/>
      <c r="B21" s="120" t="n"/>
      <c r="C21" s="120" t="n"/>
      <c r="D21" s="120" t="n"/>
      <c r="E21" s="119" t="n"/>
      <c r="F21" s="119" t="n"/>
      <c r="G21" s="119" t="n"/>
      <c r="H21" s="119" t="n"/>
    </row>
    <row r="22">
      <c r="A22" s="119" t="inlineStr">
        <is>
          <t>Provisions pour risques et charges à court terme (voir note 30)</t>
        </is>
      </c>
      <c r="B22" s="120">
        <f>SUMIF('BALANCE N'!$A$2:$A$2000,"499*",'BALANCE N'!$H$2:$H$2000)-SUMIF('BALANCE N'!$A$2:$A$2000,"499*",'BALANCE N'!$G$2:$G$2000)-SUMIF('BALANCE N'!$A$2:$A$2000,"599*",'BALANCE N'!$H$2:$H$2000)+SUMIF('BALANCE N'!$A$2:$A$2000,"599*",'BALANCE N'!$G$2:$G$2000)-SUMIF('BALANCE N'!$A$2:$A$2000,"4998*",'BALANCE N'!$H$2:$H$2000)+SUMIF('BALANCE N'!$A$2:$A$2000,"4998*",'BALANCE N'!$G$2:$G$2000)</f>
        <v/>
      </c>
      <c r="C22" s="120">
        <f>SUMIF('BALANCE N-1'!$A$2:$A$2000,"499*",'BALANCE N-1'!$H$2:$H$2000)-SUMIF('BALANCE N-1'!$A$2:$A$2000,"499*",'BALANCE N-1'!$G$2:$G$2000)-SUMIF('BALANCE N-1'!$A$2:$A$2000,"599*",'BALANCE N-1'!$H$2:$H$2000)+SUMIF('BALANCE N-1'!$A$2:$A$2000,"599*",'BALANCE N-1'!$G$2:$G$2000)-SUMIF('BALANCE N-1'!$A$2:$A$2000,"4998*",'BALANCE N-1'!$H$2:$H$2000)+SUMIF('BALANCE N-1'!$A$2:$A$2000,"4998*",'BALANCE N-1'!$G$2:$G$2000)</f>
        <v/>
      </c>
      <c r="D22" s="120">
        <f>B22-C22</f>
        <v/>
      </c>
      <c r="E22" s="127">
        <f>IF(C22=0,"",(B22-C22)/C22)</f>
        <v/>
      </c>
      <c r="F22" s="119" t="n"/>
      <c r="G22" s="119" t="n"/>
      <c r="H22" s="119" t="n"/>
    </row>
    <row r="23"/>
    <row r="24">
      <c r="A24" s="42" t="inlineStr">
        <is>
          <t>Commentaires :</t>
        </is>
      </c>
    </row>
    <row r="25">
      <c r="A25" s="123" t="inlineStr">
        <is>
          <t>• Commenter toute variation significative et les dettes anciennes.</t>
        </is>
      </c>
    </row>
    <row r="26"/>
    <row r="27" ht="34" customHeight="1">
      <c r="A27" s="122">
        <f>IF(SUM(B9:B22,C9:C22,D9:D22,F13:F20,G13:G20,H13:H20)=0,"NÉANT","")</f>
        <v/>
      </c>
    </row>
    <row r="28" ht="34" customHeight="1"/>
    <row r="29" ht="34" customHeight="1"/>
  </sheetData>
  <mergeCells count="4">
    <mergeCell ref="A7:H7"/>
    <mergeCell ref="G2:H2"/>
    <mergeCell ref="A27:H29"/>
    <mergeCell ref="B4:E4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- 39 -</t>
        </is>
      </c>
    </row>
    <row r="2" ht="26" customHeight="1">
      <c r="D2" s="51" t="inlineStr">
        <is>
          <t>NOTE 22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22 : BANQUES, CRÉDIT D'ESCOMPTE ET DE TRÉSORERIE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9" t="inlineStr">
        <is>
          <t>Banques locales</t>
        </is>
      </c>
      <c r="B9" s="120">
        <f>SUMIF('BALANCE N'!$A$2:$A$2000,"521*",'BALANCE N'!$H$2:$H$2000)</f>
        <v/>
      </c>
      <c r="C9" s="120">
        <f>SUMIF('BALANCE N-1'!$A$2:$A$2000,"521*",'BALANCE N-1'!$H$2:$H$2000)</f>
        <v/>
      </c>
      <c r="D9" s="120">
        <f>B9-C9</f>
        <v/>
      </c>
      <c r="E9" s="127">
        <f>IF(C9=0,"",(B9-C9)/C9)</f>
        <v/>
      </c>
    </row>
    <row r="10">
      <c r="A10" s="119" t="inlineStr">
        <is>
          <t>Banques autres États région</t>
        </is>
      </c>
      <c r="B10" s="120">
        <f>SUMIF('BALANCE N'!$A$2:$A$2000,"522*",'BALANCE N'!$H$2:$H$2000)</f>
        <v/>
      </c>
      <c r="C10" s="120">
        <f>SUMIF('BALANCE N-1'!$A$2:$A$2000,"522*",'BALANCE N-1'!$H$2:$H$2000)</f>
        <v/>
      </c>
      <c r="D10" s="120">
        <f>B10-C10</f>
        <v/>
      </c>
      <c r="E10" s="127">
        <f>IF(C10=0,"",(B10-C10)/C10)</f>
        <v/>
      </c>
    </row>
    <row r="11">
      <c r="A11" s="119" t="inlineStr">
        <is>
          <t>Autres banques</t>
        </is>
      </c>
      <c r="B11" s="120">
        <f>SUMIF('BALANCE N'!$A$2:$A$2000,"523*",'BALANCE N'!$H$2:$H$2000)+SUMIF('BALANCE N'!$A$2:$A$2000,"524*",'BALANCE N'!$H$2:$H$2000)+SUMIF('BALANCE N'!$A$2:$A$2000,"525*",'BALANCE N'!$H$2:$H$2000)</f>
        <v/>
      </c>
      <c r="C11" s="120">
        <f>SUMIF('BALANCE N-1'!$A$2:$A$2000,"523*",'BALANCE N-1'!$H$2:$H$2000)+SUMIF('BALANCE N-1'!$A$2:$A$2000,"524*",'BALANCE N-1'!$H$2:$H$2000)+SUMIF('BALANCE N-1'!$A$2:$A$2000,"525*",'BALANCE N-1'!$H$2:$H$2000)</f>
        <v/>
      </c>
      <c r="D11" s="120">
        <f>B11-C11</f>
        <v/>
      </c>
      <c r="E11" s="127">
        <f>IF(C11=0,"",(B11-C11)/C11)</f>
        <v/>
      </c>
    </row>
    <row r="12">
      <c r="A12" s="119" t="inlineStr">
        <is>
          <t>Banques, intérêts courus</t>
        </is>
      </c>
      <c r="B12" s="120">
        <f>SUMIF('BALANCE N'!$A$2:$A$2000,"526*",'BALANCE N'!$H$2:$H$2000)+SUMIF('BALANCE N'!$A$2:$A$2000,"566*",'BALANCE N'!$H$2:$H$2000)</f>
        <v/>
      </c>
      <c r="C12" s="120">
        <f>SUMIF('BALANCE N-1'!$A$2:$A$2000,"526*",'BALANCE N-1'!$H$2:$H$2000)+SUMIF('BALANCE N-1'!$A$2:$A$2000,"566*",'BALANCE N-1'!$H$2:$H$2000)</f>
        <v/>
      </c>
      <c r="D12" s="120">
        <f>B12-C12</f>
        <v/>
      </c>
      <c r="E12" s="127">
        <f>IF(C12=0,"",(B12-C12)/C12)</f>
        <v/>
      </c>
    </row>
    <row r="13">
      <c r="A13" s="119" t="inlineStr">
        <is>
          <t>Crédit de trésorerie et d'escompte</t>
        </is>
      </c>
      <c r="B13" s="120">
        <f>SUMIF('BALANCE N'!$A$2:$A$2000,"561*",'BALANCE N'!$H$2:$H$2000)+SUMIF('BALANCE N'!$A$2:$A$2000,"565*",'BALANCE N'!$H$2:$H$2000)</f>
        <v/>
      </c>
      <c r="C13" s="120">
        <f>SUMIF('BALANCE N-1'!$A$2:$A$2000,"561*",'BALANCE N-1'!$H$2:$H$2000)+SUMIF('BALANCE N-1'!$A$2:$A$2000,"565*",'BALANCE N-1'!$H$2:$H$2000)</f>
        <v/>
      </c>
      <c r="D13" s="120">
        <f>B13-C13</f>
        <v/>
      </c>
      <c r="E13" s="127">
        <f>IF(C13=0,"",(B13-C13)/C13)</f>
        <v/>
      </c>
    </row>
    <row r="14">
      <c r="A14" s="6" t="inlineStr">
        <is>
          <t>TOTAL : BANQUES, CRÉDITS DE TRÉSORERIE</t>
        </is>
      </c>
      <c r="B14" s="7">
        <f>SUM(B9:B13)</f>
        <v/>
      </c>
      <c r="C14" s="7">
        <f>SUM(C9:C13)</f>
        <v/>
      </c>
      <c r="D14" s="7">
        <f>B14-C14</f>
        <v/>
      </c>
      <c r="E14" s="128">
        <f>IF(C14=0,"",(B14-C14)/C14)</f>
        <v/>
      </c>
    </row>
    <row r="15"/>
    <row r="16">
      <c r="A16" s="42" t="inlineStr">
        <is>
          <t>Commentaires :</t>
        </is>
      </c>
    </row>
    <row r="17">
      <c r="A17" s="123" t="inlineStr">
        <is>
          <t>• Indiquer l'organisme, les conditions de crédit, le taux d'intérêt, la durée. NB : « Banques, intérêts courus » figure ici si le compte principal attaché est créditeur.</t>
        </is>
      </c>
    </row>
    <row r="18"/>
    <row r="19" ht="34" customHeight="1">
      <c r="A19" s="122">
        <f>IF(SUM(B9:B14,C9:C14,D9:D14)=0,"NÉANT","")</f>
        <v/>
      </c>
    </row>
    <row r="20" ht="34" customHeight="1"/>
    <row r="21" ht="34" customHeight="1"/>
  </sheetData>
  <mergeCells count="3">
    <mergeCell ref="A7:E7"/>
    <mergeCell ref="A19:E21"/>
    <mergeCell ref="D2:E2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- 40 -</t>
        </is>
      </c>
    </row>
    <row r="2" ht="26" customHeight="1">
      <c r="D2" s="51" t="inlineStr">
        <is>
          <t>NOTE 23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23 : REVENUS ET AUTRES PRODUITS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9" t="inlineStr">
        <is>
          <t>Cotisations des adhérents</t>
        </is>
      </c>
      <c r="B9" s="120">
        <f>SUMIF('BALANCE N'!$A$2:$A$2000,"701*",'BALANCE N'!$H$2:$H$2000)-SUMIF('BALANCE N'!$A$2:$A$2000,"701*",'BALANCE N'!$G$2:$G$2000)</f>
        <v/>
      </c>
      <c r="C9" s="120">
        <f>SUMIF('BALANCE N-1'!$A$2:$A$2000,"701*",'BALANCE N-1'!$H$2:$H$2000)-SUMIF('BALANCE N-1'!$A$2:$A$2000,"701*",'BALANCE N-1'!$G$2:$G$2000)</f>
        <v/>
      </c>
      <c r="D9" s="120">
        <f>B9-C9</f>
        <v/>
      </c>
      <c r="E9" s="127">
        <f>IF(C9=0,"",(B9-C9)/C9)</f>
        <v/>
      </c>
    </row>
    <row r="10">
      <c r="A10" s="119" t="inlineStr">
        <is>
          <t>Quote-part de dotation consomptible transférée</t>
        </is>
      </c>
      <c r="B10" s="120">
        <f>SUMIF('BALANCE N'!$A$2:$A$2000,"703*",'BALANCE N'!$H$2:$H$2000)-SUMIF('BALANCE N'!$A$2:$A$2000,"703*",'BALANCE N'!$G$2:$G$2000)</f>
        <v/>
      </c>
      <c r="C10" s="120">
        <f>SUMIF('BALANCE N-1'!$A$2:$A$2000,"703*",'BALANCE N-1'!$H$2:$H$2000)-SUMIF('BALANCE N-1'!$A$2:$A$2000,"703*",'BALANCE N-1'!$G$2:$G$2000)</f>
        <v/>
      </c>
      <c r="D10" s="120">
        <f>B10-C10</f>
        <v/>
      </c>
      <c r="E10" s="127">
        <f>IF(C10=0,"",(B10-C10)/C10)</f>
        <v/>
      </c>
    </row>
    <row r="11">
      <c r="A11" s="119" t="inlineStr">
        <is>
          <t>Revenus liés à la générosité</t>
        </is>
      </c>
      <c r="B11" s="120">
        <f>SUMIF('BALANCE N'!$A$2:$A$2000,"704*",'BALANCE N'!$H$2:$H$2000)-SUMIF('BALANCE N'!$A$2:$A$2000,"704*",'BALANCE N'!$G$2:$G$2000)</f>
        <v/>
      </c>
      <c r="C11" s="120">
        <f>SUMIF('BALANCE N-1'!$A$2:$A$2000,"704*",'BALANCE N-1'!$H$2:$H$2000)-SUMIF('BALANCE N-1'!$A$2:$A$2000,"704*",'BALANCE N-1'!$G$2:$G$2000)</f>
        <v/>
      </c>
      <c r="D11" s="120">
        <f>B11-C11</f>
        <v/>
      </c>
      <c r="E11" s="127">
        <f>IF(C11=0,"",(B11-C11)/C11)</f>
        <v/>
      </c>
    </row>
    <row r="12">
      <c r="A12" s="119" t="inlineStr">
        <is>
          <t>Ventes de marchandises, services et produits finis</t>
        </is>
      </c>
      <c r="B12" s="120">
        <f>SUMIF('BALANCE N'!$A$2:$A$2000,"705*",'BALANCE N'!$H$2:$H$2000)-SUMIF('BALANCE N'!$A$2:$A$2000,"705*",'BALANCE N'!$G$2:$G$2000)</f>
        <v/>
      </c>
      <c r="C12" s="120">
        <f>SUMIF('BALANCE N-1'!$A$2:$A$2000,"705*",'BALANCE N-1'!$H$2:$H$2000)-SUMIF('BALANCE N-1'!$A$2:$A$2000,"705*",'BALANCE N-1'!$G$2:$G$2000)</f>
        <v/>
      </c>
      <c r="D12" s="120">
        <f>B12-C12</f>
        <v/>
      </c>
      <c r="E12" s="127">
        <f>IF(C12=0,"",(B12-C12)/C12)</f>
        <v/>
      </c>
    </row>
    <row r="13">
      <c r="A13" s="119" t="inlineStr">
        <is>
          <t>Revenus des manifestations</t>
        </is>
      </c>
      <c r="B13" s="120">
        <f>SUMIF('BALANCE N'!$A$2:$A$2000,"706*",'BALANCE N'!$H$2:$H$2000)-SUMIF('BALANCE N'!$A$2:$A$2000,"706*",'BALANCE N'!$G$2:$G$2000)</f>
        <v/>
      </c>
      <c r="C13" s="120">
        <f>SUMIF('BALANCE N-1'!$A$2:$A$2000,"706*",'BALANCE N-1'!$H$2:$H$2000)-SUMIF('BALANCE N-1'!$A$2:$A$2000,"706*",'BALANCE N-1'!$G$2:$G$2000)</f>
        <v/>
      </c>
      <c r="D13" s="120">
        <f>B13-C13</f>
        <v/>
      </c>
      <c r="E13" s="127">
        <f>IF(C13=0,"",(B13-C13)/C13)</f>
        <v/>
      </c>
    </row>
    <row r="14">
      <c r="A14" s="119" t="inlineStr">
        <is>
          <t>Autres revenus</t>
        </is>
      </c>
      <c r="B14" s="120">
        <f>SUMIF('BALANCE N'!$A$2:$A$2000,"702*",'BALANCE N'!$H$2:$H$2000)-SUMIF('BALANCE N'!$A$2:$A$2000,"702*",'BALANCE N'!$G$2:$G$2000)+SUMIF('BALANCE N'!$A$2:$A$2000,"707*",'BALANCE N'!$H$2:$H$2000)-SUMIF('BALANCE N'!$A$2:$A$2000,"707*",'BALANCE N'!$G$2:$G$2000)+SUMIF('BALANCE N'!$A$2:$A$2000,"708*",'BALANCE N'!$H$2:$H$2000)-SUMIF('BALANCE N'!$A$2:$A$2000,"708*",'BALANCE N'!$G$2:$G$2000)</f>
        <v/>
      </c>
      <c r="C14" s="120">
        <f>SUMIF('BALANCE N-1'!$A$2:$A$2000,"702*",'BALANCE N-1'!$H$2:$H$2000)-SUMIF('BALANCE N-1'!$A$2:$A$2000,"702*",'BALANCE N-1'!$G$2:$G$2000)+SUMIF('BALANCE N-1'!$A$2:$A$2000,"707*",'BALANCE N-1'!$H$2:$H$2000)-SUMIF('BALANCE N-1'!$A$2:$A$2000,"707*",'BALANCE N-1'!$G$2:$G$2000)+SUMIF('BALANCE N-1'!$A$2:$A$2000,"708*",'BALANCE N-1'!$H$2:$H$2000)-SUMIF('BALANCE N-1'!$A$2:$A$2000,"708*",'BALANCE N-1'!$G$2:$G$2000)</f>
        <v/>
      </c>
      <c r="D14" s="120">
        <f>B14-C14</f>
        <v/>
      </c>
      <c r="E14" s="127">
        <f>IF(C14=0,"",(B14-C14)/C14)</f>
        <v/>
      </c>
    </row>
    <row r="15">
      <c r="A15" s="6" t="inlineStr">
        <is>
          <t>TOTAL : REVENUS</t>
        </is>
      </c>
      <c r="B15" s="7">
        <f>SUM(B9:B14)</f>
        <v/>
      </c>
      <c r="C15" s="7">
        <f>SUM(C9:C14)</f>
        <v/>
      </c>
      <c r="D15" s="7">
        <f>B15-C15</f>
        <v/>
      </c>
      <c r="E15" s="128">
        <f>IF(C15=0,"",(B15-C15)/C15)</f>
        <v/>
      </c>
    </row>
    <row r="16">
      <c r="A16" s="119" t="inlineStr">
        <is>
          <t>Subventions d'exploitation</t>
        </is>
      </c>
      <c r="B16" s="120">
        <f>SUMIF('BALANCE N'!$A$2:$A$2000,"71*",'BALANCE N'!$H$2:$H$2000)-SUMIF('BALANCE N'!$A$2:$A$2000,"71*",'BALANCE N'!$G$2:$G$2000)</f>
        <v/>
      </c>
      <c r="C16" s="120">
        <f>SUMIF('BALANCE N-1'!$A$2:$A$2000,"71*",'BALANCE N-1'!$H$2:$H$2000)-SUMIF('BALANCE N-1'!$A$2:$A$2000,"71*",'BALANCE N-1'!$G$2:$G$2000)</f>
        <v/>
      </c>
      <c r="D16" s="120">
        <f>B16-C16</f>
        <v/>
      </c>
      <c r="E16" s="127">
        <f>IF(C16=0,"",(B16-C16)/C16)</f>
        <v/>
      </c>
    </row>
    <row r="17">
      <c r="A17" s="119" t="inlineStr">
        <is>
          <t>Autres produits et transferts de charges d'exploitation</t>
        </is>
      </c>
      <c r="B17" s="120">
        <f>SUMIF('BALANCE N'!$A$2:$A$2000,"72*",'BALANCE N'!$H$2:$H$2000)-SUMIF('BALANCE N'!$A$2:$A$2000,"72*",'BALANCE N'!$G$2:$G$2000)+SUMIF('BALANCE N'!$A$2:$A$2000,"73*",'BALANCE N'!$H$2:$H$2000)-SUMIF('BALANCE N'!$A$2:$A$2000,"73*",'BALANCE N'!$G$2:$G$2000)+SUMIF('BALANCE N'!$A$2:$A$2000,"75*",'BALANCE N'!$H$2:$H$2000)-SUMIF('BALANCE N'!$A$2:$A$2000,"75*",'BALANCE N'!$G$2:$G$2000)+SUMIF('BALANCE N'!$A$2:$A$2000,"77*",'BALANCE N'!$H$2:$H$2000)-SUMIF('BALANCE N'!$A$2:$A$2000,"77*",'BALANCE N'!$G$2:$G$2000)+SUMIF('BALANCE N'!$A$2:$A$2000,"78*",'BALANCE N'!$H$2:$H$2000)-SUMIF('BALANCE N'!$A$2:$A$2000,"78*",'BALANCE N'!$G$2:$G$2000)</f>
        <v/>
      </c>
      <c r="C17" s="120">
        <f>SUMIF('BALANCE N-1'!$A$2:$A$2000,"72*",'BALANCE N-1'!$H$2:$H$2000)-SUMIF('BALANCE N-1'!$A$2:$A$2000,"72*",'BALANCE N-1'!$G$2:$G$2000)+SUMIF('BALANCE N-1'!$A$2:$A$2000,"73*",'BALANCE N-1'!$H$2:$H$2000)-SUMIF('BALANCE N-1'!$A$2:$A$2000,"73*",'BALANCE N-1'!$G$2:$G$2000)+SUMIF('BALANCE N-1'!$A$2:$A$2000,"75*",'BALANCE N-1'!$H$2:$H$2000)-SUMIF('BALANCE N-1'!$A$2:$A$2000,"75*",'BALANCE N-1'!$G$2:$G$2000)+SUMIF('BALANCE N-1'!$A$2:$A$2000,"77*",'BALANCE N-1'!$H$2:$H$2000)-SUMIF('BALANCE N-1'!$A$2:$A$2000,"77*",'BALANCE N-1'!$G$2:$G$2000)+SUMIF('BALANCE N-1'!$A$2:$A$2000,"78*",'BALANCE N-1'!$H$2:$H$2000)-SUMIF('BALANCE N-1'!$A$2:$A$2000,"78*",'BALANCE N-1'!$G$2:$G$2000)</f>
        <v/>
      </c>
      <c r="D17" s="120">
        <f>B17-C17</f>
        <v/>
      </c>
      <c r="E17" s="127">
        <f>IF(C17=0,"",(B17-C17)/C17)</f>
        <v/>
      </c>
    </row>
    <row r="18">
      <c r="A18" s="6" t="inlineStr">
        <is>
          <t>TOTAL : SUBVENTIONS D'EXPLOITATION ET AUTRES PRODUITS</t>
        </is>
      </c>
      <c r="B18" s="7">
        <f>SUM(B16:B17)</f>
        <v/>
      </c>
      <c r="C18" s="7">
        <f>SUM(C16:C17)</f>
        <v/>
      </c>
      <c r="D18" s="7">
        <f>B18-C18</f>
        <v/>
      </c>
      <c r="E18" s="128">
        <f>IF(C18=0,"",(B18-C18)/C18)</f>
        <v/>
      </c>
    </row>
    <row r="19">
      <c r="A19" s="6" t="inlineStr">
        <is>
          <t>TOTAL</t>
        </is>
      </c>
      <c r="B19" s="7">
        <f>B15+B18</f>
        <v/>
      </c>
      <c r="C19" s="7">
        <f>C15+C18</f>
        <v/>
      </c>
      <c r="D19" s="7">
        <f>B19-C19</f>
        <v/>
      </c>
      <c r="E19" s="128">
        <f>IF(C19=0,"",(B19-C19)/C19)</f>
        <v/>
      </c>
    </row>
    <row r="20"/>
    <row r="21">
      <c r="A21" s="42" t="inlineStr">
        <is>
          <t>Commentaires :</t>
        </is>
      </c>
    </row>
    <row r="22">
      <c r="A22" s="123" t="inlineStr">
        <is>
          <t>• Justifier toute variation significative ; détailler les revenus liés à la générosité (dons, legs, deniers du culte, zakat, célébrations, mécénat, parrainage).</t>
        </is>
      </c>
    </row>
    <row r="23"/>
    <row r="24" ht="34" customHeight="1">
      <c r="A24" s="122">
        <f>IF(SUM(B9:B19,C9:C19,D9:D19)=0,"NÉANT","")</f>
        <v/>
      </c>
    </row>
    <row r="25" ht="34" customHeight="1"/>
    <row r="26" ht="34" customHeight="1"/>
  </sheetData>
  <mergeCells count="3">
    <mergeCell ref="A7:E7"/>
    <mergeCell ref="A24:E26"/>
    <mergeCell ref="D2:E2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- 41 -</t>
        </is>
      </c>
    </row>
    <row r="2" ht="26" customHeight="1">
      <c r="D2" s="51" t="inlineStr">
        <is>
          <t>NOTE 24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24 : ACHATS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9" t="inlineStr">
        <is>
          <t>Achats de biens et services liés à l'activité</t>
        </is>
      </c>
      <c r="B9" s="120">
        <f>SUMIF('BALANCE N'!$A$2:$A$2000,"601*",'BALANCE N'!$G$2:$G$2000)-SUMIF('BALANCE N'!$A$2:$A$2000,"601*",'BALANCE N'!$H$2:$H$2000)</f>
        <v/>
      </c>
      <c r="C9" s="120">
        <f>SUMIF('BALANCE N-1'!$A$2:$A$2000,"601*",'BALANCE N-1'!$G$2:$G$2000)-SUMIF('BALANCE N-1'!$A$2:$A$2000,"601*",'BALANCE N-1'!$H$2:$H$2000)</f>
        <v/>
      </c>
      <c r="D9" s="120">
        <f>B9-C9</f>
        <v/>
      </c>
      <c r="E9" s="127">
        <f>IF(C9=0,"",(B9-C9)/C9)</f>
        <v/>
      </c>
    </row>
    <row r="10">
      <c r="A10" s="6" t="inlineStr">
        <is>
          <t>TOTAL : ACHATS DE BIENS ET SERVICES LIÉS À L'ACTIVITÉ</t>
        </is>
      </c>
      <c r="B10" s="7">
        <f>SUM(B9:B9)</f>
        <v/>
      </c>
      <c r="C10" s="7">
        <f>SUM(C9:C9)</f>
        <v/>
      </c>
      <c r="D10" s="7">
        <f>B10-C10</f>
        <v/>
      </c>
      <c r="E10" s="128">
        <f>IF(C10=0,"",(B10-C10)/C10)</f>
        <v/>
      </c>
    </row>
    <row r="11">
      <c r="A11" s="119" t="inlineStr">
        <is>
          <t>Achats de marchandises et matières premières</t>
        </is>
      </c>
      <c r="B11" s="120">
        <f>SUMIF('BALANCE N'!$A$2:$A$2000,"602*",'BALANCE N'!$G$2:$G$2000)-SUMIF('BALANCE N'!$A$2:$A$2000,"602*",'BALANCE N'!$H$2:$H$2000)</f>
        <v/>
      </c>
      <c r="C11" s="120">
        <f>SUMIF('BALANCE N-1'!$A$2:$A$2000,"602*",'BALANCE N-1'!$G$2:$G$2000)-SUMIF('BALANCE N-1'!$A$2:$A$2000,"602*",'BALANCE N-1'!$H$2:$H$2000)</f>
        <v/>
      </c>
      <c r="D11" s="120">
        <f>B11-C11</f>
        <v/>
      </c>
      <c r="E11" s="127">
        <f>IF(C11=0,"",(B11-C11)/C11)</f>
        <v/>
      </c>
    </row>
    <row r="12">
      <c r="A12" s="6" t="inlineStr">
        <is>
          <t>TOTAL : ACHATS MARCHANDISES ET MATIÈRES PREMIÈRES</t>
        </is>
      </c>
      <c r="B12" s="7">
        <f>SUM(B11:B11)</f>
        <v/>
      </c>
      <c r="C12" s="7">
        <f>SUM(C11:C11)</f>
        <v/>
      </c>
      <c r="D12" s="7">
        <f>B12-C12</f>
        <v/>
      </c>
      <c r="E12" s="128">
        <f>IF(C12=0,"",(B12-C12)/C12)</f>
        <v/>
      </c>
    </row>
    <row r="13">
      <c r="A13" s="119" t="inlineStr">
        <is>
          <t>Matières et fournitures consommables</t>
        </is>
      </c>
      <c r="B13" s="120">
        <f>SUMIF('BALANCE N'!$A$2:$A$2000,"604*",'BALANCE N'!$G$2:$G$2000)-SUMIF('BALANCE N'!$A$2:$A$2000,"604*",'BALANCE N'!$H$2:$H$2000)</f>
        <v/>
      </c>
      <c r="C13" s="120">
        <f>SUMIF('BALANCE N-1'!$A$2:$A$2000,"604*",'BALANCE N-1'!$G$2:$G$2000)-SUMIF('BALANCE N-1'!$A$2:$A$2000,"604*",'BALANCE N-1'!$H$2:$H$2000)</f>
        <v/>
      </c>
      <c r="D13" s="120">
        <f>B13-C13</f>
        <v/>
      </c>
      <c r="E13" s="127">
        <f>IF(C13=0,"",(B13-C13)/C13)</f>
        <v/>
      </c>
    </row>
    <row r="14">
      <c r="A14" s="119" t="inlineStr">
        <is>
          <t>Eau, électricité, énergies et fournitures non stockées</t>
        </is>
      </c>
      <c r="B14" s="120">
        <f>SUMIF('BALANCE N'!$A$2:$A$2000,"605*",'BALANCE N'!$G$2:$G$2000)-SUMIF('BALANCE N'!$A$2:$A$2000,"605*",'BALANCE N'!$H$2:$H$2000)</f>
        <v/>
      </c>
      <c r="C14" s="120">
        <f>SUMIF('BALANCE N-1'!$A$2:$A$2000,"605*",'BALANCE N-1'!$G$2:$G$2000)-SUMIF('BALANCE N-1'!$A$2:$A$2000,"605*",'BALANCE N-1'!$H$2:$H$2000)</f>
        <v/>
      </c>
      <c r="D14" s="120">
        <f>B14-C14</f>
        <v/>
      </c>
      <c r="E14" s="127">
        <f>IF(C14=0,"",(B14-C14)/C14)</f>
        <v/>
      </c>
    </row>
    <row r="15">
      <c r="A15" s="119" t="inlineStr">
        <is>
          <t>Achats autres activités (billetteries, tombolas, voyages...)</t>
        </is>
      </c>
      <c r="B15" s="120">
        <f>SUMIF('BALANCE N'!$A$2:$A$2000,"606*",'BALANCE N'!$G$2:$G$2000)-SUMIF('BALANCE N'!$A$2:$A$2000,"606*",'BALANCE N'!$H$2:$H$2000)</f>
        <v/>
      </c>
      <c r="C15" s="120">
        <f>SUMIF('BALANCE N-1'!$A$2:$A$2000,"606*",'BALANCE N-1'!$G$2:$G$2000)-SUMIF('BALANCE N-1'!$A$2:$A$2000,"606*",'BALANCE N-1'!$H$2:$H$2000)</f>
        <v/>
      </c>
      <c r="D15" s="120">
        <f>B15-C15</f>
        <v/>
      </c>
      <c r="E15" s="127">
        <f>IF(C15=0,"",(B15-C15)/C15)</f>
        <v/>
      </c>
    </row>
    <row r="16">
      <c r="A16" s="119" t="inlineStr">
        <is>
          <t>Achats d'emballages</t>
        </is>
      </c>
      <c r="B16" s="120">
        <f>SUMIF('BALANCE N'!$A$2:$A$2000,"608*",'BALANCE N'!$G$2:$G$2000)-SUMIF('BALANCE N'!$A$2:$A$2000,"608*",'BALANCE N'!$H$2:$H$2000)</f>
        <v/>
      </c>
      <c r="C16" s="120">
        <f>SUMIF('BALANCE N-1'!$A$2:$A$2000,"608*",'BALANCE N-1'!$G$2:$G$2000)-SUMIF('BALANCE N-1'!$A$2:$A$2000,"608*",'BALANCE N-1'!$H$2:$H$2000)</f>
        <v/>
      </c>
      <c r="D16" s="120">
        <f>B16-C16</f>
        <v/>
      </c>
      <c r="E16" s="127">
        <f>IF(C16=0,"",(B16-C16)/C16)</f>
        <v/>
      </c>
    </row>
    <row r="17">
      <c r="A17" s="119" t="inlineStr">
        <is>
          <t>Rabais, remises et ristournes obtenus (-)</t>
        </is>
      </c>
      <c r="B17" s="120">
        <f>SUMIF('BALANCE N'!$A$2:$A$2000,"609*",'BALANCE N'!$G$2:$G$2000)-SUMIF('BALANCE N'!$A$2:$A$2000,"609*",'BALANCE N'!$H$2:$H$2000)</f>
        <v/>
      </c>
      <c r="C17" s="120">
        <f>SUMIF('BALANCE N-1'!$A$2:$A$2000,"609*",'BALANCE N-1'!$G$2:$G$2000)-SUMIF('BALANCE N-1'!$A$2:$A$2000,"609*",'BALANCE N-1'!$H$2:$H$2000)</f>
        <v/>
      </c>
      <c r="D17" s="120">
        <f>B17-C17</f>
        <v/>
      </c>
      <c r="E17" s="127">
        <f>IF(C17=0,"",(B17-C17)/C17)</f>
        <v/>
      </c>
    </row>
    <row r="18">
      <c r="A18" s="6" t="inlineStr">
        <is>
          <t>TOTAL AUTRES ACHATS</t>
        </is>
      </c>
      <c r="B18" s="7">
        <f>SUM(B13:B17)</f>
        <v/>
      </c>
      <c r="C18" s="7">
        <f>SUM(C13:C17)</f>
        <v/>
      </c>
      <c r="D18" s="7">
        <f>B18-C18</f>
        <v/>
      </c>
      <c r="E18" s="128">
        <f>IF(C18=0,"",(B18-C18)/C18)</f>
        <v/>
      </c>
    </row>
    <row r="19">
      <c r="A19" s="6" t="inlineStr">
        <is>
          <t>TOTAL ACHATS</t>
        </is>
      </c>
      <c r="B19" s="7">
        <f>B10+B12+B18</f>
        <v/>
      </c>
      <c r="C19" s="7">
        <f>C10+C12+C18</f>
        <v/>
      </c>
      <c r="D19" s="7">
        <f>B19-C19</f>
        <v/>
      </c>
      <c r="E19" s="128">
        <f>IF(C19=0,"",(B19-C19)/C19)</f>
        <v/>
      </c>
    </row>
    <row r="20"/>
    <row r="21" ht="34" customHeight="1">
      <c r="A21" s="122">
        <f>IF(SUM(B9:B19,C9:C19,D9:D19)=0,"NÉANT","")</f>
        <v/>
      </c>
    </row>
    <row r="22" ht="34" customHeight="1"/>
    <row r="23" ht="34" customHeight="1"/>
  </sheetData>
  <mergeCells count="3">
    <mergeCell ref="A7:E7"/>
    <mergeCell ref="A21:E23"/>
    <mergeCell ref="D2:E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- 42 -</t>
        </is>
      </c>
    </row>
    <row r="2" ht="26" customHeight="1">
      <c r="D2" s="51" t="inlineStr">
        <is>
          <t>NOTE 25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25 : TRANSPORTS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9" t="inlineStr">
        <is>
          <t>Transports sur ventes</t>
        </is>
      </c>
      <c r="B9" s="120">
        <f>SUMIF('BALANCE N'!$A$2:$A$2000,"612*",'BALANCE N'!$G$2:$G$2000)-SUMIF('BALANCE N'!$A$2:$A$2000,"612*",'BALANCE N'!$H$2:$H$2000)</f>
        <v/>
      </c>
      <c r="C9" s="120">
        <f>SUMIF('BALANCE N-1'!$A$2:$A$2000,"612*",'BALANCE N-1'!$G$2:$G$2000)-SUMIF('BALANCE N-1'!$A$2:$A$2000,"612*",'BALANCE N-1'!$H$2:$H$2000)</f>
        <v/>
      </c>
      <c r="D9" s="120">
        <f>B9-C9</f>
        <v/>
      </c>
      <c r="E9" s="127">
        <f>IF(C9=0,"",(B9-C9)/C9)</f>
        <v/>
      </c>
    </row>
    <row r="10">
      <c r="A10" s="119" t="inlineStr">
        <is>
          <t>Transports pour le compte de tiers</t>
        </is>
      </c>
      <c r="B10" s="120">
        <f>SUMIF('BALANCE N'!$A$2:$A$2000,"613*",'BALANCE N'!$G$2:$G$2000)-SUMIF('BALANCE N'!$A$2:$A$2000,"613*",'BALANCE N'!$H$2:$H$2000)</f>
        <v/>
      </c>
      <c r="C10" s="120">
        <f>SUMIF('BALANCE N-1'!$A$2:$A$2000,"613*",'BALANCE N-1'!$G$2:$G$2000)-SUMIF('BALANCE N-1'!$A$2:$A$2000,"613*",'BALANCE N-1'!$H$2:$H$2000)</f>
        <v/>
      </c>
      <c r="D10" s="120">
        <f>B10-C10</f>
        <v/>
      </c>
      <c r="E10" s="127">
        <f>IF(C10=0,"",(B10-C10)/C10)</f>
        <v/>
      </c>
    </row>
    <row r="11">
      <c r="A11" s="119" t="inlineStr">
        <is>
          <t>Transport du personnel</t>
        </is>
      </c>
      <c r="B11" s="120">
        <f>SUMIF('BALANCE N'!$A$2:$A$2000,"614*",'BALANCE N'!$G$2:$G$2000)-SUMIF('BALANCE N'!$A$2:$A$2000,"614*",'BALANCE N'!$H$2:$H$2000)</f>
        <v/>
      </c>
      <c r="C11" s="120">
        <f>SUMIF('BALANCE N-1'!$A$2:$A$2000,"614*",'BALANCE N-1'!$G$2:$G$2000)-SUMIF('BALANCE N-1'!$A$2:$A$2000,"614*",'BALANCE N-1'!$H$2:$H$2000)</f>
        <v/>
      </c>
      <c r="D11" s="120">
        <f>B11-C11</f>
        <v/>
      </c>
      <c r="E11" s="127">
        <f>IF(C11=0,"",(B11-C11)/C11)</f>
        <v/>
      </c>
    </row>
    <row r="12">
      <c r="A12" s="119" t="inlineStr">
        <is>
          <t>Transports de plis</t>
        </is>
      </c>
      <c r="B12" s="120">
        <f>SUMIF('BALANCE N'!$A$2:$A$2000,"616*",'BALANCE N'!$G$2:$G$2000)-SUMIF('BALANCE N'!$A$2:$A$2000,"616*",'BALANCE N'!$H$2:$H$2000)</f>
        <v/>
      </c>
      <c r="C12" s="120">
        <f>SUMIF('BALANCE N-1'!$A$2:$A$2000,"616*",'BALANCE N-1'!$G$2:$G$2000)-SUMIF('BALANCE N-1'!$A$2:$A$2000,"616*",'BALANCE N-1'!$H$2:$H$2000)</f>
        <v/>
      </c>
      <c r="D12" s="120">
        <f>B12-C12</f>
        <v/>
      </c>
      <c r="E12" s="127">
        <f>IF(C12=0,"",(B12-C12)/C12)</f>
        <v/>
      </c>
    </row>
    <row r="13">
      <c r="A13" s="119" t="inlineStr">
        <is>
          <t>Voyages, déplacements et autres frais de transport</t>
        </is>
      </c>
      <c r="B13" s="120">
        <f>SUMIF('BALANCE N'!$A$2:$A$2000,"618*",'BALANCE N'!$G$2:$G$2000)-SUMIF('BALANCE N'!$A$2:$A$2000,"618*",'BALANCE N'!$H$2:$H$2000)+SUMIF('BALANCE N'!$A$2:$A$2000,"619*",'BALANCE N'!$G$2:$G$2000)-SUMIF('BALANCE N'!$A$2:$A$2000,"619*",'BALANCE N'!$H$2:$H$2000)</f>
        <v/>
      </c>
      <c r="C13" s="120">
        <f>SUMIF('BALANCE N-1'!$A$2:$A$2000,"618*",'BALANCE N-1'!$G$2:$G$2000)-SUMIF('BALANCE N-1'!$A$2:$A$2000,"618*",'BALANCE N-1'!$H$2:$H$2000)+SUMIF('BALANCE N-1'!$A$2:$A$2000,"619*",'BALANCE N-1'!$G$2:$G$2000)-SUMIF('BALANCE N-1'!$A$2:$A$2000,"619*",'BALANCE N-1'!$H$2:$H$2000)</f>
        <v/>
      </c>
      <c r="D13" s="120">
        <f>B13-C13</f>
        <v/>
      </c>
      <c r="E13" s="127">
        <f>IF(C13=0,"",(B13-C13)/C13)</f>
        <v/>
      </c>
    </row>
    <row r="14">
      <c r="A14" s="6" t="inlineStr">
        <is>
          <t>TOTAL</t>
        </is>
      </c>
      <c r="B14" s="7">
        <f>SUM(B9:B13)</f>
        <v/>
      </c>
      <c r="C14" s="7">
        <f>SUM(C9:C13)</f>
        <v/>
      </c>
      <c r="D14" s="7">
        <f>B14-C14</f>
        <v/>
      </c>
      <c r="E14" s="128">
        <f>IF(C14=0,"",(B14-C14)/C14)</f>
        <v/>
      </c>
    </row>
    <row r="15"/>
    <row r="16" ht="34" customHeight="1">
      <c r="A16" s="122">
        <f>IF(SUM(B9:B14,C9:C14,D9:D14)=0,"NÉANT","")</f>
        <v/>
      </c>
    </row>
    <row r="17" ht="34" customHeight="1"/>
    <row r="18" ht="34" customHeight="1"/>
  </sheetData>
  <mergeCells count="3">
    <mergeCell ref="A7:E7"/>
    <mergeCell ref="A16:E18"/>
    <mergeCell ref="D2:E2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- 43 -</t>
        </is>
      </c>
    </row>
    <row r="2" ht="26" customHeight="1">
      <c r="D2" s="51" t="inlineStr">
        <is>
          <t>NOTE 26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26 : SERVICES EXTÉRIEURS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9" t="inlineStr">
        <is>
          <t>Sous-traitance générale</t>
        </is>
      </c>
      <c r="B9" s="120">
        <f>SUMIF('BALANCE N'!$A$2:$A$2000,"621*",'BALANCE N'!$G$2:$G$2000)-SUMIF('BALANCE N'!$A$2:$A$2000,"621*",'BALANCE N'!$H$2:$H$2000)</f>
        <v/>
      </c>
      <c r="C9" s="120">
        <f>SUMIF('BALANCE N-1'!$A$2:$A$2000,"621*",'BALANCE N-1'!$G$2:$G$2000)-SUMIF('BALANCE N-1'!$A$2:$A$2000,"621*",'BALANCE N-1'!$H$2:$H$2000)</f>
        <v/>
      </c>
      <c r="D9" s="120">
        <f>B9-C9</f>
        <v/>
      </c>
      <c r="E9" s="127">
        <f>IF(C9=0,"",(B9-C9)/C9)</f>
        <v/>
      </c>
    </row>
    <row r="10">
      <c r="A10" s="119" t="inlineStr">
        <is>
          <t>Locations et charges locatives</t>
        </is>
      </c>
      <c r="B10" s="120">
        <f>SUMIF('BALANCE N'!$A$2:$A$2000,"622*",'BALANCE N'!$G$2:$G$2000)-SUMIF('BALANCE N'!$A$2:$A$2000,"622*",'BALANCE N'!$H$2:$H$2000)</f>
        <v/>
      </c>
      <c r="C10" s="120">
        <f>SUMIF('BALANCE N-1'!$A$2:$A$2000,"622*",'BALANCE N-1'!$G$2:$G$2000)-SUMIF('BALANCE N-1'!$A$2:$A$2000,"622*",'BALANCE N-1'!$H$2:$H$2000)</f>
        <v/>
      </c>
      <c r="D10" s="120">
        <f>B10-C10</f>
        <v/>
      </c>
      <c r="E10" s="127">
        <f>IF(C10=0,"",(B10-C10)/C10)</f>
        <v/>
      </c>
    </row>
    <row r="11">
      <c r="A11" s="119" t="inlineStr">
        <is>
          <t>Redevances de location-acquisition</t>
        </is>
      </c>
      <c r="B11" s="120">
        <f>SUMIF('BALANCE N'!$A$2:$A$2000,"623*",'BALANCE N'!$G$2:$G$2000)-SUMIF('BALANCE N'!$A$2:$A$2000,"623*",'BALANCE N'!$H$2:$H$2000)</f>
        <v/>
      </c>
      <c r="C11" s="120">
        <f>SUMIF('BALANCE N-1'!$A$2:$A$2000,"623*",'BALANCE N-1'!$G$2:$G$2000)-SUMIF('BALANCE N-1'!$A$2:$A$2000,"623*",'BALANCE N-1'!$H$2:$H$2000)</f>
        <v/>
      </c>
      <c r="D11" s="120">
        <f>B11-C11</f>
        <v/>
      </c>
      <c r="E11" s="127">
        <f>IF(C11=0,"",(B11-C11)/C11)</f>
        <v/>
      </c>
    </row>
    <row r="12">
      <c r="A12" s="119" t="inlineStr">
        <is>
          <t>Entretien, réparations et maintenance</t>
        </is>
      </c>
      <c r="B12" s="120">
        <f>SUMIF('BALANCE N'!$A$2:$A$2000,"624*",'BALANCE N'!$G$2:$G$2000)-SUMIF('BALANCE N'!$A$2:$A$2000,"624*",'BALANCE N'!$H$2:$H$2000)</f>
        <v/>
      </c>
      <c r="C12" s="120">
        <f>SUMIF('BALANCE N-1'!$A$2:$A$2000,"624*",'BALANCE N-1'!$G$2:$G$2000)-SUMIF('BALANCE N-1'!$A$2:$A$2000,"624*",'BALANCE N-1'!$H$2:$H$2000)</f>
        <v/>
      </c>
      <c r="D12" s="120">
        <f>B12-C12</f>
        <v/>
      </c>
      <c r="E12" s="127">
        <f>IF(C12=0,"",(B12-C12)/C12)</f>
        <v/>
      </c>
    </row>
    <row r="13">
      <c r="A13" s="119" t="inlineStr">
        <is>
          <t>Primes d'assurance</t>
        </is>
      </c>
      <c r="B13" s="120">
        <f>SUMIF('BALANCE N'!$A$2:$A$2000,"625*",'BALANCE N'!$G$2:$G$2000)-SUMIF('BALANCE N'!$A$2:$A$2000,"625*",'BALANCE N'!$H$2:$H$2000)</f>
        <v/>
      </c>
      <c r="C13" s="120">
        <f>SUMIF('BALANCE N-1'!$A$2:$A$2000,"625*",'BALANCE N-1'!$G$2:$G$2000)-SUMIF('BALANCE N-1'!$A$2:$A$2000,"625*",'BALANCE N-1'!$H$2:$H$2000)</f>
        <v/>
      </c>
      <c r="D13" s="120">
        <f>B13-C13</f>
        <v/>
      </c>
      <c r="E13" s="127">
        <f>IF(C13=0,"",(B13-C13)/C13)</f>
        <v/>
      </c>
    </row>
    <row r="14">
      <c r="A14" s="119" t="inlineStr">
        <is>
          <t>Études, recherches et documentation</t>
        </is>
      </c>
      <c r="B14" s="120">
        <f>SUMIF('BALANCE N'!$A$2:$A$2000,"626*",'BALANCE N'!$G$2:$G$2000)-SUMIF('BALANCE N'!$A$2:$A$2000,"626*",'BALANCE N'!$H$2:$H$2000)</f>
        <v/>
      </c>
      <c r="C14" s="120">
        <f>SUMIF('BALANCE N-1'!$A$2:$A$2000,"626*",'BALANCE N-1'!$G$2:$G$2000)-SUMIF('BALANCE N-1'!$A$2:$A$2000,"626*",'BALANCE N-1'!$H$2:$H$2000)</f>
        <v/>
      </c>
      <c r="D14" s="120">
        <f>B14-C14</f>
        <v/>
      </c>
      <c r="E14" s="127">
        <f>IF(C14=0,"",(B14-C14)/C14)</f>
        <v/>
      </c>
    </row>
    <row r="15">
      <c r="A15" s="119" t="inlineStr">
        <is>
          <t>Publicité, publications, relations publiques</t>
        </is>
      </c>
      <c r="B15" s="120">
        <f>SUMIF('BALANCE N'!$A$2:$A$2000,"627*",'BALANCE N'!$G$2:$G$2000)-SUMIF('BALANCE N'!$A$2:$A$2000,"627*",'BALANCE N'!$H$2:$H$2000)</f>
        <v/>
      </c>
      <c r="C15" s="120">
        <f>SUMIF('BALANCE N-1'!$A$2:$A$2000,"627*",'BALANCE N-1'!$G$2:$G$2000)-SUMIF('BALANCE N-1'!$A$2:$A$2000,"627*",'BALANCE N-1'!$H$2:$H$2000)</f>
        <v/>
      </c>
      <c r="D15" s="120">
        <f>B15-C15</f>
        <v/>
      </c>
      <c r="E15" s="127">
        <f>IF(C15=0,"",(B15-C15)/C15)</f>
        <v/>
      </c>
    </row>
    <row r="16">
      <c r="A16" s="119" t="inlineStr">
        <is>
          <t>Frais de télécommunications</t>
        </is>
      </c>
      <c r="B16" s="120">
        <f>SUMIF('BALANCE N'!$A$2:$A$2000,"628*",'BALANCE N'!$G$2:$G$2000)-SUMIF('BALANCE N'!$A$2:$A$2000,"628*",'BALANCE N'!$H$2:$H$2000)</f>
        <v/>
      </c>
      <c r="C16" s="120">
        <f>SUMIF('BALANCE N-1'!$A$2:$A$2000,"628*",'BALANCE N-1'!$G$2:$G$2000)-SUMIF('BALANCE N-1'!$A$2:$A$2000,"628*",'BALANCE N-1'!$H$2:$H$2000)</f>
        <v/>
      </c>
      <c r="D16" s="120">
        <f>B16-C16</f>
        <v/>
      </c>
      <c r="E16" s="127">
        <f>IF(C16=0,"",(B16-C16)/C16)</f>
        <v/>
      </c>
    </row>
    <row r="17">
      <c r="A17" s="119" t="inlineStr">
        <is>
          <t>Frais bancaires</t>
        </is>
      </c>
      <c r="B17" s="120">
        <f>SUMIF('BALANCE N'!$A$2:$A$2000,"631*",'BALANCE N'!$G$2:$G$2000)-SUMIF('BALANCE N'!$A$2:$A$2000,"631*",'BALANCE N'!$H$2:$H$2000)</f>
        <v/>
      </c>
      <c r="C17" s="120">
        <f>SUMIF('BALANCE N-1'!$A$2:$A$2000,"631*",'BALANCE N-1'!$G$2:$G$2000)-SUMIF('BALANCE N-1'!$A$2:$A$2000,"631*",'BALANCE N-1'!$H$2:$H$2000)</f>
        <v/>
      </c>
      <c r="D17" s="120">
        <f>B17-C17</f>
        <v/>
      </c>
      <c r="E17" s="127">
        <f>IF(C17=0,"",(B17-C17)/C17)</f>
        <v/>
      </c>
    </row>
    <row r="18">
      <c r="A18" s="119" t="inlineStr">
        <is>
          <t>Rémunérations d'intermédiaires et de conseils</t>
        </is>
      </c>
      <c r="B18" s="120">
        <f>SUMIF('BALANCE N'!$A$2:$A$2000,"632*",'BALANCE N'!$G$2:$G$2000)-SUMIF('BALANCE N'!$A$2:$A$2000,"632*",'BALANCE N'!$H$2:$H$2000)</f>
        <v/>
      </c>
      <c r="C18" s="120">
        <f>SUMIF('BALANCE N-1'!$A$2:$A$2000,"632*",'BALANCE N-1'!$G$2:$G$2000)-SUMIF('BALANCE N-1'!$A$2:$A$2000,"632*",'BALANCE N-1'!$H$2:$H$2000)</f>
        <v/>
      </c>
      <c r="D18" s="120">
        <f>B18-C18</f>
        <v/>
      </c>
      <c r="E18" s="127">
        <f>IF(C18=0,"",(B18-C18)/C18)</f>
        <v/>
      </c>
    </row>
    <row r="19">
      <c r="A19" s="119" t="inlineStr">
        <is>
          <t>Frais de formation du personnel</t>
        </is>
      </c>
      <c r="B19" s="120">
        <f>SUMIF('BALANCE N'!$A$2:$A$2000,"633*",'BALANCE N'!$G$2:$G$2000)-SUMIF('BALANCE N'!$A$2:$A$2000,"633*",'BALANCE N'!$H$2:$H$2000)</f>
        <v/>
      </c>
      <c r="C19" s="120">
        <f>SUMIF('BALANCE N-1'!$A$2:$A$2000,"633*",'BALANCE N-1'!$G$2:$G$2000)-SUMIF('BALANCE N-1'!$A$2:$A$2000,"633*",'BALANCE N-1'!$H$2:$H$2000)</f>
        <v/>
      </c>
      <c r="D19" s="120">
        <f>B19-C19</f>
        <v/>
      </c>
      <c r="E19" s="127">
        <f>IF(C19=0,"",(B19-C19)/C19)</f>
        <v/>
      </c>
    </row>
    <row r="20">
      <c r="A20" s="119" t="inlineStr">
        <is>
          <t>Redevances pour brevets, licences, logiciels et droits similaires</t>
        </is>
      </c>
      <c r="B20" s="120">
        <f>SUMIF('BALANCE N'!$A$2:$A$2000,"634*",'BALANCE N'!$G$2:$G$2000)-SUMIF('BALANCE N'!$A$2:$A$2000,"634*",'BALANCE N'!$H$2:$H$2000)</f>
        <v/>
      </c>
      <c r="C20" s="120">
        <f>SUMIF('BALANCE N-1'!$A$2:$A$2000,"634*",'BALANCE N-1'!$G$2:$G$2000)-SUMIF('BALANCE N-1'!$A$2:$A$2000,"634*",'BALANCE N-1'!$H$2:$H$2000)</f>
        <v/>
      </c>
      <c r="D20" s="120">
        <f>B20-C20</f>
        <v/>
      </c>
      <c r="E20" s="127">
        <f>IF(C20=0,"",(B20-C20)/C20)</f>
        <v/>
      </c>
    </row>
    <row r="21">
      <c r="A21" s="119" t="inlineStr">
        <is>
          <t>Cotisations</t>
        </is>
      </c>
      <c r="B21" s="120">
        <f>SUMIF('BALANCE N'!$A$2:$A$2000,"635*",'BALANCE N'!$G$2:$G$2000)-SUMIF('BALANCE N'!$A$2:$A$2000,"635*",'BALANCE N'!$H$2:$H$2000)</f>
        <v/>
      </c>
      <c r="C21" s="120">
        <f>SUMIF('BALANCE N-1'!$A$2:$A$2000,"635*",'BALANCE N-1'!$G$2:$G$2000)-SUMIF('BALANCE N-1'!$A$2:$A$2000,"635*",'BALANCE N-1'!$H$2:$H$2000)</f>
        <v/>
      </c>
      <c r="D21" s="120">
        <f>B21-C21</f>
        <v/>
      </c>
      <c r="E21" s="127">
        <f>IF(C21=0,"",(B21-C21)/C21)</f>
        <v/>
      </c>
    </row>
    <row r="22">
      <c r="A22" s="119" t="inlineStr">
        <is>
          <t>Frais de recherche de fonds</t>
        </is>
      </c>
      <c r="B22" s="120">
        <f>SUMIF('BALANCE N'!$A$2:$A$2000,"636*",'BALANCE N'!$G$2:$G$2000)-SUMIF('BALANCE N'!$A$2:$A$2000,"636*",'BALANCE N'!$H$2:$H$2000)</f>
        <v/>
      </c>
      <c r="C22" s="120">
        <f>SUMIF('BALANCE N-1'!$A$2:$A$2000,"636*",'BALANCE N-1'!$G$2:$G$2000)-SUMIF('BALANCE N-1'!$A$2:$A$2000,"636*",'BALANCE N-1'!$H$2:$H$2000)</f>
        <v/>
      </c>
      <c r="D22" s="120">
        <f>B22-C22</f>
        <v/>
      </c>
      <c r="E22" s="127">
        <f>IF(C22=0,"",(B22-C22)/C22)</f>
        <v/>
      </c>
    </row>
    <row r="23">
      <c r="A23" s="119" t="inlineStr">
        <is>
          <t>Rémunérations de personnel extérieur à l'entité</t>
        </is>
      </c>
      <c r="B23" s="120">
        <f>SUMIF('BALANCE N'!$A$2:$A$2000,"637*",'BALANCE N'!$G$2:$G$2000)-SUMIF('BALANCE N'!$A$2:$A$2000,"637*",'BALANCE N'!$H$2:$H$2000)</f>
        <v/>
      </c>
      <c r="C23" s="120">
        <f>SUMIF('BALANCE N-1'!$A$2:$A$2000,"637*",'BALANCE N-1'!$G$2:$G$2000)-SUMIF('BALANCE N-1'!$A$2:$A$2000,"637*",'BALANCE N-1'!$H$2:$H$2000)</f>
        <v/>
      </c>
      <c r="D23" s="120">
        <f>B23-C23</f>
        <v/>
      </c>
      <c r="E23" s="127">
        <f>IF(C23=0,"",(B23-C23)/C23)</f>
        <v/>
      </c>
    </row>
    <row r="24">
      <c r="A24" s="119" t="inlineStr">
        <is>
          <t>Autres charges externes</t>
        </is>
      </c>
      <c r="B24" s="120">
        <f>SUMIF('BALANCE N'!$A$2:$A$2000,"638*",'BALANCE N'!$G$2:$G$2000)-SUMIF('BALANCE N'!$A$2:$A$2000,"638*",'BALANCE N'!$H$2:$H$2000)</f>
        <v/>
      </c>
      <c r="C24" s="120">
        <f>SUMIF('BALANCE N-1'!$A$2:$A$2000,"638*",'BALANCE N-1'!$G$2:$G$2000)-SUMIF('BALANCE N-1'!$A$2:$A$2000,"638*",'BALANCE N-1'!$H$2:$H$2000)</f>
        <v/>
      </c>
      <c r="D24" s="120">
        <f>B24-C24</f>
        <v/>
      </c>
      <c r="E24" s="127">
        <f>IF(C24=0,"",(B24-C24)/C24)</f>
        <v/>
      </c>
    </row>
    <row r="25">
      <c r="A25" s="6" t="inlineStr">
        <is>
          <t>TOTAL</t>
        </is>
      </c>
      <c r="B25" s="7">
        <f>SUM(B9:B24)</f>
        <v/>
      </c>
      <c r="C25" s="7">
        <f>SUM(C9:C24)</f>
        <v/>
      </c>
      <c r="D25" s="7">
        <f>B25-C25</f>
        <v/>
      </c>
      <c r="E25" s="128">
        <f>IF(C25=0,"",(B25-C25)/C25)</f>
        <v/>
      </c>
    </row>
    <row r="26"/>
    <row r="27" ht="34" customHeight="1">
      <c r="A27" s="122">
        <f>IF(SUM(B9:B25,C9:C25,D9:D25)=0,"NÉANT","")</f>
        <v/>
      </c>
    </row>
    <row r="28" ht="34" customHeight="1"/>
    <row r="29" ht="34" customHeight="1"/>
  </sheetData>
  <mergeCells count="3">
    <mergeCell ref="A7:E7"/>
    <mergeCell ref="A27:E29"/>
    <mergeCell ref="D2:E2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- 44 -</t>
        </is>
      </c>
    </row>
    <row r="2" ht="26" customHeight="1">
      <c r="D2" s="51" t="inlineStr">
        <is>
          <t>NOTE 27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27 : IMPÔTS ET TAXES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9" t="inlineStr">
        <is>
          <t>Impôts et taxes directs</t>
        </is>
      </c>
      <c r="B9" s="120">
        <f>SUMIF('BALANCE N'!$A$2:$A$2000,"641*",'BALANCE N'!$G$2:$G$2000)-SUMIF('BALANCE N'!$A$2:$A$2000,"641*",'BALANCE N'!$H$2:$H$2000)</f>
        <v/>
      </c>
      <c r="C9" s="120">
        <f>SUMIF('BALANCE N-1'!$A$2:$A$2000,"641*",'BALANCE N-1'!$G$2:$G$2000)-SUMIF('BALANCE N-1'!$A$2:$A$2000,"641*",'BALANCE N-1'!$H$2:$H$2000)</f>
        <v/>
      </c>
      <c r="D9" s="120">
        <f>B9-C9</f>
        <v/>
      </c>
      <c r="E9" s="127">
        <f>IF(C9=0,"",(B9-C9)/C9)</f>
        <v/>
      </c>
    </row>
    <row r="10">
      <c r="A10" s="119" t="inlineStr">
        <is>
          <t>Impôts et taxes indirects</t>
        </is>
      </c>
      <c r="B10" s="120">
        <f>SUMIF('BALANCE N'!$A$2:$A$2000,"645*",'BALANCE N'!$G$2:$G$2000)-SUMIF('BALANCE N'!$A$2:$A$2000,"645*",'BALANCE N'!$H$2:$H$2000)</f>
        <v/>
      </c>
      <c r="C10" s="120">
        <f>SUMIF('BALANCE N-1'!$A$2:$A$2000,"645*",'BALANCE N-1'!$G$2:$G$2000)-SUMIF('BALANCE N-1'!$A$2:$A$2000,"645*",'BALANCE N-1'!$H$2:$H$2000)</f>
        <v/>
      </c>
      <c r="D10" s="120">
        <f>B10-C10</f>
        <v/>
      </c>
      <c r="E10" s="127">
        <f>IF(C10=0,"",(B10-C10)/C10)</f>
        <v/>
      </c>
    </row>
    <row r="11">
      <c r="A11" s="119" t="inlineStr">
        <is>
          <t>Droits d'enregistrement</t>
        </is>
      </c>
      <c r="B11" s="120">
        <f>SUMIF('BALANCE N'!$A$2:$A$2000,"646*",'BALANCE N'!$G$2:$G$2000)-SUMIF('BALANCE N'!$A$2:$A$2000,"646*",'BALANCE N'!$H$2:$H$2000)</f>
        <v/>
      </c>
      <c r="C11" s="120">
        <f>SUMIF('BALANCE N-1'!$A$2:$A$2000,"646*",'BALANCE N-1'!$G$2:$G$2000)-SUMIF('BALANCE N-1'!$A$2:$A$2000,"646*",'BALANCE N-1'!$H$2:$H$2000)</f>
        <v/>
      </c>
      <c r="D11" s="120">
        <f>B11-C11</f>
        <v/>
      </c>
      <c r="E11" s="127">
        <f>IF(C11=0,"",(B11-C11)/C11)</f>
        <v/>
      </c>
    </row>
    <row r="12">
      <c r="A12" s="119" t="inlineStr">
        <is>
          <t>Pénalités et amendes fiscales</t>
        </is>
      </c>
      <c r="B12" s="120">
        <f>SUMIF('BALANCE N'!$A$2:$A$2000,"647*",'BALANCE N'!$G$2:$G$2000)-SUMIF('BALANCE N'!$A$2:$A$2000,"647*",'BALANCE N'!$H$2:$H$2000)</f>
        <v/>
      </c>
      <c r="C12" s="120">
        <f>SUMIF('BALANCE N-1'!$A$2:$A$2000,"647*",'BALANCE N-1'!$G$2:$G$2000)-SUMIF('BALANCE N-1'!$A$2:$A$2000,"647*",'BALANCE N-1'!$H$2:$H$2000)</f>
        <v/>
      </c>
      <c r="D12" s="120">
        <f>B12-C12</f>
        <v/>
      </c>
      <c r="E12" s="127">
        <f>IF(C12=0,"",(B12-C12)/C12)</f>
        <v/>
      </c>
    </row>
    <row r="13">
      <c r="A13" s="119" t="inlineStr">
        <is>
          <t>Autres impôts et taxes</t>
        </is>
      </c>
      <c r="B13" s="120">
        <f>SUMIF('BALANCE N'!$A$2:$A$2000,"648*",'BALANCE N'!$G$2:$G$2000)-SUMIF('BALANCE N'!$A$2:$A$2000,"648*",'BALANCE N'!$H$2:$H$2000)</f>
        <v/>
      </c>
      <c r="C13" s="120">
        <f>SUMIF('BALANCE N-1'!$A$2:$A$2000,"648*",'BALANCE N-1'!$G$2:$G$2000)-SUMIF('BALANCE N-1'!$A$2:$A$2000,"648*",'BALANCE N-1'!$H$2:$H$2000)</f>
        <v/>
      </c>
      <c r="D13" s="120">
        <f>B13-C13</f>
        <v/>
      </c>
      <c r="E13" s="127">
        <f>IF(C13=0,"",(B13-C13)/C13)</f>
        <v/>
      </c>
    </row>
    <row r="14">
      <c r="A14" s="119" t="inlineStr">
        <is>
          <t>Dégrèvements et annulations des impôts et taxes (-)</t>
        </is>
      </c>
      <c r="B14" s="120">
        <f>SUMIF('BALANCE N'!$A$2:$A$2000,"649*",'BALANCE N'!$G$2:$G$2000)-SUMIF('BALANCE N'!$A$2:$A$2000,"649*",'BALANCE N'!$H$2:$H$2000)</f>
        <v/>
      </c>
      <c r="C14" s="120">
        <f>SUMIF('BALANCE N-1'!$A$2:$A$2000,"649*",'BALANCE N-1'!$G$2:$G$2000)-SUMIF('BALANCE N-1'!$A$2:$A$2000,"649*",'BALANCE N-1'!$H$2:$H$2000)</f>
        <v/>
      </c>
      <c r="D14" s="120">
        <f>B14-C14</f>
        <v/>
      </c>
      <c r="E14" s="127">
        <f>IF(C14=0,"",(B14-C14)/C14)</f>
        <v/>
      </c>
    </row>
    <row r="15">
      <c r="A15" s="6" t="inlineStr">
        <is>
          <t>TOTAL</t>
        </is>
      </c>
      <c r="B15" s="7">
        <f>SUM(B9:B14)</f>
        <v/>
      </c>
      <c r="C15" s="7">
        <f>SUM(C9:C14)</f>
        <v/>
      </c>
      <c r="D15" s="7">
        <f>B15-C15</f>
        <v/>
      </c>
      <c r="E15" s="128">
        <f>IF(C15=0,"",(B15-C15)/C15)</f>
        <v/>
      </c>
    </row>
    <row r="16"/>
    <row r="17">
      <c r="A17" s="42" t="inlineStr">
        <is>
          <t>Commentaires :</t>
        </is>
      </c>
    </row>
    <row r="18">
      <c r="A18" s="123" t="inlineStr">
        <is>
          <t>• Détailler pénalités et amendes et en indiquer la cause.</t>
        </is>
      </c>
    </row>
    <row r="19"/>
    <row r="20" ht="34" customHeight="1">
      <c r="A20" s="122">
        <f>IF(SUM(B9:B15,C9:C15,D9:D15)=0,"NÉANT","")</f>
        <v/>
      </c>
    </row>
    <row r="21" ht="34" customHeight="1"/>
    <row r="22" ht="34" customHeight="1"/>
  </sheetData>
  <mergeCells count="3">
    <mergeCell ref="A20:E22"/>
    <mergeCell ref="A7:E7"/>
    <mergeCell ref="D2:E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- 45 -</t>
        </is>
      </c>
    </row>
    <row r="2" ht="26" customHeight="1">
      <c r="D2" s="51" t="inlineStr">
        <is>
          <t>NOTE 28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28 : AUTRES CHARGES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9" t="inlineStr">
        <is>
          <t>Pertes sur créances adhérents, clients et autres débiteurs</t>
        </is>
      </c>
      <c r="B9" s="120">
        <f>SUMIF('BALANCE N'!$A$2:$A$2000,"651*",'BALANCE N'!$G$2:$G$2000)-SUMIF('BALANCE N'!$A$2:$A$2000,"651*",'BALANCE N'!$H$2:$H$2000)</f>
        <v/>
      </c>
      <c r="C9" s="120">
        <f>SUMIF('BALANCE N-1'!$A$2:$A$2000,"651*",'BALANCE N-1'!$G$2:$G$2000)-SUMIF('BALANCE N-1'!$A$2:$A$2000,"651*",'BALANCE N-1'!$H$2:$H$2000)</f>
        <v/>
      </c>
      <c r="D9" s="120">
        <f>B9-C9</f>
        <v/>
      </c>
      <c r="E9" s="127">
        <f>IF(C9=0,"",(B9-C9)/C9)</f>
        <v/>
      </c>
    </row>
    <row r="10">
      <c r="A10" s="119" t="inlineStr">
        <is>
          <t>Subventions versées par l'entité</t>
        </is>
      </c>
      <c r="B10" s="120">
        <f>SUMIF('BALANCE N'!$A$2:$A$2000,"652*",'BALANCE N'!$G$2:$G$2000)-SUMIF('BALANCE N'!$A$2:$A$2000,"652*",'BALANCE N'!$H$2:$H$2000)</f>
        <v/>
      </c>
      <c r="C10" s="120">
        <f>SUMIF('BALANCE N-1'!$A$2:$A$2000,"652*",'BALANCE N-1'!$G$2:$G$2000)-SUMIF('BALANCE N-1'!$A$2:$A$2000,"652*",'BALANCE N-1'!$H$2:$H$2000)</f>
        <v/>
      </c>
      <c r="D10" s="120">
        <f>B10-C10</f>
        <v/>
      </c>
      <c r="E10" s="127">
        <f>IF(C10=0,"",(B10-C10)/C10)</f>
        <v/>
      </c>
    </row>
    <row r="11">
      <c r="A11" s="119" t="inlineStr">
        <is>
          <t>Dons en nature courants à distribuer</t>
        </is>
      </c>
      <c r="B11" s="120">
        <f>SUMIF('BALANCE N'!$A$2:$A$2000,"654*",'BALANCE N'!$G$2:$G$2000)-SUMIF('BALANCE N'!$A$2:$A$2000,"654*",'BALANCE N'!$H$2:$H$2000)</f>
        <v/>
      </c>
      <c r="C11" s="120">
        <f>SUMIF('BALANCE N-1'!$A$2:$A$2000,"654*",'BALANCE N-1'!$G$2:$G$2000)-SUMIF('BALANCE N-1'!$A$2:$A$2000,"654*",'BALANCE N-1'!$H$2:$H$2000)</f>
        <v/>
      </c>
      <c r="D11" s="120">
        <f>B11-C11</f>
        <v/>
      </c>
      <c r="E11" s="127">
        <f>IF(C11=0,"",(B11-C11)/C11)</f>
        <v/>
      </c>
    </row>
    <row r="12">
      <c r="A12" s="119" t="inlineStr">
        <is>
          <t>Pénalités et amendes pénales</t>
        </is>
      </c>
      <c r="B12" s="120">
        <f>SUMIF('BALANCE N'!$A$2:$A$2000,"657*",'BALANCE N'!$G$2:$G$2000)-SUMIF('BALANCE N'!$A$2:$A$2000,"657*",'BALANCE N'!$H$2:$H$2000)</f>
        <v/>
      </c>
      <c r="C12" s="120">
        <f>SUMIF('BALANCE N-1'!$A$2:$A$2000,"657*",'BALANCE N-1'!$G$2:$G$2000)-SUMIF('BALANCE N-1'!$A$2:$A$2000,"657*",'BALANCE N-1'!$H$2:$H$2000)</f>
        <v/>
      </c>
      <c r="D12" s="120">
        <f>B12-C12</f>
        <v/>
      </c>
      <c r="E12" s="127">
        <f>IF(C12=0,"",(B12-C12)/C12)</f>
        <v/>
      </c>
    </row>
    <row r="13">
      <c r="A13" s="119" t="inlineStr">
        <is>
          <t>Autres charges diverses</t>
        </is>
      </c>
      <c r="B13" s="120">
        <f>SUMIF('BALANCE N'!$A$2:$A$2000,"658*",'BALANCE N'!$G$2:$G$2000)-SUMIF('BALANCE N'!$A$2:$A$2000,"658*",'BALANCE N'!$H$2:$H$2000)</f>
        <v/>
      </c>
      <c r="C13" s="120">
        <f>SUMIF('BALANCE N-1'!$A$2:$A$2000,"658*",'BALANCE N-1'!$G$2:$G$2000)-SUMIF('BALANCE N-1'!$A$2:$A$2000,"658*",'BALANCE N-1'!$H$2:$H$2000)</f>
        <v/>
      </c>
      <c r="D13" s="120">
        <f>B13-C13</f>
        <v/>
      </c>
      <c r="E13" s="127">
        <f>IF(C13=0,"",(B13-C13)/C13)</f>
        <v/>
      </c>
    </row>
    <row r="14">
      <c r="A14" s="119" t="inlineStr">
        <is>
          <t>Charges pour dépréciations et provisions pour risques à court terme d'exploitation (voir note 30)</t>
        </is>
      </c>
      <c r="B14" s="120">
        <f>SUMIF('BALANCE N'!$A$2:$A$2000,"659*",'BALANCE N'!$G$2:$G$2000)-SUMIF('BALANCE N'!$A$2:$A$2000,"659*",'BALANCE N'!$H$2:$H$2000)</f>
        <v/>
      </c>
      <c r="C14" s="120">
        <f>SUMIF('BALANCE N-1'!$A$2:$A$2000,"659*",'BALANCE N-1'!$G$2:$G$2000)-SUMIF('BALANCE N-1'!$A$2:$A$2000,"659*",'BALANCE N-1'!$H$2:$H$2000)</f>
        <v/>
      </c>
      <c r="D14" s="120">
        <f>B14-C14</f>
        <v/>
      </c>
      <c r="E14" s="127">
        <f>IF(C14=0,"",(B14-C14)/C14)</f>
        <v/>
      </c>
    </row>
    <row r="15">
      <c r="A15" s="6" t="inlineStr">
        <is>
          <t>TOTAL</t>
        </is>
      </c>
      <c r="B15" s="7">
        <f>SUM(B9:B14)</f>
        <v/>
      </c>
      <c r="C15" s="7">
        <f>SUM(C9:C14)</f>
        <v/>
      </c>
      <c r="D15" s="7">
        <f>B15-C15</f>
        <v/>
      </c>
      <c r="E15" s="128">
        <f>IF(C15=0,"",(B15-C15)/C15)</f>
        <v/>
      </c>
    </row>
    <row r="16"/>
    <row r="17">
      <c r="A17" s="42" t="inlineStr">
        <is>
          <t>Commentaires :</t>
        </is>
      </c>
    </row>
    <row r="18">
      <c r="A18" s="123" t="inlineStr">
        <is>
          <t>• Indiquer les bénéficiaires des subventions versées.</t>
        </is>
      </c>
    </row>
    <row r="19"/>
    <row r="20" ht="34" customHeight="1">
      <c r="A20" s="122">
        <f>IF(SUM(B9:B15,C9:C15,D9:D15)=0,"NÉANT","")</f>
        <v/>
      </c>
    </row>
    <row r="21" ht="34" customHeight="1"/>
    <row r="22" ht="34" customHeight="1"/>
  </sheetData>
  <mergeCells count="3">
    <mergeCell ref="A20:E22"/>
    <mergeCell ref="A7:E7"/>
    <mergeCell ref="D2:E2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- 46 -</t>
        </is>
      </c>
    </row>
    <row r="2" ht="26" customHeight="1">
      <c r="D2" s="51" t="inlineStr">
        <is>
          <t>NOTE 29A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29A : CHARGES DE PERSONNEL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9" t="inlineStr">
        <is>
          <t>Rémunérations directes versées au personnel national</t>
        </is>
      </c>
      <c r="B9" s="120">
        <f>SUMIF('BALANCE N'!$A$2:$A$2000,"661*",'BALANCE N'!$G$2:$G$2000)-SUMIF('BALANCE N'!$A$2:$A$2000,"661*",'BALANCE N'!$H$2:$H$2000)</f>
        <v/>
      </c>
      <c r="C9" s="120">
        <f>SUMIF('BALANCE N-1'!$A$2:$A$2000,"661*",'BALANCE N-1'!$G$2:$G$2000)-SUMIF('BALANCE N-1'!$A$2:$A$2000,"661*",'BALANCE N-1'!$H$2:$H$2000)</f>
        <v/>
      </c>
      <c r="D9" s="120">
        <f>B9-C9</f>
        <v/>
      </c>
      <c r="E9" s="127">
        <f>IF(C9=0,"",(B9-C9)/C9)</f>
        <v/>
      </c>
    </row>
    <row r="10">
      <c r="A10" s="119" t="inlineStr">
        <is>
          <t>Rémunérations directes versées au personnel non national</t>
        </is>
      </c>
      <c r="B10" s="120">
        <f>SUMIF('BALANCE N'!$A$2:$A$2000,"662*",'BALANCE N'!$G$2:$G$2000)-SUMIF('BALANCE N'!$A$2:$A$2000,"662*",'BALANCE N'!$H$2:$H$2000)</f>
        <v/>
      </c>
      <c r="C10" s="120">
        <f>SUMIF('BALANCE N-1'!$A$2:$A$2000,"662*",'BALANCE N-1'!$G$2:$G$2000)-SUMIF('BALANCE N-1'!$A$2:$A$2000,"662*",'BALANCE N-1'!$H$2:$H$2000)</f>
        <v/>
      </c>
      <c r="D10" s="120">
        <f>B10-C10</f>
        <v/>
      </c>
      <c r="E10" s="127">
        <f>IF(C10=0,"",(B10-C10)/C10)</f>
        <v/>
      </c>
    </row>
    <row r="11">
      <c r="A11" s="119" t="inlineStr">
        <is>
          <t>Indemnités forfaitaires versées au personnel</t>
        </is>
      </c>
      <c r="B11" s="120">
        <f>SUMIF('BALANCE N'!$A$2:$A$2000,"663*",'BALANCE N'!$G$2:$G$2000)-SUMIF('BALANCE N'!$A$2:$A$2000,"663*",'BALANCE N'!$H$2:$H$2000)</f>
        <v/>
      </c>
      <c r="C11" s="120">
        <f>SUMIF('BALANCE N-1'!$A$2:$A$2000,"663*",'BALANCE N-1'!$G$2:$G$2000)-SUMIF('BALANCE N-1'!$A$2:$A$2000,"663*",'BALANCE N-1'!$H$2:$H$2000)</f>
        <v/>
      </c>
      <c r="D11" s="120">
        <f>B11-C11</f>
        <v/>
      </c>
      <c r="E11" s="127">
        <f>IF(C11=0,"",(B11-C11)/C11)</f>
        <v/>
      </c>
    </row>
    <row r="12">
      <c r="A12" s="119" t="inlineStr">
        <is>
          <t>Charges sociales</t>
        </is>
      </c>
      <c r="B12" s="120">
        <f>SUMIF('BALANCE N'!$A$2:$A$2000,"664*",'BALANCE N'!$G$2:$G$2000)-SUMIF('BALANCE N'!$A$2:$A$2000,"664*",'BALANCE N'!$H$2:$H$2000)</f>
        <v/>
      </c>
      <c r="C12" s="120">
        <f>SUMIF('BALANCE N-1'!$A$2:$A$2000,"664*",'BALANCE N-1'!$G$2:$G$2000)-SUMIF('BALANCE N-1'!$A$2:$A$2000,"664*",'BALANCE N-1'!$H$2:$H$2000)</f>
        <v/>
      </c>
      <c r="D12" s="120">
        <f>B12-C12</f>
        <v/>
      </c>
      <c r="E12" s="127">
        <f>IF(C12=0,"",(B12-C12)/C12)</f>
        <v/>
      </c>
    </row>
    <row r="13">
      <c r="A13" s="119" t="inlineStr">
        <is>
          <t>Habillement et équipement du personnel</t>
        </is>
      </c>
      <c r="B13" s="120">
        <f>SUMIF('BALANCE N'!$A$2:$A$2000,"665*",'BALANCE N'!$G$2:$G$2000)-SUMIF('BALANCE N'!$A$2:$A$2000,"665*",'BALANCE N'!$H$2:$H$2000)</f>
        <v/>
      </c>
      <c r="C13" s="120">
        <f>SUMIF('BALANCE N-1'!$A$2:$A$2000,"665*",'BALANCE N-1'!$G$2:$G$2000)-SUMIF('BALANCE N-1'!$A$2:$A$2000,"665*",'BALANCE N-1'!$H$2:$H$2000)</f>
        <v/>
      </c>
      <c r="D13" s="120">
        <f>B13-C13</f>
        <v/>
      </c>
      <c r="E13" s="127">
        <f>IF(C13=0,"",(B13-C13)/C13)</f>
        <v/>
      </c>
    </row>
    <row r="14">
      <c r="A14" s="119" t="inlineStr">
        <is>
          <t>Rémunération transférée de personnel extérieur</t>
        </is>
      </c>
      <c r="B14" s="120">
        <f>SUMIF('BALANCE N'!$A$2:$A$2000,"667*",'BALANCE N'!$G$2:$G$2000)-SUMIF('BALANCE N'!$A$2:$A$2000,"667*",'BALANCE N'!$H$2:$H$2000)</f>
        <v/>
      </c>
      <c r="C14" s="120">
        <f>SUMIF('BALANCE N-1'!$A$2:$A$2000,"667*",'BALANCE N-1'!$G$2:$G$2000)-SUMIF('BALANCE N-1'!$A$2:$A$2000,"667*",'BALANCE N-1'!$H$2:$H$2000)</f>
        <v/>
      </c>
      <c r="D14" s="120">
        <f>B14-C14</f>
        <v/>
      </c>
      <c r="E14" s="127">
        <f>IF(C14=0,"",(B14-C14)/C14)</f>
        <v/>
      </c>
    </row>
    <row r="15">
      <c r="A15" s="119" t="inlineStr">
        <is>
          <t>Autres charges sociales</t>
        </is>
      </c>
      <c r="B15" s="120">
        <f>SUMIF('BALANCE N'!$A$2:$A$2000,"668*",'BALANCE N'!$G$2:$G$2000)-SUMIF('BALANCE N'!$A$2:$A$2000,"668*",'BALANCE N'!$H$2:$H$2000)</f>
        <v/>
      </c>
      <c r="C15" s="120">
        <f>SUMIF('BALANCE N-1'!$A$2:$A$2000,"668*",'BALANCE N-1'!$G$2:$G$2000)-SUMIF('BALANCE N-1'!$A$2:$A$2000,"668*",'BALANCE N-1'!$H$2:$H$2000)</f>
        <v/>
      </c>
      <c r="D15" s="120">
        <f>B15-C15</f>
        <v/>
      </c>
      <c r="E15" s="127">
        <f>IF(C15=0,"",(B15-C15)/C15)</f>
        <v/>
      </c>
    </row>
    <row r="16">
      <c r="A16" s="119" t="inlineStr">
        <is>
          <t>Dégrèvements et annulations des charges sociales (-)</t>
        </is>
      </c>
      <c r="B16" s="120">
        <f>SUMIF('BALANCE N'!$A$2:$A$2000,"669*",'BALANCE N'!$G$2:$G$2000)-SUMIF('BALANCE N'!$A$2:$A$2000,"669*",'BALANCE N'!$H$2:$H$2000)</f>
        <v/>
      </c>
      <c r="C16" s="120">
        <f>SUMIF('BALANCE N-1'!$A$2:$A$2000,"669*",'BALANCE N-1'!$G$2:$G$2000)-SUMIF('BALANCE N-1'!$A$2:$A$2000,"669*",'BALANCE N-1'!$H$2:$H$2000)</f>
        <v/>
      </c>
      <c r="D16" s="120">
        <f>B16-C16</f>
        <v/>
      </c>
      <c r="E16" s="127">
        <f>IF(C16=0,"",(B16-C16)/C16)</f>
        <v/>
      </c>
    </row>
    <row r="17">
      <c r="A17" s="6" t="inlineStr">
        <is>
          <t>TOTAL</t>
        </is>
      </c>
      <c r="B17" s="7">
        <f>SUM(B9:B16)</f>
        <v/>
      </c>
      <c r="C17" s="7">
        <f>SUM(C9:C16)</f>
        <v/>
      </c>
      <c r="D17" s="7">
        <f>B17-C17</f>
        <v/>
      </c>
      <c r="E17" s="128">
        <f>IF(C17=0,"",(B17-C17)/C17)</f>
        <v/>
      </c>
    </row>
    <row r="18"/>
    <row r="19">
      <c r="A19" s="42" t="inlineStr">
        <is>
          <t>Commentaires :</t>
        </is>
      </c>
    </row>
    <row r="20">
      <c r="A20" s="123" t="inlineStr">
        <is>
          <t>• Indiquer la nature et la durée du contrat du personnel extérieur.</t>
        </is>
      </c>
    </row>
    <row r="21"/>
    <row r="22" ht="34" customHeight="1">
      <c r="A22" s="122">
        <f>IF(SUM(B9:B17,C9:C17,D9:D17)=0,"NÉANT","")</f>
        <v/>
      </c>
    </row>
    <row r="23" ht="34" customHeight="1"/>
    <row r="24" ht="34" customHeight="1"/>
  </sheetData>
  <mergeCells count="3">
    <mergeCell ref="A22:E24"/>
    <mergeCell ref="A7:E7"/>
    <mergeCell ref="D2:E2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12" customHeight="1">
      <c r="A1" s="50" t="inlineStr">
        <is>
          <t>- 47 -</t>
        </is>
      </c>
    </row>
    <row r="2" ht="26" customHeight="1">
      <c r="H2" s="51" t="inlineStr">
        <is>
          <t>NOTE 29B
SYSTEME NORMAL</t>
        </is>
      </c>
      <c r="I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D4" s="41" t="n"/>
      <c r="E4" s="41" t="n"/>
      <c r="F4" s="41" t="n"/>
      <c r="H4" s="54" t="inlineStr">
        <is>
          <t>Sigle usuel :</t>
        </is>
      </c>
      <c r="I4" s="53" t="inlineStr"/>
    </row>
    <row r="5" ht="15" customHeight="1">
      <c r="A5" s="39" t="inlineStr">
        <is>
          <t>N° de compte contribuable (NCC) :</t>
        </is>
      </c>
      <c r="F5" s="39" t="inlineStr">
        <is>
          <t>Exercice clos le</t>
        </is>
      </c>
      <c r="H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29B : EFFECTIFS, MASSE SALARIALE ET PERSONNEL EXTÉRIEUR</t>
        </is>
      </c>
    </row>
    <row r="8">
      <c r="A8" s="45" t="inlineStr">
        <is>
          <t>1. PERSONNEL PROPRE</t>
        </is>
      </c>
    </row>
    <row r="9">
      <c r="A9" s="1" t="inlineStr">
        <is>
          <t>QUALIFICATIONS</t>
        </is>
      </c>
      <c r="B9" s="2" t="inlineStr">
        <is>
          <t>Effectifs Nationaux (M/F)</t>
        </is>
      </c>
      <c r="C9" s="2" t="inlineStr">
        <is>
          <t>Effectifs Autres États Région (M/F)</t>
        </is>
      </c>
      <c r="D9" s="2" t="inlineStr">
        <is>
          <t>Effectifs Hors Région (M/F)</t>
        </is>
      </c>
      <c r="E9" s="2" t="inlineStr">
        <is>
          <t>Effectifs Total</t>
        </is>
      </c>
      <c r="F9" s="2" t="inlineStr">
        <is>
          <t>Masse salariale Nationaux</t>
        </is>
      </c>
      <c r="G9" s="2" t="inlineStr">
        <is>
          <t>Masse salariale Autres États</t>
        </is>
      </c>
      <c r="H9" s="2" t="inlineStr">
        <is>
          <t>Masse salariale Hors Région</t>
        </is>
      </c>
      <c r="I9" s="3" t="inlineStr">
        <is>
          <t>Masse salariale Total</t>
        </is>
      </c>
    </row>
    <row r="10">
      <c r="A10" s="119" t="inlineStr">
        <is>
          <t>YA. 1. Cadres supérieurs</t>
        </is>
      </c>
      <c r="B10" s="119" t="n"/>
      <c r="C10" s="119" t="n"/>
      <c r="D10" s="119" t="n"/>
      <c r="E10" s="119" t="n"/>
      <c r="F10" s="120" t="n"/>
      <c r="G10" s="120" t="n"/>
      <c r="H10" s="120" t="n"/>
      <c r="I10" s="120" t="n"/>
    </row>
    <row r="11">
      <c r="A11" s="119" t="inlineStr">
        <is>
          <t>YB. 2. Techniciens supérieurs et cadres moyens</t>
        </is>
      </c>
      <c r="B11" s="119" t="n"/>
      <c r="C11" s="119" t="n"/>
      <c r="D11" s="119" t="n"/>
      <c r="E11" s="119" t="n"/>
      <c r="F11" s="120" t="n"/>
      <c r="G11" s="120" t="n"/>
      <c r="H11" s="120" t="n"/>
      <c r="I11" s="120" t="n"/>
    </row>
    <row r="12">
      <c r="A12" s="119" t="inlineStr">
        <is>
          <t>YC. 3. Techniciens, agents de maîtrise et ouvriers qualifiés</t>
        </is>
      </c>
      <c r="B12" s="119" t="n"/>
      <c r="C12" s="119" t="n"/>
      <c r="D12" s="119" t="n"/>
      <c r="E12" s="119" t="n"/>
      <c r="F12" s="120" t="n"/>
      <c r="G12" s="120" t="n"/>
      <c r="H12" s="120" t="n"/>
      <c r="I12" s="120" t="n"/>
    </row>
    <row r="13">
      <c r="A13" s="119" t="inlineStr">
        <is>
          <t>YD. 4. Employés, manœuvres, ouvriers et apprentis</t>
        </is>
      </c>
      <c r="B13" s="119" t="n"/>
      <c r="C13" s="119" t="n"/>
      <c r="D13" s="119" t="n"/>
      <c r="E13" s="119" t="n"/>
      <c r="F13" s="120" t="n"/>
      <c r="G13" s="120" t="n"/>
      <c r="H13" s="120" t="n"/>
      <c r="I13" s="120" t="n"/>
    </row>
    <row r="14">
      <c r="A14" s="6" t="inlineStr">
        <is>
          <t>YE. TOTAL (1)</t>
        </is>
      </c>
      <c r="B14" s="6">
        <f>SUM(B10:B13)</f>
        <v/>
      </c>
      <c r="C14" s="6">
        <f>SUM(C10:C13)</f>
        <v/>
      </c>
      <c r="D14" s="6">
        <f>SUM(D10:D13)</f>
        <v/>
      </c>
      <c r="E14" s="6">
        <f>SUM(E10:E13)</f>
        <v/>
      </c>
      <c r="F14" s="7">
        <f>SUM(F10:F13)</f>
        <v/>
      </c>
      <c r="G14" s="7">
        <f>SUM(G10:G13)</f>
        <v/>
      </c>
      <c r="H14" s="7">
        <f>SUM(H10:H13)</f>
        <v/>
      </c>
      <c r="I14" s="7">
        <f>SUM(I10:I13)</f>
        <v/>
      </c>
    </row>
    <row r="15">
      <c r="A15" s="121" t="inlineStr">
        <is>
          <t>YF. Permanents</t>
        </is>
      </c>
    </row>
    <row r="16">
      <c r="A16" s="121" t="inlineStr">
        <is>
          <t>YG. Saisonniers</t>
        </is>
      </c>
    </row>
    <row r="17"/>
    <row r="18">
      <c r="A18" s="45" t="inlineStr">
        <is>
          <t>2. PERSONNEL EXTÉRIEUR ET BÉNÉVOLE - facturation à l'entité</t>
        </is>
      </c>
    </row>
    <row r="19"/>
    <row r="20">
      <c r="A20" s="121" t="inlineStr">
        <is>
          <t>YH. 1. Cadres supérieurs</t>
        </is>
      </c>
    </row>
    <row r="21">
      <c r="A21" s="121" t="inlineStr">
        <is>
          <t>YI. 2. Techniciens supérieurs et cadres moyens</t>
        </is>
      </c>
    </row>
    <row r="22">
      <c r="A22" s="121" t="inlineStr">
        <is>
          <t>YJ. 3. Techniciens, agents de maîtrise et ouvriers qualifiés</t>
        </is>
      </c>
    </row>
    <row r="23">
      <c r="A23" s="121" t="inlineStr">
        <is>
          <t>YK. 4. Employés, manœuvres, ouvriers et apprentis</t>
        </is>
      </c>
    </row>
    <row r="24">
      <c r="A24" s="6" t="inlineStr">
        <is>
          <t>YL. TOTAL (2)</t>
        </is>
      </c>
      <c r="B24" s="7">
        <f>SUM(B20:B23)</f>
        <v/>
      </c>
    </row>
    <row r="25">
      <c r="A25" s="121" t="inlineStr">
        <is>
          <t>YO. TOTAL (1 + 2) : à rapprocher de la note 29A et du compte 637</t>
        </is>
      </c>
    </row>
    <row r="26"/>
    <row r="27" ht="34" customHeight="1">
      <c r="A27" s="122">
        <f>IF(SUM(B24:B24,F10:F14,G10:G14,H10:H14,I10:I14)=0,"NÉANT","")</f>
        <v/>
      </c>
    </row>
    <row r="28" ht="34" customHeight="1"/>
    <row r="29" ht="34" customHeight="1"/>
  </sheetData>
  <mergeCells count="4">
    <mergeCell ref="B4:F4"/>
    <mergeCell ref="A7:I7"/>
    <mergeCell ref="A27:I29"/>
    <mergeCell ref="H2:I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6" customWidth="1" min="9" max="9"/>
  </cols>
  <sheetData>
    <row r="1" ht="12" customHeight="1">
      <c r="A1" s="50" t="inlineStr">
        <is>
          <t>- 48 -</t>
        </is>
      </c>
    </row>
    <row r="2" ht="26" customHeight="1">
      <c r="H2" s="51" t="inlineStr">
        <is>
          <t>NOTE 30
SYSTEME NORMAL</t>
        </is>
      </c>
      <c r="I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D4" s="41" t="n"/>
      <c r="E4" s="41" t="n"/>
      <c r="F4" s="41" t="n"/>
      <c r="H4" s="54" t="inlineStr">
        <is>
          <t>Sigle usuel :</t>
        </is>
      </c>
      <c r="I4" s="53" t="inlineStr"/>
    </row>
    <row r="5" ht="15" customHeight="1">
      <c r="A5" s="39" t="inlineStr">
        <is>
          <t>N° de compte contribuable (NCC) :</t>
        </is>
      </c>
      <c r="F5" s="39" t="inlineStr">
        <is>
          <t>Exercice clos le</t>
        </is>
      </c>
      <c r="H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30 : DOTATIONS ET CHARGES POUR PROVISIONS ET DÉPRÉCIATIONS</t>
        </is>
      </c>
    </row>
    <row r="8">
      <c r="A8" s="1" t="inlineStr">
        <is>
          <t>NATURE</t>
        </is>
      </c>
      <c r="B8" s="2" t="inlineStr">
        <is>
          <t>Provisions à l'ouverture (A)</t>
        </is>
      </c>
      <c r="C8" s="2" t="inlineStr">
        <is>
          <t>Dotations exploitation</t>
        </is>
      </c>
      <c r="D8" s="2" t="inlineStr">
        <is>
          <t>Dotations financières</t>
        </is>
      </c>
      <c r="E8" s="2" t="inlineStr">
        <is>
          <t>Dotations HAO</t>
        </is>
      </c>
      <c r="F8" s="2" t="inlineStr">
        <is>
          <t>Reprises exploitation</t>
        </is>
      </c>
      <c r="G8" s="2" t="inlineStr">
        <is>
          <t>Reprises financières</t>
        </is>
      </c>
      <c r="H8" s="2" t="inlineStr">
        <is>
          <t>Reprises HAO</t>
        </is>
      </c>
      <c r="I8" s="3" t="inlineStr">
        <is>
          <t>Provisions à la clôture (D = A + B - C)</t>
        </is>
      </c>
    </row>
    <row r="9">
      <c r="A9" s="119" t="inlineStr">
        <is>
          <t>Provisions réglementées</t>
        </is>
      </c>
      <c r="B9" s="120">
        <f>SUMIF('BALANCE N-1'!$A$2:$A$2000,"15*",'BALANCE N-1'!$H$2:$H$2000)-SUMIF('BALANCE N-1'!$A$2:$A$2000,"15*",'BALANCE N-1'!$G$2:$G$2000)</f>
        <v/>
      </c>
      <c r="C9" s="120" t="n"/>
      <c r="D9" s="120" t="n"/>
      <c r="E9" s="120">
        <f>MAX(0,(SUMIF('BALANCE N'!$A$2:$A$2000,"15*",'BALANCE N'!$H$2:$H$2000)-SUMIF('BALANCE N'!$A$2:$A$2000,"15*",'BALANCE N'!$G$2:$G$2000))-(SUMIF('BALANCE N-1'!$A$2:$A$2000,"15*",'BALANCE N-1'!$H$2:$H$2000)-SUMIF('BALANCE N-1'!$A$2:$A$2000,"15*",'BALANCE N-1'!$G$2:$G$2000)))</f>
        <v/>
      </c>
      <c r="F9" s="120" t="n"/>
      <c r="G9" s="120" t="n"/>
      <c r="H9" s="120">
        <f>MAX(0,(SUMIF('BALANCE N-1'!$A$2:$A$2000,"15*",'BALANCE N-1'!$H$2:$H$2000)-SUMIF('BALANCE N-1'!$A$2:$A$2000,"15*",'BALANCE N-1'!$G$2:$G$2000))-(SUMIF('BALANCE N'!$A$2:$A$2000,"15*",'BALANCE N'!$H$2:$H$2000)-SUMIF('BALANCE N'!$A$2:$A$2000,"15*",'BALANCE N'!$G$2:$G$2000)))</f>
        <v/>
      </c>
      <c r="I9" s="120">
        <f>B9+C9+D9+E9-F9-G9-H9</f>
        <v/>
      </c>
    </row>
    <row r="10">
      <c r="A10" s="119" t="inlineStr">
        <is>
          <t>Provisions pour risques et charges</t>
        </is>
      </c>
      <c r="B10" s="120">
        <f>SUMIF('BALANCE N-1'!$A$2:$A$2000,"19*",'BALANCE N-1'!$H$2:$H$2000)-SUMIF('BALANCE N-1'!$A$2:$A$2000,"19*",'BALANCE N-1'!$G$2:$G$2000)</f>
        <v/>
      </c>
      <c r="C10" s="120" t="n"/>
      <c r="D10" s="120">
        <f>MAX(0,(SUMIF('BALANCE N'!$A$2:$A$2000,"19*",'BALANCE N'!$H$2:$H$2000)-SUMIF('BALANCE N'!$A$2:$A$2000,"19*",'BALANCE N'!$G$2:$G$2000))-(SUMIF('BALANCE N-1'!$A$2:$A$2000,"19*",'BALANCE N-1'!$H$2:$H$2000)-SUMIF('BALANCE N-1'!$A$2:$A$2000,"19*",'BALANCE N-1'!$G$2:$G$2000)))</f>
        <v/>
      </c>
      <c r="E10" s="120" t="n"/>
      <c r="F10" s="120" t="n"/>
      <c r="G10" s="120">
        <f>MAX(0,(SUMIF('BALANCE N-1'!$A$2:$A$2000,"19*",'BALANCE N-1'!$H$2:$H$2000)-SUMIF('BALANCE N-1'!$A$2:$A$2000,"19*",'BALANCE N-1'!$G$2:$G$2000))-(SUMIF('BALANCE N'!$A$2:$A$2000,"19*",'BALANCE N'!$H$2:$H$2000)-SUMIF('BALANCE N'!$A$2:$A$2000,"19*",'BALANCE N'!$G$2:$G$2000)))</f>
        <v/>
      </c>
      <c r="H10" s="120" t="n"/>
      <c r="I10" s="120">
        <f>B10+C10+D10+E10-F10-G10-H10</f>
        <v/>
      </c>
    </row>
    <row r="11">
      <c r="A11" s="119" t="inlineStr">
        <is>
          <t>Dépréciations des immobilisations</t>
        </is>
      </c>
      <c r="B11" s="120">
        <f>SUMIF('BALANCE N-1'!$A$2:$A$2000,"29*",'BALANCE N-1'!$H$2:$H$2000)-SUMIF('BALANCE N-1'!$A$2:$A$2000,"29*",'BALANCE N-1'!$G$2:$G$2000)-SUMIF('BALANCE N-1'!$A$2:$A$2000,"290*",'BALANCE N-1'!$H$2:$H$2000)+SUMIF('BALANCE N-1'!$A$2:$A$2000,"290*",'BALANCE N-1'!$G$2:$G$2000)</f>
        <v/>
      </c>
      <c r="C11" s="120">
        <f>MAX(0,(SUMIF('BALANCE N'!$A$2:$A$2000,"29*",'BALANCE N'!$H$2:$H$2000)-SUMIF('BALANCE N'!$A$2:$A$2000,"29*",'BALANCE N'!$G$2:$G$2000)-SUMIF('BALANCE N'!$A$2:$A$2000,"290*",'BALANCE N'!$H$2:$H$2000)+SUMIF('BALANCE N'!$A$2:$A$2000,"290*",'BALANCE N'!$G$2:$G$2000))-(SUMIF('BALANCE N-1'!$A$2:$A$2000,"29*",'BALANCE N-1'!$H$2:$H$2000)-SUMIF('BALANCE N-1'!$A$2:$A$2000,"29*",'BALANCE N-1'!$G$2:$G$2000)-SUMIF('BALANCE N-1'!$A$2:$A$2000,"290*",'BALANCE N-1'!$H$2:$H$2000)+SUMIF('BALANCE N-1'!$A$2:$A$2000,"290*",'BALANCE N-1'!$G$2:$G$2000)))</f>
        <v/>
      </c>
      <c r="D11" s="120" t="n"/>
      <c r="E11" s="120" t="n"/>
      <c r="F11" s="120">
        <f>MAX(0,(SUMIF('BALANCE N-1'!$A$2:$A$2000,"29*",'BALANCE N-1'!$H$2:$H$2000)-SUMIF('BALANCE N-1'!$A$2:$A$2000,"29*",'BALANCE N-1'!$G$2:$G$2000)-SUMIF('BALANCE N-1'!$A$2:$A$2000,"290*",'BALANCE N-1'!$H$2:$H$2000)+SUMIF('BALANCE N-1'!$A$2:$A$2000,"290*",'BALANCE N-1'!$G$2:$G$2000))-(SUMIF('BALANCE N'!$A$2:$A$2000,"29*",'BALANCE N'!$H$2:$H$2000)-SUMIF('BALANCE N'!$A$2:$A$2000,"29*",'BALANCE N'!$G$2:$G$2000)-SUMIF('BALANCE N'!$A$2:$A$2000,"290*",'BALANCE N'!$H$2:$H$2000)+SUMIF('BALANCE N'!$A$2:$A$2000,"290*",'BALANCE N'!$G$2:$G$2000)))</f>
        <v/>
      </c>
      <c r="G11" s="120" t="n"/>
      <c r="H11" s="120" t="n"/>
      <c r="I11" s="120">
        <f>B11+C11+D11+E11-F11-G11-H11</f>
        <v/>
      </c>
    </row>
    <row r="12">
      <c r="A12" s="119" t="inlineStr">
        <is>
          <t>Dépréciations des dons et legs, usufruit et immobilisations reçues destinées à la vente</t>
        </is>
      </c>
      <c r="B12" s="120">
        <f>SUMIF('BALANCE N-1'!$A$2:$A$2000,"290*",'BALANCE N-1'!$H$2:$H$2000)-SUMIF('BALANCE N-1'!$A$2:$A$2000,"290*",'BALANCE N-1'!$G$2:$G$2000)</f>
        <v/>
      </c>
      <c r="C12" s="120">
        <f>MAX(0,(SUMIF('BALANCE N'!$A$2:$A$2000,"290*",'BALANCE N'!$H$2:$H$2000)-SUMIF('BALANCE N'!$A$2:$A$2000,"290*",'BALANCE N'!$G$2:$G$2000))-(SUMIF('BALANCE N-1'!$A$2:$A$2000,"290*",'BALANCE N-1'!$H$2:$H$2000)-SUMIF('BALANCE N-1'!$A$2:$A$2000,"290*",'BALANCE N-1'!$G$2:$G$2000)))</f>
        <v/>
      </c>
      <c r="D12" s="120" t="n"/>
      <c r="E12" s="120" t="n"/>
      <c r="F12" s="120">
        <f>MAX(0,(SUMIF('BALANCE N-1'!$A$2:$A$2000,"290*",'BALANCE N-1'!$H$2:$H$2000)-SUMIF('BALANCE N-1'!$A$2:$A$2000,"290*",'BALANCE N-1'!$G$2:$G$2000))-(SUMIF('BALANCE N'!$A$2:$A$2000,"290*",'BALANCE N'!$H$2:$H$2000)-SUMIF('BALANCE N'!$A$2:$A$2000,"290*",'BALANCE N'!$G$2:$G$2000)))</f>
        <v/>
      </c>
      <c r="G12" s="120" t="n"/>
      <c r="H12" s="120" t="n"/>
      <c r="I12" s="120">
        <f>B12+C12+D12+E12-F12-G12-H12</f>
        <v/>
      </c>
    </row>
    <row r="13">
      <c r="A13" s="6" t="inlineStr">
        <is>
          <t>TOTAL : DOTATIONS</t>
        </is>
      </c>
      <c r="B13" s="7">
        <f>SUM(B9:B12)</f>
        <v/>
      </c>
      <c r="C13" s="7">
        <f>SUM(C9:C12)</f>
        <v/>
      </c>
      <c r="D13" s="7">
        <f>SUM(D9:D12)</f>
        <v/>
      </c>
      <c r="E13" s="7">
        <f>SUM(E9:E12)</f>
        <v/>
      </c>
      <c r="F13" s="7">
        <f>SUM(F9:F12)</f>
        <v/>
      </c>
      <c r="G13" s="7">
        <f>SUM(G9:G12)</f>
        <v/>
      </c>
      <c r="H13" s="7">
        <f>SUM(H9:H12)</f>
        <v/>
      </c>
      <c r="I13" s="7">
        <f>SUM(I9:I12)</f>
        <v/>
      </c>
    </row>
    <row r="14">
      <c r="A14" s="119" t="inlineStr">
        <is>
          <t>Dépréciations des stocks et en-cours</t>
        </is>
      </c>
      <c r="B14" s="120">
        <f>SUMIF('BALANCE N-1'!$A$2:$A$2000,"39*",'BALANCE N-1'!$H$2:$H$2000)-SUMIF('BALANCE N-1'!$A$2:$A$2000,"39*",'BALANCE N-1'!$G$2:$G$2000)</f>
        <v/>
      </c>
      <c r="C14" s="120">
        <f>MAX(0,(SUMIF('BALANCE N'!$A$2:$A$2000,"39*",'BALANCE N'!$H$2:$H$2000)-SUMIF('BALANCE N'!$A$2:$A$2000,"39*",'BALANCE N'!$G$2:$G$2000))-(SUMIF('BALANCE N-1'!$A$2:$A$2000,"39*",'BALANCE N-1'!$H$2:$H$2000)-SUMIF('BALANCE N-1'!$A$2:$A$2000,"39*",'BALANCE N-1'!$G$2:$G$2000)))</f>
        <v/>
      </c>
      <c r="D14" s="120" t="n"/>
      <c r="E14" s="120" t="n"/>
      <c r="F14" s="120">
        <f>MAX(0,(SUMIF('BALANCE N-1'!$A$2:$A$2000,"39*",'BALANCE N-1'!$H$2:$H$2000)-SUMIF('BALANCE N-1'!$A$2:$A$2000,"39*",'BALANCE N-1'!$G$2:$G$2000))-(SUMIF('BALANCE N'!$A$2:$A$2000,"39*",'BALANCE N'!$H$2:$H$2000)-SUMIF('BALANCE N'!$A$2:$A$2000,"39*",'BALANCE N'!$G$2:$G$2000)))</f>
        <v/>
      </c>
      <c r="G14" s="120" t="n"/>
      <c r="H14" s="120" t="n"/>
      <c r="I14" s="120">
        <f>B14+C14+D14+E14-F14-G14-H14</f>
        <v/>
      </c>
    </row>
    <row r="15">
      <c r="A15" s="119" t="inlineStr">
        <is>
          <t>Dépréciations des comptes fournisseurs</t>
        </is>
      </c>
      <c r="B15" s="120">
        <f>SUMIF('BALANCE N-1'!$A$2:$A$2000,"490*",'BALANCE N-1'!$H$2:$H$2000)-SUMIF('BALANCE N-1'!$A$2:$A$2000,"490*",'BALANCE N-1'!$G$2:$G$2000)</f>
        <v/>
      </c>
      <c r="C15" s="120">
        <f>MAX(0,(SUMIF('BALANCE N'!$A$2:$A$2000,"490*",'BALANCE N'!$H$2:$H$2000)-SUMIF('BALANCE N'!$A$2:$A$2000,"490*",'BALANCE N'!$G$2:$G$2000))-(SUMIF('BALANCE N-1'!$A$2:$A$2000,"490*",'BALANCE N-1'!$H$2:$H$2000)-SUMIF('BALANCE N-1'!$A$2:$A$2000,"490*",'BALANCE N-1'!$G$2:$G$2000)))</f>
        <v/>
      </c>
      <c r="D15" s="120" t="n"/>
      <c r="E15" s="120" t="n"/>
      <c r="F15" s="120">
        <f>MAX(0,(SUMIF('BALANCE N-1'!$A$2:$A$2000,"490*",'BALANCE N-1'!$H$2:$H$2000)-SUMIF('BALANCE N-1'!$A$2:$A$2000,"490*",'BALANCE N-1'!$G$2:$G$2000))-(SUMIF('BALANCE N'!$A$2:$A$2000,"490*",'BALANCE N'!$H$2:$H$2000)-SUMIF('BALANCE N'!$A$2:$A$2000,"490*",'BALANCE N'!$G$2:$G$2000)))</f>
        <v/>
      </c>
      <c r="G15" s="120" t="n"/>
      <c r="H15" s="120" t="n"/>
      <c r="I15" s="120">
        <f>B15+C15+D15+E15-F15-G15-H15</f>
        <v/>
      </c>
    </row>
    <row r="16">
      <c r="A16" s="119" t="inlineStr">
        <is>
          <t>Dépréciations des comptes adhérents et clients</t>
        </is>
      </c>
      <c r="B16" s="120">
        <f>SUMIF('BALANCE N-1'!$A$2:$A$2000,"491*",'BALANCE N-1'!$H$2:$H$2000)-SUMIF('BALANCE N-1'!$A$2:$A$2000,"491*",'BALANCE N-1'!$G$2:$G$2000)</f>
        <v/>
      </c>
      <c r="C16" s="120">
        <f>MAX(0,(SUMIF('BALANCE N'!$A$2:$A$2000,"491*",'BALANCE N'!$H$2:$H$2000)-SUMIF('BALANCE N'!$A$2:$A$2000,"491*",'BALANCE N'!$G$2:$G$2000))-(SUMIF('BALANCE N-1'!$A$2:$A$2000,"491*",'BALANCE N-1'!$H$2:$H$2000)-SUMIF('BALANCE N-1'!$A$2:$A$2000,"491*",'BALANCE N-1'!$G$2:$G$2000)))</f>
        <v/>
      </c>
      <c r="D16" s="120" t="n"/>
      <c r="E16" s="120" t="n"/>
      <c r="F16" s="120">
        <f>MAX(0,(SUMIF('BALANCE N-1'!$A$2:$A$2000,"491*",'BALANCE N-1'!$H$2:$H$2000)-SUMIF('BALANCE N-1'!$A$2:$A$2000,"491*",'BALANCE N-1'!$G$2:$G$2000))-(SUMIF('BALANCE N'!$A$2:$A$2000,"491*",'BALANCE N'!$H$2:$H$2000)-SUMIF('BALANCE N'!$A$2:$A$2000,"491*",'BALANCE N'!$G$2:$G$2000)))</f>
        <v/>
      </c>
      <c r="G16" s="120" t="n"/>
      <c r="H16" s="120" t="n"/>
      <c r="I16" s="120">
        <f>B16+C16+D16+E16-F16-G16-H16</f>
        <v/>
      </c>
    </row>
    <row r="17">
      <c r="A17" s="119" t="inlineStr">
        <is>
          <t>Dépréciations autres créances d'exploitation</t>
        </is>
      </c>
      <c r="B17" s="120">
        <f>SUMIF('BALANCE N-1'!$A$2:$A$2000,"492*",'BALANCE N-1'!$H$2:$H$2000)-SUMIF('BALANCE N-1'!$A$2:$A$2000,"492*",'BALANCE N-1'!$G$2:$G$2000)+SUMIF('BALANCE N-1'!$A$2:$A$2000,"493*",'BALANCE N-1'!$H$2:$H$2000)-SUMIF('BALANCE N-1'!$A$2:$A$2000,"493*",'BALANCE N-1'!$G$2:$G$2000)+SUMIF('BALANCE N-1'!$A$2:$A$2000,"494*",'BALANCE N-1'!$H$2:$H$2000)-SUMIF('BALANCE N-1'!$A$2:$A$2000,"494*",'BALANCE N-1'!$G$2:$G$2000)+SUMIF('BALANCE N-1'!$A$2:$A$2000,"497*",'BALANCE N-1'!$H$2:$H$2000)-SUMIF('BALANCE N-1'!$A$2:$A$2000,"497*",'BALANCE N-1'!$G$2:$G$2000)</f>
        <v/>
      </c>
      <c r="C17" s="120">
        <f>MAX(0,(SUMIF('BALANCE N'!$A$2:$A$2000,"492*",'BALANCE N'!$H$2:$H$2000)-SUMIF('BALANCE N'!$A$2:$A$2000,"492*",'BALANCE N'!$G$2:$G$2000)+SUMIF('BALANCE N'!$A$2:$A$2000,"493*",'BALANCE N'!$H$2:$H$2000)-SUMIF('BALANCE N'!$A$2:$A$2000,"493*",'BALANCE N'!$G$2:$G$2000)+SUMIF('BALANCE N'!$A$2:$A$2000,"494*",'BALANCE N'!$H$2:$H$2000)-SUMIF('BALANCE N'!$A$2:$A$2000,"494*",'BALANCE N'!$G$2:$G$2000)+SUMIF('BALANCE N'!$A$2:$A$2000,"497*",'BALANCE N'!$H$2:$H$2000)-SUMIF('BALANCE N'!$A$2:$A$2000,"497*",'BALANCE N'!$G$2:$G$2000))-(SUMIF('BALANCE N-1'!$A$2:$A$2000,"492*",'BALANCE N-1'!$H$2:$H$2000)-SUMIF('BALANCE N-1'!$A$2:$A$2000,"492*",'BALANCE N-1'!$G$2:$G$2000)+SUMIF('BALANCE N-1'!$A$2:$A$2000,"493*",'BALANCE N-1'!$H$2:$H$2000)-SUMIF('BALANCE N-1'!$A$2:$A$2000,"493*",'BALANCE N-1'!$G$2:$G$2000)+SUMIF('BALANCE N-1'!$A$2:$A$2000,"494*",'BALANCE N-1'!$H$2:$H$2000)-SUMIF('BALANCE N-1'!$A$2:$A$2000,"494*",'BALANCE N-1'!$G$2:$G$2000)+SUMIF('BALANCE N-1'!$A$2:$A$2000,"497*",'BALANCE N-1'!$H$2:$H$2000)-SUMIF('BALANCE N-1'!$A$2:$A$2000,"497*",'BALANCE N-1'!$G$2:$G$2000)))</f>
        <v/>
      </c>
      <c r="D17" s="120" t="n"/>
      <c r="E17" s="120" t="n"/>
      <c r="F17" s="120">
        <f>MAX(0,(SUMIF('BALANCE N-1'!$A$2:$A$2000,"492*",'BALANCE N-1'!$H$2:$H$2000)-SUMIF('BALANCE N-1'!$A$2:$A$2000,"492*",'BALANCE N-1'!$G$2:$G$2000)+SUMIF('BALANCE N-1'!$A$2:$A$2000,"493*",'BALANCE N-1'!$H$2:$H$2000)-SUMIF('BALANCE N-1'!$A$2:$A$2000,"493*",'BALANCE N-1'!$G$2:$G$2000)+SUMIF('BALANCE N-1'!$A$2:$A$2000,"494*",'BALANCE N-1'!$H$2:$H$2000)-SUMIF('BALANCE N-1'!$A$2:$A$2000,"494*",'BALANCE N-1'!$G$2:$G$2000)+SUMIF('BALANCE N-1'!$A$2:$A$2000,"497*",'BALANCE N-1'!$H$2:$H$2000)-SUMIF('BALANCE N-1'!$A$2:$A$2000,"497*",'BALANCE N-1'!$G$2:$G$2000))-(SUMIF('BALANCE N'!$A$2:$A$2000,"492*",'BALANCE N'!$H$2:$H$2000)-SUMIF('BALANCE N'!$A$2:$A$2000,"492*",'BALANCE N'!$G$2:$G$2000)+SUMIF('BALANCE N'!$A$2:$A$2000,"493*",'BALANCE N'!$H$2:$H$2000)-SUMIF('BALANCE N'!$A$2:$A$2000,"493*",'BALANCE N'!$G$2:$G$2000)+SUMIF('BALANCE N'!$A$2:$A$2000,"494*",'BALANCE N'!$H$2:$H$2000)-SUMIF('BALANCE N'!$A$2:$A$2000,"494*",'BALANCE N'!$G$2:$G$2000)+SUMIF('BALANCE N'!$A$2:$A$2000,"497*",'BALANCE N'!$H$2:$H$2000)-SUMIF('BALANCE N'!$A$2:$A$2000,"497*",'BALANCE N'!$G$2:$G$2000)))</f>
        <v/>
      </c>
      <c r="G17" s="120" t="n"/>
      <c r="H17" s="120" t="n"/>
      <c r="I17" s="120">
        <f>B17+C17+D17+E17-F17-G17-H17</f>
        <v/>
      </c>
    </row>
    <row r="18">
      <c r="A18" s="119" t="inlineStr">
        <is>
          <t>Dépréciations des comptes de créances HAO</t>
        </is>
      </c>
      <c r="B18" s="120">
        <f>SUMIF('BALANCE N-1'!$A$2:$A$2000,"498*",'BALANCE N-1'!$H$2:$H$2000)-SUMIF('BALANCE N-1'!$A$2:$A$2000,"498*",'BALANCE N-1'!$G$2:$G$2000)</f>
        <v/>
      </c>
      <c r="C18" s="120" t="n"/>
      <c r="D18" s="120" t="n"/>
      <c r="E18" s="120">
        <f>MAX(0,(SUMIF('BALANCE N'!$A$2:$A$2000,"498*",'BALANCE N'!$H$2:$H$2000)-SUMIF('BALANCE N'!$A$2:$A$2000,"498*",'BALANCE N'!$G$2:$G$2000))-(SUMIF('BALANCE N-1'!$A$2:$A$2000,"498*",'BALANCE N-1'!$H$2:$H$2000)-SUMIF('BALANCE N-1'!$A$2:$A$2000,"498*",'BALANCE N-1'!$G$2:$G$2000)))</f>
        <v/>
      </c>
      <c r="F18" s="120" t="n"/>
      <c r="G18" s="120" t="n"/>
      <c r="H18" s="120">
        <f>MAX(0,(SUMIF('BALANCE N-1'!$A$2:$A$2000,"498*",'BALANCE N-1'!$H$2:$H$2000)-SUMIF('BALANCE N-1'!$A$2:$A$2000,"498*",'BALANCE N-1'!$G$2:$G$2000))-(SUMIF('BALANCE N'!$A$2:$A$2000,"498*",'BALANCE N'!$H$2:$H$2000)-SUMIF('BALANCE N'!$A$2:$A$2000,"498*",'BALANCE N'!$G$2:$G$2000)))</f>
        <v/>
      </c>
      <c r="I18" s="120">
        <f>B18+C18+D18+E18-F18-G18-H18</f>
        <v/>
      </c>
    </row>
    <row r="19">
      <c r="A19" s="119" t="inlineStr">
        <is>
          <t>Dépréciations des titres de placement</t>
        </is>
      </c>
      <c r="B19" s="120">
        <f>SUMIF('BALANCE N-1'!$A$2:$A$2000,"590*",'BALANCE N-1'!$H$2:$H$2000)-SUMIF('BALANCE N-1'!$A$2:$A$2000,"590*",'BALANCE N-1'!$G$2:$G$2000)</f>
        <v/>
      </c>
      <c r="C19" s="120" t="n"/>
      <c r="D19" s="120">
        <f>MAX(0,(SUMIF('BALANCE N'!$A$2:$A$2000,"590*",'BALANCE N'!$H$2:$H$2000)-SUMIF('BALANCE N'!$A$2:$A$2000,"590*",'BALANCE N'!$G$2:$G$2000))-(SUMIF('BALANCE N-1'!$A$2:$A$2000,"590*",'BALANCE N-1'!$H$2:$H$2000)-SUMIF('BALANCE N-1'!$A$2:$A$2000,"590*",'BALANCE N-1'!$G$2:$G$2000)))</f>
        <v/>
      </c>
      <c r="E19" s="120" t="n"/>
      <c r="F19" s="120" t="n"/>
      <c r="G19" s="120">
        <f>MAX(0,(SUMIF('BALANCE N-1'!$A$2:$A$2000,"590*",'BALANCE N-1'!$H$2:$H$2000)-SUMIF('BALANCE N-1'!$A$2:$A$2000,"590*",'BALANCE N-1'!$G$2:$G$2000))-(SUMIF('BALANCE N'!$A$2:$A$2000,"590*",'BALANCE N'!$H$2:$H$2000)-SUMIF('BALANCE N'!$A$2:$A$2000,"590*",'BALANCE N'!$G$2:$G$2000)))</f>
        <v/>
      </c>
      <c r="H19" s="120" t="n"/>
      <c r="I19" s="120">
        <f>B19+C19+D19+E19-F19-G19-H19</f>
        <v/>
      </c>
    </row>
    <row r="20">
      <c r="A20" s="119" t="inlineStr">
        <is>
          <t>Dépréciations des titres et valeurs à encaisser</t>
        </is>
      </c>
      <c r="B20" s="120">
        <f>SUMIF('BALANCE N-1'!$A$2:$A$2000,"591*",'BALANCE N-1'!$H$2:$H$2000)-SUMIF('BALANCE N-1'!$A$2:$A$2000,"591*",'BALANCE N-1'!$G$2:$G$2000)</f>
        <v/>
      </c>
      <c r="C20" s="120" t="n"/>
      <c r="D20" s="120">
        <f>MAX(0,(SUMIF('BALANCE N'!$A$2:$A$2000,"591*",'BALANCE N'!$H$2:$H$2000)-SUMIF('BALANCE N'!$A$2:$A$2000,"591*",'BALANCE N'!$G$2:$G$2000))-(SUMIF('BALANCE N-1'!$A$2:$A$2000,"591*",'BALANCE N-1'!$H$2:$H$2000)-SUMIF('BALANCE N-1'!$A$2:$A$2000,"591*",'BALANCE N-1'!$G$2:$G$2000)))</f>
        <v/>
      </c>
      <c r="E20" s="120" t="n"/>
      <c r="F20" s="120" t="n"/>
      <c r="G20" s="120">
        <f>MAX(0,(SUMIF('BALANCE N-1'!$A$2:$A$2000,"591*",'BALANCE N-1'!$H$2:$H$2000)-SUMIF('BALANCE N-1'!$A$2:$A$2000,"591*",'BALANCE N-1'!$G$2:$G$2000))-(SUMIF('BALANCE N'!$A$2:$A$2000,"591*",'BALANCE N'!$H$2:$H$2000)-SUMIF('BALANCE N'!$A$2:$A$2000,"591*",'BALANCE N'!$G$2:$G$2000)))</f>
        <v/>
      </c>
      <c r="H20" s="120" t="n"/>
      <c r="I20" s="120">
        <f>B20+C20+D20+E20-F20-G20-H20</f>
        <v/>
      </c>
    </row>
    <row r="21">
      <c r="A21" s="119" t="inlineStr">
        <is>
          <t>Dépréciations des comptes banques</t>
        </is>
      </c>
      <c r="B21" s="120">
        <f>SUMIF('BALANCE N-1'!$A$2:$A$2000,"592*",'BALANCE N-1'!$H$2:$H$2000)-SUMIF('BALANCE N-1'!$A$2:$A$2000,"592*",'BALANCE N-1'!$G$2:$G$2000)</f>
        <v/>
      </c>
      <c r="C21" s="120" t="n"/>
      <c r="D21" s="120">
        <f>MAX(0,(SUMIF('BALANCE N'!$A$2:$A$2000,"592*",'BALANCE N'!$H$2:$H$2000)-SUMIF('BALANCE N'!$A$2:$A$2000,"592*",'BALANCE N'!$G$2:$G$2000))-(SUMIF('BALANCE N-1'!$A$2:$A$2000,"592*",'BALANCE N-1'!$H$2:$H$2000)-SUMIF('BALANCE N-1'!$A$2:$A$2000,"592*",'BALANCE N-1'!$G$2:$G$2000)))</f>
        <v/>
      </c>
      <c r="E21" s="120" t="n"/>
      <c r="F21" s="120" t="n"/>
      <c r="G21" s="120">
        <f>MAX(0,(SUMIF('BALANCE N-1'!$A$2:$A$2000,"592*",'BALANCE N-1'!$H$2:$H$2000)-SUMIF('BALANCE N-1'!$A$2:$A$2000,"592*",'BALANCE N-1'!$G$2:$G$2000))-(SUMIF('BALANCE N'!$A$2:$A$2000,"592*",'BALANCE N'!$H$2:$H$2000)-SUMIF('BALANCE N'!$A$2:$A$2000,"592*",'BALANCE N'!$G$2:$G$2000)))</f>
        <v/>
      </c>
      <c r="H21" s="120" t="n"/>
      <c r="I21" s="120">
        <f>B21+C21+D21+E21-F21-G21-H21</f>
        <v/>
      </c>
    </row>
    <row r="22">
      <c r="A22" s="119" t="inlineStr">
        <is>
          <t>Dépréciations des comptes établissements financiers</t>
        </is>
      </c>
      <c r="B22" s="120">
        <f>SUMIF('BALANCE N-1'!$A$2:$A$2000,"593*",'BALANCE N-1'!$H$2:$H$2000)-SUMIF('BALANCE N-1'!$A$2:$A$2000,"593*",'BALANCE N-1'!$G$2:$G$2000)</f>
        <v/>
      </c>
      <c r="C22" s="120" t="n"/>
      <c r="D22" s="120">
        <f>MAX(0,(SUMIF('BALANCE N'!$A$2:$A$2000,"593*",'BALANCE N'!$H$2:$H$2000)-SUMIF('BALANCE N'!$A$2:$A$2000,"593*",'BALANCE N'!$G$2:$G$2000))-(SUMIF('BALANCE N-1'!$A$2:$A$2000,"593*",'BALANCE N-1'!$H$2:$H$2000)-SUMIF('BALANCE N-1'!$A$2:$A$2000,"593*",'BALANCE N-1'!$G$2:$G$2000)))</f>
        <v/>
      </c>
      <c r="E22" s="120" t="n"/>
      <c r="F22" s="120" t="n"/>
      <c r="G22" s="120">
        <f>MAX(0,(SUMIF('BALANCE N-1'!$A$2:$A$2000,"593*",'BALANCE N-1'!$H$2:$H$2000)-SUMIF('BALANCE N-1'!$A$2:$A$2000,"593*",'BALANCE N-1'!$G$2:$G$2000))-(SUMIF('BALANCE N'!$A$2:$A$2000,"593*",'BALANCE N'!$H$2:$H$2000)-SUMIF('BALANCE N'!$A$2:$A$2000,"593*",'BALANCE N'!$G$2:$G$2000)))</f>
        <v/>
      </c>
      <c r="H22" s="120" t="n"/>
      <c r="I22" s="120">
        <f>B22+C22+D22+E22-F22-G22-H22</f>
        <v/>
      </c>
    </row>
    <row r="23">
      <c r="A23" s="119" t="inlineStr">
        <is>
          <t>Dépréciations des instruments de monnaie électronique</t>
        </is>
      </c>
      <c r="B23" s="120">
        <f>SUMIF('BALANCE N-1'!$A$2:$A$2000,"595*",'BALANCE N-1'!$H$2:$H$2000)-SUMIF('BALANCE N-1'!$A$2:$A$2000,"595*",'BALANCE N-1'!$G$2:$G$2000)</f>
        <v/>
      </c>
      <c r="C23" s="120" t="n"/>
      <c r="D23" s="120">
        <f>MAX(0,(SUMIF('BALANCE N'!$A$2:$A$2000,"595*",'BALANCE N'!$H$2:$H$2000)-SUMIF('BALANCE N'!$A$2:$A$2000,"595*",'BALANCE N'!$G$2:$G$2000))-(SUMIF('BALANCE N-1'!$A$2:$A$2000,"595*",'BALANCE N-1'!$H$2:$H$2000)-SUMIF('BALANCE N-1'!$A$2:$A$2000,"595*",'BALANCE N-1'!$G$2:$G$2000)))</f>
        <v/>
      </c>
      <c r="E23" s="120" t="n"/>
      <c r="F23" s="120" t="n"/>
      <c r="G23" s="120">
        <f>MAX(0,(SUMIF('BALANCE N-1'!$A$2:$A$2000,"595*",'BALANCE N-1'!$H$2:$H$2000)-SUMIF('BALANCE N-1'!$A$2:$A$2000,"595*",'BALANCE N-1'!$G$2:$G$2000))-(SUMIF('BALANCE N'!$A$2:$A$2000,"595*",'BALANCE N'!$H$2:$H$2000)-SUMIF('BALANCE N'!$A$2:$A$2000,"595*",'BALANCE N'!$G$2:$G$2000)))</f>
        <v/>
      </c>
      <c r="H23" s="120" t="n"/>
      <c r="I23" s="120">
        <f>B23+C23+D23+E23-F23-G23-H23</f>
        <v/>
      </c>
    </row>
    <row r="24">
      <c r="A24" s="119" t="inlineStr">
        <is>
          <t>Provisions pour risques à court terme d'exploitation</t>
        </is>
      </c>
      <c r="B24" s="120">
        <f>SUMIF('BALANCE N-1'!$A$2:$A$2000,"4991*",'BALANCE N-1'!$H$2:$H$2000)-SUMIF('BALANCE N-1'!$A$2:$A$2000,"4991*",'BALANCE N-1'!$G$2:$G$2000)</f>
        <v/>
      </c>
      <c r="C24" s="120">
        <f>MAX(0,(SUMIF('BALANCE N'!$A$2:$A$2000,"4991*",'BALANCE N'!$H$2:$H$2000)-SUMIF('BALANCE N'!$A$2:$A$2000,"4991*",'BALANCE N'!$G$2:$G$2000))-(SUMIF('BALANCE N-1'!$A$2:$A$2000,"4991*",'BALANCE N-1'!$H$2:$H$2000)-SUMIF('BALANCE N-1'!$A$2:$A$2000,"4991*",'BALANCE N-1'!$G$2:$G$2000)))</f>
        <v/>
      </c>
      <c r="D24" s="120" t="n"/>
      <c r="E24" s="120" t="n"/>
      <c r="F24" s="120">
        <f>MAX(0,(SUMIF('BALANCE N-1'!$A$2:$A$2000,"4991*",'BALANCE N-1'!$H$2:$H$2000)-SUMIF('BALANCE N-1'!$A$2:$A$2000,"4991*",'BALANCE N-1'!$G$2:$G$2000))-(SUMIF('BALANCE N'!$A$2:$A$2000,"4991*",'BALANCE N'!$H$2:$H$2000)-SUMIF('BALANCE N'!$A$2:$A$2000,"4991*",'BALANCE N'!$G$2:$G$2000)))</f>
        <v/>
      </c>
      <c r="G24" s="120" t="n"/>
      <c r="H24" s="120" t="n"/>
      <c r="I24" s="120">
        <f>B24+C24+D24+E24-F24-G24-H24</f>
        <v/>
      </c>
    </row>
    <row r="25">
      <c r="A25" s="119" t="inlineStr">
        <is>
          <t>Provisions pour risques à court terme HAO</t>
        </is>
      </c>
      <c r="B25" s="120">
        <f>SUMIF('BALANCE N-1'!$A$2:$A$2000,"4998*",'BALANCE N-1'!$H$2:$H$2000)-SUMIF('BALANCE N-1'!$A$2:$A$2000,"4998*",'BALANCE N-1'!$G$2:$G$2000)</f>
        <v/>
      </c>
      <c r="C25" s="120" t="n"/>
      <c r="D25" s="120" t="n"/>
      <c r="E25" s="120">
        <f>MAX(0,(SUMIF('BALANCE N'!$A$2:$A$2000,"4998*",'BALANCE N'!$H$2:$H$2000)-SUMIF('BALANCE N'!$A$2:$A$2000,"4998*",'BALANCE N'!$G$2:$G$2000))-(SUMIF('BALANCE N-1'!$A$2:$A$2000,"4998*",'BALANCE N-1'!$H$2:$H$2000)-SUMIF('BALANCE N-1'!$A$2:$A$2000,"4998*",'BALANCE N-1'!$G$2:$G$2000)))</f>
        <v/>
      </c>
      <c r="F25" s="120" t="n"/>
      <c r="G25" s="120" t="n"/>
      <c r="H25" s="120">
        <f>MAX(0,(SUMIF('BALANCE N-1'!$A$2:$A$2000,"4998*",'BALANCE N-1'!$H$2:$H$2000)-SUMIF('BALANCE N-1'!$A$2:$A$2000,"4998*",'BALANCE N-1'!$G$2:$G$2000))-(SUMIF('BALANCE N'!$A$2:$A$2000,"4998*",'BALANCE N'!$H$2:$H$2000)-SUMIF('BALANCE N'!$A$2:$A$2000,"4998*",'BALANCE N'!$G$2:$G$2000)))</f>
        <v/>
      </c>
      <c r="I25" s="120">
        <f>B25+C25+D25+E25-F25-G25-H25</f>
        <v/>
      </c>
    </row>
    <row r="26">
      <c r="A26" s="119" t="inlineStr">
        <is>
          <t>Provisions pour risques à court terme à caractère financier</t>
        </is>
      </c>
      <c r="B26" s="120">
        <f>SUMIF('BALANCE N-1'!$A$2:$A$2000,"599*",'BALANCE N-1'!$H$2:$H$2000)-SUMIF('BALANCE N-1'!$A$2:$A$2000,"599*",'BALANCE N-1'!$G$2:$G$2000)</f>
        <v/>
      </c>
      <c r="C26" s="120" t="n"/>
      <c r="D26" s="120">
        <f>MAX(0,(SUMIF('BALANCE N'!$A$2:$A$2000,"599*",'BALANCE N'!$H$2:$H$2000)-SUMIF('BALANCE N'!$A$2:$A$2000,"599*",'BALANCE N'!$G$2:$G$2000))-(SUMIF('BALANCE N-1'!$A$2:$A$2000,"599*",'BALANCE N-1'!$H$2:$H$2000)-SUMIF('BALANCE N-1'!$A$2:$A$2000,"599*",'BALANCE N-1'!$G$2:$G$2000)))</f>
        <v/>
      </c>
      <c r="E26" s="120" t="n"/>
      <c r="F26" s="120" t="n"/>
      <c r="G26" s="120">
        <f>MAX(0,(SUMIF('BALANCE N-1'!$A$2:$A$2000,"599*",'BALANCE N-1'!$H$2:$H$2000)-SUMIF('BALANCE N-1'!$A$2:$A$2000,"599*",'BALANCE N-1'!$G$2:$G$2000))-(SUMIF('BALANCE N'!$A$2:$A$2000,"599*",'BALANCE N'!$H$2:$H$2000)-SUMIF('BALANCE N'!$A$2:$A$2000,"599*",'BALANCE N'!$G$2:$G$2000)))</f>
        <v/>
      </c>
      <c r="H26" s="120" t="n"/>
      <c r="I26" s="120">
        <f>B26+C26+D26+E26-F26-G26-H26</f>
        <v/>
      </c>
    </row>
    <row r="27">
      <c r="A27" s="6" t="inlineStr">
        <is>
          <t>TOTAL : CHARGES POUR DÉPRÉCIATIONS ET PROVISIONS À COURT TERME</t>
        </is>
      </c>
      <c r="B27" s="7">
        <f>SUM(B14:B26)</f>
        <v/>
      </c>
      <c r="C27" s="7">
        <f>SUM(C14:C26)</f>
        <v/>
      </c>
      <c r="D27" s="7">
        <f>SUM(D14:D26)</f>
        <v/>
      </c>
      <c r="E27" s="7">
        <f>SUM(E14:E26)</f>
        <v/>
      </c>
      <c r="F27" s="7">
        <f>SUM(F14:F26)</f>
        <v/>
      </c>
      <c r="G27" s="7">
        <f>SUM(G14:G26)</f>
        <v/>
      </c>
      <c r="H27" s="7">
        <f>SUM(H14:H26)</f>
        <v/>
      </c>
      <c r="I27" s="7">
        <f>SUM(I14:I26)</f>
        <v/>
      </c>
    </row>
    <row r="28">
      <c r="A28" s="6" t="inlineStr">
        <is>
          <t>TOTAL</t>
        </is>
      </c>
      <c r="B28" s="7">
        <f>B13+B27</f>
        <v/>
      </c>
      <c r="C28" s="7">
        <f>C13+C27</f>
        <v/>
      </c>
      <c r="D28" s="7">
        <f>D13+D27</f>
        <v/>
      </c>
      <c r="E28" s="7">
        <f>E13+E27</f>
        <v/>
      </c>
      <c r="F28" s="7">
        <f>F13+F27</f>
        <v/>
      </c>
      <c r="G28" s="7">
        <f>G13+G27</f>
        <v/>
      </c>
      <c r="H28" s="7">
        <f>H13+H27</f>
        <v/>
      </c>
      <c r="I28" s="7">
        <f>I13+I27</f>
        <v/>
      </c>
    </row>
    <row r="29"/>
    <row r="30">
      <c r="A30" s="121" t="inlineStr">
        <is>
          <t>À défaut d'échéancier, dotations et reprises sont posées en variation nette N/N-1 par nature - indiquer les évènements et circonstances de chaque constitution et reprise.</t>
        </is>
      </c>
    </row>
    <row r="31"/>
    <row r="32" ht="34" customHeight="1">
      <c r="A32" s="122">
        <f>IF(SUM(B9:B28,C9:C28,D9:D28,E9:E28,F9:F28,G9:G28,H9:H28,I9:I28)=0,"NÉANT","")</f>
        <v/>
      </c>
    </row>
    <row r="33" ht="34" customHeight="1"/>
    <row r="34" ht="34" customHeight="1"/>
  </sheetData>
  <mergeCells count="4">
    <mergeCell ref="B4:F4"/>
    <mergeCell ref="A7:I7"/>
    <mergeCell ref="A32:I34"/>
    <mergeCell ref="H2:I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- 49 -</t>
        </is>
      </c>
    </row>
    <row r="2" ht="26" customHeight="1">
      <c r="D2" s="51" t="inlineStr">
        <is>
          <t>NOTE 31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31 : CHARGES ET REVENUS FINANCIERS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9" t="inlineStr">
        <is>
          <t>Intérêts des emprunts</t>
        </is>
      </c>
      <c r="B9" s="120">
        <f>SUMIF('BALANCE N'!$A$2:$A$2000,"671*",'BALANCE N'!$G$2:$G$2000)-SUMIF('BALANCE N'!$A$2:$A$2000,"671*",'BALANCE N'!$H$2:$H$2000)</f>
        <v/>
      </c>
      <c r="C9" s="120">
        <f>SUMIF('BALANCE N-1'!$A$2:$A$2000,"671*",'BALANCE N-1'!$G$2:$G$2000)-SUMIF('BALANCE N-1'!$A$2:$A$2000,"671*",'BALANCE N-1'!$H$2:$H$2000)</f>
        <v/>
      </c>
      <c r="D9" s="120">
        <f>B9-C9</f>
        <v/>
      </c>
      <c r="E9" s="127">
        <f>IF(C9=0,"",(B9-C9)/C9)</f>
        <v/>
      </c>
    </row>
    <row r="10">
      <c r="A10" s="119" t="inlineStr">
        <is>
          <t>Intérêts dans loyers de location-acquisition</t>
        </is>
      </c>
      <c r="B10" s="120">
        <f>SUMIF('BALANCE N'!$A$2:$A$2000,"672*",'BALANCE N'!$G$2:$G$2000)-SUMIF('BALANCE N'!$A$2:$A$2000,"672*",'BALANCE N'!$H$2:$H$2000)</f>
        <v/>
      </c>
      <c r="C10" s="120">
        <f>SUMIF('BALANCE N-1'!$A$2:$A$2000,"672*",'BALANCE N-1'!$G$2:$G$2000)-SUMIF('BALANCE N-1'!$A$2:$A$2000,"672*",'BALANCE N-1'!$H$2:$H$2000)</f>
        <v/>
      </c>
      <c r="D10" s="120">
        <f>B10-C10</f>
        <v/>
      </c>
      <c r="E10" s="127">
        <f>IF(C10=0,"",(B10-C10)/C10)</f>
        <v/>
      </c>
    </row>
    <row r="11">
      <c r="A11" s="119" t="inlineStr">
        <is>
          <t>Escomptes accordés</t>
        </is>
      </c>
      <c r="B11" s="120">
        <f>SUMIF('BALANCE N'!$A$2:$A$2000,"673*",'BALANCE N'!$G$2:$G$2000)-SUMIF('BALANCE N'!$A$2:$A$2000,"673*",'BALANCE N'!$H$2:$H$2000)</f>
        <v/>
      </c>
      <c r="C11" s="120">
        <f>SUMIF('BALANCE N-1'!$A$2:$A$2000,"673*",'BALANCE N-1'!$G$2:$G$2000)-SUMIF('BALANCE N-1'!$A$2:$A$2000,"673*",'BALANCE N-1'!$H$2:$H$2000)</f>
        <v/>
      </c>
      <c r="D11" s="120">
        <f>B11-C11</f>
        <v/>
      </c>
      <c r="E11" s="127">
        <f>IF(C11=0,"",(B11-C11)/C11)</f>
        <v/>
      </c>
    </row>
    <row r="12">
      <c r="A12" s="119" t="inlineStr">
        <is>
          <t>Autres intérêts</t>
        </is>
      </c>
      <c r="B12" s="120">
        <f>SUMIF('BALANCE N'!$A$2:$A$2000,"674*",'BALANCE N'!$G$2:$G$2000)-SUMIF('BALANCE N'!$A$2:$A$2000,"674*",'BALANCE N'!$H$2:$H$2000)</f>
        <v/>
      </c>
      <c r="C12" s="120">
        <f>SUMIF('BALANCE N-1'!$A$2:$A$2000,"674*",'BALANCE N-1'!$G$2:$G$2000)-SUMIF('BALANCE N-1'!$A$2:$A$2000,"674*",'BALANCE N-1'!$H$2:$H$2000)</f>
        <v/>
      </c>
      <c r="D12" s="120">
        <f>B12-C12</f>
        <v/>
      </c>
      <c r="E12" s="127">
        <f>IF(C12=0,"",(B12-C12)/C12)</f>
        <v/>
      </c>
    </row>
    <row r="13">
      <c r="A13" s="119" t="inlineStr">
        <is>
          <t>Pertes de change financières</t>
        </is>
      </c>
      <c r="B13" s="120">
        <f>SUMIF('BALANCE N'!$A$2:$A$2000,"676*",'BALANCE N'!$G$2:$G$2000)-SUMIF('BALANCE N'!$A$2:$A$2000,"676*",'BALANCE N'!$H$2:$H$2000)</f>
        <v/>
      </c>
      <c r="C13" s="120">
        <f>SUMIF('BALANCE N-1'!$A$2:$A$2000,"676*",'BALANCE N-1'!$G$2:$G$2000)-SUMIF('BALANCE N-1'!$A$2:$A$2000,"676*",'BALANCE N-1'!$H$2:$H$2000)</f>
        <v/>
      </c>
      <c r="D13" s="120">
        <f>B13-C13</f>
        <v/>
      </c>
      <c r="E13" s="127">
        <f>IF(C13=0,"",(B13-C13)/C13)</f>
        <v/>
      </c>
    </row>
    <row r="14">
      <c r="A14" s="119" t="inlineStr">
        <is>
          <t>Pertes sur cessions de titres de placement</t>
        </is>
      </c>
      <c r="B14" s="120">
        <f>SUMIF('BALANCE N'!$A$2:$A$2000,"677*",'BALANCE N'!$G$2:$G$2000)-SUMIF('BALANCE N'!$A$2:$A$2000,"677*",'BALANCE N'!$H$2:$H$2000)</f>
        <v/>
      </c>
      <c r="C14" s="120">
        <f>SUMIF('BALANCE N-1'!$A$2:$A$2000,"677*",'BALANCE N-1'!$G$2:$G$2000)-SUMIF('BALANCE N-1'!$A$2:$A$2000,"677*",'BALANCE N-1'!$H$2:$H$2000)</f>
        <v/>
      </c>
      <c r="D14" s="120">
        <f>B14-C14</f>
        <v/>
      </c>
      <c r="E14" s="127">
        <f>IF(C14=0,"",(B14-C14)/C14)</f>
        <v/>
      </c>
    </row>
    <row r="15">
      <c r="A15" s="119" t="inlineStr">
        <is>
          <t>Pertes et charges sur risques financiers</t>
        </is>
      </c>
      <c r="B15" s="120">
        <f>SUMIF('BALANCE N'!$A$2:$A$2000,"678*",'BALANCE N'!$G$2:$G$2000)-SUMIF('BALANCE N'!$A$2:$A$2000,"678*",'BALANCE N'!$H$2:$H$2000)</f>
        <v/>
      </c>
      <c r="C15" s="120">
        <f>SUMIF('BALANCE N-1'!$A$2:$A$2000,"678*",'BALANCE N-1'!$G$2:$G$2000)-SUMIF('BALANCE N-1'!$A$2:$A$2000,"678*",'BALANCE N-1'!$H$2:$H$2000)</f>
        <v/>
      </c>
      <c r="D15" s="120">
        <f>B15-C15</f>
        <v/>
      </c>
      <c r="E15" s="127">
        <f>IF(C15=0,"",(B15-C15)/C15)</f>
        <v/>
      </c>
    </row>
    <row r="16">
      <c r="A16" s="119" t="inlineStr">
        <is>
          <t>Charges pour dépréciations et provisions à court terme à caractère financier (voir note 30)</t>
        </is>
      </c>
      <c r="B16" s="120">
        <f>SUMIF('BALANCE N'!$A$2:$A$2000,"679*",'BALANCE N'!$G$2:$G$2000)-SUMIF('BALANCE N'!$A$2:$A$2000,"679*",'BALANCE N'!$H$2:$H$2000)</f>
        <v/>
      </c>
      <c r="C16" s="120">
        <f>SUMIF('BALANCE N-1'!$A$2:$A$2000,"679*",'BALANCE N-1'!$G$2:$G$2000)-SUMIF('BALANCE N-1'!$A$2:$A$2000,"679*",'BALANCE N-1'!$H$2:$H$2000)</f>
        <v/>
      </c>
      <c r="D16" s="120">
        <f>B16-C16</f>
        <v/>
      </c>
      <c r="E16" s="127">
        <f>IF(C16=0,"",(B16-C16)/C16)</f>
        <v/>
      </c>
    </row>
    <row r="17">
      <c r="A17" s="6" t="inlineStr">
        <is>
          <t>TOTAL : FRAIS FINANCIERS</t>
        </is>
      </c>
      <c r="B17" s="7">
        <f>SUM(B9:B16)</f>
        <v/>
      </c>
      <c r="C17" s="7">
        <f>SUM(C9:C16)</f>
        <v/>
      </c>
      <c r="D17" s="7">
        <f>B17-C17</f>
        <v/>
      </c>
      <c r="E17" s="128">
        <f>IF(C17=0,"",(B17-C17)/C17)</f>
        <v/>
      </c>
    </row>
    <row r="18">
      <c r="A18" s="119" t="inlineStr">
        <is>
          <t>Intérêts de prêts et créances diverses</t>
        </is>
      </c>
      <c r="B18" s="120">
        <f>SUMIF('BALANCE N'!$A$2:$A$2000,"771*",'BALANCE N'!$H$2:$H$2000)-SUMIF('BALANCE N'!$A$2:$A$2000,"771*",'BALANCE N'!$G$2:$G$2000)</f>
        <v/>
      </c>
      <c r="C18" s="120">
        <f>SUMIF('BALANCE N-1'!$A$2:$A$2000,"771*",'BALANCE N-1'!$H$2:$H$2000)-SUMIF('BALANCE N-1'!$A$2:$A$2000,"771*",'BALANCE N-1'!$G$2:$G$2000)</f>
        <v/>
      </c>
      <c r="D18" s="120">
        <f>B18-C18</f>
        <v/>
      </c>
      <c r="E18" s="127">
        <f>IF(C18=0,"",(B18-C18)/C18)</f>
        <v/>
      </c>
    </row>
    <row r="19">
      <c r="A19" s="119" t="inlineStr">
        <is>
          <t>Revenus de participations et autres titres immobilisés</t>
        </is>
      </c>
      <c r="B19" s="120">
        <f>SUMIF('BALANCE N'!$A$2:$A$2000,"772*",'BALANCE N'!$H$2:$H$2000)-SUMIF('BALANCE N'!$A$2:$A$2000,"772*",'BALANCE N'!$G$2:$G$2000)</f>
        <v/>
      </c>
      <c r="C19" s="120">
        <f>SUMIF('BALANCE N-1'!$A$2:$A$2000,"772*",'BALANCE N-1'!$H$2:$H$2000)-SUMIF('BALANCE N-1'!$A$2:$A$2000,"772*",'BALANCE N-1'!$G$2:$G$2000)</f>
        <v/>
      </c>
      <c r="D19" s="120">
        <f>B19-C19</f>
        <v/>
      </c>
      <c r="E19" s="127">
        <f>IF(C19=0,"",(B19-C19)/C19)</f>
        <v/>
      </c>
    </row>
    <row r="20">
      <c r="A20" s="119" t="inlineStr">
        <is>
          <t>Escomptes obtenus</t>
        </is>
      </c>
      <c r="B20" s="120">
        <f>SUMIF('BALANCE N'!$A$2:$A$2000,"773*",'BALANCE N'!$H$2:$H$2000)-SUMIF('BALANCE N'!$A$2:$A$2000,"773*",'BALANCE N'!$G$2:$G$2000)</f>
        <v/>
      </c>
      <c r="C20" s="120">
        <f>SUMIF('BALANCE N-1'!$A$2:$A$2000,"773*",'BALANCE N-1'!$H$2:$H$2000)-SUMIF('BALANCE N-1'!$A$2:$A$2000,"773*",'BALANCE N-1'!$G$2:$G$2000)</f>
        <v/>
      </c>
      <c r="D20" s="120">
        <f>B20-C20</f>
        <v/>
      </c>
      <c r="E20" s="127">
        <f>IF(C20=0,"",(B20-C20)/C20)</f>
        <v/>
      </c>
    </row>
    <row r="21">
      <c r="A21" s="119" t="inlineStr">
        <is>
          <t>Revenus de placement</t>
        </is>
      </c>
      <c r="B21" s="120">
        <f>SUMIF('BALANCE N'!$A$2:$A$2000,"774*",'BALANCE N'!$H$2:$H$2000)-SUMIF('BALANCE N'!$A$2:$A$2000,"774*",'BALANCE N'!$G$2:$G$2000)</f>
        <v/>
      </c>
      <c r="C21" s="120">
        <f>SUMIF('BALANCE N-1'!$A$2:$A$2000,"774*",'BALANCE N-1'!$H$2:$H$2000)-SUMIF('BALANCE N-1'!$A$2:$A$2000,"774*",'BALANCE N-1'!$G$2:$G$2000)</f>
        <v/>
      </c>
      <c r="D21" s="120">
        <f>B21-C21</f>
        <v/>
      </c>
      <c r="E21" s="127">
        <f>IF(C21=0,"",(B21-C21)/C21)</f>
        <v/>
      </c>
    </row>
    <row r="22">
      <c r="A22" s="119" t="inlineStr">
        <is>
          <t>Gains de change financiers</t>
        </is>
      </c>
      <c r="B22" s="120">
        <f>SUMIF('BALANCE N'!$A$2:$A$2000,"776*",'BALANCE N'!$H$2:$H$2000)-SUMIF('BALANCE N'!$A$2:$A$2000,"776*",'BALANCE N'!$G$2:$G$2000)</f>
        <v/>
      </c>
      <c r="C22" s="120">
        <f>SUMIF('BALANCE N-1'!$A$2:$A$2000,"776*",'BALANCE N-1'!$H$2:$H$2000)-SUMIF('BALANCE N-1'!$A$2:$A$2000,"776*",'BALANCE N-1'!$G$2:$G$2000)</f>
        <v/>
      </c>
      <c r="D22" s="120">
        <f>B22-C22</f>
        <v/>
      </c>
      <c r="E22" s="127">
        <f>IF(C22=0,"",(B22-C22)/C22)</f>
        <v/>
      </c>
    </row>
    <row r="23">
      <c r="A23" s="119" t="inlineStr">
        <is>
          <t>Gains sur cessions de titres de placement</t>
        </is>
      </c>
      <c r="B23" s="120">
        <f>SUMIF('BALANCE N'!$A$2:$A$2000,"777*",'BALANCE N'!$H$2:$H$2000)-SUMIF('BALANCE N'!$A$2:$A$2000,"777*",'BALANCE N'!$G$2:$G$2000)</f>
        <v/>
      </c>
      <c r="C23" s="120">
        <f>SUMIF('BALANCE N-1'!$A$2:$A$2000,"777*",'BALANCE N-1'!$H$2:$H$2000)-SUMIF('BALANCE N-1'!$A$2:$A$2000,"777*",'BALANCE N-1'!$G$2:$G$2000)</f>
        <v/>
      </c>
      <c r="D23" s="120">
        <f>B23-C23</f>
        <v/>
      </c>
      <c r="E23" s="127">
        <f>IF(C23=0,"",(B23-C23)/C23)</f>
        <v/>
      </c>
    </row>
    <row r="24">
      <c r="A24" s="119" t="inlineStr">
        <is>
          <t>Gains sur risques financiers</t>
        </is>
      </c>
      <c r="B24" s="120">
        <f>SUMIF('BALANCE N'!$A$2:$A$2000,"778*",'BALANCE N'!$H$2:$H$2000)-SUMIF('BALANCE N'!$A$2:$A$2000,"778*",'BALANCE N'!$G$2:$G$2000)</f>
        <v/>
      </c>
      <c r="C24" s="120">
        <f>SUMIF('BALANCE N-1'!$A$2:$A$2000,"778*",'BALANCE N-1'!$H$2:$H$2000)-SUMIF('BALANCE N-1'!$A$2:$A$2000,"778*",'BALANCE N-1'!$G$2:$G$2000)</f>
        <v/>
      </c>
      <c r="D24" s="120">
        <f>B24-C24</f>
        <v/>
      </c>
      <c r="E24" s="127">
        <f>IF(C24=0,"",(B24-C24)/C24)</f>
        <v/>
      </c>
    </row>
    <row r="25">
      <c r="A25" s="119" t="inlineStr">
        <is>
          <t>Transferts de charges financières</t>
        </is>
      </c>
      <c r="B25" s="120">
        <f>SUMIF('BALANCE N'!$A$2:$A$2000,"787*",'BALANCE N'!$H$2:$H$2000)-SUMIF('BALANCE N'!$A$2:$A$2000,"787*",'BALANCE N'!$G$2:$G$2000)</f>
        <v/>
      </c>
      <c r="C25" s="120">
        <f>SUMIF('BALANCE N-1'!$A$2:$A$2000,"787*",'BALANCE N-1'!$H$2:$H$2000)-SUMIF('BALANCE N-1'!$A$2:$A$2000,"787*",'BALANCE N-1'!$G$2:$G$2000)</f>
        <v/>
      </c>
      <c r="D25" s="120">
        <f>B25-C25</f>
        <v/>
      </c>
      <c r="E25" s="127">
        <f>IF(C25=0,"",(B25-C25)/C25)</f>
        <v/>
      </c>
    </row>
    <row r="26">
      <c r="A26" s="119" t="inlineStr">
        <is>
          <t>Reprises de charges pour dépréciations et provisions à court terme à caractère financier (voir note 30)</t>
        </is>
      </c>
      <c r="B26" s="120">
        <f>SUMIF('BALANCE N'!$A$2:$A$2000,"779*",'BALANCE N'!$H$2:$H$2000)-SUMIF('BALANCE N'!$A$2:$A$2000,"779*",'BALANCE N'!$G$2:$G$2000)</f>
        <v/>
      </c>
      <c r="C26" s="120">
        <f>SUMIF('BALANCE N-1'!$A$2:$A$2000,"779*",'BALANCE N-1'!$H$2:$H$2000)-SUMIF('BALANCE N-1'!$A$2:$A$2000,"779*",'BALANCE N-1'!$G$2:$G$2000)</f>
        <v/>
      </c>
      <c r="D26" s="120">
        <f>B26-C26</f>
        <v/>
      </c>
      <c r="E26" s="127">
        <f>IF(C26=0,"",(B26-C26)/C26)</f>
        <v/>
      </c>
    </row>
    <row r="27">
      <c r="A27" s="6" t="inlineStr">
        <is>
          <t>TOTAL : REVENUS FINANCIERS</t>
        </is>
      </c>
      <c r="B27" s="7">
        <f>SUM(B18:B26)</f>
        <v/>
      </c>
      <c r="C27" s="7">
        <f>SUM(C18:C26)</f>
        <v/>
      </c>
      <c r="D27" s="7">
        <f>B27-C27</f>
        <v/>
      </c>
      <c r="E27" s="128">
        <f>IF(C27=0,"",(B27-C27)/C27)</f>
        <v/>
      </c>
    </row>
    <row r="28">
      <c r="A28" s="6" t="inlineStr">
        <is>
          <t>TOTAL (revenus - frais)</t>
        </is>
      </c>
      <c r="B28" s="7">
        <f>B27-B17</f>
        <v/>
      </c>
      <c r="C28" s="7">
        <f>C27-C17</f>
        <v/>
      </c>
      <c r="D28" s="7">
        <f>B28-C28</f>
        <v/>
      </c>
      <c r="E28" s="128">
        <f>IF(C28=0,"",(B28-C28)/C28)</f>
        <v/>
      </c>
    </row>
    <row r="29"/>
    <row r="30" ht="34" customHeight="1">
      <c r="A30" s="122">
        <f>IF(SUM(B9:B28,C9:C28,D9:D28)=0,"NÉANT","")</f>
        <v/>
      </c>
    </row>
    <row r="31" ht="34" customHeight="1"/>
    <row r="32" ht="34" customHeight="1"/>
  </sheetData>
  <mergeCells count="3">
    <mergeCell ref="A7:E7"/>
    <mergeCell ref="A30:E32"/>
    <mergeCell ref="D2:E2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11" customWidth="1" min="5" max="5"/>
    <col width="14" customWidth="1" min="6" max="6"/>
    <col width="16" customWidth="1" min="7" max="7"/>
    <col width="14" customWidth="1" min="8" max="8"/>
  </cols>
  <sheetData>
    <row r="1" ht="12" customHeight="1">
      <c r="A1" s="50" t="inlineStr">
        <is>
          <t>- 50 -</t>
        </is>
      </c>
    </row>
    <row r="2" ht="26" customHeight="1">
      <c r="D2" s="51" t="inlineStr">
        <is>
          <t>NOTE 32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32 : AUTRES CHARGES ET PRODUITS HAO</t>
        </is>
      </c>
    </row>
    <row r="8">
      <c r="A8" s="1" t="inlineStr">
        <is>
          <t>Libellés</t>
        </is>
      </c>
      <c r="B8" s="2" t="inlineStr">
        <is>
          <t>Année N</t>
        </is>
      </c>
      <c r="C8" s="2" t="inlineStr">
        <is>
          <t>Année N-1</t>
        </is>
      </c>
      <c r="D8" s="2" t="inlineStr">
        <is>
          <t>Variation en valeur</t>
        </is>
      </c>
      <c r="E8" s="3" t="inlineStr">
        <is>
          <t>Variation en %</t>
        </is>
      </c>
    </row>
    <row r="9">
      <c r="A9" s="119" t="inlineStr">
        <is>
          <t>Charges H.A.O. constatées (compte 831)</t>
        </is>
      </c>
      <c r="B9" s="120">
        <f>SUMIF('BALANCE N'!$A$2:$A$2000,"831*",'BALANCE N'!$G$2:$G$2000)-SUMIF('BALANCE N'!$A$2:$A$2000,"831*",'BALANCE N'!$H$2:$H$2000)</f>
        <v/>
      </c>
      <c r="C9" s="120">
        <f>SUMIF('BALANCE N-1'!$A$2:$A$2000,"831*",'BALANCE N-1'!$G$2:$G$2000)-SUMIF('BALANCE N-1'!$A$2:$A$2000,"831*",'BALANCE N-1'!$H$2:$H$2000)</f>
        <v/>
      </c>
      <c r="D9" s="120">
        <f>B9-C9</f>
        <v/>
      </c>
      <c r="E9" s="127">
        <f>IF(C9=0,"",(B9-C9)/C9)</f>
        <v/>
      </c>
    </row>
    <row r="10">
      <c r="A10" s="119" t="inlineStr">
        <is>
          <t>Dons en nature H.A.O. à distribuer (compte 832)</t>
        </is>
      </c>
      <c r="B10" s="120">
        <f>SUMIF('BALANCE N'!$A$2:$A$2000,"832*",'BALANCE N'!$G$2:$G$2000)-SUMIF('BALANCE N'!$A$2:$A$2000,"832*",'BALANCE N'!$H$2:$H$2000)</f>
        <v/>
      </c>
      <c r="C10" s="120">
        <f>SUMIF('BALANCE N-1'!$A$2:$A$2000,"832*",'BALANCE N-1'!$G$2:$G$2000)-SUMIF('BALANCE N-1'!$A$2:$A$2000,"832*",'BALANCE N-1'!$H$2:$H$2000)</f>
        <v/>
      </c>
      <c r="D10" s="120">
        <f>B10-C10</f>
        <v/>
      </c>
      <c r="E10" s="127">
        <f>IF(C10=0,"",(B10-C10)/C10)</f>
        <v/>
      </c>
    </row>
    <row r="11">
      <c r="A11" s="119" t="inlineStr">
        <is>
          <t>Pertes sur créances HAO</t>
        </is>
      </c>
      <c r="B11" s="120">
        <f>SUMIF('BALANCE N'!$A$2:$A$2000,"834*",'BALANCE N'!$G$2:$G$2000)-SUMIF('BALANCE N'!$A$2:$A$2000,"834*",'BALANCE N'!$H$2:$H$2000)</f>
        <v/>
      </c>
      <c r="C11" s="120">
        <f>SUMIF('BALANCE N-1'!$A$2:$A$2000,"834*",'BALANCE N-1'!$G$2:$G$2000)-SUMIF('BALANCE N-1'!$A$2:$A$2000,"834*",'BALANCE N-1'!$H$2:$H$2000)</f>
        <v/>
      </c>
      <c r="D11" s="120">
        <f>B11-C11</f>
        <v/>
      </c>
      <c r="E11" s="127">
        <f>IF(C11=0,"",(B11-C11)/C11)</f>
        <v/>
      </c>
    </row>
    <row r="12">
      <c r="A12" s="119" t="inlineStr">
        <is>
          <t>Abandons de créances consentis</t>
        </is>
      </c>
      <c r="B12" s="120">
        <f>SUMIF('BALANCE N'!$A$2:$A$2000,"836*",'BALANCE N'!$G$2:$G$2000)-SUMIF('BALANCE N'!$A$2:$A$2000,"836*",'BALANCE N'!$H$2:$H$2000)</f>
        <v/>
      </c>
      <c r="C12" s="120">
        <f>SUMIF('BALANCE N-1'!$A$2:$A$2000,"836*",'BALANCE N-1'!$G$2:$G$2000)-SUMIF('BALANCE N-1'!$A$2:$A$2000,"836*",'BALANCE N-1'!$H$2:$H$2000)</f>
        <v/>
      </c>
      <c r="D12" s="120">
        <f>B12-C12</f>
        <v/>
      </c>
      <c r="E12" s="127">
        <f>IF(C12=0,"",(B12-C12)/C12)</f>
        <v/>
      </c>
    </row>
    <row r="13">
      <c r="A13" s="119" t="inlineStr">
        <is>
          <t>Transferts de charges HAO (-)</t>
        </is>
      </c>
      <c r="B13" s="120">
        <f>SUMIF('BALANCE N'!$A$2:$A$2000,"838*",'BALANCE N'!$G$2:$G$2000)-SUMIF('BALANCE N'!$A$2:$A$2000,"838*",'BALANCE N'!$H$2:$H$2000)</f>
        <v/>
      </c>
      <c r="C13" s="120">
        <f>SUMIF('BALANCE N-1'!$A$2:$A$2000,"838*",'BALANCE N-1'!$G$2:$G$2000)-SUMIF('BALANCE N-1'!$A$2:$A$2000,"838*",'BALANCE N-1'!$H$2:$H$2000)</f>
        <v/>
      </c>
      <c r="D13" s="120">
        <f>B13-C13</f>
        <v/>
      </c>
      <c r="E13" s="127">
        <f>IF(C13=0,"",(B13-C13)/C13)</f>
        <v/>
      </c>
    </row>
    <row r="14">
      <c r="A14" s="119" t="inlineStr">
        <is>
          <t>Charges pour dépréciations et provisions pour risques à court terme HAO</t>
        </is>
      </c>
      <c r="B14" s="120">
        <f>SUMIF('BALANCE N'!$A$2:$A$2000,"839*",'BALANCE N'!$G$2:$G$2000)-SUMIF('BALANCE N'!$A$2:$A$2000,"839*",'BALANCE N'!$H$2:$H$2000)</f>
        <v/>
      </c>
      <c r="C14" s="120">
        <f>SUMIF('BALANCE N-1'!$A$2:$A$2000,"839*",'BALANCE N-1'!$G$2:$G$2000)-SUMIF('BALANCE N-1'!$A$2:$A$2000,"839*",'BALANCE N-1'!$H$2:$H$2000)</f>
        <v/>
      </c>
      <c r="D14" s="120">
        <f>B14-C14</f>
        <v/>
      </c>
      <c r="E14" s="127">
        <f>IF(C14=0,"",(B14-C14)/C14)</f>
        <v/>
      </c>
    </row>
    <row r="15">
      <c r="A15" s="119" t="inlineStr">
        <is>
          <t>Dotations hors activités ordinaires</t>
        </is>
      </c>
      <c r="B15" s="120">
        <f>SUMIF('BALANCE N'!$A$2:$A$2000,"85*",'BALANCE N'!$G$2:$G$2000)-SUMIF('BALANCE N'!$A$2:$A$2000,"85*",'BALANCE N'!$H$2:$H$2000)</f>
        <v/>
      </c>
      <c r="C15" s="120">
        <f>SUMIF('BALANCE N-1'!$A$2:$A$2000,"85*",'BALANCE N-1'!$G$2:$G$2000)-SUMIF('BALANCE N-1'!$A$2:$A$2000,"85*",'BALANCE N-1'!$H$2:$H$2000)</f>
        <v/>
      </c>
      <c r="D15" s="120">
        <f>B15-C15</f>
        <v/>
      </c>
      <c r="E15" s="127">
        <f>IF(C15=0,"",(B15-C15)/C15)</f>
        <v/>
      </c>
    </row>
    <row r="16">
      <c r="A16" s="119" t="inlineStr">
        <is>
          <t>Valeurs comptables des cessions d'immobilisations</t>
        </is>
      </c>
      <c r="B16" s="120">
        <f>SUMIF('BALANCE N'!$A$2:$A$2000,"81*",'BALANCE N'!$G$2:$G$2000)-SUMIF('BALANCE N'!$A$2:$A$2000,"81*",'BALANCE N'!$H$2:$H$2000)</f>
        <v/>
      </c>
      <c r="C16" s="120">
        <f>SUMIF('BALANCE N-1'!$A$2:$A$2000,"81*",'BALANCE N-1'!$G$2:$G$2000)-SUMIF('BALANCE N-1'!$A$2:$A$2000,"81*",'BALANCE N-1'!$H$2:$H$2000)</f>
        <v/>
      </c>
      <c r="D16" s="120">
        <f>B16-C16</f>
        <v/>
      </c>
      <c r="E16" s="127">
        <f>IF(C16=0,"",(B16-C16)/C16)</f>
        <v/>
      </c>
    </row>
    <row r="17">
      <c r="A17" s="119" t="inlineStr">
        <is>
          <t>Variations de stocks de dons en nature HAO (+/-)</t>
        </is>
      </c>
      <c r="B17" s="120">
        <f>SUMIF('BALANCE N'!$A$2:$A$2000,"87*",'BALANCE N'!$G$2:$G$2000)-SUMIF('BALANCE N'!$A$2:$A$2000,"87*",'BALANCE N'!$H$2:$H$2000)</f>
        <v/>
      </c>
      <c r="C17" s="120">
        <f>SUMIF('BALANCE N-1'!$A$2:$A$2000,"87*",'BALANCE N-1'!$G$2:$G$2000)-SUMIF('BALANCE N-1'!$A$2:$A$2000,"87*",'BALANCE N-1'!$H$2:$H$2000)</f>
        <v/>
      </c>
      <c r="D17" s="120">
        <f>B17-C17</f>
        <v/>
      </c>
      <c r="E17" s="127">
        <f>IF(C17=0,"",(B17-C17)/C17)</f>
        <v/>
      </c>
    </row>
    <row r="18">
      <c r="A18" s="6" t="inlineStr">
        <is>
          <t>TOTAL : AUTRES CHARGES HAO</t>
        </is>
      </c>
      <c r="B18" s="7">
        <f>SUM(B9:B17)</f>
        <v/>
      </c>
      <c r="C18" s="7">
        <f>SUM(C9:C17)</f>
        <v/>
      </c>
      <c r="D18" s="7">
        <f>B18-C18</f>
        <v/>
      </c>
      <c r="E18" s="128">
        <f>IF(C18=0,"",(B18-C18)/C18)</f>
        <v/>
      </c>
    </row>
    <row r="19">
      <c r="A19" s="119" t="inlineStr">
        <is>
          <t>Produits H.A.O. constatés (compte 841)</t>
        </is>
      </c>
      <c r="B19" s="120">
        <f>SUMIF('BALANCE N'!$A$2:$A$2000,"841*",'BALANCE N'!$H$2:$H$2000)-SUMIF('BALANCE N'!$A$2:$A$2000,"841*",'BALANCE N'!$G$2:$G$2000)</f>
        <v/>
      </c>
      <c r="C19" s="120">
        <f>SUMIF('BALANCE N-1'!$A$2:$A$2000,"841*",'BALANCE N-1'!$H$2:$H$2000)-SUMIF('BALANCE N-1'!$A$2:$A$2000,"841*",'BALANCE N-1'!$G$2:$G$2000)</f>
        <v/>
      </c>
      <c r="D19" s="120">
        <f>B19-C19</f>
        <v/>
      </c>
      <c r="E19" s="127">
        <f>IF(C19=0,"",(B19-C19)/C19)</f>
        <v/>
      </c>
    </row>
    <row r="20">
      <c r="A20" s="119" t="inlineStr">
        <is>
          <t>Contributions volontaires en nature (compte 842)</t>
        </is>
      </c>
      <c r="B20" s="120">
        <f>SUMIF('BALANCE N'!$A$2:$A$2000,"842*",'BALANCE N'!$H$2:$H$2000)-SUMIF('BALANCE N'!$A$2:$A$2000,"842*",'BALANCE N'!$G$2:$G$2000)</f>
        <v/>
      </c>
      <c r="C20" s="120">
        <f>SUMIF('BALANCE N-1'!$A$2:$A$2000,"842*",'BALANCE N-1'!$H$2:$H$2000)-SUMIF('BALANCE N-1'!$A$2:$A$2000,"842*",'BALANCE N-1'!$G$2:$G$2000)</f>
        <v/>
      </c>
      <c r="D20" s="120">
        <f>B20-C20</f>
        <v/>
      </c>
      <c r="E20" s="127">
        <f>IF(C20=0,"",(B20-C20)/C20)</f>
        <v/>
      </c>
    </row>
    <row r="21">
      <c r="A21" s="119" t="inlineStr">
        <is>
          <t>Contributions volontaires en numéraire</t>
        </is>
      </c>
      <c r="B21" s="120">
        <f>SUMIF('BALANCE N'!$A$2:$A$2000,"843*",'BALANCE N'!$H$2:$H$2000)-SUMIF('BALANCE N'!$A$2:$A$2000,"843*",'BALANCE N'!$G$2:$G$2000)</f>
        <v/>
      </c>
      <c r="C21" s="120">
        <f>SUMIF('BALANCE N-1'!$A$2:$A$2000,"843*",'BALANCE N-1'!$H$2:$H$2000)-SUMIF('BALANCE N-1'!$A$2:$A$2000,"843*",'BALANCE N-1'!$G$2:$G$2000)</f>
        <v/>
      </c>
      <c r="D21" s="120">
        <f>B21-C21</f>
        <v/>
      </c>
      <c r="E21" s="127">
        <f>IF(C21=0,"",(B21-C21)/C21)</f>
        <v/>
      </c>
    </row>
    <row r="22">
      <c r="A22" s="119" t="inlineStr">
        <is>
          <t>Abandons de créances obtenus</t>
        </is>
      </c>
      <c r="B22" s="120">
        <f>SUMIF('BALANCE N'!$A$2:$A$2000,"846*",'BALANCE N'!$H$2:$H$2000)-SUMIF('BALANCE N'!$A$2:$A$2000,"846*",'BALANCE N'!$G$2:$G$2000)</f>
        <v/>
      </c>
      <c r="C22" s="120">
        <f>SUMIF('BALANCE N-1'!$A$2:$A$2000,"846*",'BALANCE N-1'!$H$2:$H$2000)-SUMIF('BALANCE N-1'!$A$2:$A$2000,"846*",'BALANCE N-1'!$G$2:$G$2000)</f>
        <v/>
      </c>
      <c r="D22" s="120">
        <f>B22-C22</f>
        <v/>
      </c>
      <c r="E22" s="127">
        <f>IF(C22=0,"",(B22-C22)/C22)</f>
        <v/>
      </c>
    </row>
    <row r="23">
      <c r="A23" s="119" t="inlineStr">
        <is>
          <t>Transferts de produits H.A.O.</t>
        </is>
      </c>
      <c r="B23" s="120">
        <f>SUMIF('BALANCE N'!$A$2:$A$2000,"848*",'BALANCE N'!$H$2:$H$2000)-SUMIF('BALANCE N'!$A$2:$A$2000,"848*",'BALANCE N'!$G$2:$G$2000)</f>
        <v/>
      </c>
      <c r="C23" s="120">
        <f>SUMIF('BALANCE N-1'!$A$2:$A$2000,"848*",'BALANCE N-1'!$H$2:$H$2000)-SUMIF('BALANCE N-1'!$A$2:$A$2000,"848*",'BALANCE N-1'!$G$2:$G$2000)</f>
        <v/>
      </c>
      <c r="D23" s="120">
        <f>B23-C23</f>
        <v/>
      </c>
      <c r="E23" s="127">
        <f>IF(C23=0,"",(B23-C23)/C23)</f>
        <v/>
      </c>
    </row>
    <row r="24">
      <c r="A24" s="119" t="inlineStr">
        <is>
          <t>Reprises des charges pour dépréciations et provisions à court terme HAO</t>
        </is>
      </c>
      <c r="B24" s="120">
        <f>SUMIF('BALANCE N'!$A$2:$A$2000,"849*",'BALANCE N'!$H$2:$H$2000)-SUMIF('BALANCE N'!$A$2:$A$2000,"849*",'BALANCE N'!$G$2:$G$2000)</f>
        <v/>
      </c>
      <c r="C24" s="120">
        <f>SUMIF('BALANCE N-1'!$A$2:$A$2000,"849*",'BALANCE N-1'!$H$2:$H$2000)-SUMIF('BALANCE N-1'!$A$2:$A$2000,"849*",'BALANCE N-1'!$G$2:$G$2000)</f>
        <v/>
      </c>
      <c r="D24" s="120">
        <f>B24-C24</f>
        <v/>
      </c>
      <c r="E24" s="127">
        <f>IF(C24=0,"",(B24-C24)/C24)</f>
        <v/>
      </c>
    </row>
    <row r="25">
      <c r="A25" s="119" t="inlineStr">
        <is>
          <t>Reprises d'amortissements, provisions et dépréciations H.A.O.</t>
        </is>
      </c>
      <c r="B25" s="120">
        <f>SUMIF('BALANCE N'!$A$2:$A$2000,"86*",'BALANCE N'!$H$2:$H$2000)-SUMIF('BALANCE N'!$A$2:$A$2000,"86*",'BALANCE N'!$G$2:$G$2000)</f>
        <v/>
      </c>
      <c r="C25" s="120">
        <f>SUMIF('BALANCE N-1'!$A$2:$A$2000,"86*",'BALANCE N-1'!$H$2:$H$2000)-SUMIF('BALANCE N-1'!$A$2:$A$2000,"86*",'BALANCE N-1'!$G$2:$G$2000)</f>
        <v/>
      </c>
      <c r="D25" s="120">
        <f>B25-C25</f>
        <v/>
      </c>
      <c r="E25" s="127">
        <f>IF(C25=0,"",(B25-C25)/C25)</f>
        <v/>
      </c>
    </row>
    <row r="26">
      <c r="A26" s="119" t="inlineStr">
        <is>
          <t>Produits des cessions d'immobilisations</t>
        </is>
      </c>
      <c r="B26" s="120">
        <f>SUMIF('BALANCE N'!$A$2:$A$2000,"82*",'BALANCE N'!$H$2:$H$2000)-SUMIF('BALANCE N'!$A$2:$A$2000,"82*",'BALANCE N'!$G$2:$G$2000)</f>
        <v/>
      </c>
      <c r="C26" s="120">
        <f>SUMIF('BALANCE N-1'!$A$2:$A$2000,"82*",'BALANCE N-1'!$H$2:$H$2000)-SUMIF('BALANCE N-1'!$A$2:$A$2000,"82*",'BALANCE N-1'!$G$2:$G$2000)</f>
        <v/>
      </c>
      <c r="D26" s="120">
        <f>B26-C26</f>
        <v/>
      </c>
      <c r="E26" s="127">
        <f>IF(C26=0,"",(B26-C26)/C26)</f>
        <v/>
      </c>
    </row>
    <row r="27">
      <c r="A27" s="119" t="inlineStr">
        <is>
          <t>Subventions d'équilibre</t>
        </is>
      </c>
      <c r="B27" s="120">
        <f>SUMIF('BALANCE N'!$A$2:$A$2000,"88*",'BALANCE N'!$H$2:$H$2000)-SUMIF('BALANCE N'!$A$2:$A$2000,"88*",'BALANCE N'!$G$2:$G$2000)</f>
        <v/>
      </c>
      <c r="C27" s="120">
        <f>SUMIF('BALANCE N-1'!$A$2:$A$2000,"88*",'BALANCE N-1'!$H$2:$H$2000)-SUMIF('BALANCE N-1'!$A$2:$A$2000,"88*",'BALANCE N-1'!$G$2:$G$2000)</f>
        <v/>
      </c>
      <c r="D27" s="120">
        <f>B27-C27</f>
        <v/>
      </c>
      <c r="E27" s="127">
        <f>IF(C27=0,"",(B27-C27)/C27)</f>
        <v/>
      </c>
    </row>
    <row r="28">
      <c r="A28" s="6" t="inlineStr">
        <is>
          <t>TOTAL : AUTRES PRODUITS HAO</t>
        </is>
      </c>
      <c r="B28" s="7">
        <f>SUM(B19:B27)</f>
        <v/>
      </c>
      <c r="C28" s="7">
        <f>SUM(C19:C27)</f>
        <v/>
      </c>
      <c r="D28" s="7">
        <f>B28-C28</f>
        <v/>
      </c>
      <c r="E28" s="128">
        <f>IF(C28=0,"",(B28-C28)/C28)</f>
        <v/>
      </c>
    </row>
    <row r="29">
      <c r="A29" s="6" t="inlineStr">
        <is>
          <t>TOTAL (produits - charges) = RÉSULTAT HAO</t>
        </is>
      </c>
      <c r="B29" s="7">
        <f>B28-B18</f>
        <v/>
      </c>
      <c r="C29" s="7">
        <f>C28-C18</f>
        <v/>
      </c>
      <c r="D29" s="7">
        <f>B29-C29</f>
        <v/>
      </c>
      <c r="E29" s="128">
        <f>IF(C29=0,"",(B29-C29)/C29)</f>
        <v/>
      </c>
    </row>
    <row r="30"/>
    <row r="31" ht="34" customHeight="1">
      <c r="A31" s="122">
        <f>IF(SUM(B9:B29,C9:C29,D9:D29)=0,"NÉANT","")</f>
        <v/>
      </c>
    </row>
    <row r="32" ht="34" customHeight="1"/>
    <row r="33" ht="34" customHeight="1"/>
  </sheetData>
  <mergeCells count="3">
    <mergeCell ref="A7:E7"/>
    <mergeCell ref="A31:E33"/>
    <mergeCell ref="D2:E2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11" customWidth="1" min="5" max="5"/>
  </cols>
  <sheetData>
    <row r="1" ht="12" customHeight="1">
      <c r="A1" s="50" t="inlineStr">
        <is>
          <t>- 51 -</t>
        </is>
      </c>
    </row>
    <row r="2" ht="26" customHeight="1">
      <c r="D2" s="51" t="inlineStr">
        <is>
          <t>NOTE 33
SYSTEME NORMAL</t>
        </is>
      </c>
      <c r="E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D4" s="54" t="inlineStr">
        <is>
          <t>Sigle usuel :</t>
        </is>
      </c>
      <c r="E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D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33 : FICHE DE SYNTHÈSE DES PRINCIPAUX INDICATEURS FINANCIERS</t>
        </is>
      </c>
    </row>
    <row r="8">
      <c r="A8" s="130" t="inlineStr">
        <is>
          <t>(en unités monétaires légales)</t>
        </is>
      </c>
      <c r="B8" s="131" t="inlineStr">
        <is>
          <t>Année N</t>
        </is>
      </c>
      <c r="C8" s="131" t="inlineStr">
        <is>
          <t>Année N-1</t>
        </is>
      </c>
      <c r="D8" s="131" t="inlineStr">
        <is>
          <t>Variation en valeur</t>
        </is>
      </c>
      <c r="E8" s="130" t="inlineStr">
        <is>
          <t>Variation en %</t>
        </is>
      </c>
    </row>
    <row r="9">
      <c r="A9" s="124" t="inlineStr">
        <is>
          <t>ANALYSE DE L'ACTIVITÉ - SOLDES INTERMÉDIAIRES DE GESTION</t>
        </is>
      </c>
      <c r="B9" s="125" t="n"/>
      <c r="C9" s="125" t="n"/>
      <c r="D9" s="125" t="n"/>
      <c r="E9" s="129" t="n"/>
    </row>
    <row r="10">
      <c r="A10" s="119" t="inlineStr">
        <is>
          <t>Résultat des activités ordinaires</t>
        </is>
      </c>
      <c r="B10" s="120">
        <f>'Résultat'!D32</f>
        <v/>
      </c>
      <c r="C10" s="120">
        <f>'Résultat'!E32</f>
        <v/>
      </c>
      <c r="D10" s="120">
        <f>IF(OR(B10="",C10=""),"",B10-C10)</f>
        <v/>
      </c>
      <c r="E10" s="127">
        <f>IF(OR(C10="",C10=0),"",(B10-C10)/C10)</f>
        <v/>
      </c>
    </row>
    <row r="11">
      <c r="A11" s="119" t="inlineStr">
        <is>
          <t>Résultat hors activités ordinaires</t>
        </is>
      </c>
      <c r="B11" s="120">
        <f>'Résultat'!D35</f>
        <v/>
      </c>
      <c r="C11" s="120">
        <f>'Résultat'!E35</f>
        <v/>
      </c>
      <c r="D11" s="120">
        <f>IF(OR(B11="",C11=""),"",B11-C11)</f>
        <v/>
      </c>
      <c r="E11" s="127">
        <f>IF(OR(C11="",C11=0),"",(B11-C11)/C11)</f>
        <v/>
      </c>
    </row>
    <row r="12">
      <c r="A12" s="119" t="inlineStr">
        <is>
          <t>Résultat net</t>
        </is>
      </c>
      <c r="B12" s="120">
        <f>'Résultat'!D36</f>
        <v/>
      </c>
      <c r="C12" s="120">
        <f>'Résultat'!E36</f>
        <v/>
      </c>
      <c r="D12" s="120">
        <f>IF(OR(B12="",C12=""),"",B12-C12)</f>
        <v/>
      </c>
      <c r="E12" s="127">
        <f>IF(OR(C12="",C12=0),"",(B12-C12)/C12)</f>
        <v/>
      </c>
    </row>
    <row r="13">
      <c r="A13" s="119" t="inlineStr">
        <is>
          <t>Capacité d'autofinancement globale (CAFG) (a)</t>
        </is>
      </c>
      <c r="B13" s="120">
        <f>'Résultat'!D36+SUMIF('BALANCE N'!$A$2:$A$2000,"68*",'BALANCE N'!$G$2:$G$2000)-SUMIF('BALANCE N'!$A$2:$A$2000,"68*",'BALANCE N'!$H$2:$H$2000)+SUMIF('BALANCE N'!$A$2:$A$2000,"69*",'BALANCE N'!$G$2:$G$2000)-SUMIF('BALANCE N'!$A$2:$A$2000,"69*",'BALANCE N'!$H$2:$H$2000)+SUMIF('BALANCE N'!$A$2:$A$2000,"85*",'BALANCE N'!$G$2:$G$2000)-SUMIF('BALANCE N'!$A$2:$A$2000,"85*",'BALANCE N'!$H$2:$H$2000)-SUMIF('BALANCE N'!$A$2:$A$2000,"79*",'BALANCE N'!$H$2:$H$2000)-SUMIF('BALANCE N'!$A$2:$A$2000,"79*",'BALANCE N'!$G$2:$G$2000)+SUMIF('BALANCE N'!$A$2:$A$2000,"86*",'BALANCE N'!$H$2:$H$2000)-SUMIF('BALANCE N'!$A$2:$A$2000,"86*",'BALANCE N'!$G$2:$G$2000)+SUMIF('BALANCE N'!$A$2:$A$2000,"81*",'BALANCE N'!$G$2:$G$2000)-SUMIF('BALANCE N'!$A$2:$A$2000,"81*",'BALANCE N'!$H$2:$H$2000)-SUMIF('BALANCE N'!$A$2:$A$2000,"82*",'BALANCE N'!$H$2:$H$2000)-SUMIF('BALANCE N'!$A$2:$A$2000,"82*",'BALANCE N'!$G$2:$G$2000)</f>
        <v/>
      </c>
      <c r="C13" s="120">
        <f>'Résultat'!E36+SUMIF('BALANCE N-1'!$A$2:$A$2000,"68*",'BALANCE N-1'!$G$2:$G$2000)-SUMIF('BALANCE N-1'!$A$2:$A$2000,"68*",'BALANCE N-1'!$H$2:$H$2000)+SUMIF('BALANCE N-1'!$A$2:$A$2000,"69*",'BALANCE N-1'!$G$2:$G$2000)-SUMIF('BALANCE N-1'!$A$2:$A$2000,"69*",'BALANCE N-1'!$H$2:$H$2000)+SUMIF('BALANCE N-1'!$A$2:$A$2000,"85*",'BALANCE N-1'!$G$2:$G$2000)-SUMIF('BALANCE N-1'!$A$2:$A$2000,"85*",'BALANCE N-1'!$H$2:$H$2000)-SUMIF('BALANCE N-1'!$A$2:$A$2000,"79*",'BALANCE N-1'!$H$2:$H$2000)-SUMIF('BALANCE N-1'!$A$2:$A$2000,"79*",'BALANCE N-1'!$G$2:$G$2000)+SUMIF('BALANCE N-1'!$A$2:$A$2000,"86*",'BALANCE N-1'!$H$2:$H$2000)-SUMIF('BALANCE N-1'!$A$2:$A$2000,"86*",'BALANCE N-1'!$G$2:$G$2000)+SUMIF('BALANCE N-1'!$A$2:$A$2000,"81*",'BALANCE N-1'!$G$2:$G$2000)-SUMIF('BALANCE N-1'!$A$2:$A$2000,"81*",'BALANCE N-1'!$H$2:$H$2000)-SUMIF('BALANCE N-1'!$A$2:$A$2000,"82*",'BALANCE N-1'!$H$2:$H$2000)-SUMIF('BALANCE N-1'!$A$2:$A$2000,"82*",'BALANCE N-1'!$G$2:$G$2000)</f>
        <v/>
      </c>
      <c r="D13" s="120">
        <f>IF(OR(B13="",C13=""),"",B13-C13)</f>
        <v/>
      </c>
      <c r="E13" s="127">
        <f>IF(OR(C13="",C13=0),"",(B13-C13)/C13)</f>
        <v/>
      </c>
    </row>
    <row r="14">
      <c r="A14" s="119" t="inlineStr">
        <is>
          <t>Ratio de cotisations acquises = cotisations / charges de l'exercice (b)</t>
        </is>
      </c>
      <c r="B14" s="120">
        <f>IF('Résultat'!D31=0,"",SUMIF('BALANCE N'!$A$2:$A$2000,"701*",'BALANCE N'!$H$2:$H$2000)-SUMIF('BALANCE N'!$A$2:$A$2000,"701*",'BALANCE N'!$G$2:$G$2000)/ABS('Résultat'!D31))</f>
        <v/>
      </c>
      <c r="C14" s="120">
        <f>IF('Résultat'!E31=0,"",SUMIF('BALANCE N-1'!$A$2:$A$2000,"701*",'BALANCE N-1'!$H$2:$H$2000)-SUMIF('BALANCE N-1'!$A$2:$A$2000,"701*",'BALANCE N-1'!$G$2:$G$2000)/ABS('Résultat'!E31))</f>
        <v/>
      </c>
      <c r="D14" s="120">
        <f>IF(OR(B14="",C14=""),"",B14-C14)</f>
        <v/>
      </c>
      <c r="E14" s="127">
        <f>IF(OR(C14="",C14=0),"",(B14-C14)/C14)</f>
        <v/>
      </c>
    </row>
    <row r="15">
      <c r="A15" s="119" t="inlineStr">
        <is>
          <t>Ratio d'utilisation des dons = sommes versées aux bénéficiaires / sommes collectées brutes</t>
        </is>
      </c>
      <c r="B15" s="120" t="n"/>
      <c r="C15" s="120" t="n"/>
      <c r="D15" s="120" t="n"/>
      <c r="E15" s="119" t="n"/>
    </row>
    <row r="16">
      <c r="A16" s="124" t="inlineStr">
        <is>
          <t>ANALYSE DE LA STRUCTURE FINANCIÈRE</t>
        </is>
      </c>
      <c r="B16" s="125" t="n"/>
      <c r="C16" s="125" t="n"/>
      <c r="D16" s="125" t="n"/>
      <c r="E16" s="129" t="n"/>
    </row>
    <row r="17">
      <c r="A17" s="119" t="inlineStr">
        <is>
          <t>Ressources stables (c)</t>
        </is>
      </c>
      <c r="B17" s="120">
        <f>'Bilan-Passif'!D29</f>
        <v/>
      </c>
      <c r="C17" s="120">
        <f>'Bilan-Passif'!E29</f>
        <v/>
      </c>
      <c r="D17" s="120">
        <f>IF(OR(B17="",C17=""),"",B17-C17)</f>
        <v/>
      </c>
      <c r="E17" s="127">
        <f>IF(OR(C17="",C17=0),"",(B17-C17)/C17)</f>
        <v/>
      </c>
    </row>
    <row r="18">
      <c r="A18" s="119" t="inlineStr">
        <is>
          <t>-  Actif immobilisé (c)</t>
        </is>
      </c>
      <c r="B18" s="120">
        <f>'Bilan-Actif'!F27</f>
        <v/>
      </c>
      <c r="C18" s="120">
        <f>'Bilan-Actif'!G27</f>
        <v/>
      </c>
      <c r="D18" s="120">
        <f>IF(OR(B18="",C18=""),"",B18-C18)</f>
        <v/>
      </c>
      <c r="E18" s="127">
        <f>IF(OR(C18="",C18=0),"",(B18-C18)/C18)</f>
        <v/>
      </c>
    </row>
    <row r="19">
      <c r="A19" s="6" t="inlineStr">
        <is>
          <t>FONDS DE ROULEMENT (1) = ressources stables - actif immobilisé</t>
        </is>
      </c>
      <c r="B19" s="7">
        <f>B17-B18</f>
        <v/>
      </c>
      <c r="C19" s="7">
        <f>C17-C18</f>
        <v/>
      </c>
      <c r="D19" s="7">
        <f>IF(OR(B19="",C19=""),"",B19-C19)</f>
        <v/>
      </c>
      <c r="E19" s="132">
        <f>IF(OR(C19="",C19=0),"",(B19-C19)/C19)</f>
        <v/>
      </c>
    </row>
    <row r="20">
      <c r="A20" s="119" t="inlineStr">
        <is>
          <t>Actif circulant d'exploitation (c)</t>
        </is>
      </c>
      <c r="B20" s="120">
        <f>'Bilan-Actif'!F29+'Bilan-Actif'!F30+'Bilan-Actif'!F31+'Bilan-Actif'!F32</f>
        <v/>
      </c>
      <c r="C20" s="120">
        <f>'Bilan-Actif'!G29+'Bilan-Actif'!G30+'Bilan-Actif'!G31+'Bilan-Actif'!G32</f>
        <v/>
      </c>
      <c r="D20" s="120">
        <f>IF(OR(B20="",C20=""),"",B20-C20)</f>
        <v/>
      </c>
      <c r="E20" s="127">
        <f>IF(OR(C20="",C20=0),"",(B20-C20)/C20)</f>
        <v/>
      </c>
    </row>
    <row r="21">
      <c r="A21" s="119" t="inlineStr">
        <is>
          <t>-  Passif circulant d'exploitation (c)</t>
        </is>
      </c>
      <c r="B21" s="120">
        <f>'Bilan-Passif'!D31+'Bilan-Passif'!D32+'Bilan-Passif'!D33</f>
        <v/>
      </c>
      <c r="C21" s="120">
        <f>'Bilan-Passif'!E31+'Bilan-Passif'!E32+'Bilan-Passif'!E33</f>
        <v/>
      </c>
      <c r="D21" s="120">
        <f>IF(OR(B21="",C21=""),"",B21-C21)</f>
        <v/>
      </c>
      <c r="E21" s="127">
        <f>IF(OR(C21="",C21=0),"",(B21-C21)/C21)</f>
        <v/>
      </c>
    </row>
    <row r="22">
      <c r="A22" s="6" t="inlineStr">
        <is>
          <t>BESOIN DE FINANCEMENT D'EXPLOITATION (2)</t>
        </is>
      </c>
      <c r="B22" s="7">
        <f>B20-B21</f>
        <v/>
      </c>
      <c r="C22" s="7">
        <f>C20-C21</f>
        <v/>
      </c>
      <c r="D22" s="7">
        <f>IF(OR(B22="",C22=""),"",B22-C22)</f>
        <v/>
      </c>
      <c r="E22" s="132">
        <f>IF(OR(C22="",C22=0),"",(B22-C22)/C22)</f>
        <v/>
      </c>
    </row>
    <row r="23">
      <c r="A23" s="119" t="inlineStr">
        <is>
          <t>Actif circulant HAO (c)</t>
        </is>
      </c>
      <c r="B23" s="120">
        <f>'Bilan-Actif'!F28</f>
        <v/>
      </c>
      <c r="C23" s="120">
        <f>'Bilan-Actif'!G28</f>
        <v/>
      </c>
      <c r="D23" s="120">
        <f>IF(OR(B23="",C23=""),"",B23-C23)</f>
        <v/>
      </c>
      <c r="E23" s="127">
        <f>IF(OR(C23="",C23=0),"",(B23-C23)/C23)</f>
        <v/>
      </c>
    </row>
    <row r="24">
      <c r="A24" s="119" t="inlineStr">
        <is>
          <t>-  Passif circulant HAO (c)</t>
        </is>
      </c>
      <c r="B24" s="120">
        <f>'Bilan-Passif'!D30</f>
        <v/>
      </c>
      <c r="C24" s="120">
        <f>'Bilan-Passif'!E30</f>
        <v/>
      </c>
      <c r="D24" s="120">
        <f>IF(OR(B24="",C24=""),"",B24-C24)</f>
        <v/>
      </c>
      <c r="E24" s="127">
        <f>IF(OR(C24="",C24=0),"",(B24-C24)/C24)</f>
        <v/>
      </c>
    </row>
    <row r="25">
      <c r="A25" s="6" t="inlineStr">
        <is>
          <t>BESOIN DE FINANCEMENT HAO (3)</t>
        </is>
      </c>
      <c r="B25" s="7">
        <f>B23-B24</f>
        <v/>
      </c>
      <c r="C25" s="7">
        <f>C23-C24</f>
        <v/>
      </c>
      <c r="D25" s="7">
        <f>IF(OR(B25="",C25=""),"",B25-C25)</f>
        <v/>
      </c>
      <c r="E25" s="132">
        <f>IF(OR(C25="",C25=0),"",(B25-C25)/C25)</f>
        <v/>
      </c>
    </row>
    <row r="26">
      <c r="A26" s="6" t="inlineStr">
        <is>
          <t>BESOIN DE FINANCEMENT GLOBAL (4) = (2) + (3)</t>
        </is>
      </c>
      <c r="B26" s="7">
        <f>B22+B25</f>
        <v/>
      </c>
      <c r="C26" s="7">
        <f>C22+C25</f>
        <v/>
      </c>
      <c r="D26" s="7">
        <f>IF(OR(B26="",C26=""),"",B26-C26)</f>
        <v/>
      </c>
      <c r="E26" s="132">
        <f>IF(OR(C26="",C26=0),"",(B26-C26)/C26)</f>
        <v/>
      </c>
    </row>
    <row r="27">
      <c r="A27" s="6" t="inlineStr">
        <is>
          <t>TRÉSORERIE NETTE (5) = (1) - (4)</t>
        </is>
      </c>
      <c r="B27" s="7">
        <f>B19-B26</f>
        <v/>
      </c>
      <c r="C27" s="7">
        <f>C19-C26</f>
        <v/>
      </c>
      <c r="D27" s="7">
        <f>IF(OR(B27="",C27=""),"",B27-C27)</f>
        <v/>
      </c>
      <c r="E27" s="132">
        <f>IF(OR(C27="",C27=0),"",(B27-C27)/C27)</f>
        <v/>
      </c>
    </row>
    <row r="28">
      <c r="A28" s="119" t="inlineStr">
        <is>
          <t>CONTRÔLE : trésorerie nette = trésorerie actif - trésorerie passif</t>
        </is>
      </c>
      <c r="B28" s="120">
        <f>'Bilan-Actif'!F37-'Bilan-Passif'!D36</f>
        <v/>
      </c>
      <c r="C28" s="120">
        <f>'Bilan-Actif'!G37-'Bilan-Passif'!E36</f>
        <v/>
      </c>
      <c r="D28" s="120">
        <f>IF(OR(B28="",C28=""),"",B28-C28)</f>
        <v/>
      </c>
      <c r="E28" s="127">
        <f>IF(OR(C28="",C28=0),"",(B28-C28)/C28)</f>
        <v/>
      </c>
    </row>
    <row r="29">
      <c r="A29" s="124" t="inlineStr">
        <is>
          <t>ANALYSE DE LA SOLVABILITÉ</t>
        </is>
      </c>
      <c r="B29" s="125" t="n"/>
      <c r="C29" s="125" t="n"/>
      <c r="D29" s="125" t="n"/>
      <c r="E29" s="129" t="n"/>
    </row>
    <row r="30">
      <c r="A30" s="119" t="inlineStr">
        <is>
          <t>Ratio de liquidité générale = (créances + trésorerie actif) / passif circulant</t>
        </is>
      </c>
      <c r="B30" s="120">
        <f>IF('Bilan-Passif'!D34=0,"",('Bilan-Actif'!F30+'Bilan-Actif'!F31+'Bilan-Actif'!F32+'Bilan-Actif'!F37)/'Bilan-Passif'!D34)</f>
        <v/>
      </c>
      <c r="C30" s="120">
        <f>IF('Bilan-Passif'!E34=0,"",('Bilan-Actif'!G30+'Bilan-Actif'!G31+'Bilan-Actif'!G32+'Bilan-Actif'!G37)/'Bilan-Passif'!E34)</f>
        <v/>
      </c>
      <c r="D30" s="120">
        <f>IF(OR(B30="",C30=""),"",B30-C30)</f>
        <v/>
      </c>
      <c r="E30" s="127">
        <f>IF(OR(C30="",C30=0),"",(B30-C30)/C30)</f>
        <v/>
      </c>
    </row>
    <row r="31">
      <c r="A31" s="124" t="inlineStr">
        <is>
          <t>ANALYSE DE LA VARIATION DE LA TRÉSORERIE</t>
        </is>
      </c>
      <c r="B31" s="125" t="n"/>
      <c r="C31" s="125" t="n"/>
      <c r="D31" s="125" t="n"/>
      <c r="E31" s="129" t="n"/>
    </row>
    <row r="32">
      <c r="A32" s="119" t="inlineStr">
        <is>
          <t>Flux de trésorerie des activités opérationnelles</t>
        </is>
      </c>
      <c r="B32" s="120">
        <f>TFT!D19</f>
        <v/>
      </c>
      <c r="C32" s="120">
        <f>TFT!E19</f>
        <v/>
      </c>
      <c r="D32" s="120">
        <f>IF(OR(B32="",C32=""),"",B32-C32)</f>
        <v/>
      </c>
      <c r="E32" s="127">
        <f>IF(OR(C32="",C32=0),"",(B32-C32)/C32)</f>
        <v/>
      </c>
    </row>
    <row r="33">
      <c r="A33" s="119" t="inlineStr">
        <is>
          <t>Flux de trésorerie des activités d'investissement</t>
        </is>
      </c>
      <c r="B33" s="120">
        <f>TFT!D25</f>
        <v/>
      </c>
      <c r="C33" s="120">
        <f>TFT!E25</f>
        <v/>
      </c>
      <c r="D33" s="120">
        <f>IF(OR(B33="",C33=""),"",B33-C33)</f>
        <v/>
      </c>
      <c r="E33" s="127">
        <f>IF(OR(C33="",C33=0),"",(B33-C33)/C33)</f>
        <v/>
      </c>
    </row>
    <row r="34">
      <c r="A34" s="119" t="inlineStr">
        <is>
          <t>Flux de trésorerie des activités de financement</t>
        </is>
      </c>
      <c r="B34" s="120">
        <f>TFT!D30+TFT!D34</f>
        <v/>
      </c>
      <c r="C34" s="120">
        <f>TFT!E30+TFT!E34</f>
        <v/>
      </c>
      <c r="D34" s="120">
        <f>IF(OR(B34="",C34=""),"",B34-C34)</f>
        <v/>
      </c>
      <c r="E34" s="127">
        <f>IF(OR(C34="",C34=0),"",(B34-C34)/C34)</f>
        <v/>
      </c>
    </row>
    <row r="35">
      <c r="A35" s="119" t="inlineStr">
        <is>
          <t>VARIATION DE LA TRÉSORERIE NETTE DE LA PÉRIODE</t>
        </is>
      </c>
      <c r="B35" s="120">
        <f>TFT!D35</f>
        <v/>
      </c>
      <c r="C35" s="120">
        <f>TFT!E35</f>
        <v/>
      </c>
      <c r="D35" s="120">
        <f>IF(OR(B35="",C35=""),"",B35-C35)</f>
        <v/>
      </c>
      <c r="E35" s="127">
        <f>IF(OR(C35="",C35=0),"",(B35-C35)/C35)</f>
        <v/>
      </c>
    </row>
    <row r="36"/>
    <row r="37">
      <c r="A37" s="121" t="inlineStr">
        <is>
          <t>(a) CAFG = résultat net + dotations aux amortissements, dépréciations et provisions - reprises + valeurs comptables des cessions - produits des cessions. (b) Variations des ratios en points. (c) Écarts de conversion à éliminer pour ramener créances et dettes à leur valeur initiale.</t>
        </is>
      </c>
    </row>
    <row r="38"/>
    <row r="39" ht="34" customHeight="1">
      <c r="A39" s="122">
        <f>IF(SUM(B8:B35,C8:C35,D8:D35)=0,"NÉANT","")</f>
        <v/>
      </c>
    </row>
    <row r="40" ht="34" customHeight="1"/>
    <row r="41" ht="34" customHeight="1"/>
  </sheetData>
  <mergeCells count="3">
    <mergeCell ref="A39:E41"/>
    <mergeCell ref="A7:E7"/>
    <mergeCell ref="D2:E2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2" customHeight="1">
      <c r="A1" s="50" t="inlineStr">
        <is>
          <t>- 52 -</t>
        </is>
      </c>
    </row>
    <row r="2" ht="26" customHeight="1">
      <c r="E2" s="51" t="inlineStr">
        <is>
          <t>NOTE 34
SYSTEME NORMAL</t>
        </is>
      </c>
      <c r="F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E4" s="54" t="inlineStr">
        <is>
          <t>Sigle usuel :</t>
        </is>
      </c>
      <c r="F4" s="53" t="inlineStr"/>
    </row>
    <row r="5" ht="15" customHeight="1">
      <c r="A5" s="39" t="inlineStr">
        <is>
          <t>N° de compte contribuable (NCC) :</t>
        </is>
      </c>
      <c r="C5" s="39" t="inlineStr">
        <is>
          <t>Exercice clos le</t>
        </is>
      </c>
      <c r="E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34 : LISTE DES INFORMATIONS SOCIALES, ENVIRONNEMENTALES ET SOCIÉTALES</t>
        </is>
      </c>
    </row>
    <row r="8"/>
    <row r="9">
      <c r="A9" s="123" t="inlineStr">
        <is>
          <t>(Note obligatoire pour les entités de plus de 250 personnes, bénévoles compris.)</t>
        </is>
      </c>
    </row>
    <row r="10"/>
    <row r="11"/>
    <row r="12">
      <c r="A12" s="123" t="inlineStr">
        <is>
          <t>INFORMATIONS SOCIALES : emploi (effectif total, répartition par sexe, âge et zone géographique ; embauches et licenciements ; rémunérations et leur évolution) ; relations sociales ; santé et sécurité ; formation ; égalité de traitement.</t>
        </is>
      </c>
    </row>
    <row r="13"/>
    <row r="14"/>
    <row r="15">
      <c r="A15" s="123" t="inlineStr">
        <is>
          <t>INFORMATIONS ENVIRONNEMENTALES : politique générale ; pollution et gestion des déchets ; utilisation durable des ressources ; changement climatique ; protection de la biodiversité.</t>
        </is>
      </c>
    </row>
    <row r="16"/>
    <row r="17"/>
    <row r="18">
      <c r="A18" s="123" t="inlineStr">
        <is>
          <t>ENGAGEMENTS SOCIÉTAUX EN FAVEUR DU DÉVELOPPEMENT DURABLE : impact territorial, économique et social ; relations avec les parties prenantes ; sous-traitance et fournisseurs.</t>
        </is>
      </c>
    </row>
    <row r="19"/>
    <row r="20"/>
    <row r="21" ht="26" customHeight="1">
      <c r="A21" s="114" t="inlineStr">
        <is>
          <t>NOTE À COMPLÉTER</t>
        </is>
      </c>
    </row>
    <row r="22" ht="26" customHeight="1"/>
    <row r="23" ht="26" customHeight="1"/>
  </sheetData>
  <mergeCells count="8">
    <mergeCell ref="A18:F19"/>
    <mergeCell ref="E2:F2"/>
    <mergeCell ref="A21:F23"/>
    <mergeCell ref="A9:F10"/>
    <mergeCell ref="A12:F13"/>
    <mergeCell ref="B4:C4"/>
    <mergeCell ref="A7:F7"/>
    <mergeCell ref="A15:F16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6" customWidth="1" min="3" max="3"/>
    <col width="15" customWidth="1" min="4" max="4"/>
    <col width="15" customWidth="1" min="5" max="5"/>
    <col width="16" customWidth="1" min="6" max="6"/>
    <col width="17" customWidth="1" min="7" max="7"/>
    <col width="14" customWidth="1" min="8" max="8"/>
  </cols>
  <sheetData>
    <row r="1" ht="12" customHeight="1">
      <c r="A1" s="50" t="inlineStr">
        <is>
          <t>- 53 -</t>
        </is>
      </c>
    </row>
    <row r="2" ht="26" customHeight="1">
      <c r="G2" s="51" t="inlineStr">
        <is>
          <t>NOTE 35
SYSTEME NORMAL</t>
        </is>
      </c>
      <c r="H2" s="52" t="n"/>
    </row>
    <row r="3" ht="15" customHeight="1">
      <c r="A3" s="39" t="inlineStr">
        <is>
          <t>Dénomination sociale :</t>
        </is>
      </c>
    </row>
    <row r="4" ht="15" customHeight="1">
      <c r="A4" s="39" t="inlineStr">
        <is>
          <t>Adresse :</t>
        </is>
      </c>
      <c r="B4" s="53" t="inlineStr"/>
      <c r="C4" s="41" t="n"/>
      <c r="D4" s="41" t="n"/>
      <c r="E4" s="41" t="n"/>
      <c r="G4" s="54" t="inlineStr">
        <is>
          <t>Sigle usuel :</t>
        </is>
      </c>
      <c r="H4" s="53" t="inlineStr"/>
    </row>
    <row r="5" ht="15" customHeight="1">
      <c r="A5" s="39" t="inlineStr">
        <is>
          <t>N° de compte contribuable (NCC) :</t>
        </is>
      </c>
      <c r="E5" s="39" t="inlineStr">
        <is>
          <t>Exercice clos le</t>
        </is>
      </c>
      <c r="G5" s="39" t="inlineStr">
        <is>
          <t>Durée (en mois) : 12</t>
        </is>
      </c>
    </row>
    <row r="6" ht="15" customHeight="1">
      <c r="A6" s="39" t="inlineStr">
        <is>
          <t>N° de télédéclarant (NTD) :</t>
        </is>
      </c>
    </row>
    <row r="7" ht="28" customHeight="1">
      <c r="A7" s="108" t="inlineStr">
        <is>
          <t>NOTE 35 : TABLEAU D'EXÉCUTION BUDGÉTAIRE</t>
        </is>
      </c>
    </row>
    <row r="8">
      <c r="A8" s="1" t="inlineStr">
        <is>
          <t>Code</t>
        </is>
      </c>
      <c r="B8" s="2" t="inlineStr">
        <is>
          <t>Libellé</t>
        </is>
      </c>
      <c r="C8" s="2" t="inlineStr">
        <is>
          <t>Budget de l'exercice (1)</t>
        </is>
      </c>
      <c r="D8" s="2" t="inlineStr">
        <is>
          <t>Décaissement (2)</t>
        </is>
      </c>
      <c r="E8" s="2" t="inlineStr">
        <is>
          <t>Engagement (3)</t>
        </is>
      </c>
      <c r="F8" s="2" t="inlineStr">
        <is>
          <t>Réalisation (4 = 2 + 3)</t>
        </is>
      </c>
      <c r="G8" s="2" t="inlineStr">
        <is>
          <t>Crédit disponible (5 = 1 - 4)</t>
        </is>
      </c>
      <c r="H8" s="3" t="inlineStr">
        <is>
          <t>Exécution budget % (4/1)</t>
        </is>
      </c>
    </row>
    <row r="9">
      <c r="A9" s="119" t="n"/>
      <c r="B9" s="119" t="n"/>
      <c r="C9" s="120" t="n"/>
      <c r="D9" s="120" t="n"/>
      <c r="E9" s="120" t="n"/>
      <c r="F9" s="120">
        <f>D9+E9</f>
        <v/>
      </c>
      <c r="G9" s="120">
        <f>C9-F9</f>
        <v/>
      </c>
      <c r="H9" s="127">
        <f>IF(C9=0,"",F9/C9)</f>
        <v/>
      </c>
    </row>
    <row r="10">
      <c r="A10" s="119" t="n"/>
      <c r="B10" s="119" t="n"/>
      <c r="C10" s="120" t="n"/>
      <c r="D10" s="120" t="n"/>
      <c r="E10" s="120" t="n"/>
      <c r="F10" s="120">
        <f>D10+E10</f>
        <v/>
      </c>
      <c r="G10" s="120">
        <f>C10-F10</f>
        <v/>
      </c>
      <c r="H10" s="127">
        <f>IF(C10=0,"",F10/C10)</f>
        <v/>
      </c>
    </row>
    <row r="11">
      <c r="A11" s="119" t="n"/>
      <c r="B11" s="119" t="n"/>
      <c r="C11" s="120" t="n"/>
      <c r="D11" s="120" t="n"/>
      <c r="E11" s="120" t="n"/>
      <c r="F11" s="120">
        <f>D11+E11</f>
        <v/>
      </c>
      <c r="G11" s="120">
        <f>C11-F11</f>
        <v/>
      </c>
      <c r="H11" s="127">
        <f>IF(C11=0,"",F11/C11)</f>
        <v/>
      </c>
    </row>
    <row r="12">
      <c r="A12" s="119" t="n"/>
      <c r="B12" s="119" t="n"/>
      <c r="C12" s="120" t="n"/>
      <c r="D12" s="120" t="n"/>
      <c r="E12" s="120" t="n"/>
      <c r="F12" s="120">
        <f>D12+E12</f>
        <v/>
      </c>
      <c r="G12" s="120">
        <f>C12-F12</f>
        <v/>
      </c>
      <c r="H12" s="127">
        <f>IF(C12=0,"",F12/C12)</f>
        <v/>
      </c>
    </row>
    <row r="13">
      <c r="A13" s="119" t="n"/>
      <c r="B13" s="119" t="n"/>
      <c r="C13" s="120" t="n"/>
      <c r="D13" s="120" t="n"/>
      <c r="E13" s="120" t="n"/>
      <c r="F13" s="120">
        <f>D13+E13</f>
        <v/>
      </c>
      <c r="G13" s="120">
        <f>C13-F13</f>
        <v/>
      </c>
      <c r="H13" s="127">
        <f>IF(C13=0,"",F13/C13)</f>
        <v/>
      </c>
    </row>
    <row r="14">
      <c r="A14" s="119" t="n"/>
      <c r="B14" s="119" t="n"/>
      <c r="C14" s="120" t="n"/>
      <c r="D14" s="120" t="n"/>
      <c r="E14" s="120" t="n"/>
      <c r="F14" s="120">
        <f>D14+E14</f>
        <v/>
      </c>
      <c r="G14" s="120">
        <f>C14-F14</f>
        <v/>
      </c>
      <c r="H14" s="127">
        <f>IF(C14=0,"",F14/C14)</f>
        <v/>
      </c>
    </row>
    <row r="15">
      <c r="A15" s="119" t="n"/>
      <c r="B15" s="119" t="n"/>
      <c r="C15" s="120" t="n"/>
      <c r="D15" s="120" t="n"/>
      <c r="E15" s="120" t="n"/>
      <c r="F15" s="120">
        <f>D15+E15</f>
        <v/>
      </c>
      <c r="G15" s="120">
        <f>C15-F15</f>
        <v/>
      </c>
      <c r="H15" s="127">
        <f>IF(C15=0,"",F15/C15)</f>
        <v/>
      </c>
    </row>
    <row r="16">
      <c r="A16" s="119" t="n"/>
      <c r="B16" s="119" t="n"/>
      <c r="C16" s="120" t="n"/>
      <c r="D16" s="120" t="n"/>
      <c r="E16" s="120" t="n"/>
      <c r="F16" s="120">
        <f>D16+E16</f>
        <v/>
      </c>
      <c r="G16" s="120">
        <f>C16-F16</f>
        <v/>
      </c>
      <c r="H16" s="127">
        <f>IF(C16=0,"",F16/C16)</f>
        <v/>
      </c>
    </row>
    <row r="17">
      <c r="A17" s="119" t="n"/>
      <c r="B17" s="119" t="n"/>
      <c r="C17" s="120" t="n"/>
      <c r="D17" s="120" t="n"/>
      <c r="E17" s="120" t="n"/>
      <c r="F17" s="120">
        <f>D17+E17</f>
        <v/>
      </c>
      <c r="G17" s="120">
        <f>C17-F17</f>
        <v/>
      </c>
      <c r="H17" s="127">
        <f>IF(C17=0,"",F17/C17)</f>
        <v/>
      </c>
    </row>
    <row r="18">
      <c r="A18" s="119" t="n"/>
      <c r="B18" s="119" t="n"/>
      <c r="C18" s="120" t="n"/>
      <c r="D18" s="120" t="n"/>
      <c r="E18" s="120" t="n"/>
      <c r="F18" s="120">
        <f>D18+E18</f>
        <v/>
      </c>
      <c r="G18" s="120">
        <f>C18-F18</f>
        <v/>
      </c>
      <c r="H18" s="127">
        <f>IF(C18=0,"",F18/C18)</f>
        <v/>
      </c>
    </row>
    <row r="19">
      <c r="A19" s="119" t="n"/>
      <c r="B19" s="119" t="n"/>
      <c r="C19" s="120" t="n"/>
      <c r="D19" s="120" t="n"/>
      <c r="E19" s="120" t="n"/>
      <c r="F19" s="120">
        <f>D19+E19</f>
        <v/>
      </c>
      <c r="G19" s="120">
        <f>C19-F19</f>
        <v/>
      </c>
      <c r="H19" s="127">
        <f>IF(C19=0,"",F19/C19)</f>
        <v/>
      </c>
    </row>
    <row r="20">
      <c r="A20" s="119" t="n"/>
      <c r="B20" s="119" t="n"/>
      <c r="C20" s="120" t="n"/>
      <c r="D20" s="120" t="n"/>
      <c r="E20" s="120" t="n"/>
      <c r="F20" s="120">
        <f>D20+E20</f>
        <v/>
      </c>
      <c r="G20" s="120">
        <f>C20-F20</f>
        <v/>
      </c>
      <c r="H20" s="127">
        <f>IF(C20=0,"",F20/C20)</f>
        <v/>
      </c>
    </row>
    <row r="21">
      <c r="A21" s="6" t="n"/>
      <c r="B21" s="6" t="inlineStr">
        <is>
          <t>TOTAL</t>
        </is>
      </c>
      <c r="C21" s="7">
        <f>SUM(C9:C20)</f>
        <v/>
      </c>
      <c r="D21" s="7">
        <f>SUM(D9:D20)</f>
        <v/>
      </c>
      <c r="E21" s="7">
        <f>SUM(E9:E20)</f>
        <v/>
      </c>
      <c r="F21" s="7">
        <f>SUM(F9:F20)</f>
        <v/>
      </c>
      <c r="G21" s="7">
        <f>SUM(G9:G20)</f>
        <v/>
      </c>
      <c r="H21" s="132">
        <f>IF(C21=0,"",F21/C21)</f>
        <v/>
      </c>
    </row>
    <row r="22"/>
    <row r="23">
      <c r="A23" s="121" t="inlineStr">
        <is>
          <t>Remplir code et libellé suivant la nomenclature budgétaire de l'entité ; expliquer les écarts significatifs entre budget et réalisation.</t>
        </is>
      </c>
    </row>
    <row r="24"/>
    <row r="25" ht="34" customHeight="1">
      <c r="A25" s="122">
        <f>IF(SUM(C9:C21,D9:D21,E9:E21,F9:F21,G9:G21)=0,"NÉANT","")</f>
        <v/>
      </c>
    </row>
    <row r="26" ht="34" customHeight="1"/>
    <row r="27" ht="34" customHeight="1"/>
  </sheetData>
  <mergeCells count="4">
    <mergeCell ref="A7:H7"/>
    <mergeCell ref="G2:H2"/>
    <mergeCell ref="A25:H27"/>
    <mergeCell ref="B4:E4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154"/>
  <sheetViews>
    <sheetView showGridLines="0" workbookViewId="0">
      <selection activeCell="A1" sqref="A1"/>
    </sheetView>
  </sheetViews>
  <sheetFormatPr baseColWidth="8" defaultRowHeight="15"/>
  <cols>
    <col width="11.2" customWidth="1" min="1" max="1"/>
    <col width="14.8" customWidth="1" min="2" max="2"/>
    <col width="11.5" customWidth="1" min="3" max="3"/>
    <col width="19.8" customWidth="1" min="4" max="4"/>
    <col width="14.5" customWidth="1" min="5" max="5"/>
    <col width="10.3" customWidth="1" min="6" max="6"/>
    <col width="13.5" customWidth="1" min="7" max="7"/>
    <col width="6.3" customWidth="1" min="8" max="8"/>
  </cols>
  <sheetData>
    <row r="1" ht="26" customHeight="1">
      <c r="A1" s="55" t="inlineStr">
        <is>
          <t>TABLE DES COMMENTAIRES</t>
        </is>
      </c>
      <c r="G1" s="133" t="inlineStr">
        <is>
          <t>COMMENTAIRES
PAGE 1/12</t>
        </is>
      </c>
      <c r="H1" s="52" t="n"/>
    </row>
    <row r="2">
      <c r="A2" s="65" t="inlineStr">
        <is>
          <t xml:space="preserve">Dénomination sociale : </t>
        </is>
      </c>
    </row>
    <row r="3">
      <c r="A3" s="65" t="inlineStr">
        <is>
          <t xml:space="preserve">Adresse : </t>
        </is>
      </c>
      <c r="F3" s="65" t="inlineStr">
        <is>
          <t xml:space="preserve">Sigle usuel : </t>
        </is>
      </c>
    </row>
    <row r="4">
      <c r="A4" s="65" t="inlineStr">
        <is>
          <t xml:space="preserve">N° de compte contribuable (NCC) : </t>
        </is>
      </c>
      <c r="E4" s="65" t="inlineStr">
        <is>
          <t>Exercice clos le</t>
        </is>
      </c>
      <c r="G4" s="65" t="inlineStr">
        <is>
          <t>Durée (en mois) : 12</t>
        </is>
      </c>
    </row>
    <row r="5">
      <c r="A5" s="65" t="inlineStr">
        <is>
          <t xml:space="preserve">N° de télédéclarant (NTD) : </t>
        </is>
      </c>
    </row>
    <row r="6" ht="17" customHeight="1">
      <c r="A6" s="134" t="inlineStr">
        <is>
          <t>Partie 1 : Informations générales</t>
        </is>
      </c>
      <c r="B6" s="135" t="n"/>
      <c r="C6" s="135" t="n"/>
      <c r="D6" s="135" t="n"/>
      <c r="E6" s="135" t="n"/>
      <c r="F6" s="135" t="n"/>
      <c r="G6" s="135" t="n"/>
      <c r="H6" s="135" t="n"/>
    </row>
    <row r="7" ht="16" customHeight="1">
      <c r="A7" s="136" t="inlineStr">
        <is>
          <t>Note 1</t>
        </is>
      </c>
      <c r="B7" s="137" t="inlineStr">
        <is>
          <t>DETTES GARANTIES PAR DES SÛRETÉS RÉELLES, ENGAGEMENTS FINANCIERS ET CONTRIBUTIONS VOLONTAIRES EN NATURE</t>
        </is>
      </c>
      <c r="C7" s="47" t="n"/>
      <c r="D7" s="47" t="n"/>
      <c r="E7" s="47" t="n"/>
      <c r="F7" s="47" t="n"/>
      <c r="G7" s="47" t="n"/>
      <c r="H7" s="47" t="n"/>
    </row>
    <row r="8" ht="110" customHeight="1">
      <c r="A8" s="138" t="n"/>
      <c r="B8" s="47" t="n"/>
      <c r="C8" s="47" t="n"/>
      <c r="D8" s="47" t="n"/>
      <c r="E8" s="47" t="n"/>
      <c r="F8" s="47" t="n"/>
      <c r="G8" s="47" t="n"/>
      <c r="H8" s="47" t="n"/>
    </row>
    <row r="9" ht="16" customHeight="1">
      <c r="A9" s="136" t="inlineStr">
        <is>
          <t>Note 2</t>
        </is>
      </c>
      <c r="B9" s="137" t="inlineStr">
        <is>
          <t>INFORMATIONS OBLIGATOIRES</t>
        </is>
      </c>
      <c r="C9" s="47" t="n"/>
      <c r="D9" s="47" t="n"/>
      <c r="E9" s="47" t="n"/>
      <c r="F9" s="47" t="n"/>
      <c r="G9" s="47" t="n"/>
      <c r="H9" s="47" t="n"/>
    </row>
    <row r="10" ht="110" customHeight="1">
      <c r="A10" s="138" t="n"/>
      <c r="B10" s="47" t="n"/>
      <c r="C10" s="47" t="n"/>
      <c r="D10" s="47" t="n"/>
      <c r="E10" s="47" t="n"/>
      <c r="F10" s="47" t="n"/>
      <c r="G10" s="47" t="n"/>
      <c r="H10" s="47" t="n"/>
    </row>
    <row r="11" ht="16" customHeight="1">
      <c r="A11" s="136" t="inlineStr">
        <is>
          <t>Note 3</t>
        </is>
      </c>
      <c r="B11" s="137" t="inlineStr">
        <is>
          <t>ÉVÈNEMENTS POSTÉRIEURS À LA CLÔTURE DE L'EXERCICE</t>
        </is>
      </c>
      <c r="C11" s="47" t="n"/>
      <c r="D11" s="47" t="n"/>
      <c r="E11" s="47" t="n"/>
      <c r="F11" s="47" t="n"/>
      <c r="G11" s="47" t="n"/>
      <c r="H11" s="47" t="n"/>
    </row>
    <row r="12" ht="110" customHeight="1">
      <c r="A12" s="138" t="n"/>
      <c r="B12" s="47" t="n"/>
      <c r="C12" s="47" t="n"/>
      <c r="D12" s="47" t="n"/>
      <c r="E12" s="47" t="n"/>
      <c r="F12" s="47" t="n"/>
      <c r="G12" s="47" t="n"/>
      <c r="H12" s="47" t="n"/>
    </row>
    <row r="13" ht="16" customHeight="1">
      <c r="A13" s="136" t="inlineStr">
        <is>
          <t>Note 4</t>
        </is>
      </c>
      <c r="B13" s="137" t="inlineStr">
        <is>
          <t>CHANGEMENTS DE MÉTHODES COMPTABLES, D'ESTIMATIONS ET CORRECTIONS D'ERREURS</t>
        </is>
      </c>
      <c r="C13" s="47" t="n"/>
      <c r="D13" s="47" t="n"/>
      <c r="E13" s="47" t="n"/>
      <c r="F13" s="47" t="n"/>
      <c r="G13" s="47" t="n"/>
      <c r="H13" s="47" t="n"/>
    </row>
    <row r="14" ht="110" customHeight="1">
      <c r="A14" s="138" t="n"/>
      <c r="B14" s="47" t="n"/>
      <c r="C14" s="47" t="n"/>
      <c r="D14" s="47" t="n"/>
      <c r="E14" s="47" t="n"/>
      <c r="F14" s="47" t="n"/>
      <c r="G14" s="47" t="n"/>
      <c r="H14" s="47" t="n"/>
    </row>
    <row r="15" ht="26" customHeight="1">
      <c r="A15" s="55" t="inlineStr">
        <is>
          <t>TABLE DES COMMENTAIRES</t>
        </is>
      </c>
      <c r="G15" s="133" t="inlineStr">
        <is>
          <t>COMMENTAIRES
PAGE 2/12</t>
        </is>
      </c>
      <c r="H15" s="52" t="n"/>
    </row>
    <row r="16">
      <c r="A16" s="65" t="inlineStr">
        <is>
          <t xml:space="preserve">Dénomination sociale : </t>
        </is>
      </c>
    </row>
    <row r="17">
      <c r="A17" s="65" t="inlineStr">
        <is>
          <t xml:space="preserve">Adresse : </t>
        </is>
      </c>
      <c r="F17" s="65" t="inlineStr">
        <is>
          <t xml:space="preserve">Sigle usuel : </t>
        </is>
      </c>
    </row>
    <row r="18">
      <c r="A18" s="65" t="inlineStr">
        <is>
          <t xml:space="preserve">N° de compte contribuable (NCC) : </t>
        </is>
      </c>
      <c r="E18" s="65" t="inlineStr">
        <is>
          <t>Exercice clos le</t>
        </is>
      </c>
      <c r="G18" s="65" t="inlineStr">
        <is>
          <t>Durée (en mois) : 12</t>
        </is>
      </c>
    </row>
    <row r="19">
      <c r="A19" s="65" t="inlineStr">
        <is>
          <t xml:space="preserve">N° de télédéclarant (NTD) : </t>
        </is>
      </c>
    </row>
    <row r="20" ht="17" customHeight="1">
      <c r="A20" s="134" t="inlineStr">
        <is>
          <t>Partie 2 : Notes sur le bilan</t>
        </is>
      </c>
      <c r="B20" s="135" t="n"/>
      <c r="C20" s="135" t="n"/>
      <c r="D20" s="135" t="n"/>
      <c r="E20" s="135" t="n"/>
      <c r="F20" s="135" t="n"/>
      <c r="G20" s="135" t="n"/>
      <c r="H20" s="135" t="n"/>
    </row>
    <row r="21" ht="16" customHeight="1">
      <c r="A21" s="136" t="inlineStr">
        <is>
          <t>Note 5A</t>
        </is>
      </c>
      <c r="B21" s="137" t="inlineStr">
        <is>
          <t>DONS ET LEGS D'IMMOBILISATIONS NON REÇUS DESTINÉS À LA VENTE ET USUFRUIT TEMPORAIRE</t>
        </is>
      </c>
      <c r="C21" s="47" t="n"/>
      <c r="D21" s="47" t="n"/>
      <c r="E21" s="47" t="n"/>
      <c r="F21" s="47" t="n"/>
      <c r="G21" s="47" t="n"/>
      <c r="H21" s="47" t="n"/>
    </row>
    <row r="22" ht="110" customHeight="1">
      <c r="A22" s="138" t="n"/>
      <c r="B22" s="47" t="n"/>
      <c r="C22" s="47" t="n"/>
      <c r="D22" s="47" t="n"/>
      <c r="E22" s="47" t="n"/>
      <c r="F22" s="47" t="n"/>
      <c r="G22" s="47" t="n"/>
      <c r="H22" s="47" t="n"/>
    </row>
    <row r="23" ht="16" customHeight="1">
      <c r="A23" s="136" t="inlineStr">
        <is>
          <t>Note 5B</t>
        </is>
      </c>
      <c r="B23" s="137" t="inlineStr">
        <is>
          <t>IMMOBILISATIONS BRUTES</t>
        </is>
      </c>
      <c r="C23" s="47" t="n"/>
      <c r="D23" s="47" t="n"/>
      <c r="E23" s="47" t="n"/>
      <c r="F23" s="47" t="n"/>
      <c r="G23" s="47" t="n"/>
      <c r="H23" s="47" t="n"/>
    </row>
    <row r="24" ht="110" customHeight="1">
      <c r="A24" s="138" t="n"/>
      <c r="B24" s="47" t="n"/>
      <c r="C24" s="47" t="n"/>
      <c r="D24" s="47" t="n"/>
      <c r="E24" s="47" t="n"/>
      <c r="F24" s="47" t="n"/>
      <c r="G24" s="47" t="n"/>
      <c r="H24" s="47" t="n"/>
    </row>
    <row r="25" ht="16" customHeight="1">
      <c r="A25" s="136" t="inlineStr">
        <is>
          <t>Note 5C</t>
        </is>
      </c>
      <c r="B25" s="137" t="inlineStr">
        <is>
          <t>BIENS PRIS EN LOCATION-ACQUISITION</t>
        </is>
      </c>
      <c r="C25" s="47" t="n"/>
      <c r="D25" s="47" t="n"/>
      <c r="E25" s="47" t="n"/>
      <c r="F25" s="47" t="n"/>
      <c r="G25" s="47" t="n"/>
      <c r="H25" s="47" t="n"/>
    </row>
    <row r="26" ht="110" customHeight="1">
      <c r="A26" s="138" t="n"/>
      <c r="B26" s="47" t="n"/>
      <c r="C26" s="47" t="n"/>
      <c r="D26" s="47" t="n"/>
      <c r="E26" s="47" t="n"/>
      <c r="F26" s="47" t="n"/>
      <c r="G26" s="47" t="n"/>
      <c r="H26" s="47" t="n"/>
    </row>
    <row r="27" ht="16" customHeight="1">
      <c r="A27" s="136" t="inlineStr">
        <is>
          <t>Note 5D</t>
        </is>
      </c>
      <c r="B27" s="137" t="inlineStr">
        <is>
          <t>DONS ET LEGS D'IMMOBILISATIONS NON REÇUS DESTINÉS À LA VENTE ET USUFRUIT TEMPORAIRE (AMORTISSEMENTS ET DÉPRÉCIATIONS)</t>
        </is>
      </c>
      <c r="C27" s="47" t="n"/>
      <c r="D27" s="47" t="n"/>
      <c r="E27" s="47" t="n"/>
      <c r="F27" s="47" t="n"/>
      <c r="G27" s="47" t="n"/>
      <c r="H27" s="47" t="n"/>
    </row>
    <row r="28" ht="110" customHeight="1">
      <c r="A28" s="138" t="n"/>
      <c r="B28" s="47" t="n"/>
      <c r="C28" s="47" t="n"/>
      <c r="D28" s="47" t="n"/>
      <c r="E28" s="47" t="n"/>
      <c r="F28" s="47" t="n"/>
      <c r="G28" s="47" t="n"/>
      <c r="H28" s="47" t="n"/>
    </row>
    <row r="29" ht="26" customHeight="1">
      <c r="A29" s="55" t="inlineStr">
        <is>
          <t>TABLE DES COMMENTAIRES</t>
        </is>
      </c>
      <c r="G29" s="133" t="inlineStr">
        <is>
          <t>COMMENTAIRES
PAGE 3/12</t>
        </is>
      </c>
      <c r="H29" s="52" t="n"/>
    </row>
    <row r="30">
      <c r="A30" s="65" t="inlineStr">
        <is>
          <t xml:space="preserve">Dénomination sociale : </t>
        </is>
      </c>
    </row>
    <row r="31">
      <c r="A31" s="65" t="inlineStr">
        <is>
          <t xml:space="preserve">Adresse : </t>
        </is>
      </c>
      <c r="F31" s="65" t="inlineStr">
        <is>
          <t xml:space="preserve">Sigle usuel : </t>
        </is>
      </c>
    </row>
    <row r="32">
      <c r="A32" s="65" t="inlineStr">
        <is>
          <t xml:space="preserve">N° de compte contribuable (NCC) : </t>
        </is>
      </c>
      <c r="E32" s="65" t="inlineStr">
        <is>
          <t>Exercice clos le</t>
        </is>
      </c>
      <c r="G32" s="65" t="inlineStr">
        <is>
          <t>Durée (en mois) : 12</t>
        </is>
      </c>
    </row>
    <row r="33">
      <c r="A33" s="65" t="inlineStr">
        <is>
          <t xml:space="preserve">N° de télédéclarant (NTD) : </t>
        </is>
      </c>
    </row>
    <row r="34" ht="16" customHeight="1">
      <c r="A34" s="136" t="inlineStr">
        <is>
          <t>Note 5E</t>
        </is>
      </c>
      <c r="B34" s="137" t="inlineStr">
        <is>
          <t>IMMOBILISATIONS : AMORTISSEMENTS</t>
        </is>
      </c>
      <c r="C34" s="47" t="n"/>
      <c r="D34" s="47" t="n"/>
      <c r="E34" s="47" t="n"/>
      <c r="F34" s="47" t="n"/>
      <c r="G34" s="47" t="n"/>
      <c r="H34" s="47" t="n"/>
    </row>
    <row r="35" ht="110" customHeight="1">
      <c r="A35" s="138" t="n"/>
      <c r="B35" s="47" t="n"/>
      <c r="C35" s="47" t="n"/>
      <c r="D35" s="47" t="n"/>
      <c r="E35" s="47" t="n"/>
      <c r="F35" s="47" t="n"/>
      <c r="G35" s="47" t="n"/>
      <c r="H35" s="47" t="n"/>
    </row>
    <row r="36" ht="16" customHeight="1">
      <c r="A36" s="136" t="inlineStr">
        <is>
          <t>Note 5F</t>
        </is>
      </c>
      <c r="B36" s="137" t="inlineStr">
        <is>
          <t>IMMOBILISATIONS : DÉPRÉCIATIONS</t>
        </is>
      </c>
      <c r="C36" s="47" t="n"/>
      <c r="D36" s="47" t="n"/>
      <c r="E36" s="47" t="n"/>
      <c r="F36" s="47" t="n"/>
      <c r="G36" s="47" t="n"/>
      <c r="H36" s="47" t="n"/>
    </row>
    <row r="37" ht="110" customHeight="1">
      <c r="A37" s="138" t="n"/>
      <c r="B37" s="47" t="n"/>
      <c r="C37" s="47" t="n"/>
      <c r="D37" s="47" t="n"/>
      <c r="E37" s="47" t="n"/>
      <c r="F37" s="47" t="n"/>
      <c r="G37" s="47" t="n"/>
      <c r="H37" s="47" t="n"/>
    </row>
    <row r="38" ht="16" customHeight="1">
      <c r="A38" s="136" t="inlineStr">
        <is>
          <t>Note 5G</t>
        </is>
      </c>
      <c r="B38" s="137" t="inlineStr">
        <is>
          <t>IMMOBILISATIONS : PLUS-VALUES ET MOINS-VALUES DE CESSION</t>
        </is>
      </c>
      <c r="C38" s="47" t="n"/>
      <c r="D38" s="47" t="n"/>
      <c r="E38" s="47" t="n"/>
      <c r="F38" s="47" t="n"/>
      <c r="G38" s="47" t="n"/>
      <c r="H38" s="47" t="n"/>
    </row>
    <row r="39" ht="110" customHeight="1">
      <c r="A39" s="138" t="n"/>
      <c r="B39" s="47" t="n"/>
      <c r="C39" s="47" t="n"/>
      <c r="D39" s="47" t="n"/>
      <c r="E39" s="47" t="n"/>
      <c r="F39" s="47" t="n"/>
      <c r="G39" s="47" t="n"/>
      <c r="H39" s="47" t="n"/>
    </row>
    <row r="40" ht="16" customHeight="1">
      <c r="A40" s="136" t="inlineStr">
        <is>
          <t>Note 5H</t>
        </is>
      </c>
      <c r="B40" s="137" t="inlineStr">
        <is>
          <t>INFORMATIONS SUR LES RÉÉVALUATIONS EFFECTUÉES PAR L'ENTITÉ</t>
        </is>
      </c>
      <c r="C40" s="47" t="n"/>
      <c r="D40" s="47" t="n"/>
      <c r="E40" s="47" t="n"/>
      <c r="F40" s="47" t="n"/>
      <c r="G40" s="47" t="n"/>
      <c r="H40" s="47" t="n"/>
    </row>
    <row r="41" ht="110" customHeight="1">
      <c r="A41" s="138" t="n"/>
      <c r="B41" s="47" t="n"/>
      <c r="C41" s="47" t="n"/>
      <c r="D41" s="47" t="n"/>
      <c r="E41" s="47" t="n"/>
      <c r="F41" s="47" t="n"/>
      <c r="G41" s="47" t="n"/>
      <c r="H41" s="47" t="n"/>
    </row>
    <row r="42" ht="26" customHeight="1">
      <c r="A42" s="55" t="inlineStr">
        <is>
          <t>TABLE DES COMMENTAIRES</t>
        </is>
      </c>
      <c r="G42" s="133" t="inlineStr">
        <is>
          <t>COMMENTAIRES
PAGE 4/12</t>
        </is>
      </c>
      <c r="H42" s="52" t="n"/>
    </row>
    <row r="43">
      <c r="A43" s="65" t="inlineStr">
        <is>
          <t xml:space="preserve">Dénomination sociale : </t>
        </is>
      </c>
    </row>
    <row r="44">
      <c r="A44" s="65" t="inlineStr">
        <is>
          <t xml:space="preserve">Adresse : </t>
        </is>
      </c>
      <c r="F44" s="65" t="inlineStr">
        <is>
          <t xml:space="preserve">Sigle usuel : </t>
        </is>
      </c>
    </row>
    <row r="45">
      <c r="A45" s="65" t="inlineStr">
        <is>
          <t xml:space="preserve">N° de compte contribuable (NCC) : </t>
        </is>
      </c>
      <c r="E45" s="65" t="inlineStr">
        <is>
          <t>Exercice clos le</t>
        </is>
      </c>
      <c r="G45" s="65" t="inlineStr">
        <is>
          <t>Durée (en mois) : 12</t>
        </is>
      </c>
    </row>
    <row r="46">
      <c r="A46" s="65" t="inlineStr">
        <is>
          <t xml:space="preserve">N° de télédéclarant (NTD) : </t>
        </is>
      </c>
    </row>
    <row r="47" ht="16" customHeight="1">
      <c r="A47" s="136" t="inlineStr">
        <is>
          <t>Note 6</t>
        </is>
      </c>
      <c r="B47" s="137" t="inlineStr">
        <is>
          <t>IMMOBILISATIONS FINANCIÈRES</t>
        </is>
      </c>
      <c r="C47" s="47" t="n"/>
      <c r="D47" s="47" t="n"/>
      <c r="E47" s="47" t="n"/>
      <c r="F47" s="47" t="n"/>
      <c r="G47" s="47" t="n"/>
      <c r="H47" s="47" t="n"/>
    </row>
    <row r="48" ht="110" customHeight="1">
      <c r="A48" s="138" t="n"/>
      <c r="B48" s="47" t="n"/>
      <c r="C48" s="47" t="n"/>
      <c r="D48" s="47" t="n"/>
      <c r="E48" s="47" t="n"/>
      <c r="F48" s="47" t="n"/>
      <c r="G48" s="47" t="n"/>
      <c r="H48" s="47" t="n"/>
    </row>
    <row r="49" ht="16" customHeight="1">
      <c r="A49" s="136" t="inlineStr">
        <is>
          <t>Note 7</t>
        </is>
      </c>
      <c r="B49" s="137" t="inlineStr">
        <is>
          <t>ACTIF CIRCULANT ET DETTES CIRCULANTES HAO</t>
        </is>
      </c>
      <c r="C49" s="47" t="n"/>
      <c r="D49" s="47" t="n"/>
      <c r="E49" s="47" t="n"/>
      <c r="F49" s="47" t="n"/>
      <c r="G49" s="47" t="n"/>
      <c r="H49" s="47" t="n"/>
    </row>
    <row r="50" ht="110" customHeight="1">
      <c r="A50" s="138" t="n"/>
      <c r="B50" s="47" t="n"/>
      <c r="C50" s="47" t="n"/>
      <c r="D50" s="47" t="n"/>
      <c r="E50" s="47" t="n"/>
      <c r="F50" s="47" t="n"/>
      <c r="G50" s="47" t="n"/>
      <c r="H50" s="47" t="n"/>
    </row>
    <row r="51" ht="16" customHeight="1">
      <c r="A51" s="136" t="inlineStr">
        <is>
          <t>Note 8</t>
        </is>
      </c>
      <c r="B51" s="137" t="inlineStr">
        <is>
          <t>STOCKS ET ENCOURS</t>
        </is>
      </c>
      <c r="C51" s="47" t="n"/>
      <c r="D51" s="47" t="n"/>
      <c r="E51" s="47" t="n"/>
      <c r="F51" s="47" t="n"/>
      <c r="G51" s="47" t="n"/>
      <c r="H51" s="47" t="n"/>
    </row>
    <row r="52" ht="110" customHeight="1">
      <c r="A52" s="138" t="n"/>
      <c r="B52" s="47" t="n"/>
      <c r="C52" s="47" t="n"/>
      <c r="D52" s="47" t="n"/>
      <c r="E52" s="47" t="n"/>
      <c r="F52" s="47" t="n"/>
      <c r="G52" s="47" t="n"/>
      <c r="H52" s="47" t="n"/>
    </row>
    <row r="53" ht="16" customHeight="1">
      <c r="A53" s="136" t="inlineStr">
        <is>
          <t>Note 9</t>
        </is>
      </c>
      <c r="B53" s="137" t="inlineStr">
        <is>
          <t>ADHÉRENTS, CLIENTS-USAGERS</t>
        </is>
      </c>
      <c r="C53" s="47" t="n"/>
      <c r="D53" s="47" t="n"/>
      <c r="E53" s="47" t="n"/>
      <c r="F53" s="47" t="n"/>
      <c r="G53" s="47" t="n"/>
      <c r="H53" s="47" t="n"/>
    </row>
    <row r="54" ht="110" customHeight="1">
      <c r="A54" s="138" t="n"/>
      <c r="B54" s="47" t="n"/>
      <c r="C54" s="47" t="n"/>
      <c r="D54" s="47" t="n"/>
      <c r="E54" s="47" t="n"/>
      <c r="F54" s="47" t="n"/>
      <c r="G54" s="47" t="n"/>
      <c r="H54" s="47" t="n"/>
    </row>
    <row r="55" ht="26" customHeight="1">
      <c r="A55" s="55" t="inlineStr">
        <is>
          <t>TABLE DES COMMENTAIRES</t>
        </is>
      </c>
      <c r="G55" s="133" t="inlineStr">
        <is>
          <t>COMMENTAIRES
PAGE 5/12</t>
        </is>
      </c>
      <c r="H55" s="52" t="n"/>
    </row>
    <row r="56">
      <c r="A56" s="65" t="inlineStr">
        <is>
          <t xml:space="preserve">Dénomination sociale : </t>
        </is>
      </c>
    </row>
    <row r="57">
      <c r="A57" s="65" t="inlineStr">
        <is>
          <t xml:space="preserve">Adresse : </t>
        </is>
      </c>
      <c r="F57" s="65" t="inlineStr">
        <is>
          <t xml:space="preserve">Sigle usuel : </t>
        </is>
      </c>
    </row>
    <row r="58">
      <c r="A58" s="65" t="inlineStr">
        <is>
          <t xml:space="preserve">N° de compte contribuable (NCC) : </t>
        </is>
      </c>
      <c r="E58" s="65" t="inlineStr">
        <is>
          <t>Exercice clos le</t>
        </is>
      </c>
      <c r="G58" s="65" t="inlineStr">
        <is>
          <t>Durée (en mois) : 12</t>
        </is>
      </c>
    </row>
    <row r="59">
      <c r="A59" s="65" t="inlineStr">
        <is>
          <t xml:space="preserve">N° de télédéclarant (NTD) : </t>
        </is>
      </c>
    </row>
    <row r="60" ht="16" customHeight="1">
      <c r="A60" s="136" t="inlineStr">
        <is>
          <t>Note 10</t>
        </is>
      </c>
      <c r="B60" s="137" t="inlineStr">
        <is>
          <t>AUTRES CRÉANCES</t>
        </is>
      </c>
      <c r="C60" s="47" t="n"/>
      <c r="D60" s="47" t="n"/>
      <c r="E60" s="47" t="n"/>
      <c r="F60" s="47" t="n"/>
      <c r="G60" s="47" t="n"/>
      <c r="H60" s="47" t="n"/>
    </row>
    <row r="61" ht="110" customHeight="1">
      <c r="A61" s="138" t="n"/>
      <c r="B61" s="47" t="n"/>
      <c r="C61" s="47" t="n"/>
      <c r="D61" s="47" t="n"/>
      <c r="E61" s="47" t="n"/>
      <c r="F61" s="47" t="n"/>
      <c r="G61" s="47" t="n"/>
      <c r="H61" s="47" t="n"/>
    </row>
    <row r="62" ht="16" customHeight="1">
      <c r="A62" s="136" t="inlineStr">
        <is>
          <t>Note 11</t>
        </is>
      </c>
      <c r="B62" s="137" t="inlineStr">
        <is>
          <t>TITRES DE PLACEMENT</t>
        </is>
      </c>
      <c r="C62" s="47" t="n"/>
      <c r="D62" s="47" t="n"/>
      <c r="E62" s="47" t="n"/>
      <c r="F62" s="47" t="n"/>
      <c r="G62" s="47" t="n"/>
      <c r="H62" s="47" t="n"/>
    </row>
    <row r="63" ht="110" customHeight="1">
      <c r="A63" s="138" t="n"/>
      <c r="B63" s="47" t="n"/>
      <c r="C63" s="47" t="n"/>
      <c r="D63" s="47" t="n"/>
      <c r="E63" s="47" t="n"/>
      <c r="F63" s="47" t="n"/>
      <c r="G63" s="47" t="n"/>
      <c r="H63" s="47" t="n"/>
    </row>
    <row r="64" ht="16" customHeight="1">
      <c r="A64" s="136" t="inlineStr">
        <is>
          <t>Note 12</t>
        </is>
      </c>
      <c r="B64" s="137" t="inlineStr">
        <is>
          <t>VALEURS À ENCAISSER</t>
        </is>
      </c>
      <c r="C64" s="47" t="n"/>
      <c r="D64" s="47" t="n"/>
      <c r="E64" s="47" t="n"/>
      <c r="F64" s="47" t="n"/>
      <c r="G64" s="47" t="n"/>
      <c r="H64" s="47" t="n"/>
    </row>
    <row r="65" ht="110" customHeight="1">
      <c r="A65" s="138" t="n"/>
      <c r="B65" s="47" t="n"/>
      <c r="C65" s="47" t="n"/>
      <c r="D65" s="47" t="n"/>
      <c r="E65" s="47" t="n"/>
      <c r="F65" s="47" t="n"/>
      <c r="G65" s="47" t="n"/>
      <c r="H65" s="47" t="n"/>
    </row>
    <row r="66" ht="16" customHeight="1">
      <c r="A66" s="136" t="inlineStr">
        <is>
          <t>Note 13</t>
        </is>
      </c>
      <c r="B66" s="137" t="inlineStr">
        <is>
          <t>DISPONIBILITÉS</t>
        </is>
      </c>
      <c r="C66" s="47" t="n"/>
      <c r="D66" s="47" t="n"/>
      <c r="E66" s="47" t="n"/>
      <c r="F66" s="47" t="n"/>
      <c r="G66" s="47" t="n"/>
      <c r="H66" s="47" t="n"/>
    </row>
    <row r="67" ht="110" customHeight="1">
      <c r="A67" s="138" t="n"/>
      <c r="B67" s="47" t="n"/>
      <c r="C67" s="47" t="n"/>
      <c r="D67" s="47" t="n"/>
      <c r="E67" s="47" t="n"/>
      <c r="F67" s="47" t="n"/>
      <c r="G67" s="47" t="n"/>
      <c r="H67" s="47" t="n"/>
    </row>
    <row r="68" ht="26" customHeight="1">
      <c r="A68" s="55" t="inlineStr">
        <is>
          <t>TABLE DES COMMENTAIRES</t>
        </is>
      </c>
      <c r="G68" s="133" t="inlineStr">
        <is>
          <t>COMMENTAIRES
PAGE 6/12</t>
        </is>
      </c>
      <c r="H68" s="52" t="n"/>
    </row>
    <row r="69">
      <c r="A69" s="65" t="inlineStr">
        <is>
          <t xml:space="preserve">Dénomination sociale : </t>
        </is>
      </c>
    </row>
    <row r="70">
      <c r="A70" s="65" t="inlineStr">
        <is>
          <t xml:space="preserve">Adresse : </t>
        </is>
      </c>
      <c r="F70" s="65" t="inlineStr">
        <is>
          <t xml:space="preserve">Sigle usuel : </t>
        </is>
      </c>
    </row>
    <row r="71">
      <c r="A71" s="65" t="inlineStr">
        <is>
          <t xml:space="preserve">N° de compte contribuable (NCC) : </t>
        </is>
      </c>
      <c r="E71" s="65" t="inlineStr">
        <is>
          <t>Exercice clos le</t>
        </is>
      </c>
      <c r="G71" s="65" t="inlineStr">
        <is>
          <t>Durée (en mois) : 12</t>
        </is>
      </c>
    </row>
    <row r="72">
      <c r="A72" s="65" t="inlineStr">
        <is>
          <t xml:space="preserve">N° de télédéclarant (NTD) : </t>
        </is>
      </c>
    </row>
    <row r="73" ht="16" customHeight="1">
      <c r="A73" s="136" t="inlineStr">
        <is>
          <t>Note 14</t>
        </is>
      </c>
      <c r="B73" s="137" t="inlineStr">
        <is>
          <t>ÉCARTS DE CONVERSION</t>
        </is>
      </c>
      <c r="C73" s="47" t="n"/>
      <c r="D73" s="47" t="n"/>
      <c r="E73" s="47" t="n"/>
      <c r="F73" s="47" t="n"/>
      <c r="G73" s="47" t="n"/>
      <c r="H73" s="47" t="n"/>
    </row>
    <row r="74" ht="110" customHeight="1">
      <c r="A74" s="138" t="n"/>
      <c r="B74" s="47" t="n"/>
      <c r="C74" s="47" t="n"/>
      <c r="D74" s="47" t="n"/>
      <c r="E74" s="47" t="n"/>
      <c r="F74" s="47" t="n"/>
      <c r="G74" s="47" t="n"/>
      <c r="H74" s="47" t="n"/>
    </row>
    <row r="75" ht="16" customHeight="1">
      <c r="A75" s="136" t="inlineStr">
        <is>
          <t>Note 15</t>
        </is>
      </c>
      <c r="B75" s="137" t="inlineStr">
        <is>
          <t>DOTATION</t>
        </is>
      </c>
      <c r="C75" s="47" t="n"/>
      <c r="D75" s="47" t="n"/>
      <c r="E75" s="47" t="n"/>
      <c r="F75" s="47" t="n"/>
      <c r="G75" s="47" t="n"/>
      <c r="H75" s="47" t="n"/>
    </row>
    <row r="76" ht="110" customHeight="1">
      <c r="A76" s="138" t="n"/>
      <c r="B76" s="47" t="n"/>
      <c r="C76" s="47" t="n"/>
      <c r="D76" s="47" t="n"/>
      <c r="E76" s="47" t="n"/>
      <c r="F76" s="47" t="n"/>
      <c r="G76" s="47" t="n"/>
      <c r="H76" s="47" t="n"/>
    </row>
    <row r="77" ht="16" customHeight="1">
      <c r="A77" s="136" t="inlineStr">
        <is>
          <t>Note 16</t>
        </is>
      </c>
      <c r="B77" s="137" t="inlineStr">
        <is>
          <t>RÉSERVES</t>
        </is>
      </c>
      <c r="C77" s="47" t="n"/>
      <c r="D77" s="47" t="n"/>
      <c r="E77" s="47" t="n"/>
      <c r="F77" s="47" t="n"/>
      <c r="G77" s="47" t="n"/>
      <c r="H77" s="47" t="n"/>
    </row>
    <row r="78" ht="110" customHeight="1">
      <c r="A78" s="138" t="n"/>
      <c r="B78" s="47" t="n"/>
      <c r="C78" s="47" t="n"/>
      <c r="D78" s="47" t="n"/>
      <c r="E78" s="47" t="n"/>
      <c r="F78" s="47" t="n"/>
      <c r="G78" s="47" t="n"/>
      <c r="H78" s="47" t="n"/>
    </row>
    <row r="79" ht="16" customHeight="1">
      <c r="A79" s="136" t="inlineStr">
        <is>
          <t>Note 17A</t>
        </is>
      </c>
      <c r="B79" s="137" t="inlineStr">
        <is>
          <t>SUBVENTIONS ET PROVISIONS RÉGLEMENTÉES</t>
        </is>
      </c>
      <c r="C79" s="47" t="n"/>
      <c r="D79" s="47" t="n"/>
      <c r="E79" s="47" t="n"/>
      <c r="F79" s="47" t="n"/>
      <c r="G79" s="47" t="n"/>
      <c r="H79" s="47" t="n"/>
    </row>
    <row r="80" ht="110" customHeight="1">
      <c r="A80" s="138" t="n"/>
      <c r="B80" s="47" t="n"/>
      <c r="C80" s="47" t="n"/>
      <c r="D80" s="47" t="n"/>
      <c r="E80" s="47" t="n"/>
      <c r="F80" s="47" t="n"/>
      <c r="G80" s="47" t="n"/>
      <c r="H80" s="47" t="n"/>
    </row>
    <row r="81" ht="26" customHeight="1">
      <c r="A81" s="55" t="inlineStr">
        <is>
          <t>TABLE DES COMMENTAIRES</t>
        </is>
      </c>
      <c r="G81" s="133" t="inlineStr">
        <is>
          <t>COMMENTAIRES
PAGE 7/12</t>
        </is>
      </c>
      <c r="H81" s="52" t="n"/>
    </row>
    <row r="82">
      <c r="A82" s="65" t="inlineStr">
        <is>
          <t xml:space="preserve">Dénomination sociale : </t>
        </is>
      </c>
    </row>
    <row r="83">
      <c r="A83" s="65" t="inlineStr">
        <is>
          <t xml:space="preserve">Adresse : </t>
        </is>
      </c>
      <c r="F83" s="65" t="inlineStr">
        <is>
          <t xml:space="preserve">Sigle usuel : </t>
        </is>
      </c>
    </row>
    <row r="84">
      <c r="A84" s="65" t="inlineStr">
        <is>
          <t xml:space="preserve">N° de compte contribuable (NCC) : </t>
        </is>
      </c>
      <c r="E84" s="65" t="inlineStr">
        <is>
          <t>Exercice clos le</t>
        </is>
      </c>
      <c r="G84" s="65" t="inlineStr">
        <is>
          <t>Durée (en mois) : 12</t>
        </is>
      </c>
    </row>
    <row r="85">
      <c r="A85" s="65" t="inlineStr">
        <is>
          <t xml:space="preserve">N° de télédéclarant (NTD) : </t>
        </is>
      </c>
    </row>
    <row r="86" ht="16" customHeight="1">
      <c r="A86" s="136" t="inlineStr">
        <is>
          <t>Note 17B</t>
        </is>
      </c>
      <c r="B86" s="137" t="inlineStr">
        <is>
          <t>FONDS AFFECTÉS ET REPORTÉS</t>
        </is>
      </c>
      <c r="C86" s="47" t="n"/>
      <c r="D86" s="47" t="n"/>
      <c r="E86" s="47" t="n"/>
      <c r="F86" s="47" t="n"/>
      <c r="G86" s="47" t="n"/>
      <c r="H86" s="47" t="n"/>
    </row>
    <row r="87" ht="110" customHeight="1">
      <c r="A87" s="138" t="n"/>
      <c r="B87" s="47" t="n"/>
      <c r="C87" s="47" t="n"/>
      <c r="D87" s="47" t="n"/>
      <c r="E87" s="47" t="n"/>
      <c r="F87" s="47" t="n"/>
      <c r="G87" s="47" t="n"/>
      <c r="H87" s="47" t="n"/>
    </row>
    <row r="88" ht="16" customHeight="1">
      <c r="A88" s="136" t="inlineStr">
        <is>
          <t>Note 18A</t>
        </is>
      </c>
      <c r="B88" s="137" t="inlineStr">
        <is>
          <t>DETTES FINANCIÈRES ET RESSOURCES ASSIMILÉES</t>
        </is>
      </c>
      <c r="C88" s="47" t="n"/>
      <c r="D88" s="47" t="n"/>
      <c r="E88" s="47" t="n"/>
      <c r="F88" s="47" t="n"/>
      <c r="G88" s="47" t="n"/>
      <c r="H88" s="47" t="n"/>
    </row>
    <row r="89" ht="110" customHeight="1">
      <c r="A89" s="138" t="n"/>
      <c r="B89" s="47" t="n"/>
      <c r="C89" s="47" t="n"/>
      <c r="D89" s="47" t="n"/>
      <c r="E89" s="47" t="n"/>
      <c r="F89" s="47" t="n"/>
      <c r="G89" s="47" t="n"/>
      <c r="H89" s="47" t="n"/>
    </row>
    <row r="90" ht="16" customHeight="1">
      <c r="A90" s="136" t="inlineStr">
        <is>
          <t>Note 18B</t>
        </is>
      </c>
      <c r="B90" s="137" t="inlineStr">
        <is>
          <t>ACTIFS ET PASSIFS ÉVENTUELS</t>
        </is>
      </c>
      <c r="C90" s="47" t="n"/>
      <c r="D90" s="47" t="n"/>
      <c r="E90" s="47" t="n"/>
      <c r="F90" s="47" t="n"/>
      <c r="G90" s="47" t="n"/>
      <c r="H90" s="47" t="n"/>
    </row>
    <row r="91" ht="110" customHeight="1">
      <c r="A91" s="138" t="n"/>
      <c r="B91" s="47" t="n"/>
      <c r="C91" s="47" t="n"/>
      <c r="D91" s="47" t="n"/>
      <c r="E91" s="47" t="n"/>
      <c r="F91" s="47" t="n"/>
      <c r="G91" s="47" t="n"/>
      <c r="H91" s="47" t="n"/>
    </row>
    <row r="92" ht="16" customHeight="1">
      <c r="A92" s="136" t="inlineStr">
        <is>
          <t>Note 19</t>
        </is>
      </c>
      <c r="B92" s="137" t="inlineStr">
        <is>
          <t>FOURNISSEURS D'EXPLOITATION</t>
        </is>
      </c>
      <c r="C92" s="47" t="n"/>
      <c r="D92" s="47" t="n"/>
      <c r="E92" s="47" t="n"/>
      <c r="F92" s="47" t="n"/>
      <c r="G92" s="47" t="n"/>
      <c r="H92" s="47" t="n"/>
    </row>
    <row r="93" ht="110" customHeight="1">
      <c r="A93" s="138" t="n"/>
      <c r="B93" s="47" t="n"/>
      <c r="C93" s="47" t="n"/>
      <c r="D93" s="47" t="n"/>
      <c r="E93" s="47" t="n"/>
      <c r="F93" s="47" t="n"/>
      <c r="G93" s="47" t="n"/>
      <c r="H93" s="47" t="n"/>
    </row>
    <row r="94" ht="26" customHeight="1">
      <c r="A94" s="55" t="inlineStr">
        <is>
          <t>TABLE DES COMMENTAIRES</t>
        </is>
      </c>
      <c r="G94" s="133" t="inlineStr">
        <is>
          <t>COMMENTAIRES
PAGE 8/12</t>
        </is>
      </c>
      <c r="H94" s="52" t="n"/>
    </row>
    <row r="95">
      <c r="A95" s="65" t="inlineStr">
        <is>
          <t xml:space="preserve">Dénomination sociale : </t>
        </is>
      </c>
    </row>
    <row r="96">
      <c r="A96" s="65" t="inlineStr">
        <is>
          <t xml:space="preserve">Adresse : </t>
        </is>
      </c>
      <c r="F96" s="65" t="inlineStr">
        <is>
          <t xml:space="preserve">Sigle usuel : </t>
        </is>
      </c>
    </row>
    <row r="97">
      <c r="A97" s="65" t="inlineStr">
        <is>
          <t xml:space="preserve">N° de compte contribuable (NCC) : </t>
        </is>
      </c>
      <c r="E97" s="65" t="inlineStr">
        <is>
          <t>Exercice clos le</t>
        </is>
      </c>
      <c r="G97" s="65" t="inlineStr">
        <is>
          <t>Durée (en mois) : 12</t>
        </is>
      </c>
    </row>
    <row r="98">
      <c r="A98" s="65" t="inlineStr">
        <is>
          <t xml:space="preserve">N° de télédéclarant (NTD) : </t>
        </is>
      </c>
    </row>
    <row r="99" ht="16" customHeight="1">
      <c r="A99" s="136" t="inlineStr">
        <is>
          <t>Note 20</t>
        </is>
      </c>
      <c r="B99" s="137" t="inlineStr">
        <is>
          <t>DETTES FISCALES ET SOCIALES</t>
        </is>
      </c>
      <c r="C99" s="47" t="n"/>
      <c r="D99" s="47" t="n"/>
      <c r="E99" s="47" t="n"/>
      <c r="F99" s="47" t="n"/>
      <c r="G99" s="47" t="n"/>
      <c r="H99" s="47" t="n"/>
    </row>
    <row r="100" ht="110" customHeight="1">
      <c r="A100" s="138" t="n"/>
      <c r="B100" s="47" t="n"/>
      <c r="C100" s="47" t="n"/>
      <c r="D100" s="47" t="n"/>
      <c r="E100" s="47" t="n"/>
      <c r="F100" s="47" t="n"/>
      <c r="G100" s="47" t="n"/>
      <c r="H100" s="47" t="n"/>
    </row>
    <row r="101" ht="16" customHeight="1">
      <c r="A101" s="136" t="inlineStr">
        <is>
          <t>Note 21</t>
        </is>
      </c>
      <c r="B101" s="137" t="inlineStr">
        <is>
          <t>AUTRES DETTES ET PROVISIONS POUR RISQUES ET CHARGES À COURT TERME</t>
        </is>
      </c>
      <c r="C101" s="47" t="n"/>
      <c r="D101" s="47" t="n"/>
      <c r="E101" s="47" t="n"/>
      <c r="F101" s="47" t="n"/>
      <c r="G101" s="47" t="n"/>
      <c r="H101" s="47" t="n"/>
    </row>
    <row r="102" ht="110" customHeight="1">
      <c r="A102" s="138" t="n"/>
      <c r="B102" s="47" t="n"/>
      <c r="C102" s="47" t="n"/>
      <c r="D102" s="47" t="n"/>
      <c r="E102" s="47" t="n"/>
      <c r="F102" s="47" t="n"/>
      <c r="G102" s="47" t="n"/>
      <c r="H102" s="47" t="n"/>
    </row>
    <row r="103" ht="16" customHeight="1">
      <c r="A103" s="136" t="inlineStr">
        <is>
          <t>Note 22</t>
        </is>
      </c>
      <c r="B103" s="137" t="inlineStr">
        <is>
          <t>BANQUES, CRÉDIT D'ESCOMPTE ET DE TRÉSORERIE</t>
        </is>
      </c>
      <c r="C103" s="47" t="n"/>
      <c r="D103" s="47" t="n"/>
      <c r="E103" s="47" t="n"/>
      <c r="F103" s="47" t="n"/>
      <c r="G103" s="47" t="n"/>
      <c r="H103" s="47" t="n"/>
    </row>
    <row r="104" ht="110" customHeight="1">
      <c r="A104" s="138" t="n"/>
      <c r="B104" s="47" t="n"/>
      <c r="C104" s="47" t="n"/>
      <c r="D104" s="47" t="n"/>
      <c r="E104" s="47" t="n"/>
      <c r="F104" s="47" t="n"/>
      <c r="G104" s="47" t="n"/>
      <c r="H104" s="47" t="n"/>
    </row>
    <row r="105" ht="17" customHeight="1">
      <c r="A105" s="134" t="inlineStr">
        <is>
          <t>Partie 3 : Notes sur le compte de résultat</t>
        </is>
      </c>
      <c r="B105" s="135" t="n"/>
      <c r="C105" s="135" t="n"/>
      <c r="D105" s="135" t="n"/>
      <c r="E105" s="135" t="n"/>
      <c r="F105" s="135" t="n"/>
      <c r="G105" s="135" t="n"/>
      <c r="H105" s="135" t="n"/>
    </row>
    <row r="106" ht="16" customHeight="1">
      <c r="A106" s="136" t="inlineStr">
        <is>
          <t>Note 23</t>
        </is>
      </c>
      <c r="B106" s="137" t="inlineStr">
        <is>
          <t>REVENUS ET AUTRES PRODUITS</t>
        </is>
      </c>
      <c r="C106" s="47" t="n"/>
      <c r="D106" s="47" t="n"/>
      <c r="E106" s="47" t="n"/>
      <c r="F106" s="47" t="n"/>
      <c r="G106" s="47" t="n"/>
      <c r="H106" s="47" t="n"/>
    </row>
    <row r="107" ht="110" customHeight="1">
      <c r="A107" s="138" t="n"/>
      <c r="B107" s="47" t="n"/>
      <c r="C107" s="47" t="n"/>
      <c r="D107" s="47" t="n"/>
      <c r="E107" s="47" t="n"/>
      <c r="F107" s="47" t="n"/>
      <c r="G107" s="47" t="n"/>
      <c r="H107" s="47" t="n"/>
    </row>
    <row r="108" ht="26" customHeight="1">
      <c r="A108" s="55" t="inlineStr">
        <is>
          <t>TABLE DES COMMENTAIRES</t>
        </is>
      </c>
      <c r="G108" s="133" t="inlineStr">
        <is>
          <t>COMMENTAIRES
PAGE 9/12</t>
        </is>
      </c>
      <c r="H108" s="52" t="n"/>
    </row>
    <row r="109">
      <c r="A109" s="65" t="inlineStr">
        <is>
          <t xml:space="preserve">Dénomination sociale : </t>
        </is>
      </c>
    </row>
    <row r="110">
      <c r="A110" s="65" t="inlineStr">
        <is>
          <t xml:space="preserve">Adresse : </t>
        </is>
      </c>
      <c r="F110" s="65" t="inlineStr">
        <is>
          <t xml:space="preserve">Sigle usuel : </t>
        </is>
      </c>
    </row>
    <row r="111">
      <c r="A111" s="65" t="inlineStr">
        <is>
          <t xml:space="preserve">N° de compte contribuable (NCC) : </t>
        </is>
      </c>
      <c r="E111" s="65" t="inlineStr">
        <is>
          <t>Exercice clos le</t>
        </is>
      </c>
      <c r="G111" s="65" t="inlineStr">
        <is>
          <t>Durée (en mois) : 12</t>
        </is>
      </c>
    </row>
    <row r="112">
      <c r="A112" s="65" t="inlineStr">
        <is>
          <t xml:space="preserve">N° de télédéclarant (NTD) : </t>
        </is>
      </c>
    </row>
    <row r="113" ht="16" customHeight="1">
      <c r="A113" s="136" t="inlineStr">
        <is>
          <t>Note 24</t>
        </is>
      </c>
      <c r="B113" s="137" t="inlineStr">
        <is>
          <t>ACHATS</t>
        </is>
      </c>
      <c r="C113" s="47" t="n"/>
      <c r="D113" s="47" t="n"/>
      <c r="E113" s="47" t="n"/>
      <c r="F113" s="47" t="n"/>
      <c r="G113" s="47" t="n"/>
      <c r="H113" s="47" t="n"/>
    </row>
    <row r="114" ht="110" customHeight="1">
      <c r="A114" s="138" t="n"/>
      <c r="B114" s="47" t="n"/>
      <c r="C114" s="47" t="n"/>
      <c r="D114" s="47" t="n"/>
      <c r="E114" s="47" t="n"/>
      <c r="F114" s="47" t="n"/>
      <c r="G114" s="47" t="n"/>
      <c r="H114" s="47" t="n"/>
    </row>
    <row r="115" ht="16" customHeight="1">
      <c r="A115" s="136" t="inlineStr">
        <is>
          <t>Note 25</t>
        </is>
      </c>
      <c r="B115" s="137" t="inlineStr">
        <is>
          <t>TRANSPORTS</t>
        </is>
      </c>
      <c r="C115" s="47" t="n"/>
      <c r="D115" s="47" t="n"/>
      <c r="E115" s="47" t="n"/>
      <c r="F115" s="47" t="n"/>
      <c r="G115" s="47" t="n"/>
      <c r="H115" s="47" t="n"/>
    </row>
    <row r="116" ht="110" customHeight="1">
      <c r="A116" s="138" t="n"/>
      <c r="B116" s="47" t="n"/>
      <c r="C116" s="47" t="n"/>
      <c r="D116" s="47" t="n"/>
      <c r="E116" s="47" t="n"/>
      <c r="F116" s="47" t="n"/>
      <c r="G116" s="47" t="n"/>
      <c r="H116" s="47" t="n"/>
    </row>
    <row r="117" ht="16" customHeight="1">
      <c r="A117" s="136" t="inlineStr">
        <is>
          <t>Note 26</t>
        </is>
      </c>
      <c r="B117" s="137" t="inlineStr">
        <is>
          <t>SERVICES EXTÉRIEURS</t>
        </is>
      </c>
      <c r="C117" s="47" t="n"/>
      <c r="D117" s="47" t="n"/>
      <c r="E117" s="47" t="n"/>
      <c r="F117" s="47" t="n"/>
      <c r="G117" s="47" t="n"/>
      <c r="H117" s="47" t="n"/>
    </row>
    <row r="118" ht="110" customHeight="1">
      <c r="A118" s="138" t="n"/>
      <c r="B118" s="47" t="n"/>
      <c r="C118" s="47" t="n"/>
      <c r="D118" s="47" t="n"/>
      <c r="E118" s="47" t="n"/>
      <c r="F118" s="47" t="n"/>
      <c r="G118" s="47" t="n"/>
      <c r="H118" s="47" t="n"/>
    </row>
    <row r="119" ht="16" customHeight="1">
      <c r="A119" s="136" t="inlineStr">
        <is>
          <t>Note 27</t>
        </is>
      </c>
      <c r="B119" s="137" t="inlineStr">
        <is>
          <t>IMPÔTS ET TAXES</t>
        </is>
      </c>
      <c r="C119" s="47" t="n"/>
      <c r="D119" s="47" t="n"/>
      <c r="E119" s="47" t="n"/>
      <c r="F119" s="47" t="n"/>
      <c r="G119" s="47" t="n"/>
      <c r="H119" s="47" t="n"/>
    </row>
    <row r="120" ht="110" customHeight="1">
      <c r="A120" s="138" t="n"/>
      <c r="B120" s="47" t="n"/>
      <c r="C120" s="47" t="n"/>
      <c r="D120" s="47" t="n"/>
      <c r="E120" s="47" t="n"/>
      <c r="F120" s="47" t="n"/>
      <c r="G120" s="47" t="n"/>
      <c r="H120" s="47" t="n"/>
    </row>
    <row r="121" ht="26" customHeight="1">
      <c r="A121" s="55" t="inlineStr">
        <is>
          <t>TABLE DES COMMENTAIRES</t>
        </is>
      </c>
      <c r="G121" s="133" t="inlineStr">
        <is>
          <t>COMMENTAIRES
PAGE 10/12</t>
        </is>
      </c>
      <c r="H121" s="52" t="n"/>
    </row>
    <row r="122">
      <c r="A122" s="65" t="inlineStr">
        <is>
          <t xml:space="preserve">Dénomination sociale : </t>
        </is>
      </c>
    </row>
    <row r="123">
      <c r="A123" s="65" t="inlineStr">
        <is>
          <t xml:space="preserve">Adresse : </t>
        </is>
      </c>
      <c r="F123" s="65" t="inlineStr">
        <is>
          <t xml:space="preserve">Sigle usuel : </t>
        </is>
      </c>
    </row>
    <row r="124">
      <c r="A124" s="65" t="inlineStr">
        <is>
          <t xml:space="preserve">N° de compte contribuable (NCC) : </t>
        </is>
      </c>
      <c r="E124" s="65" t="inlineStr">
        <is>
          <t>Exercice clos le</t>
        </is>
      </c>
      <c r="G124" s="65" t="inlineStr">
        <is>
          <t>Durée (en mois) : 12</t>
        </is>
      </c>
    </row>
    <row r="125">
      <c r="A125" s="65" t="inlineStr">
        <is>
          <t xml:space="preserve">N° de télédéclarant (NTD) : </t>
        </is>
      </c>
    </row>
    <row r="126" ht="16" customHeight="1">
      <c r="A126" s="136" t="inlineStr">
        <is>
          <t>Note 28</t>
        </is>
      </c>
      <c r="B126" s="137" t="inlineStr">
        <is>
          <t>AUTRES CHARGES</t>
        </is>
      </c>
      <c r="C126" s="47" t="n"/>
      <c r="D126" s="47" t="n"/>
      <c r="E126" s="47" t="n"/>
      <c r="F126" s="47" t="n"/>
      <c r="G126" s="47" t="n"/>
      <c r="H126" s="47" t="n"/>
    </row>
    <row r="127" ht="110" customHeight="1">
      <c r="A127" s="138" t="n"/>
      <c r="B127" s="47" t="n"/>
      <c r="C127" s="47" t="n"/>
      <c r="D127" s="47" t="n"/>
      <c r="E127" s="47" t="n"/>
      <c r="F127" s="47" t="n"/>
      <c r="G127" s="47" t="n"/>
      <c r="H127" s="47" t="n"/>
    </row>
    <row r="128" ht="16" customHeight="1">
      <c r="A128" s="136" t="inlineStr">
        <is>
          <t>Note 29A</t>
        </is>
      </c>
      <c r="B128" s="137" t="inlineStr">
        <is>
          <t>CHARGES DE PERSONNEL</t>
        </is>
      </c>
      <c r="C128" s="47" t="n"/>
      <c r="D128" s="47" t="n"/>
      <c r="E128" s="47" t="n"/>
      <c r="F128" s="47" t="n"/>
      <c r="G128" s="47" t="n"/>
      <c r="H128" s="47" t="n"/>
    </row>
    <row r="129" ht="110" customHeight="1">
      <c r="A129" s="138" t="n"/>
      <c r="B129" s="47" t="n"/>
      <c r="C129" s="47" t="n"/>
      <c r="D129" s="47" t="n"/>
      <c r="E129" s="47" t="n"/>
      <c r="F129" s="47" t="n"/>
      <c r="G129" s="47" t="n"/>
      <c r="H129" s="47" t="n"/>
    </row>
    <row r="130" ht="16" customHeight="1">
      <c r="A130" s="136" t="inlineStr">
        <is>
          <t>Note 29B</t>
        </is>
      </c>
      <c r="B130" s="137" t="inlineStr">
        <is>
          <t>EFFECTIFS, MASSE SALARIALE ET PERSONNEL EXTÉRIEUR</t>
        </is>
      </c>
      <c r="C130" s="47" t="n"/>
      <c r="D130" s="47" t="n"/>
      <c r="E130" s="47" t="n"/>
      <c r="F130" s="47" t="n"/>
      <c r="G130" s="47" t="n"/>
      <c r="H130" s="47" t="n"/>
    </row>
    <row r="131" ht="110" customHeight="1">
      <c r="A131" s="138" t="n"/>
      <c r="B131" s="47" t="n"/>
      <c r="C131" s="47" t="n"/>
      <c r="D131" s="47" t="n"/>
      <c r="E131" s="47" t="n"/>
      <c r="F131" s="47" t="n"/>
      <c r="G131" s="47" t="n"/>
      <c r="H131" s="47" t="n"/>
    </row>
    <row r="132" ht="16" customHeight="1">
      <c r="A132" s="136" t="inlineStr">
        <is>
          <t>Note 30</t>
        </is>
      </c>
      <c r="B132" s="137" t="inlineStr">
        <is>
          <t>DOTATIONS ET CHARGES POUR PROVISIONS ET DÉPRÉCIATIONS</t>
        </is>
      </c>
      <c r="C132" s="47" t="n"/>
      <c r="D132" s="47" t="n"/>
      <c r="E132" s="47" t="n"/>
      <c r="F132" s="47" t="n"/>
      <c r="G132" s="47" t="n"/>
      <c r="H132" s="47" t="n"/>
    </row>
    <row r="133" ht="110" customHeight="1">
      <c r="A133" s="138" t="n"/>
      <c r="B133" s="47" t="n"/>
      <c r="C133" s="47" t="n"/>
      <c r="D133" s="47" t="n"/>
      <c r="E133" s="47" t="n"/>
      <c r="F133" s="47" t="n"/>
      <c r="G133" s="47" t="n"/>
      <c r="H133" s="47" t="n"/>
    </row>
    <row r="134" ht="26" customHeight="1">
      <c r="A134" s="55" t="inlineStr">
        <is>
          <t>TABLE DES COMMENTAIRES</t>
        </is>
      </c>
      <c r="G134" s="133" t="inlineStr">
        <is>
          <t>COMMENTAIRES
PAGE 11/12</t>
        </is>
      </c>
      <c r="H134" s="52" t="n"/>
    </row>
    <row r="135">
      <c r="A135" s="65" t="inlineStr">
        <is>
          <t xml:space="preserve">Dénomination sociale : </t>
        </is>
      </c>
    </row>
    <row r="136">
      <c r="A136" s="65" t="inlineStr">
        <is>
          <t xml:space="preserve">Adresse : </t>
        </is>
      </c>
      <c r="F136" s="65" t="inlineStr">
        <is>
          <t xml:space="preserve">Sigle usuel : </t>
        </is>
      </c>
    </row>
    <row r="137">
      <c r="A137" s="65" t="inlineStr">
        <is>
          <t xml:space="preserve">N° de compte contribuable (NCC) : </t>
        </is>
      </c>
      <c r="E137" s="65" t="inlineStr">
        <is>
          <t>Exercice clos le</t>
        </is>
      </c>
      <c r="G137" s="65" t="inlineStr">
        <is>
          <t>Durée (en mois) : 12</t>
        </is>
      </c>
    </row>
    <row r="138">
      <c r="A138" s="65" t="inlineStr">
        <is>
          <t xml:space="preserve">N° de télédéclarant (NTD) : </t>
        </is>
      </c>
    </row>
    <row r="139" ht="16" customHeight="1">
      <c r="A139" s="136" t="inlineStr">
        <is>
          <t>Note 31</t>
        </is>
      </c>
      <c r="B139" s="137" t="inlineStr">
        <is>
          <t>CHARGES ET REVENUS FINANCIERS</t>
        </is>
      </c>
      <c r="C139" s="47" t="n"/>
      <c r="D139" s="47" t="n"/>
      <c r="E139" s="47" t="n"/>
      <c r="F139" s="47" t="n"/>
      <c r="G139" s="47" t="n"/>
      <c r="H139" s="47" t="n"/>
    </row>
    <row r="140" ht="110" customHeight="1">
      <c r="A140" s="138" t="n"/>
      <c r="B140" s="47" t="n"/>
      <c r="C140" s="47" t="n"/>
      <c r="D140" s="47" t="n"/>
      <c r="E140" s="47" t="n"/>
      <c r="F140" s="47" t="n"/>
      <c r="G140" s="47" t="n"/>
      <c r="H140" s="47" t="n"/>
    </row>
    <row r="141" ht="16" customHeight="1">
      <c r="A141" s="136" t="inlineStr">
        <is>
          <t>Note 32</t>
        </is>
      </c>
      <c r="B141" s="137" t="inlineStr">
        <is>
          <t>AUTRES CHARGES ET PRODUITS HAO</t>
        </is>
      </c>
      <c r="C141" s="47" t="n"/>
      <c r="D141" s="47" t="n"/>
      <c r="E141" s="47" t="n"/>
      <c r="F141" s="47" t="n"/>
      <c r="G141" s="47" t="n"/>
      <c r="H141" s="47" t="n"/>
    </row>
    <row r="142" ht="110" customHeight="1">
      <c r="A142" s="138" t="n"/>
      <c r="B142" s="47" t="n"/>
      <c r="C142" s="47" t="n"/>
      <c r="D142" s="47" t="n"/>
      <c r="E142" s="47" t="n"/>
      <c r="F142" s="47" t="n"/>
      <c r="G142" s="47" t="n"/>
      <c r="H142" s="47" t="n"/>
    </row>
    <row r="143" ht="17" customHeight="1">
      <c r="A143" s="134" t="inlineStr">
        <is>
          <t>Partie 4 : Autres informations</t>
        </is>
      </c>
      <c r="B143" s="135" t="n"/>
      <c r="C143" s="135" t="n"/>
      <c r="D143" s="135" t="n"/>
      <c r="E143" s="135" t="n"/>
      <c r="F143" s="135" t="n"/>
      <c r="G143" s="135" t="n"/>
      <c r="H143" s="135" t="n"/>
    </row>
    <row r="144" ht="16" customHeight="1">
      <c r="A144" s="136" t="inlineStr">
        <is>
          <t>Note 33</t>
        </is>
      </c>
      <c r="B144" s="137" t="inlineStr">
        <is>
          <t>FICHE DE SYNTHÈSE DES PRINCIPAUX INDICATEURS FINANCIERS</t>
        </is>
      </c>
      <c r="C144" s="47" t="n"/>
      <c r="D144" s="47" t="n"/>
      <c r="E144" s="47" t="n"/>
      <c r="F144" s="47" t="n"/>
      <c r="G144" s="47" t="n"/>
      <c r="H144" s="47" t="n"/>
    </row>
    <row r="145" ht="110" customHeight="1">
      <c r="A145" s="138" t="n"/>
      <c r="B145" s="47" t="n"/>
      <c r="C145" s="47" t="n"/>
      <c r="D145" s="47" t="n"/>
      <c r="E145" s="47" t="n"/>
      <c r="F145" s="47" t="n"/>
      <c r="G145" s="47" t="n"/>
      <c r="H145" s="47" t="n"/>
    </row>
    <row r="146" ht="16" customHeight="1">
      <c r="A146" s="136" t="inlineStr">
        <is>
          <t>Note 34</t>
        </is>
      </c>
      <c r="B146" s="137" t="inlineStr">
        <is>
          <t>LISTE DES INFORMATIONS SOCIALES, ENVIRONNEMENTALES ET SOCIÉTALES</t>
        </is>
      </c>
      <c r="C146" s="47" t="n"/>
      <c r="D146" s="47" t="n"/>
      <c r="E146" s="47" t="n"/>
      <c r="F146" s="47" t="n"/>
      <c r="G146" s="47" t="n"/>
      <c r="H146" s="47" t="n"/>
    </row>
    <row r="147" ht="110" customHeight="1">
      <c r="A147" s="138" t="n"/>
      <c r="B147" s="47" t="n"/>
      <c r="C147" s="47" t="n"/>
      <c r="D147" s="47" t="n"/>
      <c r="E147" s="47" t="n"/>
      <c r="F147" s="47" t="n"/>
      <c r="G147" s="47" t="n"/>
      <c r="H147" s="47" t="n"/>
    </row>
    <row r="148" ht="26" customHeight="1">
      <c r="A148" s="55" t="inlineStr">
        <is>
          <t>TABLE DES COMMENTAIRES</t>
        </is>
      </c>
      <c r="G148" s="133" t="inlineStr">
        <is>
          <t>COMMENTAIRES
PAGE 12/12</t>
        </is>
      </c>
      <c r="H148" s="52" t="n"/>
    </row>
    <row r="149">
      <c r="A149" s="65" t="inlineStr">
        <is>
          <t xml:space="preserve">Dénomination sociale : </t>
        </is>
      </c>
    </row>
    <row r="150">
      <c r="A150" s="65" t="inlineStr">
        <is>
          <t xml:space="preserve">Adresse : </t>
        </is>
      </c>
      <c r="F150" s="65" t="inlineStr">
        <is>
          <t xml:space="preserve">Sigle usuel : </t>
        </is>
      </c>
    </row>
    <row r="151">
      <c r="A151" s="65" t="inlineStr">
        <is>
          <t xml:space="preserve">N° de compte contribuable (NCC) : </t>
        </is>
      </c>
      <c r="E151" s="65" t="inlineStr">
        <is>
          <t>Exercice clos le</t>
        </is>
      </c>
      <c r="G151" s="65" t="inlineStr">
        <is>
          <t>Durée (en mois) : 12</t>
        </is>
      </c>
    </row>
    <row r="152">
      <c r="A152" s="65" t="inlineStr">
        <is>
          <t xml:space="preserve">N° de télédéclarant (NTD) : </t>
        </is>
      </c>
    </row>
    <row r="153" ht="16" customHeight="1">
      <c r="A153" s="136" t="inlineStr">
        <is>
          <t>Note 35</t>
        </is>
      </c>
      <c r="B153" s="137" t="inlineStr">
        <is>
          <t>TABLEAU D'EXÉCUTION BUDGÉTAIRE</t>
        </is>
      </c>
      <c r="C153" s="47" t="n"/>
      <c r="D153" s="47" t="n"/>
      <c r="E153" s="47" t="n"/>
      <c r="F153" s="47" t="n"/>
      <c r="G153" s="47" t="n"/>
      <c r="H153" s="47" t="n"/>
    </row>
    <row r="154" ht="110" customHeight="1">
      <c r="A154" s="138" t="n"/>
      <c r="B154" s="47" t="n"/>
      <c r="C154" s="47" t="n"/>
      <c r="D154" s="47" t="n"/>
      <c r="E154" s="47" t="n"/>
      <c r="F154" s="47" t="n"/>
      <c r="G154" s="47" t="n"/>
      <c r="H154" s="47" t="n"/>
    </row>
  </sheetData>
  <mergeCells count="118">
    <mergeCell ref="G81:H81"/>
    <mergeCell ref="B40:H40"/>
    <mergeCell ref="B49:H49"/>
    <mergeCell ref="B64:H64"/>
    <mergeCell ref="B51:H51"/>
    <mergeCell ref="A55:F55"/>
    <mergeCell ref="A6:H6"/>
    <mergeCell ref="B106:H106"/>
    <mergeCell ref="B25:H25"/>
    <mergeCell ref="B90:H90"/>
    <mergeCell ref="A118:H118"/>
    <mergeCell ref="A133:H133"/>
    <mergeCell ref="A29:F29"/>
    <mergeCell ref="A134:F134"/>
    <mergeCell ref="A81:F81"/>
    <mergeCell ref="A50:H50"/>
    <mergeCell ref="B66:H66"/>
    <mergeCell ref="A121:F121"/>
    <mergeCell ref="G121:H121"/>
    <mergeCell ref="G148:H148"/>
    <mergeCell ref="B27:H27"/>
    <mergeCell ref="G68:H68"/>
    <mergeCell ref="G108:H108"/>
    <mergeCell ref="A104:H104"/>
    <mergeCell ref="B130:H130"/>
    <mergeCell ref="B11:H11"/>
    <mergeCell ref="B60:H60"/>
    <mergeCell ref="A15:F15"/>
    <mergeCell ref="B132:H132"/>
    <mergeCell ref="B53:H53"/>
    <mergeCell ref="G94:H94"/>
    <mergeCell ref="B103:H103"/>
    <mergeCell ref="A67:H67"/>
    <mergeCell ref="A108:F108"/>
    <mergeCell ref="A24:H24"/>
    <mergeCell ref="A107:H107"/>
    <mergeCell ref="A42:F42"/>
    <mergeCell ref="B79:H79"/>
    <mergeCell ref="B144:H144"/>
    <mergeCell ref="B153:H153"/>
    <mergeCell ref="B7:H7"/>
    <mergeCell ref="A22:H22"/>
    <mergeCell ref="B88:H88"/>
    <mergeCell ref="A20:H20"/>
    <mergeCell ref="A28:H28"/>
    <mergeCell ref="B34:H34"/>
    <mergeCell ref="B146:H146"/>
    <mergeCell ref="A127:H127"/>
    <mergeCell ref="B99:H99"/>
    <mergeCell ref="A48:H48"/>
    <mergeCell ref="A114:H114"/>
    <mergeCell ref="B9:H9"/>
    <mergeCell ref="G42:H42"/>
    <mergeCell ref="B92:H92"/>
    <mergeCell ref="A61:H61"/>
    <mergeCell ref="B126:H126"/>
    <mergeCell ref="A54:H54"/>
    <mergeCell ref="B75:H75"/>
    <mergeCell ref="A41:H41"/>
    <mergeCell ref="B47:H47"/>
    <mergeCell ref="B62:H62"/>
    <mergeCell ref="A74:H74"/>
    <mergeCell ref="A145:H145"/>
    <mergeCell ref="A26:H26"/>
    <mergeCell ref="A154:H154"/>
    <mergeCell ref="A68:F68"/>
    <mergeCell ref="G15:H15"/>
    <mergeCell ref="B21:H21"/>
    <mergeCell ref="A129:H129"/>
    <mergeCell ref="A76:H76"/>
    <mergeCell ref="A116:H116"/>
    <mergeCell ref="A8:H8"/>
    <mergeCell ref="B23:H23"/>
    <mergeCell ref="A131:H131"/>
    <mergeCell ref="A100:H100"/>
    <mergeCell ref="A140:H140"/>
    <mergeCell ref="A35:H35"/>
    <mergeCell ref="B13:H13"/>
    <mergeCell ref="G1:H1"/>
    <mergeCell ref="A1:F1"/>
    <mergeCell ref="A63:H63"/>
    <mergeCell ref="B73:H73"/>
    <mergeCell ref="A10:H10"/>
    <mergeCell ref="A94:F94"/>
    <mergeCell ref="G134:H134"/>
    <mergeCell ref="A102:H102"/>
    <mergeCell ref="B128:H128"/>
    <mergeCell ref="A143:H143"/>
    <mergeCell ref="A39:H39"/>
    <mergeCell ref="A142:H142"/>
    <mergeCell ref="B139:H139"/>
    <mergeCell ref="B36:H36"/>
    <mergeCell ref="A78:H78"/>
    <mergeCell ref="A87:H87"/>
    <mergeCell ref="A65:H65"/>
    <mergeCell ref="B113:H113"/>
    <mergeCell ref="A80:H80"/>
    <mergeCell ref="A37:H37"/>
    <mergeCell ref="A89:H89"/>
    <mergeCell ref="A120:H120"/>
    <mergeCell ref="B141:H141"/>
    <mergeCell ref="A12:H12"/>
    <mergeCell ref="B115:H115"/>
    <mergeCell ref="A105:H105"/>
    <mergeCell ref="B77:H77"/>
    <mergeCell ref="B86:H86"/>
    <mergeCell ref="A14:H14"/>
    <mergeCell ref="B117:H117"/>
    <mergeCell ref="A148:F148"/>
    <mergeCell ref="G55:H55"/>
    <mergeCell ref="G29:H29"/>
    <mergeCell ref="B101:H101"/>
    <mergeCell ref="A91:H91"/>
    <mergeCell ref="A147:H147"/>
    <mergeCell ref="B119:H119"/>
    <mergeCell ref="A52:H52"/>
    <mergeCell ref="B38:H38"/>
    <mergeCell ref="A93:H93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10" customWidth="1" min="3" max="3"/>
  </cols>
  <sheetData>
    <row r="1">
      <c r="A1" s="1" t="inlineStr">
        <is>
          <t>Contrôle</t>
        </is>
      </c>
      <c r="B1" s="2" t="inlineStr">
        <is>
          <t>Valeur</t>
        </is>
      </c>
      <c r="C1" s="3" t="inlineStr">
        <is>
          <t>Attendu</t>
        </is>
      </c>
    </row>
    <row r="2">
      <c r="A2" s="119" t="inlineStr">
        <is>
          <t>Total solde de clôture débit balance</t>
        </is>
      </c>
      <c r="B2" s="120">
        <f>SUM('BALANCE N'!G2:G2)</f>
        <v/>
      </c>
      <c r="C2" s="119" t="inlineStr"/>
    </row>
    <row r="3">
      <c r="A3" s="119" t="inlineStr">
        <is>
          <t>Total solde de clôture crédit balance</t>
        </is>
      </c>
      <c r="B3" s="120">
        <f>SUM('BALANCE N'!H2:H2)</f>
        <v/>
      </c>
      <c r="C3" s="119" t="inlineStr"/>
    </row>
    <row r="4">
      <c r="A4" s="119" t="inlineStr">
        <is>
          <t>Écart balance (doit être 0)</t>
        </is>
      </c>
      <c r="B4" s="120">
        <f>B2-B3</f>
        <v/>
      </c>
      <c r="C4" s="119" t="n">
        <v>0</v>
      </c>
    </row>
    <row r="5">
      <c r="A5" s="119" t="inlineStr">
        <is>
          <t>Total général actif net (BZ)</t>
        </is>
      </c>
      <c r="B5" s="120">
        <f>'Bilan-Actif'!F39</f>
        <v/>
      </c>
      <c r="C5" s="119" t="inlineStr"/>
    </row>
    <row r="6">
      <c r="A6" s="119" t="inlineStr">
        <is>
          <t>Total général passif (DZ)</t>
        </is>
      </c>
      <c r="B6" s="120">
        <f>'Bilan-Passif'!D38</f>
        <v/>
      </c>
      <c r="C6" s="119" t="inlineStr"/>
    </row>
    <row r="7">
      <c r="A7" s="119" t="inlineStr">
        <is>
          <t>Écart bilan actif - passif (doit être 0)</t>
        </is>
      </c>
      <c r="B7" s="120">
        <f>B5-B6</f>
        <v/>
      </c>
      <c r="C7" s="119" t="n">
        <v>0</v>
      </c>
    </row>
    <row r="8">
      <c r="A8" s="119" t="inlineStr">
        <is>
          <t>Résultat net (compte de résultat, XE)</t>
        </is>
      </c>
      <c r="B8" s="120">
        <f>'Résultat'!D36</f>
        <v/>
      </c>
      <c r="C8" s="119" t="inlineStr"/>
    </row>
    <row r="9">
      <c r="A9" s="119" t="inlineStr">
        <is>
          <t>Résultat net (bilan, CH = résultat CR + solde compte 13)</t>
        </is>
      </c>
      <c r="B9" s="120">
        <f>'Bilan-Passif'!D17</f>
        <v/>
      </c>
      <c r="C9" s="119" t="inlineStr"/>
    </row>
    <row r="10">
      <c r="A10" s="119" t="inlineStr">
        <is>
          <t>Écart résultat CR / bilan (doit être 0 si balance avant affectation)</t>
        </is>
      </c>
      <c r="B10" s="120">
        <f>B8-B9</f>
        <v/>
      </c>
      <c r="C10" s="119" t="n">
        <v>0</v>
      </c>
    </row>
    <row r="11">
      <c r="A11" s="119" t="inlineStr">
        <is>
          <t>Trésorerie nette au 31/12 (TFT, ZG)</t>
        </is>
      </c>
      <c r="B11" s="120">
        <f>TFT!D36</f>
        <v/>
      </c>
      <c r="C11" s="119" t="inlineStr"/>
    </row>
    <row r="12">
      <c r="A12" s="119" t="inlineStr">
        <is>
          <t>Trésorerie nette au 31/12 (bilan, BX - DX)</t>
        </is>
      </c>
      <c r="B12" s="120">
        <f>'Bilan-Actif'!F37-'Bilan-Passif'!D36</f>
        <v/>
      </c>
      <c r="C12" s="119" t="inlineStr"/>
    </row>
    <row r="13">
      <c r="A13" s="119" t="inlineStr">
        <is>
          <t>Écart trésorerie TFT / bilan (doit être 0)</t>
        </is>
      </c>
      <c r="B13" s="120">
        <f>B11-B12</f>
        <v/>
      </c>
      <c r="C13" s="119" t="n">
        <v>0</v>
      </c>
    </row>
    <row r="14">
      <c r="A14" s="119" t="inlineStr">
        <is>
          <t>- Recoupements notes annexes / états -</t>
        </is>
      </c>
      <c r="B14" s="120" t="inlineStr"/>
      <c r="C14" s="119" t="inlineStr"/>
    </row>
    <row r="15">
      <c r="A15" s="119" t="inlineStr">
        <is>
          <t>NOTE 6 total vs poste AO</t>
        </is>
      </c>
      <c r="B15" s="120">
        <f>'NOTE 6'!B20-'Bilan-Actif'!F24</f>
        <v/>
      </c>
      <c r="C15" s="119" t="n">
        <v>0</v>
      </c>
    </row>
    <row r="16">
      <c r="A16" s="119" t="inlineStr">
        <is>
          <t>NOTE 8 total vs poste BB</t>
        </is>
      </c>
      <c r="B16" s="120">
        <f>'NOTE 8'!B19-'Bilan-Actif'!F29</f>
        <v/>
      </c>
      <c r="C16" s="119" t="n">
        <v>0</v>
      </c>
    </row>
    <row r="17">
      <c r="A17" s="119" t="inlineStr">
        <is>
          <t>NOTE 9 total vs poste BD</t>
        </is>
      </c>
      <c r="B17" s="120">
        <f>'NOTE 9'!B17-'Bilan-Actif'!F31</f>
        <v/>
      </c>
      <c r="C17" s="119" t="n">
        <v>0</v>
      </c>
    </row>
    <row r="18">
      <c r="A18" s="119" t="inlineStr">
        <is>
          <t>NOTE 10 total vs poste BE</t>
        </is>
      </c>
      <c r="B18" s="120">
        <f>'NOTE 10'!B19-'Bilan-Actif'!F32</f>
        <v/>
      </c>
      <c r="C18" s="119" t="n">
        <v>0</v>
      </c>
    </row>
    <row r="19">
      <c r="A19" s="119" t="inlineStr">
        <is>
          <t>NOTE 11 total vs poste BU</t>
        </is>
      </c>
      <c r="B19" s="120">
        <f>'NOTE 11'!B19-'Bilan-Actif'!F34</f>
        <v/>
      </c>
      <c r="C19" s="119" t="n">
        <v>0</v>
      </c>
    </row>
    <row r="20">
      <c r="A20" s="119" t="inlineStr">
        <is>
          <t>NOTE 12 total vs poste BV</t>
        </is>
      </c>
      <c r="B20" s="120">
        <f>'NOTE 12'!B16-'Bilan-Actif'!F35</f>
        <v/>
      </c>
      <c r="C20" s="119" t="n">
        <v>0</v>
      </c>
    </row>
    <row r="21">
      <c r="A21" s="119" t="inlineStr">
        <is>
          <t>NOTE 13 total vs poste BW</t>
        </is>
      </c>
      <c r="B21" s="120">
        <f>'NOTE 13'!B22-'Bilan-Actif'!F36</f>
        <v/>
      </c>
      <c r="C21" s="119" t="n">
        <v>0</v>
      </c>
    </row>
    <row r="22">
      <c r="A22" s="119" t="inlineStr">
        <is>
          <t>NOTE 18A total vs poste DD</t>
        </is>
      </c>
      <c r="B22" s="120">
        <f>'NOTE 18A'!B28-'Bilan-Passif'!D28</f>
        <v/>
      </c>
      <c r="C22" s="119" t="n">
        <v>0</v>
      </c>
    </row>
    <row r="23">
      <c r="A23" s="119" t="inlineStr">
        <is>
          <t>NOTE 19 total vs poste DH</t>
        </is>
      </c>
      <c r="B23" s="120">
        <f>'NOTE 19'!B14-'Bilan-Passif'!D32</f>
        <v/>
      </c>
      <c r="C23" s="119" t="n">
        <v>0</v>
      </c>
    </row>
    <row r="24">
      <c r="A24" s="119" t="inlineStr">
        <is>
          <t>NOTE 22 total vs poste DX</t>
        </is>
      </c>
      <c r="B24" s="120">
        <f>'NOTE 22'!B14-'Bilan-Passif'!D36</f>
        <v/>
      </c>
      <c r="C24" s="119" t="n">
        <v>0</v>
      </c>
    </row>
    <row r="25">
      <c r="A25" s="119" t="inlineStr">
        <is>
          <t>NOTE 25 total vs poste TF</t>
        </is>
      </c>
      <c r="B25" s="120">
        <f>'NOTE 25'!B14+'Résultat'!D24</f>
        <v/>
      </c>
      <c r="C25" s="119" t="n">
        <v>0</v>
      </c>
    </row>
    <row r="26">
      <c r="A26" s="119" t="inlineStr">
        <is>
          <t>NOTE 26 total vs poste TG</t>
        </is>
      </c>
      <c r="B26" s="120">
        <f>'NOTE 26'!B25+'Résultat'!D25</f>
        <v/>
      </c>
      <c r="C26" s="119" t="n">
        <v>0</v>
      </c>
    </row>
    <row r="27">
      <c r="A27" s="119" t="inlineStr">
        <is>
          <t>NOTE 27 total vs poste TH</t>
        </is>
      </c>
      <c r="B27" s="120">
        <f>'NOTE 27'!B15+'Résultat'!D26</f>
        <v/>
      </c>
      <c r="C27" s="119" t="n">
        <v>0</v>
      </c>
    </row>
    <row r="28">
      <c r="A28" s="119" t="inlineStr">
        <is>
          <t>NOTE 28 total vs poste TI</t>
        </is>
      </c>
      <c r="B28" s="120">
        <f>'NOTE 28'!B15+'Résultat'!D27</f>
        <v/>
      </c>
      <c r="C28" s="119" t="n">
        <v>0</v>
      </c>
    </row>
    <row r="29">
      <c r="A29" s="119" t="inlineStr">
        <is>
          <t>NOTE 29A total vs poste TJ</t>
        </is>
      </c>
      <c r="B29" s="120">
        <f>'NOTE 29A'!B17+'Résultat'!D28</f>
        <v/>
      </c>
      <c r="C29" s="119" t="n">
        <v>0</v>
      </c>
    </row>
    <row r="30">
      <c r="A30" s="119" t="inlineStr">
        <is>
          <t>NOTE 31 total vs poste TK</t>
        </is>
      </c>
      <c r="B30" s="120">
        <f>'NOTE 31'!B17+'Résultat'!D29</f>
        <v/>
      </c>
      <c r="C30" s="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2026-09-02T18:26:42Z</dcterms:created>
  <dcterms:modified xsi:type="dcterms:W3CDTF">2026-09-02T18:26:43Z</dcterms:modified>
</cp:coreProperties>
</file>